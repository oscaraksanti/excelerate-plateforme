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ACTURE" sheetId="1" state="visible" r:id="rId3"/>
    <sheet name="CONTROLE" sheetId="2" state="visible" r:id="rId4"/>
  </sheets>
  <definedNames>
    <definedName function="false" hidden="false" name="TotalImprime" vbProcedure="false">CONTROLE!$B$3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<sst xmlns="http://schemas.openxmlformats.org/spreadsheetml/2006/main" count="41" uniqueCount="41">
  <si>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Facture fournisseur FN-2026-0914 — 14/09/2026</t>
  </si>
  <si>
    <t xml:space="preserve">Saisis ici ce que l'IA a lu sur la photo. Ne calcule rien à sa place.</t>
  </si>
  <si>
    <t xml:space="preserve">Reference</t>
  </si>
  <si>
    <t xml:space="preserve">Designation</t>
  </si>
  <si>
    <t xml:space="preserve">Quantite</t>
  </si>
  <si>
    <t xml:space="preserve">PU_CDF</t>
  </si>
  <si>
    <t xml:space="preserve">Montant</t>
  </si>
  <si>
    <t xml:space="preserve">HV5-01</t>
  </si>
  <si>
    <t xml:space="preserve">Huile végétale 5 L</t>
  </si>
  <si>
    <t xml:space="preserve">HP1-04</t>
  </si>
  <si>
    <t xml:space="preserve">Huile de palme 1 L</t>
  </si>
  <si>
    <t xml:space="preserve">RZP-25</t>
  </si>
  <si>
    <t xml:space="preserve">Riz parfumé 25 kg</t>
  </si>
  <si>
    <t xml:space="preserve">RZL-50</t>
  </si>
  <si>
    <t xml:space="preserve">Riz local 50 kg</t>
  </si>
  <si>
    <t xml:space="preserve">FFR-25</t>
  </si>
  <si>
    <t xml:space="preserve">Farine de froment 25 kg</t>
  </si>
  <si>
    <t xml:space="preserve">FMA-10</t>
  </si>
  <si>
    <t xml:space="preserve">Farine de manioc 10 kg</t>
  </si>
  <si>
    <t xml:space="preserve">EAU-12</t>
  </si>
  <si>
    <t xml:space="preserve">Eau minérale pack de 12</t>
  </si>
  <si>
    <t xml:space="preserve">JAN-01</t>
  </si>
  <si>
    <t xml:space="preserve">Jus d'ananas 1 L</t>
  </si>
  <si>
    <t xml:space="preserve">SVM-CT</t>
  </si>
  <si>
    <t xml:space="preserve">Savon de ménage carton</t>
  </si>
  <si>
    <t xml:space="preserve">SVT-12</t>
  </si>
  <si>
    <t xml:space="preserve">Savon de toilette lot 12</t>
  </si>
  <si>
    <t xml:space="preserve">SRD-50</t>
  </si>
  <si>
    <t xml:space="preserve">Sardines boîte x50</t>
  </si>
  <si>
    <t xml:space="preserve">CTM-24</t>
  </si>
  <si>
    <t xml:space="preserve">Concentré de tomate x24</t>
  </si>
  <si>
    <t xml:space="preserve">HV5-02</t>
  </si>
  <si>
    <t xml:space="preserve">Huile végétale 2 L</t>
  </si>
  <si>
    <t xml:space="preserve">RZP-10</t>
  </si>
  <si>
    <t xml:space="preserve">Riz parfumé 10 kg</t>
  </si>
  <si>
    <t xml:space="preserve">Le contrôle en trois points</t>
  </si>
  <si>
    <t xml:space="preserve">Total imprimé sur la facture</t>
  </si>
  <si>
    <t xml:space="preserve">Total recalculé depuis tes lignes</t>
  </si>
  <si>
    <t xml:space="preserve">Écart — doit valoir 0</t>
  </si>
  <si>
    <t xml:space="preserve">Nombre de lignes saisies</t>
  </si>
  <si>
    <t xml:space="preserve">Nombre de lignes attendues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</si>
</sst>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01418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30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B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30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01418"/>
      <rgbColor rgb="FF333300"/>
      <rgbColor rgb="FF993300"/>
      <rgbColor rgb="FF993366"/>
      <rgbColor rgb="FF333399"/>
      <rgbColor rgb="FF2430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Facture" displayName="t_Facture" ref="A4:E18" headerRowCount="1" totalsRowCount="0" totalsRowShown="0">
  <autoFilter ref="A4:E18"/>
  <tableColumns count="5">
    <tableColumn id="1" name="Reference"/>
    <tableColumn id="2" name="Designation"/>
    <tableColumn id="3" name="Quantite"/>
    <tableColumn id="4" name="PU_CDF"/>
    <tableColumn id="5" name="Monta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n">
        <v>8</v>
      </c>
      <c r="D5" s="4" t="n">
        <v>34200</v>
      </c>
      <c r="E5" s="4" t="n">
        <v>273600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n">
        <v>36</v>
      </c>
      <c r="D6" s="4" t="n">
        <v>7650</v>
      </c>
      <c r="E6" s="4" t="n">
        <v>275400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n">
        <v>6</v>
      </c>
      <c r="D7" s="4" t="n">
        <v>126500</v>
      </c>
      <c r="E7" s="4" t="n">
        <v>759000</v>
      </c>
    </row>
    <row r="8" customFormat="false" ht="15" hidden="false" customHeight="false" outlineLevel="0" collapsed="false">
      <c r="A8" s="4" t="s">
        <v>13</v>
      </c>
      <c r="B8" s="4" t="s">
        <v>14</v>
      </c>
      <c r="C8" s="4" t="n">
        <v>4</v>
      </c>
      <c r="D8" s="4" t="n">
        <v>162000</v>
      </c>
      <c r="E8" s="4" t="n">
        <v>648000</v>
      </c>
    </row>
    <row r="9" customFormat="false" ht="15" hidden="false" customHeight="false" outlineLevel="0" collapsed="false">
      <c r="A9" s="4" t="s">
        <v>15</v>
      </c>
      <c r="B9" s="4" t="s">
        <v>16</v>
      </c>
      <c r="C9" s="4" t="n">
        <v>10</v>
      </c>
      <c r="D9" s="4" t="n">
        <v>90500</v>
      </c>
      <c r="E9" s="4" t="n">
        <v>905000</v>
      </c>
    </row>
    <row r="10" customFormat="false" ht="15" hidden="false" customHeight="false" outlineLevel="0" collapsed="false">
      <c r="A10" s="4" t="s">
        <v>17</v>
      </c>
      <c r="B10" s="4" t="s">
        <v>18</v>
      </c>
      <c r="C10" s="4" t="n">
        <v>18</v>
      </c>
      <c r="D10" s="4" t="n">
        <v>20400</v>
      </c>
      <c r="E10" s="4" t="n">
        <v>367200</v>
      </c>
    </row>
    <row r="11" customFormat="false" ht="15" hidden="false" customHeight="false" outlineLevel="0" collapsed="false">
      <c r="A11" s="4" t="s">
        <v>19</v>
      </c>
      <c r="B11" s="4" t="s">
        <v>20</v>
      </c>
      <c r="C11" s="4" t="n">
        <v>24</v>
      </c>
      <c r="D11" s="4" t="n">
        <v>11200</v>
      </c>
      <c r="E11" s="4" t="n">
        <v>268800</v>
      </c>
    </row>
    <row r="12" customFormat="false" ht="15" hidden="false" customHeight="false" outlineLevel="0" collapsed="false">
      <c r="A12" s="4" t="s">
        <v>21</v>
      </c>
      <c r="B12" s="4" t="s">
        <v>22</v>
      </c>
      <c r="C12" s="4" t="n">
        <v>48</v>
      </c>
      <c r="D12" s="4" t="n">
        <v>4050</v>
      </c>
      <c r="E12" s="4" t="n">
        <v>194400</v>
      </c>
    </row>
    <row r="13" customFormat="false" ht="15" hidden="false" customHeight="false" outlineLevel="0" collapsed="false">
      <c r="A13" s="4" t="s">
        <v>23</v>
      </c>
      <c r="B13" s="4" t="s">
        <v>24</v>
      </c>
      <c r="C13" s="4" t="n">
        <v>5</v>
      </c>
      <c r="D13" s="4" t="n">
        <v>46300</v>
      </c>
      <c r="E13" s="4" t="n">
        <v>231500</v>
      </c>
    </row>
    <row r="14" customFormat="false" ht="15" hidden="false" customHeight="false" outlineLevel="0" collapsed="false">
      <c r="A14" s="4" t="s">
        <v>25</v>
      </c>
      <c r="B14" s="4" t="s">
        <v>26</v>
      </c>
      <c r="C14" s="4" t="n">
        <v>14</v>
      </c>
      <c r="D14" s="4" t="n">
        <v>18200</v>
      </c>
      <c r="E14" s="4" t="n">
        <v>254800</v>
      </c>
    </row>
    <row r="15" customFormat="false" ht="15" hidden="false" customHeight="false" outlineLevel="0" collapsed="false">
      <c r="A15" s="4" t="s">
        <v>27</v>
      </c>
      <c r="B15" s="4" t="s">
        <v>28</v>
      </c>
      <c r="C15" s="4" t="n">
        <v>7</v>
      </c>
      <c r="D15" s="4" t="n">
        <v>61400</v>
      </c>
      <c r="E15" s="4" t="n">
        <v>429800</v>
      </c>
    </row>
    <row r="16" customFormat="false" ht="15" hidden="false" customHeight="false" outlineLevel="0" collapsed="false">
      <c r="A16" s="4" t="s">
        <v>29</v>
      </c>
      <c r="B16" s="4" t="s">
        <v>30</v>
      </c>
      <c r="C16" s="4" t="n">
        <v>12</v>
      </c>
      <c r="D16" s="4" t="n">
        <v>28900</v>
      </c>
      <c r="E16" s="4" t="n">
        <v>346800</v>
      </c>
    </row>
    <row r="17" customFormat="false" ht="15" hidden="false" customHeight="false" outlineLevel="0" collapsed="false">
      <c r="A17" s="4" t="s">
        <v>31</v>
      </c>
      <c r="B17" s="4" t="s">
        <v>32</v>
      </c>
      <c r="C17" s="4" t="n">
        <v>15</v>
      </c>
      <c r="D17" s="4" t="n">
        <v>14700</v>
      </c>
      <c r="E17" s="4" t="n">
        <v>220500</v>
      </c>
    </row>
    <row r="18" customFormat="false" ht="15" hidden="false" customHeight="false" outlineLevel="0" collapsed="false">
      <c r="A18" s="4" t="s">
        <v>33</v>
      </c>
      <c r="B18" s="4" t="s">
        <v>34</v>
      </c>
      <c r="C18" s="4" t="n">
        <v>9</v>
      </c>
      <c r="D18" s="4" t="n">
        <v>53800</v>
      </c>
      <c r="E18" s="4" t="n">
        <v>484200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35</v>
      </c>
    </row>
    <row r="3" customFormat="false" ht="15" hidden="false" customHeight="false" outlineLevel="0" collapsed="false">
      <c r="A3" s="0" t="s">
        <v>36</v>
      </c>
      <c r="B3" s="0" t="n">
        <v>5659000</v>
      </c>
    </row>
    <row r="4" customFormat="false" ht="15" hidden="false" customHeight="false" outlineLevel="0" collapsed="false">
      <c r="A4" s="0" t="s">
        <v>37</v>
      </c>
      <c r="B4" s="0" t="n">
        <f aca="false">SUM(t_Facture[Montant])</f>
        <v>5659000</v>
      </c>
    </row>
    <row r="5" customFormat="false" ht="15" hidden="false" customHeight="false" outlineLevel="0" collapsed="false">
      <c r="A5" s="0" t="s">
        <v>38</v>
      </c>
      <c r="B5" s="0" t="n">
        <f aca="false">B4-TotalImprime</f>
        <v>0</v>
      </c>
    </row>
    <row r="6" customFormat="false" ht="15" hidden="false" customHeight="false" outlineLevel="0" collapsed="false">
      <c r="A6" s="0" t="s">
        <v>39</v>
      </c>
      <c r="B6" s="0" t="n">
        <f aca="false">COUNTA(t_Facture[Reference])</f>
        <v>14</v>
      </c>
    </row>
    <row r="7" customFormat="false" ht="15" hidden="false" customHeight="false" outlineLevel="0" collapsed="false">
      <c r="A7" s="0" t="s">
        <v>40</v>
      </c>
      <c r="B7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2026-09-17T04:23:20Z</dcterms:created>
  <dc:creator>openpyxl</dc:creator>
  <dc:description/>
  <dc:language>fr-FR</dc:language>
  <cp:lastModifiedBy/>
  <dcterms:modified xsi:type="dcterms:W3CDTF">2026-09-17T04:23:20Z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