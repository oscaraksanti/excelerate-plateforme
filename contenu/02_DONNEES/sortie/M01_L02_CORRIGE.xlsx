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isse" sheetId="1" state="visible" r:id="rId3"/>
    <sheet name="TAUX" sheetId="2" state="visible" r:id="rId4"/>
    <sheet name="Synthese" sheetId="3" state="visible" r:id="rId5"/>
  </sheets>
  <definedNames>
    <definedName function="false" hidden="false" name="TauxUSD" vbProcedure="false">Synthese!$B$4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<sst xmlns="http://schemas.openxmlformats.org/spreadsheetml/2006/main" count="319" uniqueCount="119">
  <si>
    <t xml:space="preserve">Date</t>
  </si>
  <si>
    <t xml:space="preserve">Ticket</t>
  </si>
  <si>
    <t xml:space="preserve">Client</t>
  </si>
  <si>
    <t xml:space="preserve">Produit</t>
  </si>
  <si>
    <t xml:space="preserve">Famille</t>
  </si>
  <si>
    <t xml:space="preserve">Quantite</t>
  </si>
  <si>
    <t xml:space="preserve">PU_CDF</t>
  </si>
  <si>
    <t xml:space="preserve">Commercial</t>
  </si>
  <si>
    <t xml:space="preserve">Montant</t>
  </si>
  <si>
    <t xml:space="preserve">KIN-0017</t>
  </si>
  <si>
    <t xml:space="preserve">PATISSERIE MA CAMPAGNE</t>
  </si>
  <si>
    <t xml:space="preserve">Jus d'ananas 1 L</t>
  </si>
  <si>
    <t xml:space="preserve">Boissons</t>
  </si>
  <si>
    <t xml:space="preserve">Thomas MBARGA</t>
  </si>
  <si>
    <t xml:space="preserve">KIN-0051</t>
  </si>
  <si>
    <t xml:space="preserve">EPICERIE LEMBA</t>
  </si>
  <si>
    <t xml:space="preserve">Farine de froment 25 kg</t>
  </si>
  <si>
    <t xml:space="preserve">Farine</t>
  </si>
  <si>
    <t xml:space="preserve">KIN-0004</t>
  </si>
  <si>
    <t xml:space="preserve">Grâce MUKENDI</t>
  </si>
  <si>
    <t xml:space="preserve">KIN-0043</t>
  </si>
  <si>
    <t xml:space="preserve">SUPERMARCHE CITY</t>
  </si>
  <si>
    <t xml:space="preserve">Huile végétale 5 L</t>
  </si>
  <si>
    <t xml:space="preserve">Huiles</t>
  </si>
  <si>
    <t xml:space="preserve">KIN-0060</t>
  </si>
  <si>
    <t xml:space="preserve">DEPOT KIMBANSEKE</t>
  </si>
  <si>
    <t xml:space="preserve">Huile de palme 1 L</t>
  </si>
  <si>
    <t xml:space="preserve">Aline KABEYA</t>
  </si>
  <si>
    <t xml:space="preserve">KIN-0026</t>
  </si>
  <si>
    <t xml:space="preserve">RESTAURANT LE TROPICAL</t>
  </si>
  <si>
    <t xml:space="preserve">KIN-0030</t>
  </si>
  <si>
    <t xml:space="preserve">HOTEL FLEUVE CONGO</t>
  </si>
  <si>
    <t xml:space="preserve">Eau minérale pack de 12</t>
  </si>
  <si>
    <t xml:space="preserve">Patrick LOKO</t>
  </si>
  <si>
    <t xml:space="preserve">KIN-0056</t>
  </si>
  <si>
    <t xml:space="preserve">BOUTIQUE SELEMBAO</t>
  </si>
  <si>
    <t xml:space="preserve">Savon de ménage carton</t>
  </si>
  <si>
    <t xml:space="preserve">Savons</t>
  </si>
  <si>
    <t xml:space="preserve">Junior ILUNGA</t>
  </si>
  <si>
    <t xml:space="preserve">KIN-0013</t>
  </si>
  <si>
    <t xml:space="preserve">ALIMENTATION KASA-VUBU</t>
  </si>
  <si>
    <t xml:space="preserve">Farine de manioc 10 kg</t>
  </si>
  <si>
    <t xml:space="preserve">KIN-0039</t>
  </si>
  <si>
    <t xml:space="preserve">BOUTIQUE MAMA NGALULA</t>
  </si>
  <si>
    <t xml:space="preserve">KIN-0009</t>
  </si>
  <si>
    <t xml:space="preserve">BOULANGERIE VICTOIRE</t>
  </si>
  <si>
    <t xml:space="preserve">Riz local 50 kg</t>
  </si>
  <si>
    <t xml:space="preserve">Riz</t>
  </si>
  <si>
    <t xml:space="preserve">KIN-0048</t>
  </si>
  <si>
    <t xml:space="preserve">KIN-0052</t>
  </si>
  <si>
    <t xml:space="preserve">SUPERETTE GOMBE</t>
  </si>
  <si>
    <t xml:space="preserve">KIN-0022</t>
  </si>
  <si>
    <t xml:space="preserve">KIN-0035</t>
  </si>
  <si>
    <t xml:space="preserve">KIN-0005</t>
  </si>
  <si>
    <t xml:space="preserve">Concentré de tomate x24</t>
  </si>
  <si>
    <t xml:space="preserve">Conserves</t>
  </si>
  <si>
    <t xml:space="preserve">KIN-0014</t>
  </si>
  <si>
    <t xml:space="preserve">KIN-0018</t>
  </si>
  <si>
    <t xml:space="preserve">GROSSISTE MATONGE</t>
  </si>
  <si>
    <t xml:space="preserve">Sardines boîte x50</t>
  </si>
  <si>
    <t xml:space="preserve">KIN-0001</t>
  </si>
  <si>
    <t xml:space="preserve">KIN-0027</t>
  </si>
  <si>
    <t xml:space="preserve">KIN-0031</t>
  </si>
  <si>
    <t xml:space="preserve">KIN-0044</t>
  </si>
  <si>
    <t xml:space="preserve">KIN-0053</t>
  </si>
  <si>
    <t xml:space="preserve">Riz parfumé 25 kg</t>
  </si>
  <si>
    <t xml:space="preserve">KIN-0057</t>
  </si>
  <si>
    <t xml:space="preserve">KIN-0023</t>
  </si>
  <si>
    <t xml:space="preserve">KIN-0010</t>
  </si>
  <si>
    <t xml:space="preserve">KIN-0040</t>
  </si>
  <si>
    <t xml:space="preserve">KIN-0036</t>
  </si>
  <si>
    <t xml:space="preserve">ALIMENTATION BANDAL</t>
  </si>
  <si>
    <t xml:space="preserve">KIN-0049</t>
  </si>
  <si>
    <t xml:space="preserve">MINI-MARCHE LIMETE</t>
  </si>
  <si>
    <t xml:space="preserve">KIN-0006</t>
  </si>
  <si>
    <t xml:space="preserve">KIN-0032</t>
  </si>
  <si>
    <t xml:space="preserve">DEPOT KINTAMBO</t>
  </si>
  <si>
    <t xml:space="preserve">KIN-0015</t>
  </si>
  <si>
    <t xml:space="preserve">KIN-0019</t>
  </si>
  <si>
    <t xml:space="preserve">KIN-0002</t>
  </si>
  <si>
    <t xml:space="preserve">KIN-0028</t>
  </si>
  <si>
    <t xml:space="preserve">KIN-0041</t>
  </si>
  <si>
    <t xml:space="preserve">CANTINE UNIKIN</t>
  </si>
  <si>
    <t xml:space="preserve">KIN-0045</t>
  </si>
  <si>
    <t xml:space="preserve">KIN-0058</t>
  </si>
  <si>
    <t xml:space="preserve">KIN-0011</t>
  </si>
  <si>
    <t xml:space="preserve">KIN-0020</t>
  </si>
  <si>
    <t xml:space="preserve">KIN-0024</t>
  </si>
  <si>
    <t xml:space="preserve">KIN-0054</t>
  </si>
  <si>
    <t xml:space="preserve">KIN-0050</t>
  </si>
  <si>
    <t xml:space="preserve">KIN-0003</t>
  </si>
  <si>
    <t xml:space="preserve">KIN-0007</t>
  </si>
  <si>
    <t xml:space="preserve">KIN-0037</t>
  </si>
  <si>
    <t xml:space="preserve">KIN-0059</t>
  </si>
  <si>
    <t xml:space="preserve">KIN-0016</t>
  </si>
  <si>
    <t xml:space="preserve">KIN-0033</t>
  </si>
  <si>
    <t xml:space="preserve">KIN-0042</t>
  </si>
  <si>
    <t xml:space="preserve">KIN-0046</t>
  </si>
  <si>
    <t xml:space="preserve">Savon de toilette lot 12</t>
  </si>
  <si>
    <t xml:space="preserve">KIN-0012</t>
  </si>
  <si>
    <t xml:space="preserve">KIN-0025</t>
  </si>
  <si>
    <t xml:space="preserve">KIN-0055</t>
  </si>
  <si>
    <t xml:space="preserve">KIN-0029</t>
  </si>
  <si>
    <t xml:space="preserve">KIN-0038</t>
  </si>
  <si>
    <t xml:space="preserve">KIN-0008</t>
  </si>
  <si>
    <t xml:space="preserve">GROSSISTE MASINA</t>
  </si>
  <si>
    <t xml:space="preserve">KIN-0021</t>
  </si>
  <si>
    <t xml:space="preserve">KIN-0034</t>
  </si>
  <si>
    <t xml:space="preserve">KIN-0047</t>
  </si>
  <si>
    <t xml:space="preserve">Mois</t>
  </si>
  <si>
    <t xml:space="preserve">CDF_USD</t>
  </si>
  <si>
    <t xml:space="preserve">XOF_USD</t>
  </si>
  <si>
    <t xml:space="preserve">XAF_USD</t>
  </si>
  <si>
    <t xml:space="preserve">Synthèse de septembre 2026</t>
  </si>
  <si>
    <t xml:space="preserve">Mois analysé</t>
  </si>
  <si>
    <t xml:space="preserve">Taux CDF → USD</t>
  </si>
  <si>
    <t xml:space="preserve">CA total en CDF</t>
  </si>
  <si>
    <t xml:space="preserve">CA total en USD</t>
  </si>
  <si>
    <t xml:space="preserve">Dernier PU — SUPERMARCHE CITY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</si>
</sst>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,&quot;CDF&quot;"/>
    <numFmt numFmtId="167" formatCode="mmm\ 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10141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Caisse" displayName="t_Caisse" ref="A1:I61" headerRowCount="1" totalsRowCount="0" totalsRowShown="0">
  <autoFilter ref="A1:I61"/>
  <tableColumns count="9">
    <tableColumn id="1" name="Date"/>
    <tableColumn id="2" name="Ticket"/>
    <tableColumn id="3" name="Client"/>
    <tableColumn id="4" name="Produit"/>
    <tableColumn id="5" name="Famille"/>
    <tableColumn id="6" name="Quantite"/>
    <tableColumn id="7" name="PU_CDF"/>
    <tableColumn id="8" name="Commercial"/>
    <tableColumn id="9" name="Montant"/>
  </tableColumns>
</table>
</file>

<file path=xl/tables/table2.xml><?xml version="1.0" encoding="utf-8"?>
<table xmlns="http://schemas.openxmlformats.org/spreadsheetml/2006/main" id="2" name="t_Taux" displayName="t_Taux" ref="A1:D25" headerRowCount="1" totalsRowCount="0" totalsRowShown="0">
  <autoFilter ref="A1:D25"/>
  <tableColumns count="4">
    <tableColumn id="1" name="Mois"/>
    <tableColumn id="2" name="CDF_USD"/>
    <tableColumn id="3" name="XOF_USD"/>
    <tableColumn id="4" name="XAF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46266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19</v>
      </c>
      <c r="G2" s="3" t="n">
        <v>4300</v>
      </c>
      <c r="H2" s="0" t="s">
        <v>13</v>
      </c>
      <c r="I2" s="3" t="n">
        <v>81700</v>
      </c>
    </row>
    <row r="3" customFormat="false" ht="15" hidden="false" customHeight="false" outlineLevel="0" collapsed="false">
      <c r="A3" s="2" t="n">
        <v>46266</v>
      </c>
      <c r="B3" s="0" t="s">
        <v>14</v>
      </c>
      <c r="C3" s="0" t="s">
        <v>15</v>
      </c>
      <c r="D3" s="0" t="s">
        <v>16</v>
      </c>
      <c r="E3" s="0" t="s">
        <v>17</v>
      </c>
      <c r="F3" s="0" t="n">
        <v>2</v>
      </c>
      <c r="G3" s="3" t="n">
        <v>97300</v>
      </c>
      <c r="H3" s="0" t="s">
        <v>13</v>
      </c>
      <c r="I3" s="3" t="n">
        <v>194600</v>
      </c>
    </row>
    <row r="4" customFormat="false" ht="15" hidden="false" customHeight="false" outlineLevel="0" collapsed="false">
      <c r="A4" s="2" t="n">
        <v>46267</v>
      </c>
      <c r="B4" s="0" t="s">
        <v>18</v>
      </c>
      <c r="C4" s="0" t="s">
        <v>15</v>
      </c>
      <c r="D4" s="0" t="s">
        <v>11</v>
      </c>
      <c r="E4" s="0" t="s">
        <v>12</v>
      </c>
      <c r="F4" s="0" t="n">
        <v>8</v>
      </c>
      <c r="G4" s="3" t="n">
        <v>4000</v>
      </c>
      <c r="H4" s="0" t="s">
        <v>19</v>
      </c>
      <c r="I4" s="3" t="n">
        <v>32000</v>
      </c>
    </row>
    <row r="5" customFormat="false" ht="15" hidden="false" customHeight="false" outlineLevel="0" collapsed="false">
      <c r="A5" s="2" t="n">
        <v>46267</v>
      </c>
      <c r="B5" s="0" t="s">
        <v>20</v>
      </c>
      <c r="C5" s="0" t="s">
        <v>21</v>
      </c>
      <c r="D5" s="0" t="s">
        <v>22</v>
      </c>
      <c r="E5" s="0" t="s">
        <v>23</v>
      </c>
      <c r="F5" s="0" t="n">
        <v>17</v>
      </c>
      <c r="G5" s="3" t="n">
        <v>38400</v>
      </c>
      <c r="H5" s="0" t="s">
        <v>19</v>
      </c>
      <c r="I5" s="3" t="n">
        <v>652800</v>
      </c>
    </row>
    <row r="6" customFormat="false" ht="15" hidden="false" customHeight="false" outlineLevel="0" collapsed="false">
      <c r="A6" s="2" t="n">
        <v>46267</v>
      </c>
      <c r="B6" s="0" t="s">
        <v>24</v>
      </c>
      <c r="C6" s="0" t="s">
        <v>25</v>
      </c>
      <c r="D6" s="0" t="s">
        <v>26</v>
      </c>
      <c r="E6" s="0" t="s">
        <v>23</v>
      </c>
      <c r="F6" s="0" t="n">
        <v>17</v>
      </c>
      <c r="G6" s="3" t="n">
        <v>7700</v>
      </c>
      <c r="H6" s="0" t="s">
        <v>27</v>
      </c>
      <c r="I6" s="3" t="n">
        <v>130900</v>
      </c>
    </row>
    <row r="7" customFormat="false" ht="15" hidden="false" customHeight="false" outlineLevel="0" collapsed="false">
      <c r="A7" s="2" t="n">
        <v>46268</v>
      </c>
      <c r="B7" s="0" t="s">
        <v>28</v>
      </c>
      <c r="C7" s="0" t="s">
        <v>29</v>
      </c>
      <c r="D7" s="0" t="s">
        <v>11</v>
      </c>
      <c r="E7" s="0" t="s">
        <v>12</v>
      </c>
      <c r="F7" s="0" t="n">
        <v>31</v>
      </c>
      <c r="G7" s="3" t="n">
        <v>4500</v>
      </c>
      <c r="H7" s="0" t="s">
        <v>13</v>
      </c>
      <c r="I7" s="3" t="n">
        <v>139500</v>
      </c>
    </row>
    <row r="8" customFormat="false" ht="15" hidden="false" customHeight="false" outlineLevel="0" collapsed="false">
      <c r="A8" s="2" t="n">
        <v>46269</v>
      </c>
      <c r="B8" s="0" t="s">
        <v>30</v>
      </c>
      <c r="C8" s="0" t="s">
        <v>31</v>
      </c>
      <c r="D8" s="0" t="s">
        <v>32</v>
      </c>
      <c r="E8" s="0" t="s">
        <v>12</v>
      </c>
      <c r="F8" s="0" t="n">
        <v>21</v>
      </c>
      <c r="G8" s="3" t="n">
        <v>11300</v>
      </c>
      <c r="H8" s="0" t="s">
        <v>33</v>
      </c>
      <c r="I8" s="3" t="n">
        <v>237300</v>
      </c>
    </row>
    <row r="9" customFormat="false" ht="15" hidden="false" customHeight="false" outlineLevel="0" collapsed="false">
      <c r="A9" s="2" t="n">
        <v>46269</v>
      </c>
      <c r="B9" s="0" t="s">
        <v>34</v>
      </c>
      <c r="C9" s="0" t="s">
        <v>35</v>
      </c>
      <c r="D9" s="0" t="s">
        <v>36</v>
      </c>
      <c r="E9" s="0" t="s">
        <v>37</v>
      </c>
      <c r="F9" s="0" t="n">
        <v>13</v>
      </c>
      <c r="G9" s="3" t="n">
        <v>50000</v>
      </c>
      <c r="H9" s="0" t="s">
        <v>38</v>
      </c>
      <c r="I9" s="3" t="n">
        <v>650000</v>
      </c>
    </row>
    <row r="10" customFormat="false" ht="15" hidden="false" customHeight="false" outlineLevel="0" collapsed="false">
      <c r="A10" s="2" t="n">
        <v>46270</v>
      </c>
      <c r="B10" s="0" t="s">
        <v>39</v>
      </c>
      <c r="C10" s="0" t="s">
        <v>40</v>
      </c>
      <c r="D10" s="0" t="s">
        <v>41</v>
      </c>
      <c r="E10" s="0" t="s">
        <v>17</v>
      </c>
      <c r="F10" s="0" t="n">
        <v>10</v>
      </c>
      <c r="G10" s="3" t="n">
        <v>20000</v>
      </c>
      <c r="H10" s="0" t="s">
        <v>19</v>
      </c>
      <c r="I10" s="3" t="n">
        <v>200000</v>
      </c>
    </row>
    <row r="11" customFormat="false" ht="15" hidden="false" customHeight="false" outlineLevel="0" collapsed="false">
      <c r="A11" s="2" t="n">
        <v>46270</v>
      </c>
      <c r="B11" s="0" t="s">
        <v>42</v>
      </c>
      <c r="C11" s="0" t="s">
        <v>43</v>
      </c>
      <c r="D11" s="0" t="s">
        <v>16</v>
      </c>
      <c r="E11" s="0" t="s">
        <v>17</v>
      </c>
      <c r="F11" s="0" t="n">
        <v>27</v>
      </c>
      <c r="G11" s="3" t="n">
        <v>90000</v>
      </c>
      <c r="H11" s="0" t="s">
        <v>38</v>
      </c>
      <c r="I11" s="3" t="n">
        <v>2430000</v>
      </c>
    </row>
    <row r="12" customFormat="false" ht="15" hidden="false" customHeight="false" outlineLevel="0" collapsed="false">
      <c r="A12" s="2" t="n">
        <v>46271</v>
      </c>
      <c r="B12" s="0" t="s">
        <v>44</v>
      </c>
      <c r="C12" s="0" t="s">
        <v>45</v>
      </c>
      <c r="D12" s="0" t="s">
        <v>46</v>
      </c>
      <c r="E12" s="0" t="s">
        <v>47</v>
      </c>
      <c r="F12" s="0" t="n">
        <v>30</v>
      </c>
      <c r="G12" s="3" t="n">
        <v>161500</v>
      </c>
      <c r="H12" s="0" t="s">
        <v>33</v>
      </c>
      <c r="I12" s="3" t="n">
        <v>4845000</v>
      </c>
    </row>
    <row r="13" customFormat="false" ht="15" hidden="false" customHeight="false" outlineLevel="0" collapsed="false">
      <c r="A13" s="2" t="n">
        <v>46272</v>
      </c>
      <c r="B13" s="0" t="s">
        <v>48</v>
      </c>
      <c r="C13" s="0" t="s">
        <v>21</v>
      </c>
      <c r="D13" s="0" t="s">
        <v>22</v>
      </c>
      <c r="E13" s="0" t="s">
        <v>23</v>
      </c>
      <c r="F13" s="0" t="n">
        <v>2</v>
      </c>
      <c r="G13" s="3" t="n">
        <v>41200</v>
      </c>
      <c r="H13" s="0" t="s">
        <v>19</v>
      </c>
      <c r="I13" s="3" t="n">
        <v>82400</v>
      </c>
    </row>
    <row r="14" customFormat="false" ht="15" hidden="false" customHeight="false" outlineLevel="0" collapsed="false">
      <c r="A14" s="2" t="n">
        <v>46272</v>
      </c>
      <c r="B14" s="0" t="s">
        <v>49</v>
      </c>
      <c r="C14" s="0" t="s">
        <v>50</v>
      </c>
      <c r="D14" s="0" t="s">
        <v>36</v>
      </c>
      <c r="E14" s="0" t="s">
        <v>37</v>
      </c>
      <c r="F14" s="0" t="n">
        <v>21</v>
      </c>
      <c r="G14" s="3" t="n">
        <v>47600</v>
      </c>
      <c r="H14" s="0" t="s">
        <v>27</v>
      </c>
      <c r="I14" s="3" t="n">
        <v>999600</v>
      </c>
    </row>
    <row r="15" customFormat="false" ht="15" hidden="false" customHeight="false" outlineLevel="0" collapsed="false">
      <c r="A15" s="2" t="n">
        <v>46273</v>
      </c>
      <c r="B15" s="0" t="s">
        <v>51</v>
      </c>
      <c r="C15" s="0" t="s">
        <v>45</v>
      </c>
      <c r="D15" s="0" t="s">
        <v>41</v>
      </c>
      <c r="E15" s="0" t="s">
        <v>17</v>
      </c>
      <c r="F15" s="0" t="n">
        <v>30</v>
      </c>
      <c r="G15" s="3" t="n">
        <v>22600</v>
      </c>
      <c r="H15" s="0" t="s">
        <v>33</v>
      </c>
      <c r="I15" s="3" t="n">
        <v>678000</v>
      </c>
    </row>
    <row r="16" customFormat="false" ht="15" hidden="false" customHeight="false" outlineLevel="0" collapsed="false">
      <c r="A16" s="2" t="n">
        <v>46273</v>
      </c>
      <c r="B16" s="0" t="s">
        <v>52</v>
      </c>
      <c r="C16" s="0" t="s">
        <v>29</v>
      </c>
      <c r="D16" s="0" t="s">
        <v>36</v>
      </c>
      <c r="E16" s="0" t="s">
        <v>37</v>
      </c>
      <c r="F16" s="0" t="n">
        <v>37</v>
      </c>
      <c r="G16" s="3" t="n">
        <v>49500</v>
      </c>
      <c r="H16" s="0" t="s">
        <v>38</v>
      </c>
      <c r="I16" s="3" t="n">
        <v>1831500</v>
      </c>
    </row>
    <row r="17" customFormat="false" ht="15" hidden="false" customHeight="false" outlineLevel="0" collapsed="false">
      <c r="A17" s="2" t="n">
        <v>46274</v>
      </c>
      <c r="B17" s="0" t="s">
        <v>53</v>
      </c>
      <c r="C17" s="0" t="s">
        <v>25</v>
      </c>
      <c r="D17" s="0" t="s">
        <v>54</v>
      </c>
      <c r="E17" s="0" t="s">
        <v>55</v>
      </c>
      <c r="F17" s="0" t="n">
        <v>17</v>
      </c>
      <c r="G17" s="3" t="n">
        <v>31800</v>
      </c>
      <c r="H17" s="0" t="s">
        <v>33</v>
      </c>
      <c r="I17" s="3" t="n">
        <v>540600</v>
      </c>
    </row>
    <row r="18" customFormat="false" ht="15" hidden="false" customHeight="false" outlineLevel="0" collapsed="false">
      <c r="A18" s="2" t="n">
        <v>46274</v>
      </c>
      <c r="B18" s="0" t="s">
        <v>56</v>
      </c>
      <c r="C18" s="0" t="s">
        <v>25</v>
      </c>
      <c r="D18" s="0" t="s">
        <v>26</v>
      </c>
      <c r="E18" s="0" t="s">
        <v>23</v>
      </c>
      <c r="F18" s="0" t="n">
        <v>6</v>
      </c>
      <c r="G18" s="3" t="n">
        <v>7300</v>
      </c>
      <c r="H18" s="0" t="s">
        <v>33</v>
      </c>
      <c r="I18" s="3" t="n">
        <v>43800</v>
      </c>
    </row>
    <row r="19" customFormat="false" ht="15" hidden="false" customHeight="false" outlineLevel="0" collapsed="false">
      <c r="A19" s="2" t="n">
        <v>46275</v>
      </c>
      <c r="B19" s="0" t="s">
        <v>57</v>
      </c>
      <c r="C19" s="0" t="s">
        <v>58</v>
      </c>
      <c r="D19" s="0" t="s">
        <v>59</v>
      </c>
      <c r="E19" s="0" t="s">
        <v>55</v>
      </c>
      <c r="F19" s="0" t="n">
        <v>38</v>
      </c>
      <c r="G19" s="3" t="n">
        <v>59800</v>
      </c>
      <c r="H19" s="0" t="s">
        <v>38</v>
      </c>
      <c r="I19" s="3" t="n">
        <v>2272400</v>
      </c>
    </row>
    <row r="20" customFormat="false" ht="15" hidden="false" customHeight="false" outlineLevel="0" collapsed="false">
      <c r="A20" s="2" t="n">
        <v>46276</v>
      </c>
      <c r="B20" s="0" t="s">
        <v>60</v>
      </c>
      <c r="C20" s="0" t="s">
        <v>50</v>
      </c>
      <c r="D20" s="0" t="s">
        <v>32</v>
      </c>
      <c r="E20" s="0" t="s">
        <v>12</v>
      </c>
      <c r="F20" s="0" t="n">
        <v>27</v>
      </c>
      <c r="G20" s="3" t="n">
        <v>12400</v>
      </c>
      <c r="H20" s="0" t="s">
        <v>33</v>
      </c>
      <c r="I20" s="3" t="n">
        <v>334800</v>
      </c>
    </row>
    <row r="21" customFormat="false" ht="15" hidden="false" customHeight="false" outlineLevel="0" collapsed="false">
      <c r="A21" s="2" t="n">
        <v>46276</v>
      </c>
      <c r="B21" s="0" t="s">
        <v>61</v>
      </c>
      <c r="C21" s="0" t="s">
        <v>10</v>
      </c>
      <c r="D21" s="0" t="s">
        <v>59</v>
      </c>
      <c r="E21" s="0" t="s">
        <v>55</v>
      </c>
      <c r="F21" s="0" t="n">
        <v>9</v>
      </c>
      <c r="G21" s="3" t="n">
        <v>63200</v>
      </c>
      <c r="H21" s="0" t="s">
        <v>27</v>
      </c>
      <c r="I21" s="3" t="n">
        <v>568800</v>
      </c>
    </row>
    <row r="22" customFormat="false" ht="15" hidden="false" customHeight="false" outlineLevel="0" collapsed="false">
      <c r="A22" s="2" t="n">
        <v>46276</v>
      </c>
      <c r="B22" s="0" t="s">
        <v>62</v>
      </c>
      <c r="C22" s="0" t="s">
        <v>10</v>
      </c>
      <c r="D22" s="0" t="s">
        <v>11</v>
      </c>
      <c r="E22" s="0" t="s">
        <v>12</v>
      </c>
      <c r="F22" s="0" t="n">
        <v>18</v>
      </c>
      <c r="G22" s="3" t="n">
        <v>4000</v>
      </c>
      <c r="H22" s="0" t="s">
        <v>13</v>
      </c>
      <c r="I22" s="3" t="n">
        <v>72000</v>
      </c>
    </row>
    <row r="23" customFormat="false" ht="15" hidden="false" customHeight="false" outlineLevel="0" collapsed="false">
      <c r="A23" s="2" t="n">
        <v>46276</v>
      </c>
      <c r="B23" s="0" t="s">
        <v>63</v>
      </c>
      <c r="C23" s="0" t="s">
        <v>40</v>
      </c>
      <c r="D23" s="0" t="s">
        <v>41</v>
      </c>
      <c r="E23" s="0" t="s">
        <v>17</v>
      </c>
      <c r="F23" s="0" t="n">
        <v>2</v>
      </c>
      <c r="G23" s="3" t="n">
        <v>19900</v>
      </c>
      <c r="H23" s="0" t="s">
        <v>38</v>
      </c>
      <c r="I23" s="3" t="n">
        <v>39800</v>
      </c>
    </row>
    <row r="24" customFormat="false" ht="15" hidden="false" customHeight="false" outlineLevel="0" collapsed="false">
      <c r="A24" s="2" t="n">
        <v>46277</v>
      </c>
      <c r="B24" s="0" t="s">
        <v>64</v>
      </c>
      <c r="C24" s="0" t="s">
        <v>10</v>
      </c>
      <c r="D24" s="0" t="s">
        <v>65</v>
      </c>
      <c r="E24" s="0" t="s">
        <v>47</v>
      </c>
      <c r="F24" s="0" t="n">
        <v>17</v>
      </c>
      <c r="G24" s="3" t="n">
        <v>130900</v>
      </c>
      <c r="H24" s="0" t="s">
        <v>38</v>
      </c>
      <c r="I24" s="3" t="n">
        <v>2225300</v>
      </c>
    </row>
    <row r="25" customFormat="false" ht="15" hidden="false" customHeight="false" outlineLevel="0" collapsed="false">
      <c r="A25" s="2" t="n">
        <v>46277</v>
      </c>
      <c r="B25" s="0" t="s">
        <v>66</v>
      </c>
      <c r="C25" s="0" t="s">
        <v>25</v>
      </c>
      <c r="D25" s="0" t="s">
        <v>11</v>
      </c>
      <c r="E25" s="0" t="s">
        <v>12</v>
      </c>
      <c r="F25" s="0" t="n">
        <v>31</v>
      </c>
      <c r="G25" s="3" t="n">
        <v>4300</v>
      </c>
      <c r="H25" s="0" t="s">
        <v>33</v>
      </c>
      <c r="I25" s="3" t="n">
        <v>133300</v>
      </c>
    </row>
    <row r="26" customFormat="false" ht="15" hidden="false" customHeight="false" outlineLevel="0" collapsed="false">
      <c r="A26" s="2" t="n">
        <v>46278</v>
      </c>
      <c r="B26" s="0" t="s">
        <v>67</v>
      </c>
      <c r="C26" s="0" t="s">
        <v>21</v>
      </c>
      <c r="D26" s="0" t="s">
        <v>22</v>
      </c>
      <c r="E26" s="0" t="s">
        <v>23</v>
      </c>
      <c r="F26" s="0" t="n">
        <v>28</v>
      </c>
      <c r="G26" s="3" t="n">
        <v>39900</v>
      </c>
      <c r="H26" s="0" t="s">
        <v>33</v>
      </c>
      <c r="I26" s="3" t="n">
        <v>1117200</v>
      </c>
    </row>
    <row r="27" customFormat="false" ht="15" hidden="false" customHeight="false" outlineLevel="0" collapsed="false">
      <c r="A27" s="2" t="n">
        <v>46279</v>
      </c>
      <c r="B27" s="0" t="s">
        <v>68</v>
      </c>
      <c r="C27" s="0" t="s">
        <v>21</v>
      </c>
      <c r="D27" s="0" t="s">
        <v>32</v>
      </c>
      <c r="E27" s="0" t="s">
        <v>12</v>
      </c>
      <c r="F27" s="0" t="n">
        <v>19</v>
      </c>
      <c r="G27" s="3" t="n">
        <v>11800</v>
      </c>
      <c r="H27" s="0" t="s">
        <v>38</v>
      </c>
      <c r="I27" s="3" t="n">
        <v>224200</v>
      </c>
    </row>
    <row r="28" customFormat="false" ht="15" hidden="false" customHeight="false" outlineLevel="0" collapsed="false">
      <c r="A28" s="2" t="n">
        <v>46279</v>
      </c>
      <c r="B28" s="0" t="s">
        <v>69</v>
      </c>
      <c r="C28" s="0" t="s">
        <v>15</v>
      </c>
      <c r="D28" s="0" t="s">
        <v>22</v>
      </c>
      <c r="E28" s="0" t="s">
        <v>23</v>
      </c>
      <c r="F28" s="0" t="n">
        <v>2</v>
      </c>
      <c r="G28" s="3" t="n">
        <v>32300</v>
      </c>
      <c r="H28" s="0" t="s">
        <v>38</v>
      </c>
      <c r="I28" s="3" t="n">
        <v>64600</v>
      </c>
    </row>
    <row r="29" customFormat="false" ht="15" hidden="false" customHeight="false" outlineLevel="0" collapsed="false">
      <c r="A29" s="2" t="n">
        <v>46280</v>
      </c>
      <c r="B29" s="0" t="s">
        <v>70</v>
      </c>
      <c r="C29" s="0" t="s">
        <v>71</v>
      </c>
      <c r="D29" s="0" t="s">
        <v>59</v>
      </c>
      <c r="E29" s="0" t="s">
        <v>55</v>
      </c>
      <c r="F29" s="0" t="n">
        <v>17</v>
      </c>
      <c r="G29" s="3" t="n">
        <v>63400</v>
      </c>
      <c r="H29" s="0" t="s">
        <v>13</v>
      </c>
      <c r="I29" s="3" t="n">
        <v>1077800</v>
      </c>
    </row>
    <row r="30" customFormat="false" ht="15" hidden="false" customHeight="false" outlineLevel="0" collapsed="false">
      <c r="A30" s="2" t="n">
        <v>46280</v>
      </c>
      <c r="B30" s="0" t="s">
        <v>72</v>
      </c>
      <c r="C30" s="0" t="s">
        <v>73</v>
      </c>
      <c r="D30" s="0" t="s">
        <v>41</v>
      </c>
      <c r="E30" s="0" t="s">
        <v>17</v>
      </c>
      <c r="F30" s="0" t="n">
        <v>16</v>
      </c>
      <c r="G30" s="3" t="n">
        <v>21000</v>
      </c>
      <c r="H30" s="0" t="s">
        <v>19</v>
      </c>
      <c r="I30" s="3" t="n">
        <v>336000</v>
      </c>
    </row>
    <row r="31" customFormat="false" ht="15" hidden="false" customHeight="false" outlineLevel="0" collapsed="false">
      <c r="A31" s="2" t="n">
        <v>46281</v>
      </c>
      <c r="B31" s="0" t="s">
        <v>74</v>
      </c>
      <c r="C31" s="0" t="s">
        <v>25</v>
      </c>
      <c r="D31" s="0" t="s">
        <v>59</v>
      </c>
      <c r="E31" s="0" t="s">
        <v>55</v>
      </c>
      <c r="F31" s="0" t="n">
        <v>33</v>
      </c>
      <c r="G31" s="3" t="n">
        <v>67600</v>
      </c>
      <c r="H31" s="0" t="s">
        <v>19</v>
      </c>
      <c r="I31" s="3" t="n">
        <v>2230800</v>
      </c>
    </row>
    <row r="32" customFormat="false" ht="15" hidden="false" customHeight="false" outlineLevel="0" collapsed="false">
      <c r="A32" s="2" t="n">
        <v>46281</v>
      </c>
      <c r="B32" s="0" t="s">
        <v>75</v>
      </c>
      <c r="C32" s="0" t="s">
        <v>76</v>
      </c>
      <c r="D32" s="0" t="s">
        <v>46</v>
      </c>
      <c r="E32" s="0" t="s">
        <v>47</v>
      </c>
      <c r="F32" s="0" t="n">
        <v>30</v>
      </c>
      <c r="G32" s="3" t="n">
        <v>155200</v>
      </c>
      <c r="H32" s="0" t="s">
        <v>38</v>
      </c>
      <c r="I32" s="3" t="n">
        <v>4656000</v>
      </c>
    </row>
    <row r="33" customFormat="false" ht="15" hidden="false" customHeight="false" outlineLevel="0" collapsed="false">
      <c r="A33" s="2" t="n">
        <v>46282</v>
      </c>
      <c r="B33" s="0" t="s">
        <v>77</v>
      </c>
      <c r="C33" s="0" t="s">
        <v>21</v>
      </c>
      <c r="D33" s="0" t="s">
        <v>46</v>
      </c>
      <c r="E33" s="0" t="s">
        <v>47</v>
      </c>
      <c r="F33" s="0" t="n">
        <v>35</v>
      </c>
      <c r="G33" s="3" t="n">
        <v>158100</v>
      </c>
      <c r="H33" s="0" t="s">
        <v>38</v>
      </c>
      <c r="I33" s="3" t="n">
        <v>5533500</v>
      </c>
    </row>
    <row r="34" customFormat="false" ht="15" hidden="false" customHeight="false" outlineLevel="0" collapsed="false">
      <c r="A34" s="2" t="n">
        <v>46282</v>
      </c>
      <c r="B34" s="0" t="s">
        <v>78</v>
      </c>
      <c r="C34" s="0" t="s">
        <v>10</v>
      </c>
      <c r="D34" s="0" t="s">
        <v>32</v>
      </c>
      <c r="E34" s="0" t="s">
        <v>12</v>
      </c>
      <c r="F34" s="0" t="n">
        <v>13</v>
      </c>
      <c r="G34" s="3" t="n">
        <v>12200</v>
      </c>
      <c r="H34" s="0" t="s">
        <v>19</v>
      </c>
      <c r="I34" s="3" t="n">
        <v>158600</v>
      </c>
    </row>
    <row r="35" customFormat="false" ht="15" hidden="false" customHeight="false" outlineLevel="0" collapsed="false">
      <c r="A35" s="2" t="n">
        <v>46283</v>
      </c>
      <c r="B35" s="0" t="s">
        <v>79</v>
      </c>
      <c r="C35" s="0" t="s">
        <v>43</v>
      </c>
      <c r="D35" s="0" t="s">
        <v>36</v>
      </c>
      <c r="E35" s="0" t="s">
        <v>37</v>
      </c>
      <c r="F35" s="0" t="n">
        <v>37</v>
      </c>
      <c r="G35" s="3" t="n">
        <v>47800</v>
      </c>
      <c r="H35" s="0" t="s">
        <v>27</v>
      </c>
      <c r="I35" s="3" t="n">
        <v>1768600</v>
      </c>
    </row>
    <row r="36" customFormat="false" ht="15" hidden="false" customHeight="false" outlineLevel="0" collapsed="false">
      <c r="A36" s="2" t="n">
        <v>46283</v>
      </c>
      <c r="B36" s="0" t="s">
        <v>80</v>
      </c>
      <c r="C36" s="0" t="s">
        <v>25</v>
      </c>
      <c r="D36" s="0" t="s">
        <v>32</v>
      </c>
      <c r="E36" s="0" t="s">
        <v>12</v>
      </c>
      <c r="F36" s="0" t="n">
        <v>27</v>
      </c>
      <c r="G36" s="3" t="n">
        <v>11300</v>
      </c>
      <c r="H36" s="0" t="s">
        <v>13</v>
      </c>
      <c r="I36" s="3" t="n">
        <v>305100</v>
      </c>
    </row>
    <row r="37" customFormat="false" ht="15" hidden="false" customHeight="false" outlineLevel="0" collapsed="false">
      <c r="A37" s="2" t="n">
        <v>46283</v>
      </c>
      <c r="B37" s="0" t="s">
        <v>81</v>
      </c>
      <c r="C37" s="0" t="s">
        <v>82</v>
      </c>
      <c r="D37" s="0" t="s">
        <v>26</v>
      </c>
      <c r="E37" s="0" t="s">
        <v>23</v>
      </c>
      <c r="F37" s="0" t="n">
        <v>21</v>
      </c>
      <c r="G37" s="3" t="n">
        <v>8100</v>
      </c>
      <c r="H37" s="0" t="s">
        <v>19</v>
      </c>
      <c r="I37" s="3" t="n">
        <v>170100</v>
      </c>
    </row>
    <row r="38" customFormat="false" ht="15" hidden="false" customHeight="false" outlineLevel="0" collapsed="false">
      <c r="A38" s="2" t="n">
        <v>46283</v>
      </c>
      <c r="B38" s="0" t="s">
        <v>83</v>
      </c>
      <c r="C38" s="0" t="s">
        <v>71</v>
      </c>
      <c r="D38" s="0" t="s">
        <v>16</v>
      </c>
      <c r="E38" s="0" t="s">
        <v>17</v>
      </c>
      <c r="F38" s="0" t="n">
        <v>20</v>
      </c>
      <c r="G38" s="3" t="n">
        <v>96500</v>
      </c>
      <c r="H38" s="0" t="s">
        <v>19</v>
      </c>
      <c r="I38" s="3" t="n">
        <v>1930000</v>
      </c>
    </row>
    <row r="39" customFormat="false" ht="15" hidden="false" customHeight="false" outlineLevel="0" collapsed="false">
      <c r="A39" s="2" t="n">
        <v>46284</v>
      </c>
      <c r="B39" s="0" t="s">
        <v>84</v>
      </c>
      <c r="C39" s="0" t="s">
        <v>40</v>
      </c>
      <c r="D39" s="0" t="s">
        <v>46</v>
      </c>
      <c r="E39" s="0" t="s">
        <v>47</v>
      </c>
      <c r="F39" s="0" t="n">
        <v>10</v>
      </c>
      <c r="G39" s="3" t="n">
        <v>159000</v>
      </c>
      <c r="H39" s="0" t="s">
        <v>19</v>
      </c>
      <c r="I39" s="3" t="n">
        <v>1590000</v>
      </c>
    </row>
    <row r="40" customFormat="false" ht="15" hidden="false" customHeight="false" outlineLevel="0" collapsed="false">
      <c r="A40" s="2" t="n">
        <v>46286</v>
      </c>
      <c r="B40" s="0" t="s">
        <v>85</v>
      </c>
      <c r="C40" s="0" t="s">
        <v>10</v>
      </c>
      <c r="D40" s="0" t="s">
        <v>26</v>
      </c>
      <c r="E40" s="0" t="s">
        <v>23</v>
      </c>
      <c r="F40" s="0" t="n">
        <v>17</v>
      </c>
      <c r="G40" s="3" t="n">
        <v>7800</v>
      </c>
      <c r="H40" s="0" t="s">
        <v>19</v>
      </c>
      <c r="I40" s="3" t="n">
        <v>132600</v>
      </c>
    </row>
    <row r="41" customFormat="false" ht="15" hidden="false" customHeight="false" outlineLevel="0" collapsed="false">
      <c r="A41" s="2" t="n">
        <v>46286</v>
      </c>
      <c r="B41" s="0" t="s">
        <v>86</v>
      </c>
      <c r="C41" s="0" t="s">
        <v>21</v>
      </c>
      <c r="D41" s="0" t="s">
        <v>22</v>
      </c>
      <c r="E41" s="0" t="s">
        <v>23</v>
      </c>
      <c r="F41" s="0" t="n">
        <v>4</v>
      </c>
      <c r="G41" s="3" t="n">
        <v>42700</v>
      </c>
      <c r="H41" s="0" t="s">
        <v>38</v>
      </c>
      <c r="I41" s="3" t="n">
        <v>170800</v>
      </c>
    </row>
    <row r="42" customFormat="false" ht="15" hidden="false" customHeight="false" outlineLevel="0" collapsed="false">
      <c r="A42" s="2" t="n">
        <v>46286</v>
      </c>
      <c r="B42" s="0" t="s">
        <v>87</v>
      </c>
      <c r="C42" s="0" t="s">
        <v>76</v>
      </c>
      <c r="D42" s="0" t="s">
        <v>11</v>
      </c>
      <c r="E42" s="0" t="s">
        <v>12</v>
      </c>
      <c r="F42" s="0" t="n">
        <v>36</v>
      </c>
      <c r="G42" s="3" t="n">
        <v>4300</v>
      </c>
      <c r="H42" s="0" t="s">
        <v>19</v>
      </c>
      <c r="I42" s="3" t="n">
        <v>154800</v>
      </c>
    </row>
    <row r="43" customFormat="false" ht="15" hidden="false" customHeight="false" outlineLevel="0" collapsed="false">
      <c r="A43" s="2" t="n">
        <v>46286</v>
      </c>
      <c r="B43" s="0" t="s">
        <v>88</v>
      </c>
      <c r="C43" s="0" t="s">
        <v>43</v>
      </c>
      <c r="D43" s="0" t="s">
        <v>22</v>
      </c>
      <c r="E43" s="0" t="s">
        <v>23</v>
      </c>
      <c r="F43" s="0" t="n">
        <v>16</v>
      </c>
      <c r="G43" s="3" t="n">
        <v>35300</v>
      </c>
      <c r="H43" s="0" t="s">
        <v>19</v>
      </c>
      <c r="I43" s="3" t="n">
        <v>564800</v>
      </c>
    </row>
    <row r="44" customFormat="false" ht="15" hidden="false" customHeight="false" outlineLevel="0" collapsed="false">
      <c r="A44" s="2" t="n">
        <v>46287</v>
      </c>
      <c r="B44" s="0" t="s">
        <v>89</v>
      </c>
      <c r="C44" s="0" t="s">
        <v>43</v>
      </c>
      <c r="D44" s="0" t="s">
        <v>65</v>
      </c>
      <c r="E44" s="0" t="s">
        <v>47</v>
      </c>
      <c r="F44" s="0" t="n">
        <v>35</v>
      </c>
      <c r="G44" s="3" t="n">
        <v>123800</v>
      </c>
      <c r="H44" s="0" t="s">
        <v>33</v>
      </c>
      <c r="I44" s="3" t="n">
        <v>4333000</v>
      </c>
    </row>
    <row r="45" customFormat="false" ht="15" hidden="false" customHeight="false" outlineLevel="0" collapsed="false">
      <c r="A45" s="2" t="n">
        <v>46288</v>
      </c>
      <c r="B45" s="0" t="s">
        <v>90</v>
      </c>
      <c r="C45" s="0" t="s">
        <v>10</v>
      </c>
      <c r="D45" s="0" t="s">
        <v>22</v>
      </c>
      <c r="E45" s="0" t="s">
        <v>23</v>
      </c>
      <c r="F45" s="0" t="n">
        <v>7</v>
      </c>
      <c r="G45" s="3" t="n">
        <v>36900</v>
      </c>
      <c r="H45" s="0" t="s">
        <v>33</v>
      </c>
      <c r="I45" s="3" t="n">
        <v>258300</v>
      </c>
    </row>
    <row r="46" customFormat="false" ht="15" hidden="false" customHeight="false" outlineLevel="0" collapsed="false">
      <c r="A46" s="2" t="n">
        <v>46288</v>
      </c>
      <c r="B46" s="0" t="s">
        <v>91</v>
      </c>
      <c r="C46" s="0" t="s">
        <v>50</v>
      </c>
      <c r="D46" s="0" t="s">
        <v>32</v>
      </c>
      <c r="E46" s="0" t="s">
        <v>12</v>
      </c>
      <c r="F46" s="0" t="n">
        <v>1</v>
      </c>
      <c r="G46" s="3" t="n">
        <v>11200</v>
      </c>
      <c r="H46" s="0" t="s">
        <v>13</v>
      </c>
      <c r="I46" s="3" t="n">
        <v>11200</v>
      </c>
    </row>
    <row r="47" customFormat="false" ht="15" hidden="false" customHeight="false" outlineLevel="0" collapsed="false">
      <c r="A47" s="2" t="n">
        <v>46288</v>
      </c>
      <c r="B47" s="0" t="s">
        <v>92</v>
      </c>
      <c r="C47" s="0" t="s">
        <v>21</v>
      </c>
      <c r="D47" s="0" t="s">
        <v>65</v>
      </c>
      <c r="E47" s="0" t="s">
        <v>47</v>
      </c>
      <c r="F47" s="0" t="n">
        <v>23</v>
      </c>
      <c r="G47" s="3" t="n">
        <v>122400</v>
      </c>
      <c r="H47" s="0" t="s">
        <v>27</v>
      </c>
      <c r="I47" s="3" t="n">
        <v>2815200</v>
      </c>
    </row>
    <row r="48" customFormat="false" ht="15" hidden="false" customHeight="false" outlineLevel="0" collapsed="false">
      <c r="A48" s="2" t="n">
        <v>46289</v>
      </c>
      <c r="B48" s="0" t="s">
        <v>93</v>
      </c>
      <c r="C48" s="0" t="s">
        <v>10</v>
      </c>
      <c r="D48" s="0" t="s">
        <v>41</v>
      </c>
      <c r="E48" s="0" t="s">
        <v>17</v>
      </c>
      <c r="F48" s="0" t="n">
        <v>27</v>
      </c>
      <c r="G48" s="3" t="n">
        <v>22300</v>
      </c>
      <c r="H48" s="0" t="s">
        <v>13</v>
      </c>
      <c r="I48" s="3" t="n">
        <v>602100</v>
      </c>
    </row>
    <row r="49" customFormat="false" ht="15" hidden="false" customHeight="false" outlineLevel="0" collapsed="false">
      <c r="A49" s="2" t="n">
        <v>46290</v>
      </c>
      <c r="B49" s="0" t="s">
        <v>94</v>
      </c>
      <c r="C49" s="0" t="s">
        <v>45</v>
      </c>
      <c r="D49" s="0" t="s">
        <v>65</v>
      </c>
      <c r="E49" s="0" t="s">
        <v>47</v>
      </c>
      <c r="F49" s="0" t="n">
        <v>9</v>
      </c>
      <c r="G49" s="3" t="n">
        <v>120400</v>
      </c>
      <c r="H49" s="0" t="s">
        <v>33</v>
      </c>
      <c r="I49" s="3" t="n">
        <v>1083600</v>
      </c>
    </row>
    <row r="50" customFormat="false" ht="15" hidden="false" customHeight="false" outlineLevel="0" collapsed="false">
      <c r="A50" s="2" t="n">
        <v>46290</v>
      </c>
      <c r="B50" s="0" t="s">
        <v>95</v>
      </c>
      <c r="C50" s="0" t="s">
        <v>31</v>
      </c>
      <c r="D50" s="0" t="s">
        <v>36</v>
      </c>
      <c r="E50" s="0" t="s">
        <v>37</v>
      </c>
      <c r="F50" s="0" t="n">
        <v>2</v>
      </c>
      <c r="G50" s="3" t="n">
        <v>49700</v>
      </c>
      <c r="H50" s="0" t="s">
        <v>38</v>
      </c>
      <c r="I50" s="3" t="n">
        <v>99400</v>
      </c>
    </row>
    <row r="51" customFormat="false" ht="15" hidden="false" customHeight="false" outlineLevel="0" collapsed="false">
      <c r="A51" s="2" t="n">
        <v>46290</v>
      </c>
      <c r="B51" s="0" t="s">
        <v>96</v>
      </c>
      <c r="C51" s="0" t="s">
        <v>29</v>
      </c>
      <c r="D51" s="0" t="s">
        <v>32</v>
      </c>
      <c r="E51" s="0" t="s">
        <v>12</v>
      </c>
      <c r="F51" s="0" t="n">
        <v>30</v>
      </c>
      <c r="G51" s="3" t="n">
        <v>11400</v>
      </c>
      <c r="H51" s="0" t="s">
        <v>19</v>
      </c>
      <c r="I51" s="3" t="n">
        <v>342000</v>
      </c>
    </row>
    <row r="52" customFormat="false" ht="15" hidden="false" customHeight="false" outlineLevel="0" collapsed="false">
      <c r="A52" s="2" t="n">
        <v>46290</v>
      </c>
      <c r="B52" s="0" t="s">
        <v>97</v>
      </c>
      <c r="C52" s="0" t="s">
        <v>25</v>
      </c>
      <c r="D52" s="0" t="s">
        <v>98</v>
      </c>
      <c r="E52" s="0" t="s">
        <v>37</v>
      </c>
      <c r="F52" s="0" t="n">
        <v>22</v>
      </c>
      <c r="G52" s="3" t="n">
        <v>20000</v>
      </c>
      <c r="H52" s="0" t="s">
        <v>27</v>
      </c>
      <c r="I52" s="3" t="n">
        <v>440000</v>
      </c>
    </row>
    <row r="53" customFormat="false" ht="15" hidden="false" customHeight="false" outlineLevel="0" collapsed="false">
      <c r="A53" s="2" t="n">
        <v>46291</v>
      </c>
      <c r="B53" s="0" t="s">
        <v>99</v>
      </c>
      <c r="C53" s="0" t="s">
        <v>45</v>
      </c>
      <c r="D53" s="0" t="s">
        <v>32</v>
      </c>
      <c r="E53" s="0" t="s">
        <v>12</v>
      </c>
      <c r="F53" s="0" t="n">
        <v>5</v>
      </c>
      <c r="G53" s="3" t="n">
        <v>12300</v>
      </c>
      <c r="H53" s="0" t="s">
        <v>38</v>
      </c>
      <c r="I53" s="3" t="n">
        <v>61500</v>
      </c>
    </row>
    <row r="54" customFormat="false" ht="15" hidden="false" customHeight="false" outlineLevel="0" collapsed="false">
      <c r="A54" s="2" t="n">
        <v>46291</v>
      </c>
      <c r="B54" s="0" t="s">
        <v>100</v>
      </c>
      <c r="C54" s="0" t="s">
        <v>21</v>
      </c>
      <c r="D54" s="0" t="s">
        <v>22</v>
      </c>
      <c r="E54" s="0" t="s">
        <v>23</v>
      </c>
      <c r="F54" s="0" t="n">
        <v>3</v>
      </c>
      <c r="G54" s="3" t="n">
        <v>36800</v>
      </c>
      <c r="H54" s="0" t="s">
        <v>33</v>
      </c>
      <c r="I54" s="3" t="n">
        <v>110400</v>
      </c>
    </row>
    <row r="55" customFormat="false" ht="15" hidden="false" customHeight="false" outlineLevel="0" collapsed="false">
      <c r="A55" s="2" t="n">
        <v>46291</v>
      </c>
      <c r="B55" s="0" t="s">
        <v>101</v>
      </c>
      <c r="C55" s="0" t="s">
        <v>58</v>
      </c>
      <c r="D55" s="0" t="s">
        <v>46</v>
      </c>
      <c r="E55" s="0" t="s">
        <v>47</v>
      </c>
      <c r="F55" s="0" t="n">
        <v>26</v>
      </c>
      <c r="G55" s="3" t="n">
        <v>171900</v>
      </c>
      <c r="H55" s="0" t="s">
        <v>38</v>
      </c>
      <c r="I55" s="3" t="n">
        <v>4469400</v>
      </c>
    </row>
    <row r="56" customFormat="false" ht="15" hidden="false" customHeight="false" outlineLevel="0" collapsed="false">
      <c r="A56" s="2" t="n">
        <v>46292</v>
      </c>
      <c r="B56" s="0" t="s">
        <v>102</v>
      </c>
      <c r="C56" s="0" t="s">
        <v>31</v>
      </c>
      <c r="D56" s="0" t="s">
        <v>16</v>
      </c>
      <c r="E56" s="0" t="s">
        <v>17</v>
      </c>
      <c r="F56" s="0" t="n">
        <v>17</v>
      </c>
      <c r="G56" s="3" t="n">
        <v>89100</v>
      </c>
      <c r="H56" s="0" t="s">
        <v>19</v>
      </c>
      <c r="I56" s="3" t="n">
        <v>1514700</v>
      </c>
    </row>
    <row r="57" customFormat="false" ht="15" hidden="false" customHeight="false" outlineLevel="0" collapsed="false">
      <c r="A57" s="2" t="n">
        <v>46292</v>
      </c>
      <c r="B57" s="0" t="s">
        <v>103</v>
      </c>
      <c r="C57" s="0" t="s">
        <v>76</v>
      </c>
      <c r="D57" s="0" t="s">
        <v>36</v>
      </c>
      <c r="E57" s="0" t="s">
        <v>37</v>
      </c>
      <c r="F57" s="0" t="n">
        <v>19</v>
      </c>
      <c r="G57" s="3" t="n">
        <v>46400</v>
      </c>
      <c r="H57" s="0" t="s">
        <v>38</v>
      </c>
      <c r="I57" s="3" t="n">
        <v>881600</v>
      </c>
    </row>
    <row r="58" customFormat="false" ht="15" hidden="false" customHeight="false" outlineLevel="0" collapsed="false">
      <c r="A58" s="2" t="n">
        <v>46293</v>
      </c>
      <c r="B58" s="0" t="s">
        <v>104</v>
      </c>
      <c r="C58" s="0" t="s">
        <v>105</v>
      </c>
      <c r="D58" s="0" t="s">
        <v>59</v>
      </c>
      <c r="E58" s="0" t="s">
        <v>55</v>
      </c>
      <c r="F58" s="0" t="n">
        <v>34</v>
      </c>
      <c r="G58" s="3" t="n">
        <v>66500</v>
      </c>
      <c r="H58" s="0" t="s">
        <v>19</v>
      </c>
      <c r="I58" s="3" t="n">
        <v>2261000</v>
      </c>
    </row>
    <row r="59" customFormat="false" ht="15" hidden="false" customHeight="false" outlineLevel="0" collapsed="false">
      <c r="A59" s="2" t="n">
        <v>46295</v>
      </c>
      <c r="B59" s="0" t="s">
        <v>106</v>
      </c>
      <c r="C59" s="0" t="s">
        <v>45</v>
      </c>
      <c r="D59" s="0" t="s">
        <v>22</v>
      </c>
      <c r="E59" s="0" t="s">
        <v>23</v>
      </c>
      <c r="F59" s="0" t="n">
        <v>21</v>
      </c>
      <c r="G59" s="3" t="n">
        <v>32100</v>
      </c>
      <c r="H59" s="0" t="s">
        <v>38</v>
      </c>
      <c r="I59" s="3" t="n">
        <v>674100</v>
      </c>
    </row>
    <row r="60" customFormat="false" ht="15" hidden="false" customHeight="false" outlineLevel="0" collapsed="false">
      <c r="A60" s="2" t="n">
        <v>46295</v>
      </c>
      <c r="B60" s="0" t="s">
        <v>107</v>
      </c>
      <c r="C60" s="0" t="s">
        <v>25</v>
      </c>
      <c r="D60" s="0" t="s">
        <v>41</v>
      </c>
      <c r="E60" s="0" t="s">
        <v>17</v>
      </c>
      <c r="F60" s="0" t="n">
        <v>14</v>
      </c>
      <c r="G60" s="3" t="n">
        <v>21500</v>
      </c>
      <c r="H60" s="0" t="s">
        <v>13</v>
      </c>
      <c r="I60" s="3" t="n">
        <v>301000</v>
      </c>
    </row>
    <row r="61" customFormat="false" ht="15" hidden="false" customHeight="false" outlineLevel="0" collapsed="false">
      <c r="A61" s="2" t="n">
        <v>46295</v>
      </c>
      <c r="B61" s="0" t="s">
        <v>108</v>
      </c>
      <c r="C61" s="0" t="s">
        <v>31</v>
      </c>
      <c r="D61" s="0" t="s">
        <v>54</v>
      </c>
      <c r="E61" s="0" t="s">
        <v>55</v>
      </c>
      <c r="F61" s="0" t="n">
        <v>8</v>
      </c>
      <c r="G61" s="3" t="n">
        <v>32100</v>
      </c>
      <c r="H61" s="0" t="s">
        <v>13</v>
      </c>
      <c r="I61" s="3" t="n">
        <v>256800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21.75" hidden="false" customHeight="true" outlineLevel="0" collapsed="false">
      <c r="A1" s="1" t="s">
        <v>109</v>
      </c>
      <c r="B1" s="1" t="s">
        <v>110</v>
      </c>
      <c r="C1" s="1" t="s">
        <v>111</v>
      </c>
      <c r="D1" s="1" t="s">
        <v>112</v>
      </c>
    </row>
    <row r="2" customFormat="false" ht="15" hidden="false" customHeight="false" outlineLevel="0" collapsed="false">
      <c r="A2" s="4" t="n">
        <v>45566</v>
      </c>
      <c r="B2" s="0" t="n">
        <v>2713</v>
      </c>
      <c r="C2" s="0" t="n">
        <v>597</v>
      </c>
      <c r="D2" s="0" t="n">
        <v>597</v>
      </c>
    </row>
    <row r="3" customFormat="false" ht="15" hidden="false" customHeight="false" outlineLevel="0" collapsed="false">
      <c r="A3" s="4" t="n">
        <v>45597</v>
      </c>
      <c r="B3" s="0" t="n">
        <v>2725</v>
      </c>
      <c r="C3" s="0" t="n">
        <v>601</v>
      </c>
      <c r="D3" s="0" t="n">
        <v>601</v>
      </c>
    </row>
    <row r="4" customFormat="false" ht="15" hidden="false" customHeight="false" outlineLevel="0" collapsed="false">
      <c r="A4" s="4" t="n">
        <v>45627</v>
      </c>
      <c r="B4" s="0" t="n">
        <v>2728</v>
      </c>
      <c r="C4" s="0" t="n">
        <v>599</v>
      </c>
      <c r="D4" s="0" t="n">
        <v>599</v>
      </c>
    </row>
    <row r="5" customFormat="false" ht="15" hidden="false" customHeight="false" outlineLevel="0" collapsed="false">
      <c r="A5" s="4" t="n">
        <v>45658</v>
      </c>
      <c r="B5" s="0" t="n">
        <v>2743</v>
      </c>
      <c r="C5" s="0" t="n">
        <v>600</v>
      </c>
      <c r="D5" s="0" t="n">
        <v>600</v>
      </c>
    </row>
    <row r="6" customFormat="false" ht="15" hidden="false" customHeight="false" outlineLevel="0" collapsed="false">
      <c r="A6" s="4" t="n">
        <v>45689</v>
      </c>
      <c r="B6" s="0" t="n">
        <v>2762</v>
      </c>
      <c r="C6" s="0" t="n">
        <v>601</v>
      </c>
      <c r="D6" s="0" t="n">
        <v>601</v>
      </c>
    </row>
    <row r="7" customFormat="false" ht="15" hidden="false" customHeight="false" outlineLevel="0" collapsed="false">
      <c r="A7" s="4" t="n">
        <v>45717</v>
      </c>
      <c r="B7" s="0" t="n">
        <v>2780</v>
      </c>
      <c r="C7" s="0" t="n">
        <v>604</v>
      </c>
      <c r="D7" s="0" t="n">
        <v>604</v>
      </c>
    </row>
    <row r="8" customFormat="false" ht="15" hidden="false" customHeight="false" outlineLevel="0" collapsed="false">
      <c r="A8" s="4" t="n">
        <v>45748</v>
      </c>
      <c r="B8" s="0" t="n">
        <v>2799</v>
      </c>
      <c r="C8" s="0" t="n">
        <v>605</v>
      </c>
      <c r="D8" s="0" t="n">
        <v>605</v>
      </c>
    </row>
    <row r="9" customFormat="false" ht="15" hidden="false" customHeight="false" outlineLevel="0" collapsed="false">
      <c r="A9" s="4" t="n">
        <v>45778</v>
      </c>
      <c r="B9" s="0" t="n">
        <v>2805</v>
      </c>
      <c r="C9" s="0" t="n">
        <v>607</v>
      </c>
      <c r="D9" s="0" t="n">
        <v>607</v>
      </c>
    </row>
    <row r="10" customFormat="false" ht="15" hidden="false" customHeight="false" outlineLevel="0" collapsed="false">
      <c r="A10" s="4" t="n">
        <v>45809</v>
      </c>
      <c r="B10" s="0" t="n">
        <v>2808</v>
      </c>
      <c r="C10" s="0" t="n">
        <v>610</v>
      </c>
      <c r="D10" s="0" t="n">
        <v>610</v>
      </c>
    </row>
    <row r="11" customFormat="false" ht="15" hidden="false" customHeight="false" outlineLevel="0" collapsed="false">
      <c r="A11" s="4" t="n">
        <v>45839</v>
      </c>
      <c r="B11" s="0" t="n">
        <v>2819</v>
      </c>
      <c r="C11" s="0" t="n">
        <v>613</v>
      </c>
      <c r="D11" s="0" t="n">
        <v>613</v>
      </c>
    </row>
    <row r="12" customFormat="false" ht="15" hidden="false" customHeight="false" outlineLevel="0" collapsed="false">
      <c r="A12" s="4" t="n">
        <v>45870</v>
      </c>
      <c r="B12" s="0" t="n">
        <v>2836</v>
      </c>
      <c r="C12" s="0" t="n">
        <v>615</v>
      </c>
      <c r="D12" s="0" t="n">
        <v>615</v>
      </c>
    </row>
    <row r="13" customFormat="false" ht="15" hidden="false" customHeight="false" outlineLevel="0" collapsed="false">
      <c r="A13" s="4" t="n">
        <v>45901</v>
      </c>
      <c r="B13" s="0" t="n">
        <v>2841</v>
      </c>
      <c r="C13" s="0" t="n">
        <v>613</v>
      </c>
      <c r="D13" s="0" t="n">
        <v>613</v>
      </c>
    </row>
    <row r="14" customFormat="false" ht="15" hidden="false" customHeight="false" outlineLevel="0" collapsed="false">
      <c r="A14" s="4" t="n">
        <v>45931</v>
      </c>
      <c r="B14" s="0" t="n">
        <v>2866</v>
      </c>
      <c r="C14" s="0" t="n">
        <v>617</v>
      </c>
      <c r="D14" s="0" t="n">
        <v>617</v>
      </c>
    </row>
    <row r="15" customFormat="false" ht="15" hidden="false" customHeight="false" outlineLevel="0" collapsed="false">
      <c r="A15" s="4" t="n">
        <v>45962</v>
      </c>
      <c r="B15" s="0" t="n">
        <v>2887</v>
      </c>
      <c r="C15" s="0" t="n">
        <v>622</v>
      </c>
      <c r="D15" s="0" t="n">
        <v>622</v>
      </c>
    </row>
    <row r="16" customFormat="false" ht="15" hidden="false" customHeight="false" outlineLevel="0" collapsed="false">
      <c r="A16" s="4" t="n">
        <v>45992</v>
      </c>
      <c r="B16" s="0" t="n">
        <v>2900</v>
      </c>
      <c r="C16" s="0" t="n">
        <v>619</v>
      </c>
      <c r="D16" s="0" t="n">
        <v>619</v>
      </c>
    </row>
    <row r="17" customFormat="false" ht="15" hidden="false" customHeight="false" outlineLevel="0" collapsed="false">
      <c r="A17" s="4" t="n">
        <v>46023</v>
      </c>
      <c r="B17" s="0" t="n">
        <v>2909</v>
      </c>
      <c r="C17" s="0" t="n">
        <v>620</v>
      </c>
      <c r="D17" s="0" t="n">
        <v>620</v>
      </c>
    </row>
    <row r="18" customFormat="false" ht="15" hidden="false" customHeight="false" outlineLevel="0" collapsed="false">
      <c r="A18" s="4" t="n">
        <v>46054</v>
      </c>
      <c r="B18" s="0" t="n">
        <v>2917</v>
      </c>
      <c r="C18" s="0" t="n">
        <v>620</v>
      </c>
      <c r="D18" s="0" t="n">
        <v>620</v>
      </c>
    </row>
    <row r="19" customFormat="false" ht="15" hidden="false" customHeight="false" outlineLevel="0" collapsed="false">
      <c r="A19" s="4" t="n">
        <v>46082</v>
      </c>
      <c r="B19" s="0" t="n">
        <v>2940</v>
      </c>
      <c r="C19" s="0" t="n">
        <v>622</v>
      </c>
      <c r="D19" s="0" t="n">
        <v>622</v>
      </c>
    </row>
    <row r="20" customFormat="false" ht="15" hidden="false" customHeight="false" outlineLevel="0" collapsed="false">
      <c r="A20" s="4" t="n">
        <v>46113</v>
      </c>
      <c r="B20" s="0" t="n">
        <v>2955</v>
      </c>
      <c r="C20" s="0" t="n">
        <v>618</v>
      </c>
      <c r="D20" s="0" t="n">
        <v>618</v>
      </c>
    </row>
    <row r="21" customFormat="false" ht="15" hidden="false" customHeight="false" outlineLevel="0" collapsed="false">
      <c r="A21" s="4" t="n">
        <v>46143</v>
      </c>
      <c r="B21" s="0" t="n">
        <v>2974</v>
      </c>
      <c r="C21" s="0" t="n">
        <v>617</v>
      </c>
      <c r="D21" s="0" t="n">
        <v>617</v>
      </c>
    </row>
    <row r="22" customFormat="false" ht="15" hidden="false" customHeight="false" outlineLevel="0" collapsed="false">
      <c r="A22" s="4" t="n">
        <v>46174</v>
      </c>
      <c r="B22" s="0" t="n">
        <v>2985</v>
      </c>
      <c r="C22" s="0" t="n">
        <v>617</v>
      </c>
      <c r="D22" s="0" t="n">
        <v>617</v>
      </c>
    </row>
    <row r="23" customFormat="false" ht="15" hidden="false" customHeight="false" outlineLevel="0" collapsed="false">
      <c r="A23" s="4" t="n">
        <v>46204</v>
      </c>
      <c r="B23" s="0" t="n">
        <v>3001</v>
      </c>
      <c r="C23" s="0" t="n">
        <v>617</v>
      </c>
      <c r="D23" s="0" t="n">
        <v>617</v>
      </c>
    </row>
    <row r="24" customFormat="false" ht="15" hidden="false" customHeight="false" outlineLevel="0" collapsed="false">
      <c r="A24" s="4" t="n">
        <v>46235</v>
      </c>
      <c r="B24" s="0" t="n">
        <v>3004</v>
      </c>
      <c r="C24" s="0" t="n">
        <v>618</v>
      </c>
      <c r="D24" s="0" t="n">
        <v>618</v>
      </c>
    </row>
    <row r="25" customFormat="false" ht="15" hidden="false" customHeight="false" outlineLevel="0" collapsed="false">
      <c r="A25" s="4" t="n">
        <v>46266</v>
      </c>
      <c r="B25" s="0" t="n">
        <v>3024</v>
      </c>
      <c r="C25" s="0" t="n">
        <v>619</v>
      </c>
      <c r="D25" s="0" t="n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113</v>
      </c>
    </row>
    <row r="3" customFormat="false" ht="15" hidden="false" customHeight="false" outlineLevel="0" collapsed="false">
      <c r="A3" s="0" t="s">
        <v>114</v>
      </c>
      <c r="B3" s="4" t="n">
        <v>46266</v>
      </c>
    </row>
    <row r="4" customFormat="false" ht="15" hidden="false" customHeight="false" outlineLevel="0" collapsed="false">
      <c r="A4" s="0" t="s">
        <v>115</v>
      </c>
      <c r="B4" s="0" t="n">
        <f aca="false">_xlfn.XLOOKUP(B3,t_Taux[Mois],t_Taux[CDF_USD])</f>
        <v>3024</v>
      </c>
    </row>
    <row r="5" customFormat="false" ht="15" hidden="false" customHeight="false" outlineLevel="0" collapsed="false">
      <c r="A5" s="0" t="s">
        <v>116</v>
      </c>
      <c r="B5" s="0" t="n">
        <f aca="false">SUM(t_Caisse[Montant])</f>
        <v>62116900</v>
      </c>
    </row>
    <row r="6" customFormat="false" ht="15" hidden="false" customHeight="false" outlineLevel="0" collapsed="false">
      <c r="A6" s="0" t="s">
        <v>117</v>
      </c>
      <c r="B6" s="0" t="n">
        <f aca="false">B5/TauxUSD</f>
        <v>20541.3029100529</v>
      </c>
    </row>
    <row r="7" customFormat="false" ht="15" hidden="false" customHeight="false" outlineLevel="0" collapsed="false">
      <c r="A7" s="0" t="s">
        <v>118</v>
      </c>
      <c r="B7" s="3" t="n">
        <f aca="false">_xlfn.XLOOKUP("SUPERMARCHE CITY",t_Caisse[Client],t_Caisse[PU_CDF],"absent",0,-1)</f>
        <v>36800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2026-09-17T04:23:20Z</dcterms:created>
  <dc:creator>openpyxl</dc:creator>
  <dc:description/>
  <dc:language>fr-FR</dc:language>
  <cp:lastModifiedBy/>
  <dcterms:modified xsi:type="dcterms:W3CDTF">2026-09-17T04:23:20Z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