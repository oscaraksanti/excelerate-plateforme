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7/"/>
    </mc:Choice>
  </mc:AlternateContent>
  <xr:revisionPtr revIDLastSave="0" documentId="11_1AC0F432A4F9FE1681862609B0549C444F045DFC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REPONSES" sheetId="1" r:id="rId1"/>
    <sheet name="TAUX" sheetId="2" r:id="rId2"/>
    <sheet name="CONSOLIDE" sheetId="3" r:id="rId3"/>
    <sheet name="CONTROLE" sheetId="4" r:id="rId4"/>
    <sheet name="README" sheetId="5" r:id="rId5"/>
    <sheet name="QUALITE" sheetId="6" r:id="rId6"/>
    <sheet name="ANNEXE_IA" sheetId="7" r:id="rId7"/>
  </sheets>
  <definedNames>
    <definedName name="Q_NULS">QUALITE!$B$5</definedName>
    <definedName name="R_CONTROLE">REPONSES!$B$16</definedName>
    <definedName name="R_ECART_SOURCE">REPONSES!$B$15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4" i="6"/>
  <c r="B15" i="1"/>
  <c r="B14" i="1"/>
  <c r="B13" i="1"/>
  <c r="B12" i="1"/>
  <c r="B11" i="1"/>
  <c r="B10" i="1"/>
  <c r="B9" i="1"/>
  <c r="B16" i="1" s="1"/>
  <c r="B8" i="1"/>
  <c r="B7" i="1"/>
  <c r="B6" i="1"/>
  <c r="B5" i="1"/>
</calcChain>
</file>

<file path=xl/sharedStrings.xml><?xml version="1.0" encoding="utf-8"?>
<sst xmlns="http://schemas.openxmlformats.org/spreadsheetml/2006/main" count="2027" uniqueCount="112">
  <si>
    <t>TP 7 — Les douze agences</t>
  </si>
  <si>
    <t>Ces douze cellules se remplissent APRÈS avoir ajouté le treizième fichier et actualisé.</t>
  </si>
  <si>
    <t>CE QUE LA REQUÊTE DOIT PRODUIRE</t>
  </si>
  <si>
    <t>Nombre de fichiers consolidés</t>
  </si>
  <si>
    <t>Nombre de lignes du résultat</t>
  </si>
  <si>
    <t>Nombre de mois distincts</t>
  </si>
  <si>
    <t>Nombre de responsables distincts  🔴 l'encodage</t>
  </si>
  <si>
    <t>Chiffre d'affaires total, en USD</t>
  </si>
  <si>
    <t>Chiffre d'affaires du mois ajouté (oct. 2026), en USD</t>
  </si>
  <si>
    <t>Lignes sans quantité — les trois tableaux croisés</t>
  </si>
  <si>
    <t>Lignes portant une remise strictement positive</t>
  </si>
  <si>
    <t>Chiffre d'affaires de Kinshasa, en USD</t>
  </si>
  <si>
    <t>Montant total des remises accordées, en USD</t>
  </si>
  <si>
    <t>R_ECART_SOURCE — résultat moins somme des fichiers  ·  doit valoir 0</t>
  </si>
  <si>
    <t>R_CONTROLE — total moins la somme des six agences  ·  doit valoir 0</t>
  </si>
  <si>
    <t>Mois</t>
  </si>
  <si>
    <t>Devise</t>
  </si>
  <si>
    <t>Taux_USD</t>
  </si>
  <si>
    <t>CDF</t>
  </si>
  <si>
    <t>XOF</t>
  </si>
  <si>
    <t>XAF</t>
  </si>
  <si>
    <t>Agence</t>
  </si>
  <si>
    <t>Famille</t>
  </si>
  <si>
    <t>Responsable</t>
  </si>
  <si>
    <t>Quantite</t>
  </si>
  <si>
    <t>Remise_Pct</t>
  </si>
  <si>
    <t>Montant_Local</t>
  </si>
  <si>
    <t>Montant_USD</t>
  </si>
  <si>
    <t>Kinshasa</t>
  </si>
  <si>
    <t>Huiles</t>
  </si>
  <si>
    <t>Nadège Kalala</t>
  </si>
  <si>
    <t>Riz</t>
  </si>
  <si>
    <t>Farine</t>
  </si>
  <si>
    <t>Boissons</t>
  </si>
  <si>
    <t>Savons</t>
  </si>
  <si>
    <t>Conserves</t>
  </si>
  <si>
    <t>Lubumbashi</t>
  </si>
  <si>
    <t>Trésor Ilunga</t>
  </si>
  <si>
    <t>Abidjan</t>
  </si>
  <si>
    <t>Serge Kouadio</t>
  </si>
  <si>
    <t>Dakar</t>
  </si>
  <si>
    <t>Aïcha Ndiaye</t>
  </si>
  <si>
    <t>Douala</t>
  </si>
  <si>
    <t>Thomas Mbarga</t>
  </si>
  <si>
    <t>Libreville</t>
  </si>
  <si>
    <t>Josée Nguema</t>
  </si>
  <si>
    <t>Fichier</t>
  </si>
  <si>
    <t>Format</t>
  </si>
  <si>
    <t>Lignes</t>
  </si>
  <si>
    <t>Lignes_sans_quantite</t>
  </si>
  <si>
    <t>Statut</t>
  </si>
  <si>
    <t>Ventes_2025-10.xlsx</t>
  </si>
  <si>
    <t>standard</t>
  </si>
  <si>
    <t>PASS</t>
  </si>
  <si>
    <t>Ventes_2025-11.xlsx</t>
  </si>
  <si>
    <t>titre</t>
  </si>
  <si>
    <t>Ventes_2025-12.xlsx</t>
  </si>
  <si>
    <t>croise</t>
  </si>
  <si>
    <t>WARNING</t>
  </si>
  <si>
    <t>Ventes_2026-01.xlsx</t>
  </si>
  <si>
    <t>Ventes_2026-02.xlsx</t>
  </si>
  <si>
    <t>Ventes_2026-03.xlsx</t>
  </si>
  <si>
    <t>Ventes_2026-04.xlsx</t>
  </si>
  <si>
    <t>Ventes_2026-05.xlsx</t>
  </si>
  <si>
    <t>Ventes_2026-06.xlsx</t>
  </si>
  <si>
    <t>Ventes_2026-07.xlsx</t>
  </si>
  <si>
    <t>Ventes_2026-08.xlsx</t>
  </si>
  <si>
    <t>Ventes_2026-09.csv</t>
  </si>
  <si>
    <t>csv</t>
  </si>
  <si>
    <t>Ventes_2026-10_NOUVEAU.xlsx</t>
  </si>
  <si>
    <t>README</t>
  </si>
  <si>
    <t>Source</t>
  </si>
  <si>
    <t>Le dossier J07_Agences_mensuel/ — un fichier par mois, plus J07_Taux_Mensuels.xlsx pour la conversion.</t>
  </si>
  <si>
    <t>Paramètre</t>
  </si>
  <si>
    <t>Le chemin du dossier est un paramètre de requête. Sur un autre poste, on ne change que lui.</t>
  </si>
  <si>
    <t>Trois formats reçus</t>
  </si>
  <si>
    <t>standard (7 fichiers) · titre et ligne vide avant les en-têtes (2) · tableau croisé à dépivoter (3) · un CSV en Windows-1252 (1).</t>
  </si>
  <si>
    <t>Encodage</t>
  </si>
  <si>
    <t>Le CSV de septembre est en Windows-1252. Lu en UTF-8, les prénoms accentués se dédoublent : on passe alors de 6 responsables à 10.</t>
  </si>
  <si>
    <t>Colonnes</t>
  </si>
  <si>
    <t>L'ordre des colonnes change d'un mois à l'autre, et la colonne Remise_Pct apparaît en mars 2026. Aucune colonne n'est désignée par sa position : on les choisit par leur nom.</t>
  </si>
  <si>
    <t>Conversion</t>
  </si>
  <si>
    <t>Montant_USD = Montant_Local / Taux_USD, joint sur (Mois, Devise). Le taux est le taux moyen du mois.</t>
  </si>
  <si>
    <t>Écart avec le module 6</t>
  </si>
  <si>
    <t>Le total des douze mois communs vaut 28 022 769,42 USD ici, contre 28 022 768,30 dans la synthèse du module 6 : 1,12 USD. Convertir après agrégation avec un taux moyen ne donne pas exactement le même résultat que convertir ligne à ligne. C'est normal, c'est documenté, et ça se dit.</t>
  </si>
  <si>
    <t>Actualisation</t>
  </si>
  <si>
    <t>Déposer le nouveau fichier dans le dossier, puis Données &gt; Actualiser tout. Rien d'autre à toucher.</t>
  </si>
  <si>
    <t>Contrôles</t>
  </si>
  <si>
    <t>R_ECART_SOURCE et R_CONTROLE doivent valoir 0 avant tout envoi.</t>
  </si>
  <si>
    <t>Contrôles de qualité</t>
  </si>
  <si>
    <t>Contrôle</t>
  </si>
  <si>
    <t>Valeur</t>
  </si>
  <si>
    <t>Ce que ça veut dire</t>
  </si>
  <si>
    <t>Agences distinctes dans le résultat</t>
  </si>
  <si>
    <t>six, et six seulement</t>
  </si>
  <si>
    <t>Q_NULS — montants locaux manquants  ·  doit valoir 0</t>
  </si>
  <si>
    <t>un montant vide veut dire qu'une colonne a été lue au mauvais endroit</t>
  </si>
  <si>
    <t>Lignes provenant d'un fichier en WARNING</t>
  </si>
  <si>
    <t>les tableaux croisés reçus : ni quantité ni remise, et c'est normal</t>
  </si>
  <si>
    <t>Statut général</t>
  </si>
  <si>
    <t>Les trois tableaux croisés reçus n'apportent ni quantité ni remise : 108 lignes sur 468. C'est une limite de la source, pas un défaut de la requête — et c'est écrit dans le README.</t>
  </si>
  <si>
    <t>ANNEXE_IA</t>
  </si>
  <si>
    <t>Prompt 1</t>
  </si>
  <si>
    <t>Voici l'étape générée par l'interface de Power Query. Généralise-la pour qu'elle ne dépende d'aucun nom de colonne codé en dur.</t>
  </si>
  <si>
    <t>Prompt 2</t>
  </si>
  <si>
    <t>Écris-moi une fonction M personnalisée qui prend un binaire de fichier et rend une table normalisée, quel que soit le format reçu.</t>
  </si>
  <si>
    <t>Prompt 3</t>
  </si>
  <si>
    <t>Voici un message d'erreur de Power Query. Explique-moi ce qu'il veut dire, et donne-moi les deux causes les plus probables.</t>
  </si>
  <si>
    <t>Erreur détectée</t>
  </si>
  <si>
    <t>L'IA a proposé une mesure DAX — CALCULATE(SUM(...)) — pour une transformation qui devait se faire en M, dans la requête. Deux langages, deux moments : le M transforme avant le chargement, le DAX calcule après.</t>
  </si>
  <si>
    <t>Quel V l'a attrapée</t>
  </si>
  <si>
    <t>V1 — Version. Le DAX n'existe pas dans l'éditeur Power Query : le code est refusé avant même de s'exécuter.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</si>
</sst>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USD&quot;"/>
    <numFmt numFmtId="165" formatCode="mmm\ yyyy"/>
    <numFmt numFmtId="166" formatCode="yyyy\-mm\-dd"/>
    <numFmt numFmtId="167" formatCode="0.0%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6B728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6D8"/>
      </patternFill>
    </fill>
    <fill>
      <patternFill patternType="solid">
        <fgColor rgb="FFE8F6EE"/>
      </patternFill>
    </fill>
    <fill>
      <patternFill patternType="solid">
        <fgColor rgb="FF24304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3" fontId="0" fillId="2" borderId="1" xfId="0" applyNumberFormat="1" applyFill="1" applyBorder="1"/>
    <xf numFmtId="164" fontId="0" fillId="2" borderId="1" xfId="0" applyNumberFormat="1" applyFill="1" applyBorder="1"/>
    <xf numFmtId="0" fontId="3" fillId="0" borderId="1" xfId="0" applyFont="1" applyBorder="1"/>
    <xf numFmtId="4" fontId="0" fillId="3" borderId="1" xfId="0" applyNumberFormat="1" applyFill="1" applyBorder="1"/>
    <xf numFmtId="164" fontId="0" fillId="3" borderId="1" xfId="0" applyNumberFormat="1" applyFill="1" applyBorder="1"/>
    <xf numFmtId="165" fontId="0" fillId="0" borderId="0" xfId="0" applyNumberFormat="1"/>
    <xf numFmtId="4" fontId="0" fillId="0" borderId="0" xfId="0" applyNumberFormat="1"/>
    <xf numFmtId="0" fontId="4" fillId="4" borderId="0" xfId="0" applyFont="1" applyFill="1" applyAlignment="1">
      <alignment horizontal="left" vertical="center"/>
    </xf>
    <xf numFmtId="3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Taux" displayName="t_Taux" ref="A1:C40">
  <autoFilter ref="A1:C40" xr:uid="{00000000-0009-0000-0100-000001000000}"/>
  <tableColumns count="3">
    <tableColumn id="1" xr3:uid="{00000000-0010-0000-0000-000001000000}" name="Mois"/>
    <tableColumn id="2" xr3:uid="{00000000-0010-0000-0000-000002000000}" name="Devise"/>
    <tableColumn id="3" xr3:uid="{00000000-0010-0000-0000-000003000000}" name="Taux_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Consolide" displayName="t_Consolide" ref="A1:J469">
  <autoFilter ref="A1:J469" xr:uid="{00000000-0009-0000-0100-000002000000}"/>
  <tableColumns count="10">
    <tableColumn id="1" xr3:uid="{00000000-0010-0000-0100-000001000000}" name="Mois"/>
    <tableColumn id="2" xr3:uid="{00000000-0010-0000-0100-000002000000}" name="Agence"/>
    <tableColumn id="3" xr3:uid="{00000000-0010-0000-0100-000003000000}" name="Devise"/>
    <tableColumn id="4" xr3:uid="{00000000-0010-0000-0100-000004000000}" name="Famille"/>
    <tableColumn id="5" xr3:uid="{00000000-0010-0000-0100-000005000000}" name="Responsable"/>
    <tableColumn id="6" xr3:uid="{00000000-0010-0000-0100-000006000000}" name="Quantite"/>
    <tableColumn id="7" xr3:uid="{00000000-0010-0000-0100-000007000000}" name="Remise_Pct"/>
    <tableColumn id="8" xr3:uid="{00000000-0010-0000-0100-000008000000}" name="Montant_Local"/>
    <tableColumn id="9" xr3:uid="{00000000-0010-0000-0100-000009000000}" name="Taux_USD"/>
    <tableColumn id="10" xr3:uid="{00000000-0010-0000-0100-00000A000000}" name="Montant_US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Controle" displayName="t_Controle" ref="A1:F14">
  <autoFilter ref="A1:F14" xr:uid="{00000000-0009-0000-0100-000003000000}"/>
  <tableColumns count="6">
    <tableColumn id="1" xr3:uid="{00000000-0010-0000-0200-000001000000}" name="Fichier"/>
    <tableColumn id="2" xr3:uid="{00000000-0010-0000-0200-000002000000}" name="Format"/>
    <tableColumn id="3" xr3:uid="{00000000-0010-0000-0200-000003000000}" name="Lignes"/>
    <tableColumn id="4" xr3:uid="{00000000-0010-0000-0200-000004000000}" name="Montant_Local"/>
    <tableColumn id="5" xr3:uid="{00000000-0010-0000-0200-000005000000}" name="Lignes_sans_quantite"/>
    <tableColumn id="6" xr3:uid="{00000000-0010-0000-0200-000006000000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baseColWidth="10" defaultColWidth="8.83203125" defaultRowHeight="15" x14ac:dyDescent="0.2"/>
  <cols>
    <col min="1" max="1" width="66" customWidth="1"/>
    <col min="2" max="2" width="22" customWidth="1"/>
  </cols>
  <sheetData>
    <row r="1" spans="1:2" ht="19" x14ac:dyDescent="0.25">
      <c r="A1" s="1" t="s">
        <v>0</v>
      </c>
    </row>
    <row r="2" spans="1:2" x14ac:dyDescent="0.2">
      <c r="A2" s="2" t="s">
        <v>1</v>
      </c>
    </row>
    <row r="4" spans="1:2" x14ac:dyDescent="0.2">
      <c r="A4" s="3" t="s">
        <v>2</v>
      </c>
    </row>
    <row r="5" spans="1:2" x14ac:dyDescent="0.2">
      <c r="A5" s="4" t="s">
        <v>3</v>
      </c>
      <c r="B5" s="5">
        <f>ROWS(t_Controle[Fichier])</f>
        <v>13</v>
      </c>
    </row>
    <row r="6" spans="1:2" x14ac:dyDescent="0.2">
      <c r="A6" s="4" t="s">
        <v>4</v>
      </c>
      <c r="B6" s="5">
        <f>ROWS(t_Consolide[Mois])</f>
        <v>468</v>
      </c>
    </row>
    <row r="7" spans="1:2" x14ac:dyDescent="0.2">
      <c r="A7" s="4" t="s">
        <v>5</v>
      </c>
      <c r="B7" s="5">
        <f>COUNTA(_xlfn.UNIQUE(t_Consolide[Mois]))</f>
        <v>13</v>
      </c>
    </row>
    <row r="8" spans="1:2" x14ac:dyDescent="0.2">
      <c r="A8" s="4" t="s">
        <v>6</v>
      </c>
      <c r="B8" s="5">
        <f>COUNTA(_xlfn.UNIQUE(t_Consolide[Responsable]))</f>
        <v>6</v>
      </c>
    </row>
    <row r="9" spans="1:2" x14ac:dyDescent="0.2">
      <c r="A9" s="4" t="s">
        <v>7</v>
      </c>
      <c r="B9" s="6">
        <f>SUM(t_Consolide[Montant_USD])</f>
        <v>30398871.280000001</v>
      </c>
    </row>
    <row r="10" spans="1:2" x14ac:dyDescent="0.2">
      <c r="A10" s="4" t="s">
        <v>8</v>
      </c>
      <c r="B10" s="6">
        <f>SUMIFS(t_Consolide[Montant_USD],t_Consolide[Mois],DATE(2026,10,1))</f>
        <v>2376101.86</v>
      </c>
    </row>
    <row r="11" spans="1:2" x14ac:dyDescent="0.2">
      <c r="A11" s="4" t="s">
        <v>9</v>
      </c>
      <c r="B11" s="5">
        <f>ROWS(t_Consolide[Quantite])-COUNT(t_Consolide[Quantite])</f>
        <v>108</v>
      </c>
    </row>
    <row r="12" spans="1:2" x14ac:dyDescent="0.2">
      <c r="A12" s="4" t="s">
        <v>10</v>
      </c>
      <c r="B12" s="5">
        <f>COUNTIFS(t_Consolide[Remise_Pct],"&gt;0")</f>
        <v>141</v>
      </c>
    </row>
    <row r="13" spans="1:2" x14ac:dyDescent="0.2">
      <c r="A13" s="4" t="s">
        <v>11</v>
      </c>
      <c r="B13" s="6">
        <f>SUMIFS(t_Consolide[Montant_USD],t_Consolide[Agence],"Kinshasa")</f>
        <v>8254116.1600000001</v>
      </c>
    </row>
    <row r="14" spans="1:2" x14ac:dyDescent="0.2">
      <c r="A14" s="4" t="s">
        <v>12</v>
      </c>
      <c r="B14" s="6">
        <f>SUMPRODUCT(t_Consolide[Montant_USD],t_Consolide[Remise_Pct])</f>
        <v>284114.90169999987</v>
      </c>
    </row>
    <row r="15" spans="1:2" x14ac:dyDescent="0.2">
      <c r="A15" s="7" t="s">
        <v>13</v>
      </c>
      <c r="B15" s="8">
        <f>SUM(t_Consolide[Montant_Local])-SUM(t_Controle[Montant_Local])</f>
        <v>0</v>
      </c>
    </row>
    <row r="16" spans="1:2" x14ac:dyDescent="0.2">
      <c r="A16" s="7" t="s">
        <v>14</v>
      </c>
      <c r="B16" s="9">
        <f>$B$9-(SUMIFS(t_Consolide[Montant_USD],t_Consolide[Agence],"Kinshasa")+SUMIFS(t_Consolide[Montant_USD],t_Consolide[Agence],"Lubumbashi")+SUMIFS(t_Consolide[Montant_USD],t_Consolide[Agence],"Abidjan")+SUMIFS(t_Consolide[Montant_USD],t_Consolide[Agence],"Dakar")+SUMIFS(t_Consolide[Montant_USD],t_Consolide[Agence],"Douala")+SUMIFS(t_Consolide[Montant_USD],t_Consolide[Agence],"Libreville")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workbookViewId="0"/>
  </sheetViews>
  <sheetFormatPr baseColWidth="10" defaultColWidth="8.83203125" defaultRowHeight="15" x14ac:dyDescent="0.2"/>
  <cols>
    <col min="1" max="1" width="14" style="10" customWidth="1"/>
    <col min="2" max="2" width="10" customWidth="1"/>
    <col min="3" max="3" width="14" style="11" customWidth="1"/>
  </cols>
  <sheetData>
    <row r="1" spans="1:3" ht="22" customHeight="1" x14ac:dyDescent="0.2">
      <c r="A1" s="12" t="s">
        <v>15</v>
      </c>
      <c r="B1" s="12" t="s">
        <v>16</v>
      </c>
      <c r="C1" s="12" t="s">
        <v>17</v>
      </c>
    </row>
    <row r="2" spans="1:3" x14ac:dyDescent="0.2">
      <c r="A2" s="10">
        <v>45931</v>
      </c>
      <c r="B2" t="s">
        <v>18</v>
      </c>
      <c r="C2">
        <v>3137.91</v>
      </c>
    </row>
    <row r="3" spans="1:3" x14ac:dyDescent="0.2">
      <c r="A3" s="10">
        <v>45931</v>
      </c>
      <c r="B3" t="s">
        <v>19</v>
      </c>
      <c r="C3">
        <v>604.87</v>
      </c>
    </row>
    <row r="4" spans="1:3" x14ac:dyDescent="0.2">
      <c r="A4" s="10">
        <v>45931</v>
      </c>
      <c r="B4" t="s">
        <v>20</v>
      </c>
      <c r="C4">
        <v>607.01</v>
      </c>
    </row>
    <row r="5" spans="1:3" x14ac:dyDescent="0.2">
      <c r="A5" s="10">
        <v>45962</v>
      </c>
      <c r="B5" t="s">
        <v>18</v>
      </c>
      <c r="C5">
        <v>3157.87</v>
      </c>
    </row>
    <row r="6" spans="1:3" x14ac:dyDescent="0.2">
      <c r="A6" s="10">
        <v>45962</v>
      </c>
      <c r="B6" t="s">
        <v>19</v>
      </c>
      <c r="C6">
        <v>605.01</v>
      </c>
    </row>
    <row r="7" spans="1:3" x14ac:dyDescent="0.2">
      <c r="A7" s="10">
        <v>45962</v>
      </c>
      <c r="B7" t="s">
        <v>20</v>
      </c>
      <c r="C7">
        <v>607</v>
      </c>
    </row>
    <row r="8" spans="1:3" x14ac:dyDescent="0.2">
      <c r="A8" s="10">
        <v>45992</v>
      </c>
      <c r="B8" t="s">
        <v>18</v>
      </c>
      <c r="C8">
        <v>3186.39</v>
      </c>
    </row>
    <row r="9" spans="1:3" x14ac:dyDescent="0.2">
      <c r="A9" s="10">
        <v>45992</v>
      </c>
      <c r="B9" t="s">
        <v>19</v>
      </c>
      <c r="C9">
        <v>605.6</v>
      </c>
    </row>
    <row r="10" spans="1:3" x14ac:dyDescent="0.2">
      <c r="A10" s="10">
        <v>45992</v>
      </c>
      <c r="B10" t="s">
        <v>20</v>
      </c>
      <c r="C10">
        <v>605.28</v>
      </c>
    </row>
    <row r="11" spans="1:3" x14ac:dyDescent="0.2">
      <c r="A11" s="10">
        <v>46023</v>
      </c>
      <c r="B11" t="s">
        <v>18</v>
      </c>
      <c r="C11">
        <v>3212.12</v>
      </c>
    </row>
    <row r="12" spans="1:3" x14ac:dyDescent="0.2">
      <c r="A12" s="10">
        <v>46023</v>
      </c>
      <c r="B12" t="s">
        <v>19</v>
      </c>
      <c r="C12">
        <v>607.72</v>
      </c>
    </row>
    <row r="13" spans="1:3" x14ac:dyDescent="0.2">
      <c r="A13" s="10">
        <v>46023</v>
      </c>
      <c r="B13" t="s">
        <v>20</v>
      </c>
      <c r="C13">
        <v>606.49</v>
      </c>
    </row>
    <row r="14" spans="1:3" x14ac:dyDescent="0.2">
      <c r="A14" s="10">
        <v>46054</v>
      </c>
      <c r="B14" t="s">
        <v>18</v>
      </c>
      <c r="C14">
        <v>3237.47</v>
      </c>
    </row>
    <row r="15" spans="1:3" x14ac:dyDescent="0.2">
      <c r="A15" s="10">
        <v>46054</v>
      </c>
      <c r="B15" t="s">
        <v>19</v>
      </c>
      <c r="C15">
        <v>610.86</v>
      </c>
    </row>
    <row r="16" spans="1:3" x14ac:dyDescent="0.2">
      <c r="A16" s="10">
        <v>46054</v>
      </c>
      <c r="B16" t="s">
        <v>20</v>
      </c>
      <c r="C16">
        <v>605.64</v>
      </c>
    </row>
    <row r="17" spans="1:3" x14ac:dyDescent="0.2">
      <c r="A17" s="10">
        <v>46082</v>
      </c>
      <c r="B17" t="s">
        <v>18</v>
      </c>
      <c r="C17">
        <v>3260.26</v>
      </c>
    </row>
    <row r="18" spans="1:3" x14ac:dyDescent="0.2">
      <c r="A18" s="10">
        <v>46082</v>
      </c>
      <c r="B18" t="s">
        <v>19</v>
      </c>
      <c r="C18">
        <v>614.08000000000004</v>
      </c>
    </row>
    <row r="19" spans="1:3" x14ac:dyDescent="0.2">
      <c r="A19" s="10">
        <v>46082</v>
      </c>
      <c r="B19" t="s">
        <v>20</v>
      </c>
      <c r="C19">
        <v>606.12</v>
      </c>
    </row>
    <row r="20" spans="1:3" x14ac:dyDescent="0.2">
      <c r="A20" s="10">
        <v>46113</v>
      </c>
      <c r="B20" t="s">
        <v>18</v>
      </c>
      <c r="C20">
        <v>3287.05</v>
      </c>
    </row>
    <row r="21" spans="1:3" x14ac:dyDescent="0.2">
      <c r="A21" s="10">
        <v>46113</v>
      </c>
      <c r="B21" t="s">
        <v>19</v>
      </c>
      <c r="C21">
        <v>611.78</v>
      </c>
    </row>
    <row r="22" spans="1:3" x14ac:dyDescent="0.2">
      <c r="A22" s="10">
        <v>46113</v>
      </c>
      <c r="B22" t="s">
        <v>20</v>
      </c>
      <c r="C22">
        <v>605.04999999999995</v>
      </c>
    </row>
    <row r="23" spans="1:3" x14ac:dyDescent="0.2">
      <c r="A23" s="10">
        <v>46143</v>
      </c>
      <c r="B23" t="s">
        <v>18</v>
      </c>
      <c r="C23">
        <v>3298.71</v>
      </c>
    </row>
    <row r="24" spans="1:3" x14ac:dyDescent="0.2">
      <c r="A24" s="10">
        <v>46143</v>
      </c>
      <c r="B24" t="s">
        <v>19</v>
      </c>
      <c r="C24">
        <v>609.63</v>
      </c>
    </row>
    <row r="25" spans="1:3" x14ac:dyDescent="0.2">
      <c r="A25" s="10">
        <v>46143</v>
      </c>
      <c r="B25" t="s">
        <v>20</v>
      </c>
      <c r="C25">
        <v>606.9</v>
      </c>
    </row>
    <row r="26" spans="1:3" x14ac:dyDescent="0.2">
      <c r="A26" s="10">
        <v>46174</v>
      </c>
      <c r="B26" t="s">
        <v>18</v>
      </c>
      <c r="C26">
        <v>3340.41</v>
      </c>
    </row>
    <row r="27" spans="1:3" x14ac:dyDescent="0.2">
      <c r="A27" s="10">
        <v>46174</v>
      </c>
      <c r="B27" t="s">
        <v>19</v>
      </c>
      <c r="C27">
        <v>607.82000000000005</v>
      </c>
    </row>
    <row r="28" spans="1:3" x14ac:dyDescent="0.2">
      <c r="A28" s="10">
        <v>46174</v>
      </c>
      <c r="B28" t="s">
        <v>20</v>
      </c>
      <c r="C28">
        <v>608.24</v>
      </c>
    </row>
    <row r="29" spans="1:3" x14ac:dyDescent="0.2">
      <c r="A29" s="10">
        <v>46204</v>
      </c>
      <c r="B29" t="s">
        <v>18</v>
      </c>
      <c r="C29">
        <v>3365.93</v>
      </c>
    </row>
    <row r="30" spans="1:3" x14ac:dyDescent="0.2">
      <c r="A30" s="10">
        <v>46204</v>
      </c>
      <c r="B30" t="s">
        <v>19</v>
      </c>
      <c r="C30">
        <v>608.30999999999995</v>
      </c>
    </row>
    <row r="31" spans="1:3" x14ac:dyDescent="0.2">
      <c r="A31" s="10">
        <v>46204</v>
      </c>
      <c r="B31" t="s">
        <v>20</v>
      </c>
      <c r="C31">
        <v>607.20000000000005</v>
      </c>
    </row>
    <row r="32" spans="1:3" x14ac:dyDescent="0.2">
      <c r="A32" s="10">
        <v>46235</v>
      </c>
      <c r="B32" t="s">
        <v>18</v>
      </c>
      <c r="C32">
        <v>3408.45</v>
      </c>
    </row>
    <row r="33" spans="1:3" x14ac:dyDescent="0.2">
      <c r="A33" s="10">
        <v>46235</v>
      </c>
      <c r="B33" t="s">
        <v>19</v>
      </c>
      <c r="C33">
        <v>609.69000000000005</v>
      </c>
    </row>
    <row r="34" spans="1:3" x14ac:dyDescent="0.2">
      <c r="A34" s="10">
        <v>46235</v>
      </c>
      <c r="B34" t="s">
        <v>20</v>
      </c>
      <c r="C34">
        <v>607.54999999999995</v>
      </c>
    </row>
    <row r="35" spans="1:3" x14ac:dyDescent="0.2">
      <c r="A35" s="10">
        <v>46266</v>
      </c>
      <c r="B35" t="s">
        <v>18</v>
      </c>
      <c r="C35">
        <v>3434.47</v>
      </c>
    </row>
    <row r="36" spans="1:3" x14ac:dyDescent="0.2">
      <c r="A36" s="10">
        <v>46266</v>
      </c>
      <c r="B36" t="s">
        <v>19</v>
      </c>
      <c r="C36">
        <v>612.91999999999996</v>
      </c>
    </row>
    <row r="37" spans="1:3" x14ac:dyDescent="0.2">
      <c r="A37" s="10">
        <v>46266</v>
      </c>
      <c r="B37" t="s">
        <v>20</v>
      </c>
      <c r="C37">
        <v>611.12</v>
      </c>
    </row>
    <row r="38" spans="1:3" x14ac:dyDescent="0.2">
      <c r="A38" s="10">
        <v>46296</v>
      </c>
      <c r="B38" t="s">
        <v>18</v>
      </c>
      <c r="C38">
        <v>3448.21</v>
      </c>
    </row>
    <row r="39" spans="1:3" x14ac:dyDescent="0.2">
      <c r="A39" s="10">
        <v>46296</v>
      </c>
      <c r="B39" t="s">
        <v>19</v>
      </c>
      <c r="C39">
        <v>615.37</v>
      </c>
    </row>
    <row r="40" spans="1:3" x14ac:dyDescent="0.2">
      <c r="A40" s="10">
        <v>46296</v>
      </c>
      <c r="B40" t="s">
        <v>20</v>
      </c>
      <c r="C40">
        <v>613.55999999999995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style="10" customWidth="1"/>
    <col min="2" max="2" width="14" customWidth="1"/>
    <col min="3" max="3" width="9" customWidth="1"/>
    <col min="4" max="4" width="14" customWidth="1"/>
    <col min="5" max="5" width="18" customWidth="1"/>
    <col min="6" max="6" width="11" style="13" customWidth="1"/>
    <col min="7" max="7" width="11" style="14" customWidth="1"/>
    <col min="8" max="8" width="17" style="11" customWidth="1"/>
    <col min="9" max="9" width="11" style="11" customWidth="1"/>
    <col min="10" max="10" width="15" style="15" customWidth="1"/>
  </cols>
  <sheetData>
    <row r="1" spans="1:10" ht="22" customHeight="1" x14ac:dyDescent="0.2">
      <c r="A1" s="12" t="s">
        <v>15</v>
      </c>
      <c r="B1" s="12" t="s">
        <v>21</v>
      </c>
      <c r="C1" s="12" t="s">
        <v>16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17</v>
      </c>
      <c r="J1" s="12" t="s">
        <v>27</v>
      </c>
    </row>
    <row r="2" spans="1:10" x14ac:dyDescent="0.2">
      <c r="A2" s="16">
        <v>45931</v>
      </c>
      <c r="B2" t="s">
        <v>28</v>
      </c>
      <c r="C2" t="s">
        <v>18</v>
      </c>
      <c r="D2" t="s">
        <v>29</v>
      </c>
      <c r="E2" t="s">
        <v>30</v>
      </c>
      <c r="F2">
        <v>5245</v>
      </c>
      <c r="H2">
        <v>420227711.33999997</v>
      </c>
      <c r="I2">
        <v>3137.91</v>
      </c>
      <c r="J2">
        <v>133919.62</v>
      </c>
    </row>
    <row r="3" spans="1:10" x14ac:dyDescent="0.2">
      <c r="A3" s="16">
        <v>45931</v>
      </c>
      <c r="B3" t="s">
        <v>28</v>
      </c>
      <c r="C3" t="s">
        <v>18</v>
      </c>
      <c r="D3" t="s">
        <v>31</v>
      </c>
      <c r="E3" t="s">
        <v>30</v>
      </c>
      <c r="F3">
        <v>3741</v>
      </c>
      <c r="H3">
        <v>625088450.75999999</v>
      </c>
      <c r="I3">
        <v>3137.91</v>
      </c>
      <c r="J3">
        <v>199205.35</v>
      </c>
    </row>
    <row r="4" spans="1:10" x14ac:dyDescent="0.2">
      <c r="A4" s="16">
        <v>45931</v>
      </c>
      <c r="B4" t="s">
        <v>28</v>
      </c>
      <c r="C4" t="s">
        <v>18</v>
      </c>
      <c r="D4" t="s">
        <v>32</v>
      </c>
      <c r="E4" t="s">
        <v>30</v>
      </c>
      <c r="F4">
        <v>3050</v>
      </c>
      <c r="H4">
        <v>318836284.00999999</v>
      </c>
      <c r="I4">
        <v>3137.91</v>
      </c>
      <c r="J4">
        <v>101607.85</v>
      </c>
    </row>
    <row r="5" spans="1:10" x14ac:dyDescent="0.2">
      <c r="A5" s="16">
        <v>45931</v>
      </c>
      <c r="B5" t="s">
        <v>28</v>
      </c>
      <c r="C5" t="s">
        <v>18</v>
      </c>
      <c r="D5" t="s">
        <v>33</v>
      </c>
      <c r="E5" t="s">
        <v>30</v>
      </c>
      <c r="F5">
        <v>4328</v>
      </c>
      <c r="H5">
        <v>224281711.96000001</v>
      </c>
      <c r="I5">
        <v>3137.91</v>
      </c>
      <c r="J5">
        <v>71474.87</v>
      </c>
    </row>
    <row r="6" spans="1:10" x14ac:dyDescent="0.2">
      <c r="A6" s="16">
        <v>45931</v>
      </c>
      <c r="B6" t="s">
        <v>28</v>
      </c>
      <c r="C6" t="s">
        <v>18</v>
      </c>
      <c r="D6" t="s">
        <v>34</v>
      </c>
      <c r="E6" t="s">
        <v>30</v>
      </c>
      <c r="F6">
        <v>5162</v>
      </c>
      <c r="H6">
        <v>215762653</v>
      </c>
      <c r="I6">
        <v>3137.91</v>
      </c>
      <c r="J6">
        <v>68759.990000000005</v>
      </c>
    </row>
    <row r="7" spans="1:10" x14ac:dyDescent="0.2">
      <c r="A7" s="16">
        <v>45931</v>
      </c>
      <c r="B7" t="s">
        <v>28</v>
      </c>
      <c r="C7" t="s">
        <v>18</v>
      </c>
      <c r="D7" t="s">
        <v>35</v>
      </c>
      <c r="E7" t="s">
        <v>30</v>
      </c>
      <c r="F7">
        <v>3376</v>
      </c>
      <c r="H7">
        <v>224101189.75</v>
      </c>
      <c r="I7">
        <v>3137.91</v>
      </c>
      <c r="J7">
        <v>71417.34</v>
      </c>
    </row>
    <row r="8" spans="1:10" x14ac:dyDescent="0.2">
      <c r="A8" s="16">
        <v>45931</v>
      </c>
      <c r="B8" t="s">
        <v>36</v>
      </c>
      <c r="C8" t="s">
        <v>18</v>
      </c>
      <c r="D8" t="s">
        <v>29</v>
      </c>
      <c r="E8" t="s">
        <v>37</v>
      </c>
      <c r="F8">
        <v>2865</v>
      </c>
      <c r="H8">
        <v>235067507.06</v>
      </c>
      <c r="I8">
        <v>3137.91</v>
      </c>
      <c r="J8">
        <v>74912.13</v>
      </c>
    </row>
    <row r="9" spans="1:10" x14ac:dyDescent="0.2">
      <c r="A9" s="16">
        <v>45931</v>
      </c>
      <c r="B9" t="s">
        <v>36</v>
      </c>
      <c r="C9" t="s">
        <v>18</v>
      </c>
      <c r="D9" t="s">
        <v>31</v>
      </c>
      <c r="E9" t="s">
        <v>37</v>
      </c>
      <c r="F9">
        <v>1652</v>
      </c>
      <c r="H9">
        <v>287675840.29000002</v>
      </c>
      <c r="I9">
        <v>3137.91</v>
      </c>
      <c r="J9">
        <v>91677.53</v>
      </c>
    </row>
    <row r="10" spans="1:10" x14ac:dyDescent="0.2">
      <c r="A10" s="16">
        <v>45931</v>
      </c>
      <c r="B10" t="s">
        <v>36</v>
      </c>
      <c r="C10" t="s">
        <v>18</v>
      </c>
      <c r="D10" t="s">
        <v>32</v>
      </c>
      <c r="E10" t="s">
        <v>37</v>
      </c>
      <c r="F10">
        <v>1669</v>
      </c>
      <c r="H10">
        <v>183496694.40000001</v>
      </c>
      <c r="I10">
        <v>3137.91</v>
      </c>
      <c r="J10">
        <v>58477.36</v>
      </c>
    </row>
    <row r="11" spans="1:10" x14ac:dyDescent="0.2">
      <c r="A11" s="16">
        <v>45931</v>
      </c>
      <c r="B11" t="s">
        <v>36</v>
      </c>
      <c r="C11" t="s">
        <v>18</v>
      </c>
      <c r="D11" t="s">
        <v>33</v>
      </c>
      <c r="E11" t="s">
        <v>37</v>
      </c>
      <c r="F11">
        <v>2767</v>
      </c>
      <c r="H11">
        <v>142042198.72999999</v>
      </c>
      <c r="I11">
        <v>3137.91</v>
      </c>
      <c r="J11">
        <v>45266.5</v>
      </c>
    </row>
    <row r="12" spans="1:10" x14ac:dyDescent="0.2">
      <c r="A12" s="16">
        <v>45931</v>
      </c>
      <c r="B12" t="s">
        <v>36</v>
      </c>
      <c r="C12" t="s">
        <v>18</v>
      </c>
      <c r="D12" t="s">
        <v>34</v>
      </c>
      <c r="E12" t="s">
        <v>37</v>
      </c>
      <c r="F12">
        <v>3525</v>
      </c>
      <c r="H12">
        <v>144942113.33000001</v>
      </c>
      <c r="I12">
        <v>3137.91</v>
      </c>
      <c r="J12">
        <v>46190.65</v>
      </c>
    </row>
    <row r="13" spans="1:10" x14ac:dyDescent="0.2">
      <c r="A13" s="16">
        <v>45931</v>
      </c>
      <c r="B13" t="s">
        <v>36</v>
      </c>
      <c r="C13" t="s">
        <v>18</v>
      </c>
      <c r="D13" t="s">
        <v>35</v>
      </c>
      <c r="E13" t="s">
        <v>37</v>
      </c>
      <c r="F13">
        <v>1982</v>
      </c>
      <c r="H13">
        <v>132712724.36</v>
      </c>
      <c r="I13">
        <v>3137.91</v>
      </c>
      <c r="J13">
        <v>42293.35</v>
      </c>
    </row>
    <row r="14" spans="1:10" x14ac:dyDescent="0.2">
      <c r="A14" s="16">
        <v>45931</v>
      </c>
      <c r="B14" t="s">
        <v>38</v>
      </c>
      <c r="C14" t="s">
        <v>19</v>
      </c>
      <c r="D14" t="s">
        <v>29</v>
      </c>
      <c r="E14" t="s">
        <v>39</v>
      </c>
      <c r="F14">
        <v>3013</v>
      </c>
      <c r="H14">
        <v>48160984.539999999</v>
      </c>
      <c r="I14">
        <v>604.87</v>
      </c>
      <c r="J14">
        <v>79622.039999999994</v>
      </c>
    </row>
    <row r="15" spans="1:10" x14ac:dyDescent="0.2">
      <c r="A15" s="16">
        <v>45931</v>
      </c>
      <c r="B15" t="s">
        <v>38</v>
      </c>
      <c r="C15" t="s">
        <v>19</v>
      </c>
      <c r="D15" t="s">
        <v>31</v>
      </c>
      <c r="E15" t="s">
        <v>39</v>
      </c>
      <c r="F15">
        <v>1673</v>
      </c>
      <c r="H15">
        <v>51354163.689999998</v>
      </c>
      <c r="I15">
        <v>604.87</v>
      </c>
      <c r="J15">
        <v>84901.16</v>
      </c>
    </row>
    <row r="16" spans="1:10" x14ac:dyDescent="0.2">
      <c r="A16" s="16">
        <v>45931</v>
      </c>
      <c r="B16" t="s">
        <v>38</v>
      </c>
      <c r="C16" t="s">
        <v>19</v>
      </c>
      <c r="D16" t="s">
        <v>32</v>
      </c>
      <c r="E16" t="s">
        <v>39</v>
      </c>
      <c r="F16">
        <v>2011</v>
      </c>
      <c r="H16">
        <v>42528666.350000001</v>
      </c>
      <c r="I16">
        <v>604.87</v>
      </c>
      <c r="J16">
        <v>70310.42</v>
      </c>
    </row>
    <row r="17" spans="1:10" x14ac:dyDescent="0.2">
      <c r="A17" s="16">
        <v>45931</v>
      </c>
      <c r="B17" t="s">
        <v>38</v>
      </c>
      <c r="C17" t="s">
        <v>19</v>
      </c>
      <c r="D17" t="s">
        <v>33</v>
      </c>
      <c r="E17" t="s">
        <v>39</v>
      </c>
      <c r="F17">
        <v>3205</v>
      </c>
      <c r="H17">
        <v>30341909.390000001</v>
      </c>
      <c r="I17">
        <v>604.87</v>
      </c>
      <c r="J17">
        <v>50162.7</v>
      </c>
    </row>
    <row r="18" spans="1:10" x14ac:dyDescent="0.2">
      <c r="A18" s="16">
        <v>45931</v>
      </c>
      <c r="B18" t="s">
        <v>38</v>
      </c>
      <c r="C18" t="s">
        <v>19</v>
      </c>
      <c r="D18" t="s">
        <v>34</v>
      </c>
      <c r="E18" t="s">
        <v>39</v>
      </c>
      <c r="F18">
        <v>3145</v>
      </c>
      <c r="H18">
        <v>24120912.300000001</v>
      </c>
      <c r="I18">
        <v>604.87</v>
      </c>
      <c r="J18">
        <v>39877.85</v>
      </c>
    </row>
    <row r="19" spans="1:10" x14ac:dyDescent="0.2">
      <c r="A19" s="16">
        <v>45931</v>
      </c>
      <c r="B19" t="s">
        <v>38</v>
      </c>
      <c r="C19" t="s">
        <v>19</v>
      </c>
      <c r="D19" t="s">
        <v>35</v>
      </c>
      <c r="E19" t="s">
        <v>39</v>
      </c>
      <c r="F19">
        <v>2356</v>
      </c>
      <c r="H19">
        <v>29088047.890000001</v>
      </c>
      <c r="I19">
        <v>604.87</v>
      </c>
      <c r="J19">
        <v>48089.75</v>
      </c>
    </row>
    <row r="20" spans="1:10" x14ac:dyDescent="0.2">
      <c r="A20" s="16">
        <v>45931</v>
      </c>
      <c r="B20" t="s">
        <v>40</v>
      </c>
      <c r="C20" t="s">
        <v>19</v>
      </c>
      <c r="D20" t="s">
        <v>29</v>
      </c>
      <c r="E20" t="s">
        <v>41</v>
      </c>
      <c r="F20">
        <v>2400</v>
      </c>
      <c r="H20">
        <v>36500114.93</v>
      </c>
      <c r="I20">
        <v>604.87</v>
      </c>
      <c r="J20">
        <v>60343.73</v>
      </c>
    </row>
    <row r="21" spans="1:10" x14ac:dyDescent="0.2">
      <c r="A21" s="16">
        <v>45931</v>
      </c>
      <c r="B21" t="s">
        <v>40</v>
      </c>
      <c r="C21" t="s">
        <v>19</v>
      </c>
      <c r="D21" t="s">
        <v>31</v>
      </c>
      <c r="E21" t="s">
        <v>41</v>
      </c>
      <c r="F21">
        <v>1672</v>
      </c>
      <c r="H21">
        <v>57634900.32</v>
      </c>
      <c r="I21">
        <v>604.87</v>
      </c>
      <c r="J21">
        <v>95284.77</v>
      </c>
    </row>
    <row r="22" spans="1:10" x14ac:dyDescent="0.2">
      <c r="A22" s="16">
        <v>45931</v>
      </c>
      <c r="B22" t="s">
        <v>40</v>
      </c>
      <c r="C22" t="s">
        <v>19</v>
      </c>
      <c r="D22" t="s">
        <v>32</v>
      </c>
      <c r="E22" t="s">
        <v>41</v>
      </c>
      <c r="F22">
        <v>1841</v>
      </c>
      <c r="H22">
        <v>38080286.43</v>
      </c>
      <c r="I22">
        <v>604.87</v>
      </c>
      <c r="J22">
        <v>62956.15</v>
      </c>
    </row>
    <row r="23" spans="1:10" x14ac:dyDescent="0.2">
      <c r="A23" s="16">
        <v>45931</v>
      </c>
      <c r="B23" t="s">
        <v>40</v>
      </c>
      <c r="C23" t="s">
        <v>19</v>
      </c>
      <c r="D23" t="s">
        <v>33</v>
      </c>
      <c r="E23" t="s">
        <v>41</v>
      </c>
      <c r="F23">
        <v>2183</v>
      </c>
      <c r="H23">
        <v>20769503.440000001</v>
      </c>
      <c r="I23">
        <v>604.87</v>
      </c>
      <c r="J23">
        <v>34337.14</v>
      </c>
    </row>
    <row r="24" spans="1:10" x14ac:dyDescent="0.2">
      <c r="A24" s="16">
        <v>45931</v>
      </c>
      <c r="B24" t="s">
        <v>40</v>
      </c>
      <c r="C24" t="s">
        <v>19</v>
      </c>
      <c r="D24" t="s">
        <v>34</v>
      </c>
      <c r="E24" t="s">
        <v>41</v>
      </c>
      <c r="F24">
        <v>2432</v>
      </c>
      <c r="H24">
        <v>19042693.309999999</v>
      </c>
      <c r="I24">
        <v>604.87</v>
      </c>
      <c r="J24">
        <v>31482.29</v>
      </c>
    </row>
    <row r="25" spans="1:10" x14ac:dyDescent="0.2">
      <c r="A25" s="16">
        <v>45931</v>
      </c>
      <c r="B25" t="s">
        <v>40</v>
      </c>
      <c r="C25" t="s">
        <v>19</v>
      </c>
      <c r="D25" t="s">
        <v>35</v>
      </c>
      <c r="E25" t="s">
        <v>41</v>
      </c>
      <c r="F25">
        <v>1580</v>
      </c>
      <c r="H25">
        <v>19205555.48</v>
      </c>
      <c r="I25">
        <v>604.87</v>
      </c>
      <c r="J25">
        <v>31751.54</v>
      </c>
    </row>
    <row r="26" spans="1:10" x14ac:dyDescent="0.2">
      <c r="A26" s="16">
        <v>45931</v>
      </c>
      <c r="B26" t="s">
        <v>42</v>
      </c>
      <c r="C26" t="s">
        <v>20</v>
      </c>
      <c r="D26" t="s">
        <v>29</v>
      </c>
      <c r="E26" t="s">
        <v>43</v>
      </c>
      <c r="F26">
        <v>2650</v>
      </c>
      <c r="H26">
        <v>42383064.770000003</v>
      </c>
      <c r="I26">
        <v>607.01</v>
      </c>
      <c r="J26">
        <v>69822.679999999993</v>
      </c>
    </row>
    <row r="27" spans="1:10" x14ac:dyDescent="0.2">
      <c r="A27" s="16">
        <v>45931</v>
      </c>
      <c r="B27" t="s">
        <v>42</v>
      </c>
      <c r="C27" t="s">
        <v>20</v>
      </c>
      <c r="D27" t="s">
        <v>31</v>
      </c>
      <c r="E27" t="s">
        <v>43</v>
      </c>
      <c r="F27">
        <v>1993</v>
      </c>
      <c r="H27">
        <v>66605421.07</v>
      </c>
      <c r="I27">
        <v>607.01</v>
      </c>
      <c r="J27">
        <v>109727.06</v>
      </c>
    </row>
    <row r="28" spans="1:10" x14ac:dyDescent="0.2">
      <c r="A28" s="16">
        <v>45931</v>
      </c>
      <c r="B28" t="s">
        <v>42</v>
      </c>
      <c r="C28" t="s">
        <v>20</v>
      </c>
      <c r="D28" t="s">
        <v>32</v>
      </c>
      <c r="E28" t="s">
        <v>43</v>
      </c>
      <c r="F28">
        <v>1457</v>
      </c>
      <c r="H28">
        <v>29609688.600000001</v>
      </c>
      <c r="I28">
        <v>607.01</v>
      </c>
      <c r="J28">
        <v>48779.57</v>
      </c>
    </row>
    <row r="29" spans="1:10" x14ac:dyDescent="0.2">
      <c r="A29" s="16">
        <v>45931</v>
      </c>
      <c r="B29" t="s">
        <v>42</v>
      </c>
      <c r="C29" t="s">
        <v>20</v>
      </c>
      <c r="D29" t="s">
        <v>33</v>
      </c>
      <c r="E29" t="s">
        <v>43</v>
      </c>
      <c r="F29">
        <v>3082</v>
      </c>
      <c r="H29">
        <v>29794767.469999999</v>
      </c>
      <c r="I29">
        <v>607.01</v>
      </c>
      <c r="J29">
        <v>49084.480000000003</v>
      </c>
    </row>
    <row r="30" spans="1:10" x14ac:dyDescent="0.2">
      <c r="A30" s="16">
        <v>45931</v>
      </c>
      <c r="B30" t="s">
        <v>42</v>
      </c>
      <c r="C30" t="s">
        <v>20</v>
      </c>
      <c r="D30" t="s">
        <v>34</v>
      </c>
      <c r="E30" t="s">
        <v>43</v>
      </c>
      <c r="F30">
        <v>4083</v>
      </c>
      <c r="H30">
        <v>32182393.670000002</v>
      </c>
      <c r="I30">
        <v>607.01</v>
      </c>
      <c r="J30">
        <v>53017.9</v>
      </c>
    </row>
    <row r="31" spans="1:10" x14ac:dyDescent="0.2">
      <c r="A31" s="16">
        <v>45931</v>
      </c>
      <c r="B31" t="s">
        <v>42</v>
      </c>
      <c r="C31" t="s">
        <v>20</v>
      </c>
      <c r="D31" t="s">
        <v>35</v>
      </c>
      <c r="E31" t="s">
        <v>43</v>
      </c>
      <c r="F31">
        <v>1639</v>
      </c>
      <c r="H31">
        <v>20228071.23</v>
      </c>
      <c r="I31">
        <v>607.01</v>
      </c>
      <c r="J31">
        <v>33324.120000000003</v>
      </c>
    </row>
    <row r="32" spans="1:10" x14ac:dyDescent="0.2">
      <c r="A32" s="16">
        <v>45931</v>
      </c>
      <c r="B32" t="s">
        <v>44</v>
      </c>
      <c r="C32" t="s">
        <v>20</v>
      </c>
      <c r="D32" t="s">
        <v>29</v>
      </c>
      <c r="E32" t="s">
        <v>45</v>
      </c>
      <c r="F32">
        <v>2123</v>
      </c>
      <c r="H32">
        <v>33972429.509999998</v>
      </c>
      <c r="I32">
        <v>607.01</v>
      </c>
      <c r="J32">
        <v>55966.84</v>
      </c>
    </row>
    <row r="33" spans="1:10" x14ac:dyDescent="0.2">
      <c r="A33" s="16">
        <v>45931</v>
      </c>
      <c r="B33" t="s">
        <v>44</v>
      </c>
      <c r="C33" t="s">
        <v>20</v>
      </c>
      <c r="D33" t="s">
        <v>31</v>
      </c>
      <c r="E33" t="s">
        <v>45</v>
      </c>
      <c r="F33">
        <v>1076</v>
      </c>
      <c r="H33">
        <v>31144155.260000002</v>
      </c>
      <c r="I33">
        <v>607.01</v>
      </c>
      <c r="J33">
        <v>51307.48</v>
      </c>
    </row>
    <row r="34" spans="1:10" x14ac:dyDescent="0.2">
      <c r="A34" s="16">
        <v>45931</v>
      </c>
      <c r="B34" t="s">
        <v>44</v>
      </c>
      <c r="C34" t="s">
        <v>20</v>
      </c>
      <c r="D34" t="s">
        <v>32</v>
      </c>
      <c r="E34" t="s">
        <v>45</v>
      </c>
      <c r="F34">
        <v>1225</v>
      </c>
      <c r="H34">
        <v>26052964.390000001</v>
      </c>
      <c r="I34">
        <v>607.01</v>
      </c>
      <c r="J34">
        <v>42920.160000000003</v>
      </c>
    </row>
    <row r="35" spans="1:10" x14ac:dyDescent="0.2">
      <c r="A35" s="16">
        <v>45931</v>
      </c>
      <c r="B35" t="s">
        <v>44</v>
      </c>
      <c r="C35" t="s">
        <v>20</v>
      </c>
      <c r="D35" t="s">
        <v>33</v>
      </c>
      <c r="E35" t="s">
        <v>45</v>
      </c>
      <c r="F35">
        <v>1763</v>
      </c>
      <c r="H35">
        <v>17190299.41</v>
      </c>
      <c r="I35">
        <v>607.01</v>
      </c>
      <c r="J35">
        <v>28319.63</v>
      </c>
    </row>
    <row r="36" spans="1:10" x14ac:dyDescent="0.2">
      <c r="A36" s="16">
        <v>45931</v>
      </c>
      <c r="B36" t="s">
        <v>44</v>
      </c>
      <c r="C36" t="s">
        <v>20</v>
      </c>
      <c r="D36" t="s">
        <v>34</v>
      </c>
      <c r="E36" t="s">
        <v>45</v>
      </c>
      <c r="F36">
        <v>1878</v>
      </c>
      <c r="H36">
        <v>15009535.529999999</v>
      </c>
      <c r="I36">
        <v>607.01</v>
      </c>
      <c r="J36">
        <v>24727</v>
      </c>
    </row>
    <row r="37" spans="1:10" x14ac:dyDescent="0.2">
      <c r="A37" s="16">
        <v>45931</v>
      </c>
      <c r="B37" t="s">
        <v>44</v>
      </c>
      <c r="C37" t="s">
        <v>20</v>
      </c>
      <c r="D37" t="s">
        <v>35</v>
      </c>
      <c r="E37" t="s">
        <v>45</v>
      </c>
      <c r="F37">
        <v>1525</v>
      </c>
      <c r="H37">
        <v>19366724.829999998</v>
      </c>
      <c r="I37">
        <v>607.01</v>
      </c>
      <c r="J37">
        <v>31905.119999999999</v>
      </c>
    </row>
    <row r="38" spans="1:10" x14ac:dyDescent="0.2">
      <c r="A38" s="16">
        <v>45962</v>
      </c>
      <c r="B38" t="s">
        <v>28</v>
      </c>
      <c r="C38" t="s">
        <v>18</v>
      </c>
      <c r="D38" t="s">
        <v>29</v>
      </c>
      <c r="E38" t="s">
        <v>30</v>
      </c>
      <c r="F38">
        <v>5284</v>
      </c>
      <c r="H38">
        <v>441116444.94999999</v>
      </c>
      <c r="I38">
        <v>3157.87</v>
      </c>
      <c r="J38">
        <v>139687.97</v>
      </c>
    </row>
    <row r="39" spans="1:10" x14ac:dyDescent="0.2">
      <c r="A39" s="16">
        <v>45962</v>
      </c>
      <c r="B39" t="s">
        <v>28</v>
      </c>
      <c r="C39" t="s">
        <v>18</v>
      </c>
      <c r="D39" t="s">
        <v>31</v>
      </c>
      <c r="E39" t="s">
        <v>30</v>
      </c>
      <c r="F39">
        <v>3561</v>
      </c>
      <c r="H39">
        <v>578291607.16999996</v>
      </c>
      <c r="I39">
        <v>3157.87</v>
      </c>
      <c r="J39">
        <v>183127.11</v>
      </c>
    </row>
    <row r="40" spans="1:10" x14ac:dyDescent="0.2">
      <c r="A40" s="16">
        <v>45962</v>
      </c>
      <c r="B40" t="s">
        <v>28</v>
      </c>
      <c r="C40" t="s">
        <v>18</v>
      </c>
      <c r="D40" t="s">
        <v>32</v>
      </c>
      <c r="E40" t="s">
        <v>30</v>
      </c>
      <c r="F40">
        <v>3369</v>
      </c>
      <c r="H40">
        <v>361801954.56999999</v>
      </c>
      <c r="I40">
        <v>3157.87</v>
      </c>
      <c r="J40">
        <v>114571.52</v>
      </c>
    </row>
    <row r="41" spans="1:10" x14ac:dyDescent="0.2">
      <c r="A41" s="16">
        <v>45962</v>
      </c>
      <c r="B41" t="s">
        <v>28</v>
      </c>
      <c r="C41" t="s">
        <v>18</v>
      </c>
      <c r="D41" t="s">
        <v>33</v>
      </c>
      <c r="E41" t="s">
        <v>30</v>
      </c>
      <c r="F41">
        <v>4752</v>
      </c>
      <c r="H41">
        <v>244776536.44</v>
      </c>
      <c r="I41">
        <v>3157.87</v>
      </c>
      <c r="J41">
        <v>77513.179999999993</v>
      </c>
    </row>
    <row r="42" spans="1:10" x14ac:dyDescent="0.2">
      <c r="A42" s="16">
        <v>45962</v>
      </c>
      <c r="B42" t="s">
        <v>28</v>
      </c>
      <c r="C42" t="s">
        <v>18</v>
      </c>
      <c r="D42" t="s">
        <v>34</v>
      </c>
      <c r="E42" t="s">
        <v>30</v>
      </c>
      <c r="F42">
        <v>4729</v>
      </c>
      <c r="H42">
        <v>185488896.72999999</v>
      </c>
      <c r="I42">
        <v>3157.87</v>
      </c>
      <c r="J42">
        <v>58738.61</v>
      </c>
    </row>
    <row r="43" spans="1:10" x14ac:dyDescent="0.2">
      <c r="A43" s="16">
        <v>45962</v>
      </c>
      <c r="B43" t="s">
        <v>28</v>
      </c>
      <c r="C43" t="s">
        <v>18</v>
      </c>
      <c r="D43" t="s">
        <v>35</v>
      </c>
      <c r="E43" t="s">
        <v>30</v>
      </c>
      <c r="F43">
        <v>4227</v>
      </c>
      <c r="H43">
        <v>274132529.18000001</v>
      </c>
      <c r="I43">
        <v>3157.87</v>
      </c>
      <c r="J43">
        <v>86809.31</v>
      </c>
    </row>
    <row r="44" spans="1:10" x14ac:dyDescent="0.2">
      <c r="A44" s="16">
        <v>45962</v>
      </c>
      <c r="B44" t="s">
        <v>36</v>
      </c>
      <c r="C44" t="s">
        <v>18</v>
      </c>
      <c r="D44" t="s">
        <v>29</v>
      </c>
      <c r="E44" t="s">
        <v>37</v>
      </c>
      <c r="F44">
        <v>3567</v>
      </c>
      <c r="H44">
        <v>294185234.85000002</v>
      </c>
      <c r="I44">
        <v>3157.87</v>
      </c>
      <c r="J44">
        <v>93159.39</v>
      </c>
    </row>
    <row r="45" spans="1:10" x14ac:dyDescent="0.2">
      <c r="A45" s="16">
        <v>45962</v>
      </c>
      <c r="B45" t="s">
        <v>36</v>
      </c>
      <c r="C45" t="s">
        <v>18</v>
      </c>
      <c r="D45" t="s">
        <v>31</v>
      </c>
      <c r="E45" t="s">
        <v>37</v>
      </c>
      <c r="F45">
        <v>1576</v>
      </c>
      <c r="H45">
        <v>281618371.75</v>
      </c>
      <c r="I45">
        <v>3157.87</v>
      </c>
      <c r="J45">
        <v>89179.85</v>
      </c>
    </row>
    <row r="46" spans="1:10" x14ac:dyDescent="0.2">
      <c r="A46" s="16">
        <v>45962</v>
      </c>
      <c r="B46" t="s">
        <v>36</v>
      </c>
      <c r="C46" t="s">
        <v>18</v>
      </c>
      <c r="D46" t="s">
        <v>32</v>
      </c>
      <c r="E46" t="s">
        <v>37</v>
      </c>
      <c r="F46">
        <v>1934</v>
      </c>
      <c r="H46">
        <v>190686529.28</v>
      </c>
      <c r="I46">
        <v>3157.87</v>
      </c>
      <c r="J46">
        <v>60384.54</v>
      </c>
    </row>
    <row r="47" spans="1:10" x14ac:dyDescent="0.2">
      <c r="A47" s="16">
        <v>45962</v>
      </c>
      <c r="B47" t="s">
        <v>36</v>
      </c>
      <c r="C47" t="s">
        <v>18</v>
      </c>
      <c r="D47" t="s">
        <v>33</v>
      </c>
      <c r="E47" t="s">
        <v>37</v>
      </c>
      <c r="F47">
        <v>2619</v>
      </c>
      <c r="H47">
        <v>126873239.34999999</v>
      </c>
      <c r="I47">
        <v>3157.87</v>
      </c>
      <c r="J47">
        <v>40176.839999999997</v>
      </c>
    </row>
    <row r="48" spans="1:10" x14ac:dyDescent="0.2">
      <c r="A48" s="16">
        <v>45962</v>
      </c>
      <c r="B48" t="s">
        <v>36</v>
      </c>
      <c r="C48" t="s">
        <v>18</v>
      </c>
      <c r="D48" t="s">
        <v>34</v>
      </c>
      <c r="E48" t="s">
        <v>37</v>
      </c>
      <c r="F48">
        <v>3212</v>
      </c>
      <c r="H48">
        <v>131458944.3</v>
      </c>
      <c r="I48">
        <v>3157.87</v>
      </c>
      <c r="J48">
        <v>41628.99</v>
      </c>
    </row>
    <row r="49" spans="1:10" x14ac:dyDescent="0.2">
      <c r="A49" s="16">
        <v>45962</v>
      </c>
      <c r="B49" t="s">
        <v>36</v>
      </c>
      <c r="C49" t="s">
        <v>18</v>
      </c>
      <c r="D49" t="s">
        <v>35</v>
      </c>
      <c r="E49" t="s">
        <v>37</v>
      </c>
      <c r="F49">
        <v>2512</v>
      </c>
      <c r="H49">
        <v>171209414.69</v>
      </c>
      <c r="I49">
        <v>3157.87</v>
      </c>
      <c r="J49">
        <v>54216.74</v>
      </c>
    </row>
    <row r="50" spans="1:10" x14ac:dyDescent="0.2">
      <c r="A50" s="16">
        <v>45962</v>
      </c>
      <c r="B50" t="s">
        <v>38</v>
      </c>
      <c r="C50" t="s">
        <v>19</v>
      </c>
      <c r="D50" t="s">
        <v>29</v>
      </c>
      <c r="E50" t="s">
        <v>39</v>
      </c>
      <c r="F50">
        <v>2796</v>
      </c>
      <c r="H50">
        <v>43649662.380000003</v>
      </c>
      <c r="I50">
        <v>605.01</v>
      </c>
      <c r="J50">
        <v>72147.009999999995</v>
      </c>
    </row>
    <row r="51" spans="1:10" x14ac:dyDescent="0.2">
      <c r="A51" s="16">
        <v>45962</v>
      </c>
      <c r="B51" t="s">
        <v>38</v>
      </c>
      <c r="C51" t="s">
        <v>19</v>
      </c>
      <c r="D51" t="s">
        <v>31</v>
      </c>
      <c r="E51" t="s">
        <v>39</v>
      </c>
      <c r="F51">
        <v>2138</v>
      </c>
      <c r="H51">
        <v>71305243.010000005</v>
      </c>
      <c r="I51">
        <v>605.01</v>
      </c>
      <c r="J51">
        <v>117857.96</v>
      </c>
    </row>
    <row r="52" spans="1:10" x14ac:dyDescent="0.2">
      <c r="A52" s="16">
        <v>45962</v>
      </c>
      <c r="B52" t="s">
        <v>38</v>
      </c>
      <c r="C52" t="s">
        <v>19</v>
      </c>
      <c r="D52" t="s">
        <v>32</v>
      </c>
      <c r="E52" t="s">
        <v>39</v>
      </c>
      <c r="F52">
        <v>2083</v>
      </c>
      <c r="H52">
        <v>43302208.020000003</v>
      </c>
      <c r="I52">
        <v>605.01</v>
      </c>
      <c r="J52">
        <v>71572.710000000006</v>
      </c>
    </row>
    <row r="53" spans="1:10" x14ac:dyDescent="0.2">
      <c r="A53" s="16">
        <v>45962</v>
      </c>
      <c r="B53" t="s">
        <v>38</v>
      </c>
      <c r="C53" t="s">
        <v>19</v>
      </c>
      <c r="D53" t="s">
        <v>33</v>
      </c>
      <c r="E53" t="s">
        <v>39</v>
      </c>
      <c r="F53">
        <v>3046</v>
      </c>
      <c r="H53">
        <v>28153744.109999999</v>
      </c>
      <c r="I53">
        <v>605.01</v>
      </c>
      <c r="J53">
        <v>46534.35</v>
      </c>
    </row>
    <row r="54" spans="1:10" x14ac:dyDescent="0.2">
      <c r="A54" s="16">
        <v>45962</v>
      </c>
      <c r="B54" t="s">
        <v>38</v>
      </c>
      <c r="C54" t="s">
        <v>19</v>
      </c>
      <c r="D54" t="s">
        <v>34</v>
      </c>
      <c r="E54" t="s">
        <v>39</v>
      </c>
      <c r="F54">
        <v>3044</v>
      </c>
      <c r="H54">
        <v>24079638.879999999</v>
      </c>
      <c r="I54">
        <v>605.01</v>
      </c>
      <c r="J54">
        <v>39800.400000000001</v>
      </c>
    </row>
    <row r="55" spans="1:10" x14ac:dyDescent="0.2">
      <c r="A55" s="16">
        <v>45962</v>
      </c>
      <c r="B55" t="s">
        <v>38</v>
      </c>
      <c r="C55" t="s">
        <v>19</v>
      </c>
      <c r="D55" t="s">
        <v>35</v>
      </c>
      <c r="E55" t="s">
        <v>39</v>
      </c>
      <c r="F55">
        <v>2417</v>
      </c>
      <c r="H55">
        <v>31775212.170000002</v>
      </c>
      <c r="I55">
        <v>605.01</v>
      </c>
      <c r="J55">
        <v>52520.14</v>
      </c>
    </row>
    <row r="56" spans="1:10" x14ac:dyDescent="0.2">
      <c r="A56" s="16">
        <v>45962</v>
      </c>
      <c r="B56" t="s">
        <v>40</v>
      </c>
      <c r="C56" t="s">
        <v>19</v>
      </c>
      <c r="D56" t="s">
        <v>29</v>
      </c>
      <c r="E56" t="s">
        <v>41</v>
      </c>
      <c r="F56">
        <v>2376</v>
      </c>
      <c r="H56">
        <v>37237577.140000001</v>
      </c>
      <c r="I56">
        <v>605.01</v>
      </c>
      <c r="J56">
        <v>61548.7</v>
      </c>
    </row>
    <row r="57" spans="1:10" x14ac:dyDescent="0.2">
      <c r="A57" s="16">
        <v>45962</v>
      </c>
      <c r="B57" t="s">
        <v>40</v>
      </c>
      <c r="C57" t="s">
        <v>19</v>
      </c>
      <c r="D57" t="s">
        <v>31</v>
      </c>
      <c r="E57" t="s">
        <v>41</v>
      </c>
      <c r="F57">
        <v>1439</v>
      </c>
      <c r="H57">
        <v>47186868.340000004</v>
      </c>
      <c r="I57">
        <v>605.01</v>
      </c>
      <c r="J57">
        <v>77993.53</v>
      </c>
    </row>
    <row r="58" spans="1:10" x14ac:dyDescent="0.2">
      <c r="A58" s="16">
        <v>45962</v>
      </c>
      <c r="B58" t="s">
        <v>40</v>
      </c>
      <c r="C58" t="s">
        <v>19</v>
      </c>
      <c r="D58" t="s">
        <v>32</v>
      </c>
      <c r="E58" t="s">
        <v>41</v>
      </c>
      <c r="F58">
        <v>1455</v>
      </c>
      <c r="H58">
        <v>30708668.16</v>
      </c>
      <c r="I58">
        <v>605.01</v>
      </c>
      <c r="J58">
        <v>50757.29</v>
      </c>
    </row>
    <row r="59" spans="1:10" x14ac:dyDescent="0.2">
      <c r="A59" s="16">
        <v>45962</v>
      </c>
      <c r="B59" t="s">
        <v>40</v>
      </c>
      <c r="C59" t="s">
        <v>19</v>
      </c>
      <c r="D59" t="s">
        <v>33</v>
      </c>
      <c r="E59" t="s">
        <v>41</v>
      </c>
      <c r="F59">
        <v>2312</v>
      </c>
      <c r="H59">
        <v>22201915.300000001</v>
      </c>
      <c r="I59">
        <v>605.01</v>
      </c>
      <c r="J59">
        <v>36696.769999999997</v>
      </c>
    </row>
    <row r="60" spans="1:10" x14ac:dyDescent="0.2">
      <c r="A60" s="16">
        <v>45962</v>
      </c>
      <c r="B60" t="s">
        <v>40</v>
      </c>
      <c r="C60" t="s">
        <v>19</v>
      </c>
      <c r="D60" t="s">
        <v>34</v>
      </c>
      <c r="E60" t="s">
        <v>41</v>
      </c>
      <c r="F60">
        <v>2937</v>
      </c>
      <c r="H60">
        <v>23357454.059999999</v>
      </c>
      <c r="I60">
        <v>605.01</v>
      </c>
      <c r="J60">
        <v>38606.720000000001</v>
      </c>
    </row>
    <row r="61" spans="1:10" x14ac:dyDescent="0.2">
      <c r="A61" s="16">
        <v>45962</v>
      </c>
      <c r="B61" t="s">
        <v>40</v>
      </c>
      <c r="C61" t="s">
        <v>19</v>
      </c>
      <c r="D61" t="s">
        <v>35</v>
      </c>
      <c r="E61" t="s">
        <v>41</v>
      </c>
      <c r="F61">
        <v>1832</v>
      </c>
      <c r="H61">
        <v>23345529.66</v>
      </c>
      <c r="I61">
        <v>605.01</v>
      </c>
      <c r="J61">
        <v>38587.01</v>
      </c>
    </row>
    <row r="62" spans="1:10" x14ac:dyDescent="0.2">
      <c r="A62" s="16">
        <v>45962</v>
      </c>
      <c r="B62" t="s">
        <v>42</v>
      </c>
      <c r="C62" t="s">
        <v>20</v>
      </c>
      <c r="D62" t="s">
        <v>29</v>
      </c>
      <c r="E62" t="s">
        <v>43</v>
      </c>
      <c r="F62">
        <v>2496</v>
      </c>
      <c r="H62">
        <v>39726148.590000004</v>
      </c>
      <c r="I62">
        <v>607</v>
      </c>
      <c r="J62">
        <v>65446.7</v>
      </c>
    </row>
    <row r="63" spans="1:10" x14ac:dyDescent="0.2">
      <c r="A63" s="16">
        <v>45962</v>
      </c>
      <c r="B63" t="s">
        <v>42</v>
      </c>
      <c r="C63" t="s">
        <v>20</v>
      </c>
      <c r="D63" t="s">
        <v>31</v>
      </c>
      <c r="E63" t="s">
        <v>43</v>
      </c>
      <c r="F63">
        <v>1650</v>
      </c>
      <c r="H63">
        <v>55843801.920000002</v>
      </c>
      <c r="I63">
        <v>607</v>
      </c>
      <c r="J63">
        <v>91999.67</v>
      </c>
    </row>
    <row r="64" spans="1:10" x14ac:dyDescent="0.2">
      <c r="A64" s="16">
        <v>45962</v>
      </c>
      <c r="B64" t="s">
        <v>42</v>
      </c>
      <c r="C64" t="s">
        <v>20</v>
      </c>
      <c r="D64" t="s">
        <v>32</v>
      </c>
      <c r="E64" t="s">
        <v>43</v>
      </c>
      <c r="F64">
        <v>1281</v>
      </c>
      <c r="H64">
        <v>24170970.899999999</v>
      </c>
      <c r="I64">
        <v>607</v>
      </c>
      <c r="J64">
        <v>39820.379999999997</v>
      </c>
    </row>
    <row r="65" spans="1:10" x14ac:dyDescent="0.2">
      <c r="A65" s="16">
        <v>45962</v>
      </c>
      <c r="B65" t="s">
        <v>42</v>
      </c>
      <c r="C65" t="s">
        <v>20</v>
      </c>
      <c r="D65" t="s">
        <v>33</v>
      </c>
      <c r="E65" t="s">
        <v>43</v>
      </c>
      <c r="F65">
        <v>3247</v>
      </c>
      <c r="H65">
        <v>31569520.75</v>
      </c>
      <c r="I65">
        <v>607</v>
      </c>
      <c r="J65">
        <v>52009.1</v>
      </c>
    </row>
    <row r="66" spans="1:10" x14ac:dyDescent="0.2">
      <c r="A66" s="16">
        <v>45962</v>
      </c>
      <c r="B66" t="s">
        <v>42</v>
      </c>
      <c r="C66" t="s">
        <v>20</v>
      </c>
      <c r="D66" t="s">
        <v>34</v>
      </c>
      <c r="E66" t="s">
        <v>43</v>
      </c>
      <c r="F66">
        <v>3841</v>
      </c>
      <c r="H66">
        <v>32227276.890000001</v>
      </c>
      <c r="I66">
        <v>607</v>
      </c>
      <c r="J66">
        <v>53092.71</v>
      </c>
    </row>
    <row r="67" spans="1:10" x14ac:dyDescent="0.2">
      <c r="A67" s="16">
        <v>45962</v>
      </c>
      <c r="B67" t="s">
        <v>42</v>
      </c>
      <c r="C67" t="s">
        <v>20</v>
      </c>
      <c r="D67" t="s">
        <v>35</v>
      </c>
      <c r="E67" t="s">
        <v>43</v>
      </c>
      <c r="F67">
        <v>2669</v>
      </c>
      <c r="H67">
        <v>35867017.799999997</v>
      </c>
      <c r="I67">
        <v>607</v>
      </c>
      <c r="J67">
        <v>59088.99</v>
      </c>
    </row>
    <row r="68" spans="1:10" x14ac:dyDescent="0.2">
      <c r="A68" s="16">
        <v>45962</v>
      </c>
      <c r="B68" t="s">
        <v>44</v>
      </c>
      <c r="C68" t="s">
        <v>20</v>
      </c>
      <c r="D68" t="s">
        <v>29</v>
      </c>
      <c r="E68" t="s">
        <v>45</v>
      </c>
      <c r="F68">
        <v>2378</v>
      </c>
      <c r="H68">
        <v>37705538.799999997</v>
      </c>
      <c r="I68">
        <v>607</v>
      </c>
      <c r="J68">
        <v>62117.86</v>
      </c>
    </row>
    <row r="69" spans="1:10" x14ac:dyDescent="0.2">
      <c r="A69" s="16">
        <v>45962</v>
      </c>
      <c r="B69" t="s">
        <v>44</v>
      </c>
      <c r="C69" t="s">
        <v>20</v>
      </c>
      <c r="D69" t="s">
        <v>31</v>
      </c>
      <c r="E69" t="s">
        <v>45</v>
      </c>
      <c r="F69">
        <v>1543</v>
      </c>
      <c r="H69">
        <v>46195401.420000002</v>
      </c>
      <c r="I69">
        <v>607</v>
      </c>
      <c r="J69">
        <v>76104.45</v>
      </c>
    </row>
    <row r="70" spans="1:10" x14ac:dyDescent="0.2">
      <c r="A70" s="16">
        <v>45962</v>
      </c>
      <c r="B70" t="s">
        <v>44</v>
      </c>
      <c r="C70" t="s">
        <v>20</v>
      </c>
      <c r="D70" t="s">
        <v>32</v>
      </c>
      <c r="E70" t="s">
        <v>45</v>
      </c>
      <c r="F70">
        <v>1337</v>
      </c>
      <c r="H70">
        <v>28100597.920000002</v>
      </c>
      <c r="I70">
        <v>607</v>
      </c>
      <c r="J70">
        <v>46294.23</v>
      </c>
    </row>
    <row r="71" spans="1:10" x14ac:dyDescent="0.2">
      <c r="A71" s="16">
        <v>45962</v>
      </c>
      <c r="B71" t="s">
        <v>44</v>
      </c>
      <c r="C71" t="s">
        <v>20</v>
      </c>
      <c r="D71" t="s">
        <v>33</v>
      </c>
      <c r="E71" t="s">
        <v>45</v>
      </c>
      <c r="F71">
        <v>1766</v>
      </c>
      <c r="H71">
        <v>16632846.630000001</v>
      </c>
      <c r="I71">
        <v>607</v>
      </c>
      <c r="J71">
        <v>27401.72</v>
      </c>
    </row>
    <row r="72" spans="1:10" x14ac:dyDescent="0.2">
      <c r="A72" s="16">
        <v>45962</v>
      </c>
      <c r="B72" t="s">
        <v>44</v>
      </c>
      <c r="C72" t="s">
        <v>20</v>
      </c>
      <c r="D72" t="s">
        <v>34</v>
      </c>
      <c r="E72" t="s">
        <v>45</v>
      </c>
      <c r="F72">
        <v>2172</v>
      </c>
      <c r="H72">
        <v>18331455.690000001</v>
      </c>
      <c r="I72">
        <v>607</v>
      </c>
      <c r="J72">
        <v>30200.09</v>
      </c>
    </row>
    <row r="73" spans="1:10" x14ac:dyDescent="0.2">
      <c r="A73" s="16">
        <v>45962</v>
      </c>
      <c r="B73" t="s">
        <v>44</v>
      </c>
      <c r="C73" t="s">
        <v>20</v>
      </c>
      <c r="D73" t="s">
        <v>35</v>
      </c>
      <c r="E73" t="s">
        <v>45</v>
      </c>
      <c r="F73">
        <v>1419</v>
      </c>
      <c r="H73">
        <v>19104097.59</v>
      </c>
      <c r="I73">
        <v>607</v>
      </c>
      <c r="J73">
        <v>31472.98</v>
      </c>
    </row>
    <row r="74" spans="1:10" x14ac:dyDescent="0.2">
      <c r="A74" s="16">
        <v>45992</v>
      </c>
      <c r="B74" t="s">
        <v>28</v>
      </c>
      <c r="C74" t="s">
        <v>18</v>
      </c>
      <c r="D74" t="s">
        <v>29</v>
      </c>
      <c r="E74" t="s">
        <v>30</v>
      </c>
      <c r="H74">
        <v>550138114.63</v>
      </c>
      <c r="I74">
        <v>3186.39</v>
      </c>
      <c r="J74">
        <v>172652.47</v>
      </c>
    </row>
    <row r="75" spans="1:10" x14ac:dyDescent="0.2">
      <c r="A75" s="16">
        <v>45992</v>
      </c>
      <c r="B75" t="s">
        <v>28</v>
      </c>
      <c r="C75" t="s">
        <v>18</v>
      </c>
      <c r="D75" t="s">
        <v>31</v>
      </c>
      <c r="E75" t="s">
        <v>30</v>
      </c>
      <c r="H75">
        <v>543918843.5</v>
      </c>
      <c r="I75">
        <v>3186.39</v>
      </c>
      <c r="J75">
        <v>170700.65</v>
      </c>
    </row>
    <row r="76" spans="1:10" x14ac:dyDescent="0.2">
      <c r="A76" s="16">
        <v>45992</v>
      </c>
      <c r="B76" t="s">
        <v>28</v>
      </c>
      <c r="C76" t="s">
        <v>18</v>
      </c>
      <c r="D76" t="s">
        <v>32</v>
      </c>
      <c r="E76" t="s">
        <v>30</v>
      </c>
      <c r="H76">
        <v>459754657.50999999</v>
      </c>
      <c r="I76">
        <v>3186.39</v>
      </c>
      <c r="J76">
        <v>144287</v>
      </c>
    </row>
    <row r="77" spans="1:10" x14ac:dyDescent="0.2">
      <c r="A77" s="16">
        <v>45992</v>
      </c>
      <c r="B77" t="s">
        <v>28</v>
      </c>
      <c r="C77" t="s">
        <v>18</v>
      </c>
      <c r="D77" t="s">
        <v>33</v>
      </c>
      <c r="E77" t="s">
        <v>30</v>
      </c>
      <c r="H77">
        <v>269433276.38</v>
      </c>
      <c r="I77">
        <v>3186.39</v>
      </c>
      <c r="J77">
        <v>84557.53</v>
      </c>
    </row>
    <row r="78" spans="1:10" x14ac:dyDescent="0.2">
      <c r="A78" s="16">
        <v>45992</v>
      </c>
      <c r="B78" t="s">
        <v>28</v>
      </c>
      <c r="C78" t="s">
        <v>18</v>
      </c>
      <c r="D78" t="s">
        <v>34</v>
      </c>
      <c r="E78" t="s">
        <v>30</v>
      </c>
      <c r="H78">
        <v>249569592.84</v>
      </c>
      <c r="I78">
        <v>3186.39</v>
      </c>
      <c r="J78">
        <v>78323.62</v>
      </c>
    </row>
    <row r="79" spans="1:10" x14ac:dyDescent="0.2">
      <c r="A79" s="16">
        <v>45992</v>
      </c>
      <c r="B79" t="s">
        <v>28</v>
      </c>
      <c r="C79" t="s">
        <v>18</v>
      </c>
      <c r="D79" t="s">
        <v>35</v>
      </c>
      <c r="E79" t="s">
        <v>30</v>
      </c>
      <c r="H79">
        <v>297284000.88</v>
      </c>
      <c r="I79">
        <v>3186.39</v>
      </c>
      <c r="J79">
        <v>93298.06</v>
      </c>
    </row>
    <row r="80" spans="1:10" x14ac:dyDescent="0.2">
      <c r="A80" s="16">
        <v>45992</v>
      </c>
      <c r="B80" t="s">
        <v>36</v>
      </c>
      <c r="C80" t="s">
        <v>18</v>
      </c>
      <c r="D80" t="s">
        <v>29</v>
      </c>
      <c r="E80" t="s">
        <v>37</v>
      </c>
      <c r="H80">
        <v>310430757.44</v>
      </c>
      <c r="I80">
        <v>3186.39</v>
      </c>
      <c r="J80">
        <v>97423.97</v>
      </c>
    </row>
    <row r="81" spans="1:10" x14ac:dyDescent="0.2">
      <c r="A81" s="16">
        <v>45992</v>
      </c>
      <c r="B81" t="s">
        <v>36</v>
      </c>
      <c r="C81" t="s">
        <v>18</v>
      </c>
      <c r="D81" t="s">
        <v>31</v>
      </c>
      <c r="E81" t="s">
        <v>37</v>
      </c>
      <c r="H81">
        <v>430027696.14999998</v>
      </c>
      <c r="I81">
        <v>3186.39</v>
      </c>
      <c r="J81">
        <v>134957.65</v>
      </c>
    </row>
    <row r="82" spans="1:10" x14ac:dyDescent="0.2">
      <c r="A82" s="16">
        <v>45992</v>
      </c>
      <c r="B82" t="s">
        <v>36</v>
      </c>
      <c r="C82" t="s">
        <v>18</v>
      </c>
      <c r="D82" t="s">
        <v>32</v>
      </c>
      <c r="E82" t="s">
        <v>37</v>
      </c>
      <c r="H82">
        <v>206245038.56999999</v>
      </c>
      <c r="I82">
        <v>3186.39</v>
      </c>
      <c r="J82">
        <v>64726.87</v>
      </c>
    </row>
    <row r="83" spans="1:10" x14ac:dyDescent="0.2">
      <c r="A83" s="16">
        <v>45992</v>
      </c>
      <c r="B83" t="s">
        <v>36</v>
      </c>
      <c r="C83" t="s">
        <v>18</v>
      </c>
      <c r="D83" t="s">
        <v>33</v>
      </c>
      <c r="E83" t="s">
        <v>37</v>
      </c>
      <c r="H83">
        <v>163892662.19999999</v>
      </c>
      <c r="I83">
        <v>3186.39</v>
      </c>
      <c r="J83">
        <v>51435.22</v>
      </c>
    </row>
    <row r="84" spans="1:10" x14ac:dyDescent="0.2">
      <c r="A84" s="16">
        <v>45992</v>
      </c>
      <c r="B84" t="s">
        <v>36</v>
      </c>
      <c r="C84" t="s">
        <v>18</v>
      </c>
      <c r="D84" t="s">
        <v>34</v>
      </c>
      <c r="E84" t="s">
        <v>37</v>
      </c>
      <c r="H84">
        <v>141301202.34999999</v>
      </c>
      <c r="I84">
        <v>3186.39</v>
      </c>
      <c r="J84">
        <v>44345.23</v>
      </c>
    </row>
    <row r="85" spans="1:10" x14ac:dyDescent="0.2">
      <c r="A85" s="16">
        <v>45992</v>
      </c>
      <c r="B85" t="s">
        <v>36</v>
      </c>
      <c r="C85" t="s">
        <v>18</v>
      </c>
      <c r="D85" t="s">
        <v>35</v>
      </c>
      <c r="E85" t="s">
        <v>37</v>
      </c>
      <c r="H85">
        <v>168406323.90000001</v>
      </c>
      <c r="I85">
        <v>3186.39</v>
      </c>
      <c r="J85">
        <v>52851.76</v>
      </c>
    </row>
    <row r="86" spans="1:10" x14ac:dyDescent="0.2">
      <c r="A86" s="16">
        <v>45992</v>
      </c>
      <c r="B86" t="s">
        <v>38</v>
      </c>
      <c r="C86" t="s">
        <v>19</v>
      </c>
      <c r="D86" t="s">
        <v>29</v>
      </c>
      <c r="E86" t="s">
        <v>39</v>
      </c>
      <c r="H86">
        <v>67778878.010000005</v>
      </c>
      <c r="I86">
        <v>605.6</v>
      </c>
      <c r="J86">
        <v>111920.21</v>
      </c>
    </row>
    <row r="87" spans="1:10" x14ac:dyDescent="0.2">
      <c r="A87" s="16">
        <v>45992</v>
      </c>
      <c r="B87" t="s">
        <v>38</v>
      </c>
      <c r="C87" t="s">
        <v>19</v>
      </c>
      <c r="D87" t="s">
        <v>31</v>
      </c>
      <c r="E87" t="s">
        <v>39</v>
      </c>
      <c r="H87">
        <v>80817501.189999998</v>
      </c>
      <c r="I87">
        <v>605.6</v>
      </c>
      <c r="J87">
        <v>133450.29999999999</v>
      </c>
    </row>
    <row r="88" spans="1:10" x14ac:dyDescent="0.2">
      <c r="A88" s="16">
        <v>45992</v>
      </c>
      <c r="B88" t="s">
        <v>38</v>
      </c>
      <c r="C88" t="s">
        <v>19</v>
      </c>
      <c r="D88" t="s">
        <v>32</v>
      </c>
      <c r="E88" t="s">
        <v>39</v>
      </c>
      <c r="H88">
        <v>52258839.100000001</v>
      </c>
      <c r="I88">
        <v>605.6</v>
      </c>
      <c r="J88">
        <v>86292.67</v>
      </c>
    </row>
    <row r="89" spans="1:10" x14ac:dyDescent="0.2">
      <c r="A89" s="16">
        <v>45992</v>
      </c>
      <c r="B89" t="s">
        <v>38</v>
      </c>
      <c r="C89" t="s">
        <v>19</v>
      </c>
      <c r="D89" t="s">
        <v>33</v>
      </c>
      <c r="E89" t="s">
        <v>39</v>
      </c>
      <c r="H89">
        <v>32401580.309999999</v>
      </c>
      <c r="I89">
        <v>605.6</v>
      </c>
      <c r="J89">
        <v>53503.27</v>
      </c>
    </row>
    <row r="90" spans="1:10" x14ac:dyDescent="0.2">
      <c r="A90" s="16">
        <v>45992</v>
      </c>
      <c r="B90" t="s">
        <v>38</v>
      </c>
      <c r="C90" t="s">
        <v>19</v>
      </c>
      <c r="D90" t="s">
        <v>34</v>
      </c>
      <c r="E90" t="s">
        <v>39</v>
      </c>
      <c r="H90">
        <v>26977353.620000001</v>
      </c>
      <c r="I90">
        <v>605.6</v>
      </c>
      <c r="J90">
        <v>44546.49</v>
      </c>
    </row>
    <row r="91" spans="1:10" x14ac:dyDescent="0.2">
      <c r="A91" s="16">
        <v>45992</v>
      </c>
      <c r="B91" t="s">
        <v>38</v>
      </c>
      <c r="C91" t="s">
        <v>19</v>
      </c>
      <c r="D91" t="s">
        <v>35</v>
      </c>
      <c r="E91" t="s">
        <v>39</v>
      </c>
      <c r="H91">
        <v>34810065.920000002</v>
      </c>
      <c r="I91">
        <v>605.6</v>
      </c>
      <c r="J91">
        <v>57480.29</v>
      </c>
    </row>
    <row r="92" spans="1:10" x14ac:dyDescent="0.2">
      <c r="A92" s="16">
        <v>45992</v>
      </c>
      <c r="B92" t="s">
        <v>40</v>
      </c>
      <c r="C92" t="s">
        <v>19</v>
      </c>
      <c r="D92" t="s">
        <v>29</v>
      </c>
      <c r="E92" t="s">
        <v>41</v>
      </c>
      <c r="H92">
        <v>53249952.340000004</v>
      </c>
      <c r="I92">
        <v>605.6</v>
      </c>
      <c r="J92">
        <v>87929.25</v>
      </c>
    </row>
    <row r="93" spans="1:10" x14ac:dyDescent="0.2">
      <c r="A93" s="16">
        <v>45992</v>
      </c>
      <c r="B93" t="s">
        <v>40</v>
      </c>
      <c r="C93" t="s">
        <v>19</v>
      </c>
      <c r="D93" t="s">
        <v>31</v>
      </c>
      <c r="E93" t="s">
        <v>41</v>
      </c>
      <c r="H93">
        <v>60515541.539999999</v>
      </c>
      <c r="I93">
        <v>605.6</v>
      </c>
      <c r="J93">
        <v>99926.59</v>
      </c>
    </row>
    <row r="94" spans="1:10" x14ac:dyDescent="0.2">
      <c r="A94" s="16">
        <v>45992</v>
      </c>
      <c r="B94" t="s">
        <v>40</v>
      </c>
      <c r="C94" t="s">
        <v>19</v>
      </c>
      <c r="D94" t="s">
        <v>32</v>
      </c>
      <c r="E94" t="s">
        <v>41</v>
      </c>
      <c r="H94">
        <v>29450884.48</v>
      </c>
      <c r="I94">
        <v>605.6</v>
      </c>
      <c r="J94">
        <v>48630.92</v>
      </c>
    </row>
    <row r="95" spans="1:10" x14ac:dyDescent="0.2">
      <c r="A95" s="16">
        <v>45992</v>
      </c>
      <c r="B95" t="s">
        <v>40</v>
      </c>
      <c r="C95" t="s">
        <v>19</v>
      </c>
      <c r="D95" t="s">
        <v>33</v>
      </c>
      <c r="E95" t="s">
        <v>41</v>
      </c>
      <c r="H95">
        <v>19102812.989999998</v>
      </c>
      <c r="I95">
        <v>605.6</v>
      </c>
      <c r="J95">
        <v>31543.61</v>
      </c>
    </row>
    <row r="96" spans="1:10" x14ac:dyDescent="0.2">
      <c r="A96" s="16">
        <v>45992</v>
      </c>
      <c r="B96" t="s">
        <v>40</v>
      </c>
      <c r="C96" t="s">
        <v>19</v>
      </c>
      <c r="D96" t="s">
        <v>34</v>
      </c>
      <c r="E96" t="s">
        <v>41</v>
      </c>
      <c r="H96">
        <v>22463967.34</v>
      </c>
      <c r="I96">
        <v>605.6</v>
      </c>
      <c r="J96">
        <v>37093.74</v>
      </c>
    </row>
    <row r="97" spans="1:10" x14ac:dyDescent="0.2">
      <c r="A97" s="16">
        <v>45992</v>
      </c>
      <c r="B97" t="s">
        <v>40</v>
      </c>
      <c r="C97" t="s">
        <v>19</v>
      </c>
      <c r="D97" t="s">
        <v>35</v>
      </c>
      <c r="E97" t="s">
        <v>41</v>
      </c>
      <c r="H97">
        <v>25426416.489999998</v>
      </c>
      <c r="I97">
        <v>605.6</v>
      </c>
      <c r="J97">
        <v>41985.5</v>
      </c>
    </row>
    <row r="98" spans="1:10" x14ac:dyDescent="0.2">
      <c r="A98" s="16">
        <v>45992</v>
      </c>
      <c r="B98" t="s">
        <v>42</v>
      </c>
      <c r="C98" t="s">
        <v>20</v>
      </c>
      <c r="D98" t="s">
        <v>29</v>
      </c>
      <c r="E98" t="s">
        <v>43</v>
      </c>
      <c r="H98">
        <v>48690282.890000001</v>
      </c>
      <c r="I98">
        <v>605.28</v>
      </c>
      <c r="J98">
        <v>80442.58</v>
      </c>
    </row>
    <row r="99" spans="1:10" x14ac:dyDescent="0.2">
      <c r="A99" s="16">
        <v>45992</v>
      </c>
      <c r="B99" t="s">
        <v>42</v>
      </c>
      <c r="C99" t="s">
        <v>20</v>
      </c>
      <c r="D99" t="s">
        <v>31</v>
      </c>
      <c r="E99" t="s">
        <v>43</v>
      </c>
      <c r="H99">
        <v>60172376.310000002</v>
      </c>
      <c r="I99">
        <v>605.28</v>
      </c>
      <c r="J99">
        <v>99412.46</v>
      </c>
    </row>
    <row r="100" spans="1:10" x14ac:dyDescent="0.2">
      <c r="A100" s="16">
        <v>45992</v>
      </c>
      <c r="B100" t="s">
        <v>42</v>
      </c>
      <c r="C100" t="s">
        <v>20</v>
      </c>
      <c r="D100" t="s">
        <v>32</v>
      </c>
      <c r="E100" t="s">
        <v>43</v>
      </c>
      <c r="H100">
        <v>33102816.25</v>
      </c>
      <c r="I100">
        <v>605.28</v>
      </c>
      <c r="J100">
        <v>54690.09</v>
      </c>
    </row>
    <row r="101" spans="1:10" x14ac:dyDescent="0.2">
      <c r="A101" s="16">
        <v>45992</v>
      </c>
      <c r="B101" t="s">
        <v>42</v>
      </c>
      <c r="C101" t="s">
        <v>20</v>
      </c>
      <c r="D101" t="s">
        <v>33</v>
      </c>
      <c r="E101" t="s">
        <v>43</v>
      </c>
      <c r="H101">
        <v>36002226.560000002</v>
      </c>
      <c r="I101">
        <v>605.28</v>
      </c>
      <c r="J101">
        <v>59480.28</v>
      </c>
    </row>
    <row r="102" spans="1:10" x14ac:dyDescent="0.2">
      <c r="A102" s="16">
        <v>45992</v>
      </c>
      <c r="B102" t="s">
        <v>42</v>
      </c>
      <c r="C102" t="s">
        <v>20</v>
      </c>
      <c r="D102" t="s">
        <v>34</v>
      </c>
      <c r="E102" t="s">
        <v>43</v>
      </c>
      <c r="H102">
        <v>29378385.379999999</v>
      </c>
      <c r="I102">
        <v>605.28</v>
      </c>
      <c r="J102">
        <v>48536.85</v>
      </c>
    </row>
    <row r="103" spans="1:10" x14ac:dyDescent="0.2">
      <c r="A103" s="16">
        <v>45992</v>
      </c>
      <c r="B103" t="s">
        <v>42</v>
      </c>
      <c r="C103" t="s">
        <v>20</v>
      </c>
      <c r="D103" t="s">
        <v>35</v>
      </c>
      <c r="E103" t="s">
        <v>43</v>
      </c>
      <c r="H103">
        <v>33600195.390000001</v>
      </c>
      <c r="I103">
        <v>605.28</v>
      </c>
      <c r="J103">
        <v>55511.82</v>
      </c>
    </row>
    <row r="104" spans="1:10" x14ac:dyDescent="0.2">
      <c r="A104" s="16">
        <v>45992</v>
      </c>
      <c r="B104" t="s">
        <v>44</v>
      </c>
      <c r="C104" t="s">
        <v>20</v>
      </c>
      <c r="D104" t="s">
        <v>29</v>
      </c>
      <c r="E104" t="s">
        <v>45</v>
      </c>
      <c r="H104">
        <v>35137676.469999999</v>
      </c>
      <c r="I104">
        <v>605.28</v>
      </c>
      <c r="J104">
        <v>58051.94</v>
      </c>
    </row>
    <row r="105" spans="1:10" x14ac:dyDescent="0.2">
      <c r="A105" s="16">
        <v>45992</v>
      </c>
      <c r="B105" t="s">
        <v>44</v>
      </c>
      <c r="C105" t="s">
        <v>20</v>
      </c>
      <c r="D105" t="s">
        <v>31</v>
      </c>
      <c r="E105" t="s">
        <v>45</v>
      </c>
      <c r="H105">
        <v>44099923.409999996</v>
      </c>
      <c r="I105">
        <v>605.28</v>
      </c>
      <c r="J105">
        <v>72858.720000000001</v>
      </c>
    </row>
    <row r="106" spans="1:10" x14ac:dyDescent="0.2">
      <c r="A106" s="16">
        <v>45992</v>
      </c>
      <c r="B106" t="s">
        <v>44</v>
      </c>
      <c r="C106" t="s">
        <v>20</v>
      </c>
      <c r="D106" t="s">
        <v>32</v>
      </c>
      <c r="E106" t="s">
        <v>45</v>
      </c>
      <c r="H106">
        <v>30261345.719999999</v>
      </c>
      <c r="I106">
        <v>605.28</v>
      </c>
      <c r="J106">
        <v>49995.61</v>
      </c>
    </row>
    <row r="107" spans="1:10" x14ac:dyDescent="0.2">
      <c r="A107" s="16">
        <v>45992</v>
      </c>
      <c r="B107" t="s">
        <v>44</v>
      </c>
      <c r="C107" t="s">
        <v>20</v>
      </c>
      <c r="D107" t="s">
        <v>33</v>
      </c>
      <c r="E107" t="s">
        <v>45</v>
      </c>
      <c r="H107">
        <v>19687554.530000001</v>
      </c>
      <c r="I107">
        <v>605.28</v>
      </c>
      <c r="J107">
        <v>32526.36</v>
      </c>
    </row>
    <row r="108" spans="1:10" x14ac:dyDescent="0.2">
      <c r="A108" s="16">
        <v>45992</v>
      </c>
      <c r="B108" t="s">
        <v>44</v>
      </c>
      <c r="C108" t="s">
        <v>20</v>
      </c>
      <c r="D108" t="s">
        <v>34</v>
      </c>
      <c r="E108" t="s">
        <v>45</v>
      </c>
      <c r="H108">
        <v>19397902.010000002</v>
      </c>
      <c r="I108">
        <v>605.28</v>
      </c>
      <c r="J108">
        <v>32047.82</v>
      </c>
    </row>
    <row r="109" spans="1:10" x14ac:dyDescent="0.2">
      <c r="A109" s="16">
        <v>45992</v>
      </c>
      <c r="B109" t="s">
        <v>44</v>
      </c>
      <c r="C109" t="s">
        <v>20</v>
      </c>
      <c r="D109" t="s">
        <v>35</v>
      </c>
      <c r="E109" t="s">
        <v>45</v>
      </c>
      <c r="H109">
        <v>29027060.43</v>
      </c>
      <c r="I109">
        <v>605.28</v>
      </c>
      <c r="J109">
        <v>47956.42</v>
      </c>
    </row>
    <row r="110" spans="1:10" x14ac:dyDescent="0.2">
      <c r="A110" s="16">
        <v>46023</v>
      </c>
      <c r="B110" t="s">
        <v>28</v>
      </c>
      <c r="C110" t="s">
        <v>18</v>
      </c>
      <c r="D110" t="s">
        <v>29</v>
      </c>
      <c r="E110" t="s">
        <v>30</v>
      </c>
      <c r="F110">
        <v>4687</v>
      </c>
      <c r="H110">
        <v>389150321</v>
      </c>
      <c r="I110">
        <v>3212.12</v>
      </c>
      <c r="J110">
        <v>121150.62</v>
      </c>
    </row>
    <row r="111" spans="1:10" x14ac:dyDescent="0.2">
      <c r="A111" s="16">
        <v>46023</v>
      </c>
      <c r="B111" t="s">
        <v>28</v>
      </c>
      <c r="C111" t="s">
        <v>18</v>
      </c>
      <c r="D111" t="s">
        <v>31</v>
      </c>
      <c r="E111" t="s">
        <v>30</v>
      </c>
      <c r="F111">
        <v>3342</v>
      </c>
      <c r="H111">
        <v>576350056.82000005</v>
      </c>
      <c r="I111">
        <v>3212.12</v>
      </c>
      <c r="J111">
        <v>179429.8</v>
      </c>
    </row>
    <row r="112" spans="1:10" x14ac:dyDescent="0.2">
      <c r="A112" s="16">
        <v>46023</v>
      </c>
      <c r="B112" t="s">
        <v>28</v>
      </c>
      <c r="C112" t="s">
        <v>18</v>
      </c>
      <c r="D112" t="s">
        <v>32</v>
      </c>
      <c r="E112" t="s">
        <v>30</v>
      </c>
      <c r="F112">
        <v>2633</v>
      </c>
      <c r="H112">
        <v>298642474.66000003</v>
      </c>
      <c r="I112">
        <v>3212.12</v>
      </c>
      <c r="J112">
        <v>92973.64</v>
      </c>
    </row>
    <row r="113" spans="1:10" x14ac:dyDescent="0.2">
      <c r="A113" s="16">
        <v>46023</v>
      </c>
      <c r="B113" t="s">
        <v>28</v>
      </c>
      <c r="C113" t="s">
        <v>18</v>
      </c>
      <c r="D113" t="s">
        <v>33</v>
      </c>
      <c r="E113" t="s">
        <v>30</v>
      </c>
      <c r="F113">
        <v>3817</v>
      </c>
      <c r="H113">
        <v>196162292.03</v>
      </c>
      <c r="I113">
        <v>3212.12</v>
      </c>
      <c r="J113">
        <v>61069.42</v>
      </c>
    </row>
    <row r="114" spans="1:10" x14ac:dyDescent="0.2">
      <c r="A114" s="16">
        <v>46023</v>
      </c>
      <c r="B114" t="s">
        <v>28</v>
      </c>
      <c r="C114" t="s">
        <v>18</v>
      </c>
      <c r="D114" t="s">
        <v>34</v>
      </c>
      <c r="E114" t="s">
        <v>30</v>
      </c>
      <c r="F114">
        <v>4050</v>
      </c>
      <c r="H114">
        <v>165685264.28999999</v>
      </c>
      <c r="I114">
        <v>3212.12</v>
      </c>
      <c r="J114">
        <v>51581.279999999999</v>
      </c>
    </row>
    <row r="115" spans="1:10" x14ac:dyDescent="0.2">
      <c r="A115" s="16">
        <v>46023</v>
      </c>
      <c r="B115" t="s">
        <v>28</v>
      </c>
      <c r="C115" t="s">
        <v>18</v>
      </c>
      <c r="D115" t="s">
        <v>35</v>
      </c>
      <c r="E115" t="s">
        <v>30</v>
      </c>
      <c r="F115">
        <v>2578</v>
      </c>
      <c r="H115">
        <v>175594740.27000001</v>
      </c>
      <c r="I115">
        <v>3212.12</v>
      </c>
      <c r="J115">
        <v>54666.31</v>
      </c>
    </row>
    <row r="116" spans="1:10" x14ac:dyDescent="0.2">
      <c r="A116" s="16">
        <v>46023</v>
      </c>
      <c r="B116" t="s">
        <v>36</v>
      </c>
      <c r="C116" t="s">
        <v>18</v>
      </c>
      <c r="D116" t="s">
        <v>29</v>
      </c>
      <c r="E116" t="s">
        <v>37</v>
      </c>
      <c r="F116">
        <v>3093</v>
      </c>
      <c r="H116">
        <v>242697412.5</v>
      </c>
      <c r="I116">
        <v>3212.12</v>
      </c>
      <c r="J116">
        <v>75556.77</v>
      </c>
    </row>
    <row r="117" spans="1:10" x14ac:dyDescent="0.2">
      <c r="A117" s="16">
        <v>46023</v>
      </c>
      <c r="B117" t="s">
        <v>36</v>
      </c>
      <c r="C117" t="s">
        <v>18</v>
      </c>
      <c r="D117" t="s">
        <v>31</v>
      </c>
      <c r="E117" t="s">
        <v>37</v>
      </c>
      <c r="F117">
        <v>1594</v>
      </c>
      <c r="H117">
        <v>275267020.27999997</v>
      </c>
      <c r="I117">
        <v>3212.12</v>
      </c>
      <c r="J117">
        <v>85696.37</v>
      </c>
    </row>
    <row r="118" spans="1:10" x14ac:dyDescent="0.2">
      <c r="A118" s="16">
        <v>46023</v>
      </c>
      <c r="B118" t="s">
        <v>36</v>
      </c>
      <c r="C118" t="s">
        <v>18</v>
      </c>
      <c r="D118" t="s">
        <v>32</v>
      </c>
      <c r="E118" t="s">
        <v>37</v>
      </c>
      <c r="F118">
        <v>1554</v>
      </c>
      <c r="H118">
        <v>173217092.5</v>
      </c>
      <c r="I118">
        <v>3212.12</v>
      </c>
      <c r="J118">
        <v>53926.1</v>
      </c>
    </row>
    <row r="119" spans="1:10" x14ac:dyDescent="0.2">
      <c r="A119" s="16">
        <v>46023</v>
      </c>
      <c r="B119" t="s">
        <v>36</v>
      </c>
      <c r="C119" t="s">
        <v>18</v>
      </c>
      <c r="D119" t="s">
        <v>33</v>
      </c>
      <c r="E119" t="s">
        <v>37</v>
      </c>
      <c r="F119">
        <v>2267</v>
      </c>
      <c r="H119">
        <v>114820510.06</v>
      </c>
      <c r="I119">
        <v>3212.12</v>
      </c>
      <c r="J119">
        <v>35746.019999999997</v>
      </c>
    </row>
    <row r="120" spans="1:10" x14ac:dyDescent="0.2">
      <c r="A120" s="16">
        <v>46023</v>
      </c>
      <c r="B120" t="s">
        <v>36</v>
      </c>
      <c r="C120" t="s">
        <v>18</v>
      </c>
      <c r="D120" t="s">
        <v>34</v>
      </c>
      <c r="E120" t="s">
        <v>37</v>
      </c>
      <c r="F120">
        <v>2274</v>
      </c>
      <c r="H120">
        <v>91407074.019999996</v>
      </c>
      <c r="I120">
        <v>3212.12</v>
      </c>
      <c r="J120">
        <v>28456.93</v>
      </c>
    </row>
    <row r="121" spans="1:10" x14ac:dyDescent="0.2">
      <c r="A121" s="16">
        <v>46023</v>
      </c>
      <c r="B121" t="s">
        <v>36</v>
      </c>
      <c r="C121" t="s">
        <v>18</v>
      </c>
      <c r="D121" t="s">
        <v>35</v>
      </c>
      <c r="E121" t="s">
        <v>37</v>
      </c>
      <c r="F121">
        <v>2033</v>
      </c>
      <c r="H121">
        <v>129784271.75</v>
      </c>
      <c r="I121">
        <v>3212.12</v>
      </c>
      <c r="J121">
        <v>40404.550000000003</v>
      </c>
    </row>
    <row r="122" spans="1:10" x14ac:dyDescent="0.2">
      <c r="A122" s="16">
        <v>46023</v>
      </c>
      <c r="B122" t="s">
        <v>38</v>
      </c>
      <c r="C122" t="s">
        <v>19</v>
      </c>
      <c r="D122" t="s">
        <v>29</v>
      </c>
      <c r="E122" t="s">
        <v>39</v>
      </c>
      <c r="F122">
        <v>3114</v>
      </c>
      <c r="H122">
        <v>50263509.640000001</v>
      </c>
      <c r="I122">
        <v>607.72</v>
      </c>
      <c r="J122">
        <v>82708.34</v>
      </c>
    </row>
    <row r="123" spans="1:10" x14ac:dyDescent="0.2">
      <c r="A123" s="16">
        <v>46023</v>
      </c>
      <c r="B123" t="s">
        <v>38</v>
      </c>
      <c r="C123" t="s">
        <v>19</v>
      </c>
      <c r="D123" t="s">
        <v>31</v>
      </c>
      <c r="E123" t="s">
        <v>39</v>
      </c>
      <c r="F123">
        <v>1833</v>
      </c>
      <c r="H123">
        <v>61480142.450000003</v>
      </c>
      <c r="I123">
        <v>607.72</v>
      </c>
      <c r="J123">
        <v>101165.24</v>
      </c>
    </row>
    <row r="124" spans="1:10" x14ac:dyDescent="0.2">
      <c r="A124" s="16">
        <v>46023</v>
      </c>
      <c r="B124" t="s">
        <v>38</v>
      </c>
      <c r="C124" t="s">
        <v>19</v>
      </c>
      <c r="D124" t="s">
        <v>32</v>
      </c>
      <c r="E124" t="s">
        <v>39</v>
      </c>
      <c r="F124">
        <v>1506</v>
      </c>
      <c r="H124">
        <v>29297240.670000002</v>
      </c>
      <c r="I124">
        <v>607.72</v>
      </c>
      <c r="J124">
        <v>48208.45</v>
      </c>
    </row>
    <row r="125" spans="1:10" x14ac:dyDescent="0.2">
      <c r="A125" s="16">
        <v>46023</v>
      </c>
      <c r="B125" t="s">
        <v>38</v>
      </c>
      <c r="C125" t="s">
        <v>19</v>
      </c>
      <c r="D125" t="s">
        <v>33</v>
      </c>
      <c r="E125" t="s">
        <v>39</v>
      </c>
      <c r="F125">
        <v>2790</v>
      </c>
      <c r="H125">
        <v>26766865.949999999</v>
      </c>
      <c r="I125">
        <v>607.72</v>
      </c>
      <c r="J125">
        <v>44044.73</v>
      </c>
    </row>
    <row r="126" spans="1:10" x14ac:dyDescent="0.2">
      <c r="A126" s="16">
        <v>46023</v>
      </c>
      <c r="B126" t="s">
        <v>38</v>
      </c>
      <c r="C126" t="s">
        <v>19</v>
      </c>
      <c r="D126" t="s">
        <v>34</v>
      </c>
      <c r="E126" t="s">
        <v>39</v>
      </c>
      <c r="F126">
        <v>2892</v>
      </c>
      <c r="H126">
        <v>22831004.98</v>
      </c>
      <c r="I126">
        <v>607.72</v>
      </c>
      <c r="J126">
        <v>37568.300000000003</v>
      </c>
    </row>
    <row r="127" spans="1:10" x14ac:dyDescent="0.2">
      <c r="A127" s="16">
        <v>46023</v>
      </c>
      <c r="B127" t="s">
        <v>38</v>
      </c>
      <c r="C127" t="s">
        <v>19</v>
      </c>
      <c r="D127" t="s">
        <v>35</v>
      </c>
      <c r="E127" t="s">
        <v>39</v>
      </c>
      <c r="F127">
        <v>2274</v>
      </c>
      <c r="H127">
        <v>28221772.690000001</v>
      </c>
      <c r="I127">
        <v>607.72</v>
      </c>
      <c r="J127">
        <v>46438.78</v>
      </c>
    </row>
    <row r="128" spans="1:10" x14ac:dyDescent="0.2">
      <c r="A128" s="16">
        <v>46023</v>
      </c>
      <c r="B128" t="s">
        <v>40</v>
      </c>
      <c r="C128" t="s">
        <v>19</v>
      </c>
      <c r="D128" t="s">
        <v>29</v>
      </c>
      <c r="E128" t="s">
        <v>41</v>
      </c>
      <c r="F128">
        <v>2019</v>
      </c>
      <c r="H128">
        <v>29043728.629999999</v>
      </c>
      <c r="I128">
        <v>607.72</v>
      </c>
      <c r="J128">
        <v>47791.3</v>
      </c>
    </row>
    <row r="129" spans="1:10" x14ac:dyDescent="0.2">
      <c r="A129" s="16">
        <v>46023</v>
      </c>
      <c r="B129" t="s">
        <v>40</v>
      </c>
      <c r="C129" t="s">
        <v>19</v>
      </c>
      <c r="D129" t="s">
        <v>31</v>
      </c>
      <c r="E129" t="s">
        <v>41</v>
      </c>
      <c r="F129">
        <v>1442</v>
      </c>
      <c r="H129">
        <v>44658549.509999998</v>
      </c>
      <c r="I129">
        <v>607.72</v>
      </c>
      <c r="J129">
        <v>73485.399999999994</v>
      </c>
    </row>
    <row r="130" spans="1:10" x14ac:dyDescent="0.2">
      <c r="A130" s="16">
        <v>46023</v>
      </c>
      <c r="B130" t="s">
        <v>40</v>
      </c>
      <c r="C130" t="s">
        <v>19</v>
      </c>
      <c r="D130" t="s">
        <v>32</v>
      </c>
      <c r="E130" t="s">
        <v>41</v>
      </c>
      <c r="F130">
        <v>1588</v>
      </c>
      <c r="H130">
        <v>31964777.489999998</v>
      </c>
      <c r="I130">
        <v>607.72</v>
      </c>
      <c r="J130">
        <v>52597.87</v>
      </c>
    </row>
    <row r="131" spans="1:10" x14ac:dyDescent="0.2">
      <c r="A131" s="16">
        <v>46023</v>
      </c>
      <c r="B131" t="s">
        <v>40</v>
      </c>
      <c r="C131" t="s">
        <v>19</v>
      </c>
      <c r="D131" t="s">
        <v>33</v>
      </c>
      <c r="E131" t="s">
        <v>41</v>
      </c>
      <c r="F131">
        <v>2158</v>
      </c>
      <c r="H131">
        <v>21874834.239999998</v>
      </c>
      <c r="I131">
        <v>607.72</v>
      </c>
      <c r="J131">
        <v>35994.92</v>
      </c>
    </row>
    <row r="132" spans="1:10" x14ac:dyDescent="0.2">
      <c r="A132" s="16">
        <v>46023</v>
      </c>
      <c r="B132" t="s">
        <v>40</v>
      </c>
      <c r="C132" t="s">
        <v>19</v>
      </c>
      <c r="D132" t="s">
        <v>34</v>
      </c>
      <c r="E132" t="s">
        <v>41</v>
      </c>
      <c r="F132">
        <v>2159</v>
      </c>
      <c r="H132">
        <v>17460170.260000002</v>
      </c>
      <c r="I132">
        <v>607.72</v>
      </c>
      <c r="J132">
        <v>28730.62</v>
      </c>
    </row>
    <row r="133" spans="1:10" x14ac:dyDescent="0.2">
      <c r="A133" s="16">
        <v>46023</v>
      </c>
      <c r="B133" t="s">
        <v>40</v>
      </c>
      <c r="C133" t="s">
        <v>19</v>
      </c>
      <c r="D133" t="s">
        <v>35</v>
      </c>
      <c r="E133" t="s">
        <v>41</v>
      </c>
      <c r="F133">
        <v>1676</v>
      </c>
      <c r="H133">
        <v>21296469.02</v>
      </c>
      <c r="I133">
        <v>607.72</v>
      </c>
      <c r="J133">
        <v>35043.230000000003</v>
      </c>
    </row>
    <row r="134" spans="1:10" x14ac:dyDescent="0.2">
      <c r="A134" s="16">
        <v>46023</v>
      </c>
      <c r="B134" t="s">
        <v>42</v>
      </c>
      <c r="C134" t="s">
        <v>20</v>
      </c>
      <c r="D134" t="s">
        <v>29</v>
      </c>
      <c r="E134" t="s">
        <v>43</v>
      </c>
      <c r="F134">
        <v>2185</v>
      </c>
      <c r="H134">
        <v>33807343.369999997</v>
      </c>
      <c r="I134">
        <v>606.49</v>
      </c>
      <c r="J134">
        <v>55742.62</v>
      </c>
    </row>
    <row r="135" spans="1:10" x14ac:dyDescent="0.2">
      <c r="A135" s="16">
        <v>46023</v>
      </c>
      <c r="B135" t="s">
        <v>42</v>
      </c>
      <c r="C135" t="s">
        <v>20</v>
      </c>
      <c r="D135" t="s">
        <v>31</v>
      </c>
      <c r="E135" t="s">
        <v>43</v>
      </c>
      <c r="F135">
        <v>1466</v>
      </c>
      <c r="H135">
        <v>50898107.369999997</v>
      </c>
      <c r="I135">
        <v>606.49</v>
      </c>
      <c r="J135">
        <v>83922.42</v>
      </c>
    </row>
    <row r="136" spans="1:10" x14ac:dyDescent="0.2">
      <c r="A136" s="16">
        <v>46023</v>
      </c>
      <c r="B136" t="s">
        <v>42</v>
      </c>
      <c r="C136" t="s">
        <v>20</v>
      </c>
      <c r="D136" t="s">
        <v>32</v>
      </c>
      <c r="E136" t="s">
        <v>43</v>
      </c>
      <c r="F136">
        <v>1243</v>
      </c>
      <c r="H136">
        <v>25137875.57</v>
      </c>
      <c r="I136">
        <v>606.49</v>
      </c>
      <c r="J136">
        <v>41448.129999999997</v>
      </c>
    </row>
    <row r="137" spans="1:10" x14ac:dyDescent="0.2">
      <c r="A137" s="16">
        <v>46023</v>
      </c>
      <c r="B137" t="s">
        <v>42</v>
      </c>
      <c r="C137" t="s">
        <v>20</v>
      </c>
      <c r="D137" t="s">
        <v>33</v>
      </c>
      <c r="E137" t="s">
        <v>43</v>
      </c>
      <c r="F137">
        <v>3269</v>
      </c>
      <c r="H137">
        <v>30744532.98</v>
      </c>
      <c r="I137">
        <v>606.49</v>
      </c>
      <c r="J137">
        <v>50692.56</v>
      </c>
    </row>
    <row r="138" spans="1:10" x14ac:dyDescent="0.2">
      <c r="A138" s="16">
        <v>46023</v>
      </c>
      <c r="B138" t="s">
        <v>42</v>
      </c>
      <c r="C138" t="s">
        <v>20</v>
      </c>
      <c r="D138" t="s">
        <v>34</v>
      </c>
      <c r="E138" t="s">
        <v>43</v>
      </c>
      <c r="F138">
        <v>3028</v>
      </c>
      <c r="H138">
        <v>23129494.920000002</v>
      </c>
      <c r="I138">
        <v>606.49</v>
      </c>
      <c r="J138">
        <v>38136.65</v>
      </c>
    </row>
    <row r="139" spans="1:10" x14ac:dyDescent="0.2">
      <c r="A139" s="16">
        <v>46023</v>
      </c>
      <c r="B139" t="s">
        <v>42</v>
      </c>
      <c r="C139" t="s">
        <v>20</v>
      </c>
      <c r="D139" t="s">
        <v>35</v>
      </c>
      <c r="E139" t="s">
        <v>43</v>
      </c>
      <c r="F139">
        <v>1591</v>
      </c>
      <c r="H139">
        <v>19879745.960000001</v>
      </c>
      <c r="I139">
        <v>606.49</v>
      </c>
      <c r="J139">
        <v>32778.36</v>
      </c>
    </row>
    <row r="140" spans="1:10" x14ac:dyDescent="0.2">
      <c r="A140" s="16">
        <v>46023</v>
      </c>
      <c r="B140" t="s">
        <v>44</v>
      </c>
      <c r="C140" t="s">
        <v>20</v>
      </c>
      <c r="D140" t="s">
        <v>29</v>
      </c>
      <c r="E140" t="s">
        <v>45</v>
      </c>
      <c r="F140">
        <v>1972</v>
      </c>
      <c r="H140">
        <v>31341575.149999999</v>
      </c>
      <c r="I140">
        <v>606.49</v>
      </c>
      <c r="J140">
        <v>51676.99</v>
      </c>
    </row>
    <row r="141" spans="1:10" x14ac:dyDescent="0.2">
      <c r="A141" s="16">
        <v>46023</v>
      </c>
      <c r="B141" t="s">
        <v>44</v>
      </c>
      <c r="C141" t="s">
        <v>20</v>
      </c>
      <c r="D141" t="s">
        <v>31</v>
      </c>
      <c r="E141" t="s">
        <v>45</v>
      </c>
      <c r="F141">
        <v>1145</v>
      </c>
      <c r="H141">
        <v>36645585.469999999</v>
      </c>
      <c r="I141">
        <v>606.49</v>
      </c>
      <c r="J141">
        <v>60422.41</v>
      </c>
    </row>
    <row r="142" spans="1:10" x14ac:dyDescent="0.2">
      <c r="A142" s="16">
        <v>46023</v>
      </c>
      <c r="B142" t="s">
        <v>44</v>
      </c>
      <c r="C142" t="s">
        <v>20</v>
      </c>
      <c r="D142" t="s">
        <v>32</v>
      </c>
      <c r="E142" t="s">
        <v>45</v>
      </c>
      <c r="F142">
        <v>1101</v>
      </c>
      <c r="H142">
        <v>20885855.789999999</v>
      </c>
      <c r="I142">
        <v>606.49</v>
      </c>
      <c r="J142">
        <v>34437.26</v>
      </c>
    </row>
    <row r="143" spans="1:10" x14ac:dyDescent="0.2">
      <c r="A143" s="16">
        <v>46023</v>
      </c>
      <c r="B143" t="s">
        <v>44</v>
      </c>
      <c r="C143" t="s">
        <v>20</v>
      </c>
      <c r="D143" t="s">
        <v>33</v>
      </c>
      <c r="E143" t="s">
        <v>45</v>
      </c>
      <c r="F143">
        <v>1396</v>
      </c>
      <c r="H143">
        <v>13203569.58</v>
      </c>
      <c r="I143">
        <v>606.49</v>
      </c>
      <c r="J143">
        <v>21770.47</v>
      </c>
    </row>
    <row r="144" spans="1:10" x14ac:dyDescent="0.2">
      <c r="A144" s="16">
        <v>46023</v>
      </c>
      <c r="B144" t="s">
        <v>44</v>
      </c>
      <c r="C144" t="s">
        <v>20</v>
      </c>
      <c r="D144" t="s">
        <v>34</v>
      </c>
      <c r="E144" t="s">
        <v>45</v>
      </c>
      <c r="F144">
        <v>1606</v>
      </c>
      <c r="H144">
        <v>13582073.119999999</v>
      </c>
      <c r="I144">
        <v>606.49</v>
      </c>
      <c r="J144">
        <v>22394.55</v>
      </c>
    </row>
    <row r="145" spans="1:10" x14ac:dyDescent="0.2">
      <c r="A145" s="16">
        <v>46023</v>
      </c>
      <c r="B145" t="s">
        <v>44</v>
      </c>
      <c r="C145" t="s">
        <v>20</v>
      </c>
      <c r="D145" t="s">
        <v>35</v>
      </c>
      <c r="E145" t="s">
        <v>45</v>
      </c>
      <c r="F145">
        <v>1736</v>
      </c>
      <c r="H145">
        <v>22848130.82</v>
      </c>
      <c r="I145">
        <v>606.49</v>
      </c>
      <c r="J145">
        <v>37672.720000000001</v>
      </c>
    </row>
    <row r="146" spans="1:10" x14ac:dyDescent="0.2">
      <c r="A146" s="16">
        <v>46054</v>
      </c>
      <c r="B146" t="s">
        <v>28</v>
      </c>
      <c r="C146" t="s">
        <v>18</v>
      </c>
      <c r="D146" t="s">
        <v>29</v>
      </c>
      <c r="E146" t="s">
        <v>30</v>
      </c>
      <c r="F146">
        <v>4875</v>
      </c>
      <c r="H146">
        <v>413197046.74000001</v>
      </c>
      <c r="I146">
        <v>3237.47</v>
      </c>
      <c r="J146">
        <v>127629.61</v>
      </c>
    </row>
    <row r="147" spans="1:10" x14ac:dyDescent="0.2">
      <c r="A147" s="16">
        <v>46054</v>
      </c>
      <c r="B147" t="s">
        <v>28</v>
      </c>
      <c r="C147" t="s">
        <v>18</v>
      </c>
      <c r="D147" t="s">
        <v>31</v>
      </c>
      <c r="E147" t="s">
        <v>30</v>
      </c>
      <c r="F147">
        <v>3175</v>
      </c>
      <c r="H147">
        <v>538077608.95000005</v>
      </c>
      <c r="I147">
        <v>3237.47</v>
      </c>
      <c r="J147">
        <v>166203.12</v>
      </c>
    </row>
    <row r="148" spans="1:10" x14ac:dyDescent="0.2">
      <c r="A148" s="16">
        <v>46054</v>
      </c>
      <c r="B148" t="s">
        <v>28</v>
      </c>
      <c r="C148" t="s">
        <v>18</v>
      </c>
      <c r="D148" t="s">
        <v>32</v>
      </c>
      <c r="E148" t="s">
        <v>30</v>
      </c>
      <c r="F148">
        <v>2827</v>
      </c>
      <c r="H148">
        <v>316617861.26999998</v>
      </c>
      <c r="I148">
        <v>3237.47</v>
      </c>
      <c r="J148">
        <v>97797.93</v>
      </c>
    </row>
    <row r="149" spans="1:10" x14ac:dyDescent="0.2">
      <c r="A149" s="16">
        <v>46054</v>
      </c>
      <c r="B149" t="s">
        <v>28</v>
      </c>
      <c r="C149" t="s">
        <v>18</v>
      </c>
      <c r="D149" t="s">
        <v>33</v>
      </c>
      <c r="E149" t="s">
        <v>30</v>
      </c>
      <c r="F149">
        <v>3822</v>
      </c>
      <c r="H149">
        <v>214507642.97</v>
      </c>
      <c r="I149">
        <v>3237.47</v>
      </c>
      <c r="J149">
        <v>66257.8</v>
      </c>
    </row>
    <row r="150" spans="1:10" x14ac:dyDescent="0.2">
      <c r="A150" s="16">
        <v>46054</v>
      </c>
      <c r="B150" t="s">
        <v>28</v>
      </c>
      <c r="C150" t="s">
        <v>18</v>
      </c>
      <c r="D150" t="s">
        <v>34</v>
      </c>
      <c r="E150" t="s">
        <v>30</v>
      </c>
      <c r="F150">
        <v>4327</v>
      </c>
      <c r="H150">
        <v>180555936.53</v>
      </c>
      <c r="I150">
        <v>3237.47</v>
      </c>
      <c r="J150">
        <v>55770.69</v>
      </c>
    </row>
    <row r="151" spans="1:10" x14ac:dyDescent="0.2">
      <c r="A151" s="16">
        <v>46054</v>
      </c>
      <c r="B151" t="s">
        <v>28</v>
      </c>
      <c r="C151" t="s">
        <v>18</v>
      </c>
      <c r="D151" t="s">
        <v>35</v>
      </c>
      <c r="E151" t="s">
        <v>30</v>
      </c>
      <c r="F151">
        <v>3423</v>
      </c>
      <c r="H151">
        <v>235847430.78999999</v>
      </c>
      <c r="I151">
        <v>3237.47</v>
      </c>
      <c r="J151">
        <v>72849.3</v>
      </c>
    </row>
    <row r="152" spans="1:10" x14ac:dyDescent="0.2">
      <c r="A152" s="16">
        <v>46054</v>
      </c>
      <c r="B152" t="s">
        <v>36</v>
      </c>
      <c r="C152" t="s">
        <v>18</v>
      </c>
      <c r="D152" t="s">
        <v>29</v>
      </c>
      <c r="E152" t="s">
        <v>37</v>
      </c>
      <c r="F152">
        <v>2977</v>
      </c>
      <c r="H152">
        <v>237601368.74000001</v>
      </c>
      <c r="I152">
        <v>3237.47</v>
      </c>
      <c r="J152">
        <v>73391.06</v>
      </c>
    </row>
    <row r="153" spans="1:10" x14ac:dyDescent="0.2">
      <c r="A153" s="16">
        <v>46054</v>
      </c>
      <c r="B153" t="s">
        <v>36</v>
      </c>
      <c r="C153" t="s">
        <v>18</v>
      </c>
      <c r="D153" t="s">
        <v>31</v>
      </c>
      <c r="E153" t="s">
        <v>37</v>
      </c>
      <c r="F153">
        <v>1641</v>
      </c>
      <c r="H153">
        <v>292962045.26999998</v>
      </c>
      <c r="I153">
        <v>3237.47</v>
      </c>
      <c r="J153">
        <v>90491.05</v>
      </c>
    </row>
    <row r="154" spans="1:10" x14ac:dyDescent="0.2">
      <c r="A154" s="16">
        <v>46054</v>
      </c>
      <c r="B154" t="s">
        <v>36</v>
      </c>
      <c r="C154" t="s">
        <v>18</v>
      </c>
      <c r="D154" t="s">
        <v>32</v>
      </c>
      <c r="E154" t="s">
        <v>37</v>
      </c>
      <c r="F154">
        <v>1625</v>
      </c>
      <c r="H154">
        <v>186018000.59</v>
      </c>
      <c r="I154">
        <v>3237.47</v>
      </c>
      <c r="J154">
        <v>57457.83</v>
      </c>
    </row>
    <row r="155" spans="1:10" x14ac:dyDescent="0.2">
      <c r="A155" s="16">
        <v>46054</v>
      </c>
      <c r="B155" t="s">
        <v>36</v>
      </c>
      <c r="C155" t="s">
        <v>18</v>
      </c>
      <c r="D155" t="s">
        <v>33</v>
      </c>
      <c r="E155" t="s">
        <v>37</v>
      </c>
      <c r="F155">
        <v>2476</v>
      </c>
      <c r="H155">
        <v>114040928.98999999</v>
      </c>
      <c r="I155">
        <v>3237.47</v>
      </c>
      <c r="J155">
        <v>35225.32</v>
      </c>
    </row>
    <row r="156" spans="1:10" x14ac:dyDescent="0.2">
      <c r="A156" s="16">
        <v>46054</v>
      </c>
      <c r="B156" t="s">
        <v>36</v>
      </c>
      <c r="C156" t="s">
        <v>18</v>
      </c>
      <c r="D156" t="s">
        <v>34</v>
      </c>
      <c r="E156" t="s">
        <v>37</v>
      </c>
      <c r="F156">
        <v>2484</v>
      </c>
      <c r="H156">
        <v>109574760.72</v>
      </c>
      <c r="I156">
        <v>3237.47</v>
      </c>
      <c r="J156">
        <v>33845.800000000003</v>
      </c>
    </row>
    <row r="157" spans="1:10" x14ac:dyDescent="0.2">
      <c r="A157" s="16">
        <v>46054</v>
      </c>
      <c r="B157" t="s">
        <v>36</v>
      </c>
      <c r="C157" t="s">
        <v>18</v>
      </c>
      <c r="D157" t="s">
        <v>35</v>
      </c>
      <c r="E157" t="s">
        <v>37</v>
      </c>
      <c r="F157">
        <v>2242</v>
      </c>
      <c r="H157">
        <v>160790924.25</v>
      </c>
      <c r="I157">
        <v>3237.47</v>
      </c>
      <c r="J157">
        <v>49665.61</v>
      </c>
    </row>
    <row r="158" spans="1:10" x14ac:dyDescent="0.2">
      <c r="A158" s="16">
        <v>46054</v>
      </c>
      <c r="B158" t="s">
        <v>38</v>
      </c>
      <c r="C158" t="s">
        <v>19</v>
      </c>
      <c r="D158" t="s">
        <v>29</v>
      </c>
      <c r="E158" t="s">
        <v>39</v>
      </c>
      <c r="F158">
        <v>2659</v>
      </c>
      <c r="H158">
        <v>43309266.799999997</v>
      </c>
      <c r="I158">
        <v>610.86</v>
      </c>
      <c r="J158">
        <v>70898.84</v>
      </c>
    </row>
    <row r="159" spans="1:10" x14ac:dyDescent="0.2">
      <c r="A159" s="16">
        <v>46054</v>
      </c>
      <c r="B159" t="s">
        <v>38</v>
      </c>
      <c r="C159" t="s">
        <v>19</v>
      </c>
      <c r="D159" t="s">
        <v>31</v>
      </c>
      <c r="E159" t="s">
        <v>39</v>
      </c>
      <c r="F159">
        <v>1835</v>
      </c>
      <c r="H159">
        <v>54084732.329999998</v>
      </c>
      <c r="I159">
        <v>610.86</v>
      </c>
      <c r="J159">
        <v>88538.67</v>
      </c>
    </row>
    <row r="160" spans="1:10" x14ac:dyDescent="0.2">
      <c r="A160" s="16">
        <v>46054</v>
      </c>
      <c r="B160" t="s">
        <v>38</v>
      </c>
      <c r="C160" t="s">
        <v>19</v>
      </c>
      <c r="D160" t="s">
        <v>32</v>
      </c>
      <c r="E160" t="s">
        <v>39</v>
      </c>
      <c r="F160">
        <v>1512</v>
      </c>
      <c r="H160">
        <v>32911250.93</v>
      </c>
      <c r="I160">
        <v>610.86</v>
      </c>
      <c r="J160">
        <v>53876.91</v>
      </c>
    </row>
    <row r="161" spans="1:10" x14ac:dyDescent="0.2">
      <c r="A161" s="16">
        <v>46054</v>
      </c>
      <c r="B161" t="s">
        <v>38</v>
      </c>
      <c r="C161" t="s">
        <v>19</v>
      </c>
      <c r="D161" t="s">
        <v>33</v>
      </c>
      <c r="E161" t="s">
        <v>39</v>
      </c>
      <c r="F161">
        <v>2756</v>
      </c>
      <c r="H161">
        <v>26077946.670000002</v>
      </c>
      <c r="I161">
        <v>610.86</v>
      </c>
      <c r="J161">
        <v>42690.55</v>
      </c>
    </row>
    <row r="162" spans="1:10" x14ac:dyDescent="0.2">
      <c r="A162" s="16">
        <v>46054</v>
      </c>
      <c r="B162" t="s">
        <v>38</v>
      </c>
      <c r="C162" t="s">
        <v>19</v>
      </c>
      <c r="D162" t="s">
        <v>34</v>
      </c>
      <c r="E162" t="s">
        <v>39</v>
      </c>
      <c r="F162">
        <v>2939</v>
      </c>
      <c r="H162">
        <v>24149905.030000001</v>
      </c>
      <c r="I162">
        <v>610.86</v>
      </c>
      <c r="J162">
        <v>39534.269999999997</v>
      </c>
    </row>
    <row r="163" spans="1:10" x14ac:dyDescent="0.2">
      <c r="A163" s="16">
        <v>46054</v>
      </c>
      <c r="B163" t="s">
        <v>38</v>
      </c>
      <c r="C163" t="s">
        <v>19</v>
      </c>
      <c r="D163" t="s">
        <v>35</v>
      </c>
      <c r="E163" t="s">
        <v>39</v>
      </c>
      <c r="F163">
        <v>2236</v>
      </c>
      <c r="H163">
        <v>29336446.82</v>
      </c>
      <c r="I163">
        <v>610.86</v>
      </c>
      <c r="J163">
        <v>48024.83</v>
      </c>
    </row>
    <row r="164" spans="1:10" x14ac:dyDescent="0.2">
      <c r="A164" s="16">
        <v>46054</v>
      </c>
      <c r="B164" t="s">
        <v>40</v>
      </c>
      <c r="C164" t="s">
        <v>19</v>
      </c>
      <c r="D164" t="s">
        <v>29</v>
      </c>
      <c r="E164" t="s">
        <v>41</v>
      </c>
      <c r="F164">
        <v>2380</v>
      </c>
      <c r="H164">
        <v>35190122.490000002</v>
      </c>
      <c r="I164">
        <v>610.86</v>
      </c>
      <c r="J164">
        <v>57607.51</v>
      </c>
    </row>
    <row r="165" spans="1:10" x14ac:dyDescent="0.2">
      <c r="A165" s="16">
        <v>46054</v>
      </c>
      <c r="B165" t="s">
        <v>40</v>
      </c>
      <c r="C165" t="s">
        <v>19</v>
      </c>
      <c r="D165" t="s">
        <v>31</v>
      </c>
      <c r="E165" t="s">
        <v>41</v>
      </c>
      <c r="F165">
        <v>1199</v>
      </c>
      <c r="H165">
        <v>38329576.649999999</v>
      </c>
      <c r="I165">
        <v>610.86</v>
      </c>
      <c r="J165">
        <v>62746.91</v>
      </c>
    </row>
    <row r="166" spans="1:10" x14ac:dyDescent="0.2">
      <c r="A166" s="16">
        <v>46054</v>
      </c>
      <c r="B166" t="s">
        <v>40</v>
      </c>
      <c r="C166" t="s">
        <v>19</v>
      </c>
      <c r="D166" t="s">
        <v>32</v>
      </c>
      <c r="E166" t="s">
        <v>41</v>
      </c>
      <c r="F166">
        <v>1568</v>
      </c>
      <c r="H166">
        <v>31673468.73</v>
      </c>
      <c r="I166">
        <v>610.86</v>
      </c>
      <c r="J166">
        <v>51850.62</v>
      </c>
    </row>
    <row r="167" spans="1:10" x14ac:dyDescent="0.2">
      <c r="A167" s="16">
        <v>46054</v>
      </c>
      <c r="B167" t="s">
        <v>40</v>
      </c>
      <c r="C167" t="s">
        <v>19</v>
      </c>
      <c r="D167" t="s">
        <v>33</v>
      </c>
      <c r="E167" t="s">
        <v>41</v>
      </c>
      <c r="F167">
        <v>1847</v>
      </c>
      <c r="H167">
        <v>18054448.059999999</v>
      </c>
      <c r="I167">
        <v>610.86</v>
      </c>
      <c r="J167">
        <v>29555.79</v>
      </c>
    </row>
    <row r="168" spans="1:10" x14ac:dyDescent="0.2">
      <c r="A168" s="16">
        <v>46054</v>
      </c>
      <c r="B168" t="s">
        <v>40</v>
      </c>
      <c r="C168" t="s">
        <v>19</v>
      </c>
      <c r="D168" t="s">
        <v>34</v>
      </c>
      <c r="E168" t="s">
        <v>41</v>
      </c>
      <c r="F168">
        <v>2181</v>
      </c>
      <c r="H168">
        <v>17758035.32</v>
      </c>
      <c r="I168">
        <v>610.86</v>
      </c>
      <c r="J168">
        <v>29070.55</v>
      </c>
    </row>
    <row r="169" spans="1:10" x14ac:dyDescent="0.2">
      <c r="A169" s="16">
        <v>46054</v>
      </c>
      <c r="B169" t="s">
        <v>40</v>
      </c>
      <c r="C169" t="s">
        <v>19</v>
      </c>
      <c r="D169" t="s">
        <v>35</v>
      </c>
      <c r="E169" t="s">
        <v>41</v>
      </c>
      <c r="F169">
        <v>1350</v>
      </c>
      <c r="H169">
        <v>18501389.789999999</v>
      </c>
      <c r="I169">
        <v>610.86</v>
      </c>
      <c r="J169">
        <v>30287.45</v>
      </c>
    </row>
    <row r="170" spans="1:10" x14ac:dyDescent="0.2">
      <c r="A170" s="16">
        <v>46054</v>
      </c>
      <c r="B170" t="s">
        <v>42</v>
      </c>
      <c r="C170" t="s">
        <v>20</v>
      </c>
      <c r="D170" t="s">
        <v>29</v>
      </c>
      <c r="E170" t="s">
        <v>43</v>
      </c>
      <c r="F170">
        <v>2413</v>
      </c>
      <c r="H170">
        <v>38516764.579999998</v>
      </c>
      <c r="I170">
        <v>605.64</v>
      </c>
      <c r="J170">
        <v>63596.800000000003</v>
      </c>
    </row>
    <row r="171" spans="1:10" x14ac:dyDescent="0.2">
      <c r="A171" s="16">
        <v>46054</v>
      </c>
      <c r="B171" t="s">
        <v>42</v>
      </c>
      <c r="C171" t="s">
        <v>20</v>
      </c>
      <c r="D171" t="s">
        <v>31</v>
      </c>
      <c r="E171" t="s">
        <v>43</v>
      </c>
      <c r="F171">
        <v>1458</v>
      </c>
      <c r="H171">
        <v>43041188.460000001</v>
      </c>
      <c r="I171">
        <v>605.64</v>
      </c>
      <c r="J171">
        <v>71067.28</v>
      </c>
    </row>
    <row r="172" spans="1:10" x14ac:dyDescent="0.2">
      <c r="A172" s="16">
        <v>46054</v>
      </c>
      <c r="B172" t="s">
        <v>42</v>
      </c>
      <c r="C172" t="s">
        <v>20</v>
      </c>
      <c r="D172" t="s">
        <v>32</v>
      </c>
      <c r="E172" t="s">
        <v>43</v>
      </c>
      <c r="F172">
        <v>1376</v>
      </c>
      <c r="H172">
        <v>27989622.149999999</v>
      </c>
      <c r="I172">
        <v>605.64</v>
      </c>
      <c r="J172">
        <v>46214.95</v>
      </c>
    </row>
    <row r="173" spans="1:10" x14ac:dyDescent="0.2">
      <c r="A173" s="16">
        <v>46054</v>
      </c>
      <c r="B173" t="s">
        <v>42</v>
      </c>
      <c r="C173" t="s">
        <v>20</v>
      </c>
      <c r="D173" t="s">
        <v>33</v>
      </c>
      <c r="E173" t="s">
        <v>43</v>
      </c>
      <c r="F173">
        <v>2641</v>
      </c>
      <c r="H173">
        <v>25847325.469999999</v>
      </c>
      <c r="I173">
        <v>605.64</v>
      </c>
      <c r="J173">
        <v>42677.71</v>
      </c>
    </row>
    <row r="174" spans="1:10" x14ac:dyDescent="0.2">
      <c r="A174" s="16">
        <v>46054</v>
      </c>
      <c r="B174" t="s">
        <v>42</v>
      </c>
      <c r="C174" t="s">
        <v>20</v>
      </c>
      <c r="D174" t="s">
        <v>34</v>
      </c>
      <c r="E174" t="s">
        <v>43</v>
      </c>
      <c r="F174">
        <v>2769</v>
      </c>
      <c r="H174">
        <v>21822250.09</v>
      </c>
      <c r="I174">
        <v>605.64</v>
      </c>
      <c r="J174">
        <v>36031.72</v>
      </c>
    </row>
    <row r="175" spans="1:10" x14ac:dyDescent="0.2">
      <c r="A175" s="16">
        <v>46054</v>
      </c>
      <c r="B175" t="s">
        <v>42</v>
      </c>
      <c r="C175" t="s">
        <v>20</v>
      </c>
      <c r="D175" t="s">
        <v>35</v>
      </c>
      <c r="E175" t="s">
        <v>43</v>
      </c>
      <c r="F175">
        <v>1571</v>
      </c>
      <c r="H175">
        <v>20645036.129999999</v>
      </c>
      <c r="I175">
        <v>605.64</v>
      </c>
      <c r="J175">
        <v>34087.97</v>
      </c>
    </row>
    <row r="176" spans="1:10" x14ac:dyDescent="0.2">
      <c r="A176" s="16">
        <v>46054</v>
      </c>
      <c r="B176" t="s">
        <v>44</v>
      </c>
      <c r="C176" t="s">
        <v>20</v>
      </c>
      <c r="D176" t="s">
        <v>29</v>
      </c>
      <c r="E176" t="s">
        <v>45</v>
      </c>
      <c r="F176">
        <v>1843</v>
      </c>
      <c r="H176">
        <v>29599808.120000001</v>
      </c>
      <c r="I176">
        <v>605.64</v>
      </c>
      <c r="J176">
        <v>48873.599999999999</v>
      </c>
    </row>
    <row r="177" spans="1:10" x14ac:dyDescent="0.2">
      <c r="A177" s="16">
        <v>46054</v>
      </c>
      <c r="B177" t="s">
        <v>44</v>
      </c>
      <c r="C177" t="s">
        <v>20</v>
      </c>
      <c r="D177" t="s">
        <v>31</v>
      </c>
      <c r="E177" t="s">
        <v>45</v>
      </c>
      <c r="F177">
        <v>1028</v>
      </c>
      <c r="H177">
        <v>31283137.23</v>
      </c>
      <c r="I177">
        <v>605.64</v>
      </c>
      <c r="J177">
        <v>51653.02</v>
      </c>
    </row>
    <row r="178" spans="1:10" x14ac:dyDescent="0.2">
      <c r="A178" s="16">
        <v>46054</v>
      </c>
      <c r="B178" t="s">
        <v>44</v>
      </c>
      <c r="C178" t="s">
        <v>20</v>
      </c>
      <c r="D178" t="s">
        <v>32</v>
      </c>
      <c r="E178" t="s">
        <v>45</v>
      </c>
      <c r="F178">
        <v>953</v>
      </c>
      <c r="H178">
        <v>19038459.760000002</v>
      </c>
      <c r="I178">
        <v>605.64</v>
      </c>
      <c r="J178">
        <v>31435.27</v>
      </c>
    </row>
    <row r="179" spans="1:10" x14ac:dyDescent="0.2">
      <c r="A179" s="16">
        <v>46054</v>
      </c>
      <c r="B179" t="s">
        <v>44</v>
      </c>
      <c r="C179" t="s">
        <v>20</v>
      </c>
      <c r="D179" t="s">
        <v>33</v>
      </c>
      <c r="E179" t="s">
        <v>45</v>
      </c>
      <c r="F179">
        <v>1462</v>
      </c>
      <c r="H179">
        <v>14780418.82</v>
      </c>
      <c r="I179">
        <v>605.64</v>
      </c>
      <c r="J179">
        <v>24404.63</v>
      </c>
    </row>
    <row r="180" spans="1:10" x14ac:dyDescent="0.2">
      <c r="A180" s="16">
        <v>46054</v>
      </c>
      <c r="B180" t="s">
        <v>44</v>
      </c>
      <c r="C180" t="s">
        <v>20</v>
      </c>
      <c r="D180" t="s">
        <v>34</v>
      </c>
      <c r="E180" t="s">
        <v>45</v>
      </c>
      <c r="F180">
        <v>1748</v>
      </c>
      <c r="H180">
        <v>13658924.98</v>
      </c>
      <c r="I180">
        <v>605.64</v>
      </c>
      <c r="J180">
        <v>22552.880000000001</v>
      </c>
    </row>
    <row r="181" spans="1:10" x14ac:dyDescent="0.2">
      <c r="A181" s="16">
        <v>46054</v>
      </c>
      <c r="B181" t="s">
        <v>44</v>
      </c>
      <c r="C181" t="s">
        <v>20</v>
      </c>
      <c r="D181" t="s">
        <v>35</v>
      </c>
      <c r="E181" t="s">
        <v>45</v>
      </c>
      <c r="F181">
        <v>1501</v>
      </c>
      <c r="H181">
        <v>20947539.469999999</v>
      </c>
      <c r="I181">
        <v>605.64</v>
      </c>
      <c r="J181">
        <v>34587.440000000002</v>
      </c>
    </row>
    <row r="182" spans="1:10" x14ac:dyDescent="0.2">
      <c r="A182" s="16">
        <v>46082</v>
      </c>
      <c r="B182" t="s">
        <v>28</v>
      </c>
      <c r="C182" t="s">
        <v>18</v>
      </c>
      <c r="D182" t="s">
        <v>29</v>
      </c>
      <c r="E182" t="s">
        <v>30</v>
      </c>
      <c r="F182">
        <v>5239</v>
      </c>
      <c r="G182">
        <v>0.03</v>
      </c>
      <c r="H182">
        <v>438726968.52999997</v>
      </c>
      <c r="I182">
        <v>3260.26</v>
      </c>
      <c r="J182">
        <v>134568.09</v>
      </c>
    </row>
    <row r="183" spans="1:10" x14ac:dyDescent="0.2">
      <c r="A183" s="16">
        <v>46082</v>
      </c>
      <c r="B183" t="s">
        <v>28</v>
      </c>
      <c r="C183" t="s">
        <v>18</v>
      </c>
      <c r="D183" t="s">
        <v>31</v>
      </c>
      <c r="E183" t="s">
        <v>30</v>
      </c>
      <c r="F183">
        <v>2944</v>
      </c>
      <c r="G183">
        <v>0.03</v>
      </c>
      <c r="H183">
        <v>528256411.75999999</v>
      </c>
      <c r="I183">
        <v>3260.26</v>
      </c>
      <c r="J183">
        <v>162028.92000000001</v>
      </c>
    </row>
    <row r="184" spans="1:10" x14ac:dyDescent="0.2">
      <c r="A184" s="16">
        <v>46082</v>
      </c>
      <c r="B184" t="s">
        <v>28</v>
      </c>
      <c r="C184" t="s">
        <v>18</v>
      </c>
      <c r="D184" t="s">
        <v>32</v>
      </c>
      <c r="E184" t="s">
        <v>30</v>
      </c>
      <c r="F184">
        <v>3166</v>
      </c>
      <c r="G184">
        <v>0.02</v>
      </c>
      <c r="H184">
        <v>344705620.87</v>
      </c>
      <c r="I184">
        <v>3260.26</v>
      </c>
      <c r="J184">
        <v>105729.49</v>
      </c>
    </row>
    <row r="185" spans="1:10" x14ac:dyDescent="0.2">
      <c r="A185" s="16">
        <v>46082</v>
      </c>
      <c r="B185" t="s">
        <v>28</v>
      </c>
      <c r="C185" t="s">
        <v>18</v>
      </c>
      <c r="D185" t="s">
        <v>33</v>
      </c>
      <c r="E185" t="s">
        <v>30</v>
      </c>
      <c r="F185">
        <v>4470</v>
      </c>
      <c r="G185">
        <v>0</v>
      </c>
      <c r="H185">
        <v>239083581.55000001</v>
      </c>
      <c r="I185">
        <v>3260.26</v>
      </c>
      <c r="J185">
        <v>73332.67</v>
      </c>
    </row>
    <row r="186" spans="1:10" x14ac:dyDescent="0.2">
      <c r="A186" s="16">
        <v>46082</v>
      </c>
      <c r="B186" t="s">
        <v>28</v>
      </c>
      <c r="C186" t="s">
        <v>18</v>
      </c>
      <c r="D186" t="s">
        <v>34</v>
      </c>
      <c r="E186" t="s">
        <v>30</v>
      </c>
      <c r="F186">
        <v>4549</v>
      </c>
      <c r="G186">
        <v>0.03</v>
      </c>
      <c r="H186">
        <v>186965250.94</v>
      </c>
      <c r="I186">
        <v>3260.26</v>
      </c>
      <c r="J186">
        <v>57346.73</v>
      </c>
    </row>
    <row r="187" spans="1:10" x14ac:dyDescent="0.2">
      <c r="A187" s="16">
        <v>46082</v>
      </c>
      <c r="B187" t="s">
        <v>28</v>
      </c>
      <c r="C187" t="s">
        <v>18</v>
      </c>
      <c r="D187" t="s">
        <v>35</v>
      </c>
      <c r="E187" t="s">
        <v>30</v>
      </c>
      <c r="F187">
        <v>3454</v>
      </c>
      <c r="G187">
        <v>0</v>
      </c>
      <c r="H187">
        <v>253896309.72</v>
      </c>
      <c r="I187">
        <v>3260.26</v>
      </c>
      <c r="J187">
        <v>77876.09</v>
      </c>
    </row>
    <row r="188" spans="1:10" x14ac:dyDescent="0.2">
      <c r="A188" s="16">
        <v>46082</v>
      </c>
      <c r="B188" t="s">
        <v>36</v>
      </c>
      <c r="C188" t="s">
        <v>18</v>
      </c>
      <c r="D188" t="s">
        <v>29</v>
      </c>
      <c r="E188" t="s">
        <v>37</v>
      </c>
      <c r="F188">
        <v>3193</v>
      </c>
      <c r="G188">
        <v>0</v>
      </c>
      <c r="H188">
        <v>277385151.89999998</v>
      </c>
      <c r="I188">
        <v>3260.26</v>
      </c>
      <c r="J188">
        <v>85080.68</v>
      </c>
    </row>
    <row r="189" spans="1:10" x14ac:dyDescent="0.2">
      <c r="A189" s="16">
        <v>46082</v>
      </c>
      <c r="B189" t="s">
        <v>36</v>
      </c>
      <c r="C189" t="s">
        <v>18</v>
      </c>
      <c r="D189" t="s">
        <v>31</v>
      </c>
      <c r="E189" t="s">
        <v>37</v>
      </c>
      <c r="F189">
        <v>1709</v>
      </c>
      <c r="G189">
        <v>0</v>
      </c>
      <c r="H189">
        <v>279754889.13999999</v>
      </c>
      <c r="I189">
        <v>3260.26</v>
      </c>
      <c r="J189">
        <v>85807.54</v>
      </c>
    </row>
    <row r="190" spans="1:10" x14ac:dyDescent="0.2">
      <c r="A190" s="16">
        <v>46082</v>
      </c>
      <c r="B190" t="s">
        <v>36</v>
      </c>
      <c r="C190" t="s">
        <v>18</v>
      </c>
      <c r="D190" t="s">
        <v>32</v>
      </c>
      <c r="E190" t="s">
        <v>37</v>
      </c>
      <c r="F190">
        <v>1760</v>
      </c>
      <c r="G190">
        <v>0.03</v>
      </c>
      <c r="H190">
        <v>191132354.08000001</v>
      </c>
      <c r="I190">
        <v>3260.26</v>
      </c>
      <c r="J190">
        <v>58624.88</v>
      </c>
    </row>
    <row r="191" spans="1:10" x14ac:dyDescent="0.2">
      <c r="A191" s="16">
        <v>46082</v>
      </c>
      <c r="B191" t="s">
        <v>36</v>
      </c>
      <c r="C191" t="s">
        <v>18</v>
      </c>
      <c r="D191" t="s">
        <v>33</v>
      </c>
      <c r="E191" t="s">
        <v>37</v>
      </c>
      <c r="F191">
        <v>2931</v>
      </c>
      <c r="G191">
        <v>0.03</v>
      </c>
      <c r="H191">
        <v>151472480.06999999</v>
      </c>
      <c r="I191">
        <v>3260.26</v>
      </c>
      <c r="J191">
        <v>46460.25</v>
      </c>
    </row>
    <row r="192" spans="1:10" x14ac:dyDescent="0.2">
      <c r="A192" s="16">
        <v>46082</v>
      </c>
      <c r="B192" t="s">
        <v>36</v>
      </c>
      <c r="C192" t="s">
        <v>18</v>
      </c>
      <c r="D192" t="s">
        <v>34</v>
      </c>
      <c r="E192" t="s">
        <v>37</v>
      </c>
      <c r="F192">
        <v>2637</v>
      </c>
      <c r="G192">
        <v>0</v>
      </c>
      <c r="H192">
        <v>105841953.05</v>
      </c>
      <c r="I192">
        <v>3260.26</v>
      </c>
      <c r="J192">
        <v>32464.27</v>
      </c>
    </row>
    <row r="193" spans="1:10" x14ac:dyDescent="0.2">
      <c r="A193" s="16">
        <v>46082</v>
      </c>
      <c r="B193" t="s">
        <v>36</v>
      </c>
      <c r="C193" t="s">
        <v>18</v>
      </c>
      <c r="D193" t="s">
        <v>35</v>
      </c>
      <c r="E193" t="s">
        <v>37</v>
      </c>
      <c r="F193">
        <v>2151</v>
      </c>
      <c r="G193">
        <v>0</v>
      </c>
      <c r="H193">
        <v>155320448.27000001</v>
      </c>
      <c r="I193">
        <v>3260.26</v>
      </c>
      <c r="J193">
        <v>47640.51</v>
      </c>
    </row>
    <row r="194" spans="1:10" x14ac:dyDescent="0.2">
      <c r="A194" s="16">
        <v>46082</v>
      </c>
      <c r="B194" t="s">
        <v>38</v>
      </c>
      <c r="C194" t="s">
        <v>19</v>
      </c>
      <c r="D194" t="s">
        <v>29</v>
      </c>
      <c r="E194" t="s">
        <v>39</v>
      </c>
      <c r="F194">
        <v>3523</v>
      </c>
      <c r="G194">
        <v>0</v>
      </c>
      <c r="H194">
        <v>55809431.670000002</v>
      </c>
      <c r="I194">
        <v>614.08000000000004</v>
      </c>
      <c r="J194">
        <v>90883</v>
      </c>
    </row>
    <row r="195" spans="1:10" x14ac:dyDescent="0.2">
      <c r="A195" s="16">
        <v>46082</v>
      </c>
      <c r="B195" t="s">
        <v>38</v>
      </c>
      <c r="C195" t="s">
        <v>19</v>
      </c>
      <c r="D195" t="s">
        <v>31</v>
      </c>
      <c r="E195" t="s">
        <v>39</v>
      </c>
      <c r="F195">
        <v>2435</v>
      </c>
      <c r="G195">
        <v>0.05</v>
      </c>
      <c r="H195">
        <v>84818157.040000007</v>
      </c>
      <c r="I195">
        <v>614.08000000000004</v>
      </c>
      <c r="J195">
        <v>138122.32</v>
      </c>
    </row>
    <row r="196" spans="1:10" x14ac:dyDescent="0.2">
      <c r="A196" s="16">
        <v>46082</v>
      </c>
      <c r="B196" t="s">
        <v>38</v>
      </c>
      <c r="C196" t="s">
        <v>19</v>
      </c>
      <c r="D196" t="s">
        <v>32</v>
      </c>
      <c r="E196" t="s">
        <v>39</v>
      </c>
      <c r="F196">
        <v>2010</v>
      </c>
      <c r="G196">
        <v>0.02</v>
      </c>
      <c r="H196">
        <v>40198921.090000004</v>
      </c>
      <c r="I196">
        <v>614.08000000000004</v>
      </c>
      <c r="J196">
        <v>65462.03</v>
      </c>
    </row>
    <row r="197" spans="1:10" x14ac:dyDescent="0.2">
      <c r="A197" s="16">
        <v>46082</v>
      </c>
      <c r="B197" t="s">
        <v>38</v>
      </c>
      <c r="C197" t="s">
        <v>19</v>
      </c>
      <c r="D197" t="s">
        <v>33</v>
      </c>
      <c r="E197" t="s">
        <v>39</v>
      </c>
      <c r="F197">
        <v>3110</v>
      </c>
      <c r="G197">
        <v>0</v>
      </c>
      <c r="H197">
        <v>32115051.530000001</v>
      </c>
      <c r="I197">
        <v>614.08000000000004</v>
      </c>
      <c r="J197">
        <v>52297.83</v>
      </c>
    </row>
    <row r="198" spans="1:10" x14ac:dyDescent="0.2">
      <c r="A198" s="16">
        <v>46082</v>
      </c>
      <c r="B198" t="s">
        <v>38</v>
      </c>
      <c r="C198" t="s">
        <v>19</v>
      </c>
      <c r="D198" t="s">
        <v>34</v>
      </c>
      <c r="E198" t="s">
        <v>39</v>
      </c>
      <c r="F198">
        <v>3020</v>
      </c>
      <c r="G198">
        <v>0.02</v>
      </c>
      <c r="H198">
        <v>23676009.539999999</v>
      </c>
      <c r="I198">
        <v>614.08000000000004</v>
      </c>
      <c r="J198">
        <v>38555.25</v>
      </c>
    </row>
    <row r="199" spans="1:10" x14ac:dyDescent="0.2">
      <c r="A199" s="16">
        <v>46082</v>
      </c>
      <c r="B199" t="s">
        <v>38</v>
      </c>
      <c r="C199" t="s">
        <v>19</v>
      </c>
      <c r="D199" t="s">
        <v>35</v>
      </c>
      <c r="E199" t="s">
        <v>39</v>
      </c>
      <c r="F199">
        <v>2421</v>
      </c>
      <c r="G199">
        <v>0.02</v>
      </c>
      <c r="H199">
        <v>33058575.329999998</v>
      </c>
      <c r="I199">
        <v>614.08000000000004</v>
      </c>
      <c r="J199">
        <v>53834.31</v>
      </c>
    </row>
    <row r="200" spans="1:10" x14ac:dyDescent="0.2">
      <c r="A200" s="16">
        <v>46082</v>
      </c>
      <c r="B200" t="s">
        <v>40</v>
      </c>
      <c r="C200" t="s">
        <v>19</v>
      </c>
      <c r="D200" t="s">
        <v>29</v>
      </c>
      <c r="E200" t="s">
        <v>41</v>
      </c>
      <c r="F200">
        <v>1967</v>
      </c>
      <c r="G200">
        <v>0.03</v>
      </c>
      <c r="H200">
        <v>29432846.18</v>
      </c>
      <c r="I200">
        <v>614.08000000000004</v>
      </c>
      <c r="J200">
        <v>47929.99</v>
      </c>
    </row>
    <row r="201" spans="1:10" x14ac:dyDescent="0.2">
      <c r="A201" s="16">
        <v>46082</v>
      </c>
      <c r="B201" t="s">
        <v>40</v>
      </c>
      <c r="C201" t="s">
        <v>19</v>
      </c>
      <c r="D201" t="s">
        <v>31</v>
      </c>
      <c r="E201" t="s">
        <v>41</v>
      </c>
      <c r="F201">
        <v>1480</v>
      </c>
      <c r="G201">
        <v>0</v>
      </c>
      <c r="H201">
        <v>49756455.770000003</v>
      </c>
      <c r="I201">
        <v>614.08000000000004</v>
      </c>
      <c r="J201">
        <v>81026.02</v>
      </c>
    </row>
    <row r="202" spans="1:10" x14ac:dyDescent="0.2">
      <c r="A202" s="16">
        <v>46082</v>
      </c>
      <c r="B202" t="s">
        <v>40</v>
      </c>
      <c r="C202" t="s">
        <v>19</v>
      </c>
      <c r="D202" t="s">
        <v>32</v>
      </c>
      <c r="E202" t="s">
        <v>41</v>
      </c>
      <c r="F202">
        <v>1431</v>
      </c>
      <c r="G202">
        <v>0</v>
      </c>
      <c r="H202">
        <v>31620924.600000001</v>
      </c>
      <c r="I202">
        <v>614.08000000000004</v>
      </c>
      <c r="J202">
        <v>51493.17</v>
      </c>
    </row>
    <row r="203" spans="1:10" x14ac:dyDescent="0.2">
      <c r="A203" s="16">
        <v>46082</v>
      </c>
      <c r="B203" t="s">
        <v>40</v>
      </c>
      <c r="C203" t="s">
        <v>19</v>
      </c>
      <c r="D203" t="s">
        <v>33</v>
      </c>
      <c r="E203" t="s">
        <v>41</v>
      </c>
      <c r="F203">
        <v>2427</v>
      </c>
      <c r="G203">
        <v>0.05</v>
      </c>
      <c r="H203">
        <v>22938996.48</v>
      </c>
      <c r="I203">
        <v>614.08000000000004</v>
      </c>
      <c r="J203">
        <v>37355.06</v>
      </c>
    </row>
    <row r="204" spans="1:10" x14ac:dyDescent="0.2">
      <c r="A204" s="16">
        <v>46082</v>
      </c>
      <c r="B204" t="s">
        <v>40</v>
      </c>
      <c r="C204" t="s">
        <v>19</v>
      </c>
      <c r="D204" t="s">
        <v>34</v>
      </c>
      <c r="E204" t="s">
        <v>41</v>
      </c>
      <c r="F204">
        <v>2386</v>
      </c>
      <c r="G204">
        <v>0.03</v>
      </c>
      <c r="H204">
        <v>19925896.079999998</v>
      </c>
      <c r="I204">
        <v>614.08000000000004</v>
      </c>
      <c r="J204">
        <v>32448.37</v>
      </c>
    </row>
    <row r="205" spans="1:10" x14ac:dyDescent="0.2">
      <c r="A205" s="16">
        <v>46082</v>
      </c>
      <c r="B205" t="s">
        <v>40</v>
      </c>
      <c r="C205" t="s">
        <v>19</v>
      </c>
      <c r="D205" t="s">
        <v>35</v>
      </c>
      <c r="E205" t="s">
        <v>41</v>
      </c>
      <c r="F205">
        <v>2100</v>
      </c>
      <c r="G205">
        <v>0.02</v>
      </c>
      <c r="H205">
        <v>27979658.800000001</v>
      </c>
      <c r="I205">
        <v>614.08000000000004</v>
      </c>
      <c r="J205">
        <v>45563.54</v>
      </c>
    </row>
    <row r="206" spans="1:10" x14ac:dyDescent="0.2">
      <c r="A206" s="16">
        <v>46082</v>
      </c>
      <c r="B206" t="s">
        <v>42</v>
      </c>
      <c r="C206" t="s">
        <v>20</v>
      </c>
      <c r="D206" t="s">
        <v>29</v>
      </c>
      <c r="E206" t="s">
        <v>43</v>
      </c>
      <c r="F206">
        <v>3050</v>
      </c>
      <c r="G206">
        <v>0.03</v>
      </c>
      <c r="H206">
        <v>45866985.899999999</v>
      </c>
      <c r="I206">
        <v>606.12</v>
      </c>
      <c r="J206">
        <v>75673.11</v>
      </c>
    </row>
    <row r="207" spans="1:10" x14ac:dyDescent="0.2">
      <c r="A207" s="16">
        <v>46082</v>
      </c>
      <c r="B207" t="s">
        <v>42</v>
      </c>
      <c r="C207" t="s">
        <v>20</v>
      </c>
      <c r="D207" t="s">
        <v>31</v>
      </c>
      <c r="E207" t="s">
        <v>43</v>
      </c>
      <c r="F207">
        <v>1758</v>
      </c>
      <c r="G207">
        <v>0</v>
      </c>
      <c r="H207">
        <v>57440418.390000001</v>
      </c>
      <c r="I207">
        <v>606.12</v>
      </c>
      <c r="J207">
        <v>94767.4</v>
      </c>
    </row>
    <row r="208" spans="1:10" x14ac:dyDescent="0.2">
      <c r="A208" s="16">
        <v>46082</v>
      </c>
      <c r="B208" t="s">
        <v>42</v>
      </c>
      <c r="C208" t="s">
        <v>20</v>
      </c>
      <c r="D208" t="s">
        <v>32</v>
      </c>
      <c r="E208" t="s">
        <v>43</v>
      </c>
      <c r="F208">
        <v>1410</v>
      </c>
      <c r="G208">
        <v>0</v>
      </c>
      <c r="H208">
        <v>25450861.460000001</v>
      </c>
      <c r="I208">
        <v>606.12</v>
      </c>
      <c r="J208">
        <v>41989.81</v>
      </c>
    </row>
    <row r="209" spans="1:10" x14ac:dyDescent="0.2">
      <c r="A209" s="16">
        <v>46082</v>
      </c>
      <c r="B209" t="s">
        <v>42</v>
      </c>
      <c r="C209" t="s">
        <v>20</v>
      </c>
      <c r="D209" t="s">
        <v>33</v>
      </c>
      <c r="E209" t="s">
        <v>43</v>
      </c>
      <c r="F209">
        <v>3299</v>
      </c>
      <c r="G209">
        <v>0</v>
      </c>
      <c r="H209">
        <v>30872110.449999999</v>
      </c>
      <c r="I209">
        <v>606.12</v>
      </c>
      <c r="J209">
        <v>50933.99</v>
      </c>
    </row>
    <row r="210" spans="1:10" x14ac:dyDescent="0.2">
      <c r="A210" s="16">
        <v>46082</v>
      </c>
      <c r="B210" t="s">
        <v>42</v>
      </c>
      <c r="C210" t="s">
        <v>20</v>
      </c>
      <c r="D210" t="s">
        <v>34</v>
      </c>
      <c r="E210" t="s">
        <v>43</v>
      </c>
      <c r="F210">
        <v>3385</v>
      </c>
      <c r="G210">
        <v>0</v>
      </c>
      <c r="H210">
        <v>26680402.18</v>
      </c>
      <c r="I210">
        <v>606.12</v>
      </c>
      <c r="J210">
        <v>44018.35</v>
      </c>
    </row>
    <row r="211" spans="1:10" x14ac:dyDescent="0.2">
      <c r="A211" s="16">
        <v>46082</v>
      </c>
      <c r="B211" t="s">
        <v>42</v>
      </c>
      <c r="C211" t="s">
        <v>20</v>
      </c>
      <c r="D211" t="s">
        <v>35</v>
      </c>
      <c r="E211" t="s">
        <v>43</v>
      </c>
      <c r="F211">
        <v>1892</v>
      </c>
      <c r="G211">
        <v>0.03</v>
      </c>
      <c r="H211">
        <v>23556329.079999998</v>
      </c>
      <c r="I211">
        <v>606.12</v>
      </c>
      <c r="J211">
        <v>38864.129999999997</v>
      </c>
    </row>
    <row r="212" spans="1:10" x14ac:dyDescent="0.2">
      <c r="A212" s="16">
        <v>46082</v>
      </c>
      <c r="B212" t="s">
        <v>44</v>
      </c>
      <c r="C212" t="s">
        <v>20</v>
      </c>
      <c r="D212" t="s">
        <v>29</v>
      </c>
      <c r="E212" t="s">
        <v>45</v>
      </c>
      <c r="F212">
        <v>1891</v>
      </c>
      <c r="G212">
        <v>0.02</v>
      </c>
      <c r="H212">
        <v>31071564.870000001</v>
      </c>
      <c r="I212">
        <v>606.12</v>
      </c>
      <c r="J212">
        <v>51263.06</v>
      </c>
    </row>
    <row r="213" spans="1:10" x14ac:dyDescent="0.2">
      <c r="A213" s="16">
        <v>46082</v>
      </c>
      <c r="B213" t="s">
        <v>44</v>
      </c>
      <c r="C213" t="s">
        <v>20</v>
      </c>
      <c r="D213" t="s">
        <v>31</v>
      </c>
      <c r="E213" t="s">
        <v>45</v>
      </c>
      <c r="F213">
        <v>1324</v>
      </c>
      <c r="G213">
        <v>0.03</v>
      </c>
      <c r="H213">
        <v>45161231.82</v>
      </c>
      <c r="I213">
        <v>606.12</v>
      </c>
      <c r="J213">
        <v>74508.73</v>
      </c>
    </row>
    <row r="214" spans="1:10" x14ac:dyDescent="0.2">
      <c r="A214" s="16">
        <v>46082</v>
      </c>
      <c r="B214" t="s">
        <v>44</v>
      </c>
      <c r="C214" t="s">
        <v>20</v>
      </c>
      <c r="D214" t="s">
        <v>32</v>
      </c>
      <c r="E214" t="s">
        <v>45</v>
      </c>
      <c r="F214">
        <v>1337</v>
      </c>
      <c r="G214">
        <v>0</v>
      </c>
      <c r="H214">
        <v>28331049.469999999</v>
      </c>
      <c r="I214">
        <v>606.12</v>
      </c>
      <c r="J214">
        <v>46741.65</v>
      </c>
    </row>
    <row r="215" spans="1:10" x14ac:dyDescent="0.2">
      <c r="A215" s="16">
        <v>46082</v>
      </c>
      <c r="B215" t="s">
        <v>44</v>
      </c>
      <c r="C215" t="s">
        <v>20</v>
      </c>
      <c r="D215" t="s">
        <v>33</v>
      </c>
      <c r="E215" t="s">
        <v>45</v>
      </c>
      <c r="F215">
        <v>1491</v>
      </c>
      <c r="G215">
        <v>0.03</v>
      </c>
      <c r="H215">
        <v>14281786.65</v>
      </c>
      <c r="I215">
        <v>606.12</v>
      </c>
      <c r="J215">
        <v>23562.639999999999</v>
      </c>
    </row>
    <row r="216" spans="1:10" x14ac:dyDescent="0.2">
      <c r="A216" s="16">
        <v>46082</v>
      </c>
      <c r="B216" t="s">
        <v>44</v>
      </c>
      <c r="C216" t="s">
        <v>20</v>
      </c>
      <c r="D216" t="s">
        <v>34</v>
      </c>
      <c r="E216" t="s">
        <v>45</v>
      </c>
      <c r="F216">
        <v>2184</v>
      </c>
      <c r="G216">
        <v>0.02</v>
      </c>
      <c r="H216">
        <v>16675115.23</v>
      </c>
      <c r="I216">
        <v>606.12</v>
      </c>
      <c r="J216">
        <v>27511.24</v>
      </c>
    </row>
    <row r="217" spans="1:10" x14ac:dyDescent="0.2">
      <c r="A217" s="16">
        <v>46082</v>
      </c>
      <c r="B217" t="s">
        <v>44</v>
      </c>
      <c r="C217" t="s">
        <v>20</v>
      </c>
      <c r="D217" t="s">
        <v>35</v>
      </c>
      <c r="E217" t="s">
        <v>45</v>
      </c>
      <c r="F217">
        <v>1691</v>
      </c>
      <c r="G217">
        <v>0.02</v>
      </c>
      <c r="H217">
        <v>22428386.780000001</v>
      </c>
      <c r="I217">
        <v>606.12</v>
      </c>
      <c r="J217">
        <v>37003.21</v>
      </c>
    </row>
    <row r="218" spans="1:10" x14ac:dyDescent="0.2">
      <c r="A218" s="16">
        <v>46113</v>
      </c>
      <c r="B218" t="s">
        <v>28</v>
      </c>
      <c r="C218" t="s">
        <v>18</v>
      </c>
      <c r="D218" t="s">
        <v>29</v>
      </c>
      <c r="E218" t="s">
        <v>30</v>
      </c>
      <c r="H218">
        <v>439961849.49000001</v>
      </c>
      <c r="I218">
        <v>3287.05</v>
      </c>
      <c r="J218">
        <v>133847.01999999999</v>
      </c>
    </row>
    <row r="219" spans="1:10" x14ac:dyDescent="0.2">
      <c r="A219" s="16">
        <v>46113</v>
      </c>
      <c r="B219" t="s">
        <v>28</v>
      </c>
      <c r="C219" t="s">
        <v>18</v>
      </c>
      <c r="D219" t="s">
        <v>31</v>
      </c>
      <c r="E219" t="s">
        <v>30</v>
      </c>
      <c r="H219">
        <v>584446061.11000001</v>
      </c>
      <c r="I219">
        <v>3287.05</v>
      </c>
      <c r="J219">
        <v>177802.61</v>
      </c>
    </row>
    <row r="220" spans="1:10" x14ac:dyDescent="0.2">
      <c r="A220" s="16">
        <v>46113</v>
      </c>
      <c r="B220" t="s">
        <v>28</v>
      </c>
      <c r="C220" t="s">
        <v>18</v>
      </c>
      <c r="D220" t="s">
        <v>32</v>
      </c>
      <c r="E220" t="s">
        <v>30</v>
      </c>
      <c r="H220">
        <v>290886755.47000003</v>
      </c>
      <c r="I220">
        <v>3287.05</v>
      </c>
      <c r="J220">
        <v>88494.78</v>
      </c>
    </row>
    <row r="221" spans="1:10" x14ac:dyDescent="0.2">
      <c r="A221" s="16">
        <v>46113</v>
      </c>
      <c r="B221" t="s">
        <v>28</v>
      </c>
      <c r="C221" t="s">
        <v>18</v>
      </c>
      <c r="D221" t="s">
        <v>33</v>
      </c>
      <c r="E221" t="s">
        <v>30</v>
      </c>
      <c r="H221">
        <v>243099120.11000001</v>
      </c>
      <c r="I221">
        <v>3287.05</v>
      </c>
      <c r="J221">
        <v>73956.62</v>
      </c>
    </row>
    <row r="222" spans="1:10" x14ac:dyDescent="0.2">
      <c r="A222" s="16">
        <v>46113</v>
      </c>
      <c r="B222" t="s">
        <v>28</v>
      </c>
      <c r="C222" t="s">
        <v>18</v>
      </c>
      <c r="D222" t="s">
        <v>34</v>
      </c>
      <c r="E222" t="s">
        <v>30</v>
      </c>
      <c r="H222">
        <v>221431917.94</v>
      </c>
      <c r="I222">
        <v>3287.05</v>
      </c>
      <c r="J222">
        <v>67364.94</v>
      </c>
    </row>
    <row r="223" spans="1:10" x14ac:dyDescent="0.2">
      <c r="A223" s="16">
        <v>46113</v>
      </c>
      <c r="B223" t="s">
        <v>28</v>
      </c>
      <c r="C223" t="s">
        <v>18</v>
      </c>
      <c r="D223" t="s">
        <v>35</v>
      </c>
      <c r="E223" t="s">
        <v>30</v>
      </c>
      <c r="H223">
        <v>320204644.19</v>
      </c>
      <c r="I223">
        <v>3287.05</v>
      </c>
      <c r="J223">
        <v>97413.99</v>
      </c>
    </row>
    <row r="224" spans="1:10" x14ac:dyDescent="0.2">
      <c r="A224" s="16">
        <v>46113</v>
      </c>
      <c r="B224" t="s">
        <v>36</v>
      </c>
      <c r="C224" t="s">
        <v>18</v>
      </c>
      <c r="D224" t="s">
        <v>29</v>
      </c>
      <c r="E224" t="s">
        <v>37</v>
      </c>
      <c r="H224">
        <v>275566583.76999998</v>
      </c>
      <c r="I224">
        <v>3287.05</v>
      </c>
      <c r="J224">
        <v>83834.009999999995</v>
      </c>
    </row>
    <row r="225" spans="1:10" x14ac:dyDescent="0.2">
      <c r="A225" s="16">
        <v>46113</v>
      </c>
      <c r="B225" t="s">
        <v>36</v>
      </c>
      <c r="C225" t="s">
        <v>18</v>
      </c>
      <c r="D225" t="s">
        <v>31</v>
      </c>
      <c r="E225" t="s">
        <v>37</v>
      </c>
      <c r="H225">
        <v>286598022.87</v>
      </c>
      <c r="I225">
        <v>3287.05</v>
      </c>
      <c r="J225">
        <v>87190.04</v>
      </c>
    </row>
    <row r="226" spans="1:10" x14ac:dyDescent="0.2">
      <c r="A226" s="16">
        <v>46113</v>
      </c>
      <c r="B226" t="s">
        <v>36</v>
      </c>
      <c r="C226" t="s">
        <v>18</v>
      </c>
      <c r="D226" t="s">
        <v>32</v>
      </c>
      <c r="E226" t="s">
        <v>37</v>
      </c>
      <c r="H226">
        <v>231174801.50999999</v>
      </c>
      <c r="I226">
        <v>3287.05</v>
      </c>
      <c r="J226">
        <v>70328.960000000006</v>
      </c>
    </row>
    <row r="227" spans="1:10" x14ac:dyDescent="0.2">
      <c r="A227" s="16">
        <v>46113</v>
      </c>
      <c r="B227" t="s">
        <v>36</v>
      </c>
      <c r="C227" t="s">
        <v>18</v>
      </c>
      <c r="D227" t="s">
        <v>33</v>
      </c>
      <c r="E227" t="s">
        <v>37</v>
      </c>
      <c r="H227">
        <v>149797795.63</v>
      </c>
      <c r="I227">
        <v>3287.05</v>
      </c>
      <c r="J227">
        <v>45572.11</v>
      </c>
    </row>
    <row r="228" spans="1:10" x14ac:dyDescent="0.2">
      <c r="A228" s="16">
        <v>46113</v>
      </c>
      <c r="B228" t="s">
        <v>36</v>
      </c>
      <c r="C228" t="s">
        <v>18</v>
      </c>
      <c r="D228" t="s">
        <v>34</v>
      </c>
      <c r="E228" t="s">
        <v>37</v>
      </c>
      <c r="H228">
        <v>122753459.42</v>
      </c>
      <c r="I228">
        <v>3287.05</v>
      </c>
      <c r="J228">
        <v>37344.57</v>
      </c>
    </row>
    <row r="229" spans="1:10" x14ac:dyDescent="0.2">
      <c r="A229" s="16">
        <v>46113</v>
      </c>
      <c r="B229" t="s">
        <v>36</v>
      </c>
      <c r="C229" t="s">
        <v>18</v>
      </c>
      <c r="D229" t="s">
        <v>35</v>
      </c>
      <c r="E229" t="s">
        <v>37</v>
      </c>
      <c r="H229">
        <v>154472531.97</v>
      </c>
      <c r="I229">
        <v>3287.05</v>
      </c>
      <c r="J229">
        <v>46994.28</v>
      </c>
    </row>
    <row r="230" spans="1:10" x14ac:dyDescent="0.2">
      <c r="A230" s="16">
        <v>46113</v>
      </c>
      <c r="B230" t="s">
        <v>38</v>
      </c>
      <c r="C230" t="s">
        <v>19</v>
      </c>
      <c r="D230" t="s">
        <v>29</v>
      </c>
      <c r="E230" t="s">
        <v>39</v>
      </c>
      <c r="H230">
        <v>50713054.560000002</v>
      </c>
      <c r="I230">
        <v>611.78</v>
      </c>
      <c r="J230">
        <v>82894.27</v>
      </c>
    </row>
    <row r="231" spans="1:10" x14ac:dyDescent="0.2">
      <c r="A231" s="16">
        <v>46113</v>
      </c>
      <c r="B231" t="s">
        <v>38</v>
      </c>
      <c r="C231" t="s">
        <v>19</v>
      </c>
      <c r="D231" t="s">
        <v>31</v>
      </c>
      <c r="E231" t="s">
        <v>39</v>
      </c>
      <c r="H231">
        <v>75305468.219999999</v>
      </c>
      <c r="I231">
        <v>611.78</v>
      </c>
      <c r="J231">
        <v>123092.4</v>
      </c>
    </row>
    <row r="232" spans="1:10" x14ac:dyDescent="0.2">
      <c r="A232" s="16">
        <v>46113</v>
      </c>
      <c r="B232" t="s">
        <v>38</v>
      </c>
      <c r="C232" t="s">
        <v>19</v>
      </c>
      <c r="D232" t="s">
        <v>32</v>
      </c>
      <c r="E232" t="s">
        <v>39</v>
      </c>
      <c r="H232">
        <v>48117862.829999998</v>
      </c>
      <c r="I232">
        <v>611.78</v>
      </c>
      <c r="J232">
        <v>78652.23</v>
      </c>
    </row>
    <row r="233" spans="1:10" x14ac:dyDescent="0.2">
      <c r="A233" s="16">
        <v>46113</v>
      </c>
      <c r="B233" t="s">
        <v>38</v>
      </c>
      <c r="C233" t="s">
        <v>19</v>
      </c>
      <c r="D233" t="s">
        <v>33</v>
      </c>
      <c r="E233" t="s">
        <v>39</v>
      </c>
      <c r="H233">
        <v>28242377.190000001</v>
      </c>
      <c r="I233">
        <v>611.78</v>
      </c>
      <c r="J233">
        <v>46164.27</v>
      </c>
    </row>
    <row r="234" spans="1:10" x14ac:dyDescent="0.2">
      <c r="A234" s="16">
        <v>46113</v>
      </c>
      <c r="B234" t="s">
        <v>38</v>
      </c>
      <c r="C234" t="s">
        <v>19</v>
      </c>
      <c r="D234" t="s">
        <v>34</v>
      </c>
      <c r="E234" t="s">
        <v>39</v>
      </c>
      <c r="H234">
        <v>29978679.41</v>
      </c>
      <c r="I234">
        <v>611.78</v>
      </c>
      <c r="J234">
        <v>49002.39</v>
      </c>
    </row>
    <row r="235" spans="1:10" x14ac:dyDescent="0.2">
      <c r="A235" s="16">
        <v>46113</v>
      </c>
      <c r="B235" t="s">
        <v>38</v>
      </c>
      <c r="C235" t="s">
        <v>19</v>
      </c>
      <c r="D235" t="s">
        <v>35</v>
      </c>
      <c r="E235" t="s">
        <v>39</v>
      </c>
      <c r="H235">
        <v>29302374.52</v>
      </c>
      <c r="I235">
        <v>611.78</v>
      </c>
      <c r="J235">
        <v>47896.91</v>
      </c>
    </row>
    <row r="236" spans="1:10" x14ac:dyDescent="0.2">
      <c r="A236" s="16">
        <v>46113</v>
      </c>
      <c r="B236" t="s">
        <v>40</v>
      </c>
      <c r="C236" t="s">
        <v>19</v>
      </c>
      <c r="D236" t="s">
        <v>29</v>
      </c>
      <c r="E236" t="s">
        <v>41</v>
      </c>
      <c r="H236">
        <v>39946285.770000003</v>
      </c>
      <c r="I236">
        <v>611.78</v>
      </c>
      <c r="J236">
        <v>65295.18</v>
      </c>
    </row>
    <row r="237" spans="1:10" x14ac:dyDescent="0.2">
      <c r="A237" s="16">
        <v>46113</v>
      </c>
      <c r="B237" t="s">
        <v>40</v>
      </c>
      <c r="C237" t="s">
        <v>19</v>
      </c>
      <c r="D237" t="s">
        <v>31</v>
      </c>
      <c r="E237" t="s">
        <v>41</v>
      </c>
      <c r="H237">
        <v>40504331.490000002</v>
      </c>
      <c r="I237">
        <v>611.78</v>
      </c>
      <c r="J237">
        <v>66207.350000000006</v>
      </c>
    </row>
    <row r="238" spans="1:10" x14ac:dyDescent="0.2">
      <c r="A238" s="16">
        <v>46113</v>
      </c>
      <c r="B238" t="s">
        <v>40</v>
      </c>
      <c r="C238" t="s">
        <v>19</v>
      </c>
      <c r="D238" t="s">
        <v>32</v>
      </c>
      <c r="E238" t="s">
        <v>41</v>
      </c>
      <c r="H238">
        <v>41024740.939999998</v>
      </c>
      <c r="I238">
        <v>611.78</v>
      </c>
      <c r="J238">
        <v>67058</v>
      </c>
    </row>
    <row r="239" spans="1:10" x14ac:dyDescent="0.2">
      <c r="A239" s="16">
        <v>46113</v>
      </c>
      <c r="B239" t="s">
        <v>40</v>
      </c>
      <c r="C239" t="s">
        <v>19</v>
      </c>
      <c r="D239" t="s">
        <v>33</v>
      </c>
      <c r="E239" t="s">
        <v>41</v>
      </c>
      <c r="H239">
        <v>27931317.219999999</v>
      </c>
      <c r="I239">
        <v>611.78</v>
      </c>
      <c r="J239">
        <v>45655.82</v>
      </c>
    </row>
    <row r="240" spans="1:10" x14ac:dyDescent="0.2">
      <c r="A240" s="16">
        <v>46113</v>
      </c>
      <c r="B240" t="s">
        <v>40</v>
      </c>
      <c r="C240" t="s">
        <v>19</v>
      </c>
      <c r="D240" t="s">
        <v>34</v>
      </c>
      <c r="E240" t="s">
        <v>41</v>
      </c>
      <c r="H240">
        <v>18226200.07</v>
      </c>
      <c r="I240">
        <v>611.78</v>
      </c>
      <c r="J240">
        <v>29792.080000000002</v>
      </c>
    </row>
    <row r="241" spans="1:10" x14ac:dyDescent="0.2">
      <c r="A241" s="16">
        <v>46113</v>
      </c>
      <c r="B241" t="s">
        <v>40</v>
      </c>
      <c r="C241" t="s">
        <v>19</v>
      </c>
      <c r="D241" t="s">
        <v>35</v>
      </c>
      <c r="E241" t="s">
        <v>41</v>
      </c>
      <c r="H241">
        <v>24030334.699999999</v>
      </c>
      <c r="I241">
        <v>611.78</v>
      </c>
      <c r="J241">
        <v>39279.370000000003</v>
      </c>
    </row>
    <row r="242" spans="1:10" x14ac:dyDescent="0.2">
      <c r="A242" s="16">
        <v>46113</v>
      </c>
      <c r="B242" t="s">
        <v>42</v>
      </c>
      <c r="C242" t="s">
        <v>20</v>
      </c>
      <c r="D242" t="s">
        <v>29</v>
      </c>
      <c r="E242" t="s">
        <v>43</v>
      </c>
      <c r="H242">
        <v>44772347.079999998</v>
      </c>
      <c r="I242">
        <v>605.04999999999995</v>
      </c>
      <c r="J242">
        <v>73997.759999999995</v>
      </c>
    </row>
    <row r="243" spans="1:10" x14ac:dyDescent="0.2">
      <c r="A243" s="16">
        <v>46113</v>
      </c>
      <c r="B243" t="s">
        <v>42</v>
      </c>
      <c r="C243" t="s">
        <v>20</v>
      </c>
      <c r="D243" t="s">
        <v>31</v>
      </c>
      <c r="E243" t="s">
        <v>43</v>
      </c>
      <c r="H243">
        <v>60489935.719999999</v>
      </c>
      <c r="I243">
        <v>605.04999999999995</v>
      </c>
      <c r="J243">
        <v>99975.1</v>
      </c>
    </row>
    <row r="244" spans="1:10" x14ac:dyDescent="0.2">
      <c r="A244" s="16">
        <v>46113</v>
      </c>
      <c r="B244" t="s">
        <v>42</v>
      </c>
      <c r="C244" t="s">
        <v>20</v>
      </c>
      <c r="D244" t="s">
        <v>32</v>
      </c>
      <c r="E244" t="s">
        <v>43</v>
      </c>
      <c r="H244">
        <v>32759090.890000001</v>
      </c>
      <c r="I244">
        <v>605.04999999999995</v>
      </c>
      <c r="J244">
        <v>54142.78</v>
      </c>
    </row>
    <row r="245" spans="1:10" x14ac:dyDescent="0.2">
      <c r="A245" s="16">
        <v>46113</v>
      </c>
      <c r="B245" t="s">
        <v>42</v>
      </c>
      <c r="C245" t="s">
        <v>20</v>
      </c>
      <c r="D245" t="s">
        <v>33</v>
      </c>
      <c r="E245" t="s">
        <v>43</v>
      </c>
      <c r="H245">
        <v>38605965.380000003</v>
      </c>
      <c r="I245">
        <v>605.04999999999995</v>
      </c>
      <c r="J245">
        <v>63806.239999999998</v>
      </c>
    </row>
    <row r="246" spans="1:10" x14ac:dyDescent="0.2">
      <c r="A246" s="16">
        <v>46113</v>
      </c>
      <c r="B246" t="s">
        <v>42</v>
      </c>
      <c r="C246" t="s">
        <v>20</v>
      </c>
      <c r="D246" t="s">
        <v>34</v>
      </c>
      <c r="E246" t="s">
        <v>43</v>
      </c>
      <c r="H246">
        <v>28979261.870000001</v>
      </c>
      <c r="I246">
        <v>605.04999999999995</v>
      </c>
      <c r="J246">
        <v>47895.65</v>
      </c>
    </row>
    <row r="247" spans="1:10" x14ac:dyDescent="0.2">
      <c r="A247" s="16">
        <v>46113</v>
      </c>
      <c r="B247" t="s">
        <v>42</v>
      </c>
      <c r="C247" t="s">
        <v>20</v>
      </c>
      <c r="D247" t="s">
        <v>35</v>
      </c>
      <c r="E247" t="s">
        <v>43</v>
      </c>
      <c r="H247">
        <v>27840026.879999999</v>
      </c>
      <c r="I247">
        <v>605.04999999999995</v>
      </c>
      <c r="J247">
        <v>46012.77</v>
      </c>
    </row>
    <row r="248" spans="1:10" x14ac:dyDescent="0.2">
      <c r="A248" s="16">
        <v>46113</v>
      </c>
      <c r="B248" t="s">
        <v>44</v>
      </c>
      <c r="C248" t="s">
        <v>20</v>
      </c>
      <c r="D248" t="s">
        <v>29</v>
      </c>
      <c r="E248" t="s">
        <v>45</v>
      </c>
      <c r="H248">
        <v>37421026.920000002</v>
      </c>
      <c r="I248">
        <v>605.04999999999995</v>
      </c>
      <c r="J248">
        <v>61847.83</v>
      </c>
    </row>
    <row r="249" spans="1:10" x14ac:dyDescent="0.2">
      <c r="A249" s="16">
        <v>46113</v>
      </c>
      <c r="B249" t="s">
        <v>44</v>
      </c>
      <c r="C249" t="s">
        <v>20</v>
      </c>
      <c r="D249" t="s">
        <v>31</v>
      </c>
      <c r="E249" t="s">
        <v>45</v>
      </c>
      <c r="H249">
        <v>34377124.799999997</v>
      </c>
      <c r="I249">
        <v>605.04999999999995</v>
      </c>
      <c r="J249">
        <v>56817</v>
      </c>
    </row>
    <row r="250" spans="1:10" x14ac:dyDescent="0.2">
      <c r="A250" s="16">
        <v>46113</v>
      </c>
      <c r="B250" t="s">
        <v>44</v>
      </c>
      <c r="C250" t="s">
        <v>20</v>
      </c>
      <c r="D250" t="s">
        <v>32</v>
      </c>
      <c r="E250" t="s">
        <v>45</v>
      </c>
      <c r="H250">
        <v>26428186.52</v>
      </c>
      <c r="I250">
        <v>605.04999999999995</v>
      </c>
      <c r="J250">
        <v>43679.34</v>
      </c>
    </row>
    <row r="251" spans="1:10" x14ac:dyDescent="0.2">
      <c r="A251" s="16">
        <v>46113</v>
      </c>
      <c r="B251" t="s">
        <v>44</v>
      </c>
      <c r="C251" t="s">
        <v>20</v>
      </c>
      <c r="D251" t="s">
        <v>33</v>
      </c>
      <c r="E251" t="s">
        <v>45</v>
      </c>
      <c r="H251">
        <v>19043316.600000001</v>
      </c>
      <c r="I251">
        <v>605.04999999999995</v>
      </c>
      <c r="J251">
        <v>31473.96</v>
      </c>
    </row>
    <row r="252" spans="1:10" x14ac:dyDescent="0.2">
      <c r="A252" s="16">
        <v>46113</v>
      </c>
      <c r="B252" t="s">
        <v>44</v>
      </c>
      <c r="C252" t="s">
        <v>20</v>
      </c>
      <c r="D252" t="s">
        <v>34</v>
      </c>
      <c r="E252" t="s">
        <v>45</v>
      </c>
      <c r="H252">
        <v>12702395.949999999</v>
      </c>
      <c r="I252">
        <v>605.04999999999995</v>
      </c>
      <c r="J252">
        <v>20993.96</v>
      </c>
    </row>
    <row r="253" spans="1:10" x14ac:dyDescent="0.2">
      <c r="A253" s="16">
        <v>46113</v>
      </c>
      <c r="B253" t="s">
        <v>44</v>
      </c>
      <c r="C253" t="s">
        <v>20</v>
      </c>
      <c r="D253" t="s">
        <v>35</v>
      </c>
      <c r="E253" t="s">
        <v>45</v>
      </c>
      <c r="H253">
        <v>25815651.309999999</v>
      </c>
      <c r="I253">
        <v>605.04999999999995</v>
      </c>
      <c r="J253">
        <v>42666.97</v>
      </c>
    </row>
    <row r="254" spans="1:10" x14ac:dyDescent="0.2">
      <c r="A254" s="16">
        <v>46143</v>
      </c>
      <c r="B254" t="s">
        <v>28</v>
      </c>
      <c r="C254" t="s">
        <v>18</v>
      </c>
      <c r="D254" t="s">
        <v>29</v>
      </c>
      <c r="E254" t="s">
        <v>30</v>
      </c>
      <c r="F254">
        <v>5038</v>
      </c>
      <c r="G254">
        <v>0.02</v>
      </c>
      <c r="H254">
        <v>446659540.98000002</v>
      </c>
      <c r="I254">
        <v>3298.71</v>
      </c>
      <c r="J254">
        <v>135404.31</v>
      </c>
    </row>
    <row r="255" spans="1:10" x14ac:dyDescent="0.2">
      <c r="A255" s="16">
        <v>46143</v>
      </c>
      <c r="B255" t="s">
        <v>28</v>
      </c>
      <c r="C255" t="s">
        <v>18</v>
      </c>
      <c r="D255" t="s">
        <v>31</v>
      </c>
      <c r="E255" t="s">
        <v>30</v>
      </c>
      <c r="F255">
        <v>3461</v>
      </c>
      <c r="G255">
        <v>0.05</v>
      </c>
      <c r="H255">
        <v>636288006.11000001</v>
      </c>
      <c r="I255">
        <v>3298.71</v>
      </c>
      <c r="J255">
        <v>192889.95</v>
      </c>
    </row>
    <row r="256" spans="1:10" x14ac:dyDescent="0.2">
      <c r="A256" s="16">
        <v>46143</v>
      </c>
      <c r="B256" t="s">
        <v>28</v>
      </c>
      <c r="C256" t="s">
        <v>18</v>
      </c>
      <c r="D256" t="s">
        <v>32</v>
      </c>
      <c r="E256" t="s">
        <v>30</v>
      </c>
      <c r="F256">
        <v>3169</v>
      </c>
      <c r="G256">
        <v>0.03</v>
      </c>
      <c r="H256">
        <v>344965989.88999999</v>
      </c>
      <c r="I256">
        <v>3298.71</v>
      </c>
      <c r="J256">
        <v>104576.03</v>
      </c>
    </row>
    <row r="257" spans="1:10" x14ac:dyDescent="0.2">
      <c r="A257" s="16">
        <v>46143</v>
      </c>
      <c r="B257" t="s">
        <v>28</v>
      </c>
      <c r="C257" t="s">
        <v>18</v>
      </c>
      <c r="D257" t="s">
        <v>33</v>
      </c>
      <c r="E257" t="s">
        <v>30</v>
      </c>
      <c r="F257">
        <v>5595</v>
      </c>
      <c r="G257">
        <v>0.03</v>
      </c>
      <c r="H257">
        <v>286001291.19</v>
      </c>
      <c r="I257">
        <v>3298.71</v>
      </c>
      <c r="J257">
        <v>86700.95</v>
      </c>
    </row>
    <row r="258" spans="1:10" x14ac:dyDescent="0.2">
      <c r="A258" s="16">
        <v>46143</v>
      </c>
      <c r="B258" t="s">
        <v>28</v>
      </c>
      <c r="C258" t="s">
        <v>18</v>
      </c>
      <c r="D258" t="s">
        <v>34</v>
      </c>
      <c r="E258" t="s">
        <v>30</v>
      </c>
      <c r="F258">
        <v>4787</v>
      </c>
      <c r="G258">
        <v>0.02</v>
      </c>
      <c r="H258">
        <v>207348687.68000001</v>
      </c>
      <c r="I258">
        <v>3298.71</v>
      </c>
      <c r="J258">
        <v>62857.51</v>
      </c>
    </row>
    <row r="259" spans="1:10" x14ac:dyDescent="0.2">
      <c r="A259" s="16">
        <v>46143</v>
      </c>
      <c r="B259" t="s">
        <v>28</v>
      </c>
      <c r="C259" t="s">
        <v>18</v>
      </c>
      <c r="D259" t="s">
        <v>35</v>
      </c>
      <c r="E259" t="s">
        <v>30</v>
      </c>
      <c r="F259">
        <v>3496</v>
      </c>
      <c r="G259">
        <v>0.05</v>
      </c>
      <c r="H259">
        <v>245256352.25</v>
      </c>
      <c r="I259">
        <v>3298.71</v>
      </c>
      <c r="J259">
        <v>74349.17</v>
      </c>
    </row>
    <row r="260" spans="1:10" x14ac:dyDescent="0.2">
      <c r="A260" s="16">
        <v>46143</v>
      </c>
      <c r="B260" t="s">
        <v>36</v>
      </c>
      <c r="C260" t="s">
        <v>18</v>
      </c>
      <c r="D260" t="s">
        <v>29</v>
      </c>
      <c r="E260" t="s">
        <v>37</v>
      </c>
      <c r="F260">
        <v>2887</v>
      </c>
      <c r="G260">
        <v>0</v>
      </c>
      <c r="H260">
        <v>242205287.63</v>
      </c>
      <c r="I260">
        <v>3298.71</v>
      </c>
      <c r="J260">
        <v>73424.240000000005</v>
      </c>
    </row>
    <row r="261" spans="1:10" x14ac:dyDescent="0.2">
      <c r="A261" s="16">
        <v>46143</v>
      </c>
      <c r="B261" t="s">
        <v>36</v>
      </c>
      <c r="C261" t="s">
        <v>18</v>
      </c>
      <c r="D261" t="s">
        <v>31</v>
      </c>
      <c r="E261" t="s">
        <v>37</v>
      </c>
      <c r="F261">
        <v>2217</v>
      </c>
      <c r="G261">
        <v>0.03</v>
      </c>
      <c r="H261">
        <v>395590721.56999999</v>
      </c>
      <c r="I261">
        <v>3298.71</v>
      </c>
      <c r="J261">
        <v>119922.86</v>
      </c>
    </row>
    <row r="262" spans="1:10" x14ac:dyDescent="0.2">
      <c r="A262" s="16">
        <v>46143</v>
      </c>
      <c r="B262" t="s">
        <v>36</v>
      </c>
      <c r="C262" t="s">
        <v>18</v>
      </c>
      <c r="D262" t="s">
        <v>32</v>
      </c>
      <c r="E262" t="s">
        <v>37</v>
      </c>
      <c r="F262">
        <v>2189</v>
      </c>
      <c r="G262">
        <v>0.03</v>
      </c>
      <c r="H262">
        <v>239173137.80000001</v>
      </c>
      <c r="I262">
        <v>3298.71</v>
      </c>
      <c r="J262">
        <v>72505.05</v>
      </c>
    </row>
    <row r="263" spans="1:10" x14ac:dyDescent="0.2">
      <c r="A263" s="16">
        <v>46143</v>
      </c>
      <c r="B263" t="s">
        <v>36</v>
      </c>
      <c r="C263" t="s">
        <v>18</v>
      </c>
      <c r="D263" t="s">
        <v>33</v>
      </c>
      <c r="E263" t="s">
        <v>37</v>
      </c>
      <c r="F263">
        <v>2412</v>
      </c>
      <c r="G263">
        <v>0.05</v>
      </c>
      <c r="H263">
        <v>124484692.29000001</v>
      </c>
      <c r="I263">
        <v>3298.71</v>
      </c>
      <c r="J263">
        <v>37737.39</v>
      </c>
    </row>
    <row r="264" spans="1:10" x14ac:dyDescent="0.2">
      <c r="A264" s="16">
        <v>46143</v>
      </c>
      <c r="B264" t="s">
        <v>36</v>
      </c>
      <c r="C264" t="s">
        <v>18</v>
      </c>
      <c r="D264" t="s">
        <v>34</v>
      </c>
      <c r="E264" t="s">
        <v>37</v>
      </c>
      <c r="F264">
        <v>2835</v>
      </c>
      <c r="G264">
        <v>0</v>
      </c>
      <c r="H264">
        <v>129242221.8</v>
      </c>
      <c r="I264">
        <v>3298.71</v>
      </c>
      <c r="J264">
        <v>39179.629999999997</v>
      </c>
    </row>
    <row r="265" spans="1:10" x14ac:dyDescent="0.2">
      <c r="A265" s="16">
        <v>46143</v>
      </c>
      <c r="B265" t="s">
        <v>36</v>
      </c>
      <c r="C265" t="s">
        <v>18</v>
      </c>
      <c r="D265" t="s">
        <v>35</v>
      </c>
      <c r="E265" t="s">
        <v>37</v>
      </c>
      <c r="F265">
        <v>2362</v>
      </c>
      <c r="G265">
        <v>0</v>
      </c>
      <c r="H265">
        <v>165656019.16999999</v>
      </c>
      <c r="I265">
        <v>3298.71</v>
      </c>
      <c r="J265">
        <v>50218.42</v>
      </c>
    </row>
    <row r="266" spans="1:10" x14ac:dyDescent="0.2">
      <c r="A266" s="16">
        <v>46143</v>
      </c>
      <c r="B266" t="s">
        <v>38</v>
      </c>
      <c r="C266" t="s">
        <v>19</v>
      </c>
      <c r="D266" t="s">
        <v>29</v>
      </c>
      <c r="E266" t="s">
        <v>39</v>
      </c>
      <c r="F266">
        <v>3407</v>
      </c>
      <c r="G266">
        <v>0</v>
      </c>
      <c r="H266">
        <v>53166248.539999999</v>
      </c>
      <c r="I266">
        <v>609.63</v>
      </c>
      <c r="J266">
        <v>87210.68</v>
      </c>
    </row>
    <row r="267" spans="1:10" x14ac:dyDescent="0.2">
      <c r="A267" s="16">
        <v>46143</v>
      </c>
      <c r="B267" t="s">
        <v>38</v>
      </c>
      <c r="C267" t="s">
        <v>19</v>
      </c>
      <c r="D267" t="s">
        <v>31</v>
      </c>
      <c r="E267" t="s">
        <v>39</v>
      </c>
      <c r="F267">
        <v>2123</v>
      </c>
      <c r="G267">
        <v>0.03</v>
      </c>
      <c r="H267">
        <v>70131500.939999998</v>
      </c>
      <c r="I267">
        <v>609.63</v>
      </c>
      <c r="J267">
        <v>115039.45</v>
      </c>
    </row>
    <row r="268" spans="1:10" x14ac:dyDescent="0.2">
      <c r="A268" s="16">
        <v>46143</v>
      </c>
      <c r="B268" t="s">
        <v>38</v>
      </c>
      <c r="C268" t="s">
        <v>19</v>
      </c>
      <c r="D268" t="s">
        <v>32</v>
      </c>
      <c r="E268" t="s">
        <v>39</v>
      </c>
      <c r="F268">
        <v>1904</v>
      </c>
      <c r="G268">
        <v>0</v>
      </c>
      <c r="H268">
        <v>36748190.649999999</v>
      </c>
      <c r="I268">
        <v>609.63</v>
      </c>
      <c r="J268">
        <v>60279.5</v>
      </c>
    </row>
    <row r="269" spans="1:10" x14ac:dyDescent="0.2">
      <c r="A269" s="16">
        <v>46143</v>
      </c>
      <c r="B269" t="s">
        <v>38</v>
      </c>
      <c r="C269" t="s">
        <v>19</v>
      </c>
      <c r="D269" t="s">
        <v>33</v>
      </c>
      <c r="E269" t="s">
        <v>39</v>
      </c>
      <c r="F269">
        <v>3023</v>
      </c>
      <c r="G269">
        <v>0.05</v>
      </c>
      <c r="H269">
        <v>29112554.370000001</v>
      </c>
      <c r="I269">
        <v>609.63</v>
      </c>
      <c r="J269">
        <v>47754.46</v>
      </c>
    </row>
    <row r="270" spans="1:10" x14ac:dyDescent="0.2">
      <c r="A270" s="16">
        <v>46143</v>
      </c>
      <c r="B270" t="s">
        <v>38</v>
      </c>
      <c r="C270" t="s">
        <v>19</v>
      </c>
      <c r="D270" t="s">
        <v>34</v>
      </c>
      <c r="E270" t="s">
        <v>39</v>
      </c>
      <c r="F270">
        <v>3655</v>
      </c>
      <c r="G270">
        <v>0.03</v>
      </c>
      <c r="H270">
        <v>27706846.66</v>
      </c>
      <c r="I270">
        <v>609.63</v>
      </c>
      <c r="J270">
        <v>45448.63</v>
      </c>
    </row>
    <row r="271" spans="1:10" x14ac:dyDescent="0.2">
      <c r="A271" s="16">
        <v>46143</v>
      </c>
      <c r="B271" t="s">
        <v>38</v>
      </c>
      <c r="C271" t="s">
        <v>19</v>
      </c>
      <c r="D271" t="s">
        <v>35</v>
      </c>
      <c r="E271" t="s">
        <v>39</v>
      </c>
      <c r="F271">
        <v>2453</v>
      </c>
      <c r="G271">
        <v>0</v>
      </c>
      <c r="H271">
        <v>31902353.18</v>
      </c>
      <c r="I271">
        <v>609.63</v>
      </c>
      <c r="J271">
        <v>52330.68</v>
      </c>
    </row>
    <row r="272" spans="1:10" x14ac:dyDescent="0.2">
      <c r="A272" s="16">
        <v>46143</v>
      </c>
      <c r="B272" t="s">
        <v>40</v>
      </c>
      <c r="C272" t="s">
        <v>19</v>
      </c>
      <c r="D272" t="s">
        <v>29</v>
      </c>
      <c r="E272" t="s">
        <v>41</v>
      </c>
      <c r="F272">
        <v>2466</v>
      </c>
      <c r="G272">
        <v>0.03</v>
      </c>
      <c r="H272">
        <v>38375595.75</v>
      </c>
      <c r="I272">
        <v>609.63</v>
      </c>
      <c r="J272">
        <v>62948.99</v>
      </c>
    </row>
    <row r="273" spans="1:10" x14ac:dyDescent="0.2">
      <c r="A273" s="16">
        <v>46143</v>
      </c>
      <c r="B273" t="s">
        <v>40</v>
      </c>
      <c r="C273" t="s">
        <v>19</v>
      </c>
      <c r="D273" t="s">
        <v>31</v>
      </c>
      <c r="E273" t="s">
        <v>41</v>
      </c>
      <c r="F273">
        <v>1748</v>
      </c>
      <c r="G273">
        <v>0.02</v>
      </c>
      <c r="H273">
        <v>56682121.280000001</v>
      </c>
      <c r="I273">
        <v>609.63</v>
      </c>
      <c r="J273">
        <v>92977.91</v>
      </c>
    </row>
    <row r="274" spans="1:10" x14ac:dyDescent="0.2">
      <c r="A274" s="16">
        <v>46143</v>
      </c>
      <c r="B274" t="s">
        <v>40</v>
      </c>
      <c r="C274" t="s">
        <v>19</v>
      </c>
      <c r="D274" t="s">
        <v>32</v>
      </c>
      <c r="E274" t="s">
        <v>41</v>
      </c>
      <c r="F274">
        <v>1967</v>
      </c>
      <c r="G274">
        <v>0</v>
      </c>
      <c r="H274">
        <v>37288894.520000003</v>
      </c>
      <c r="I274">
        <v>609.63</v>
      </c>
      <c r="J274">
        <v>61166.44</v>
      </c>
    </row>
    <row r="275" spans="1:10" x14ac:dyDescent="0.2">
      <c r="A275" s="16">
        <v>46143</v>
      </c>
      <c r="B275" t="s">
        <v>40</v>
      </c>
      <c r="C275" t="s">
        <v>19</v>
      </c>
      <c r="D275" t="s">
        <v>33</v>
      </c>
      <c r="E275" t="s">
        <v>41</v>
      </c>
      <c r="F275">
        <v>2258</v>
      </c>
      <c r="G275">
        <v>0.05</v>
      </c>
      <c r="H275">
        <v>21435445.449999999</v>
      </c>
      <c r="I275">
        <v>609.63</v>
      </c>
      <c r="J275">
        <v>35161.4</v>
      </c>
    </row>
    <row r="276" spans="1:10" x14ac:dyDescent="0.2">
      <c r="A276" s="16">
        <v>46143</v>
      </c>
      <c r="B276" t="s">
        <v>40</v>
      </c>
      <c r="C276" t="s">
        <v>19</v>
      </c>
      <c r="D276" t="s">
        <v>34</v>
      </c>
      <c r="E276" t="s">
        <v>41</v>
      </c>
      <c r="F276">
        <v>2148</v>
      </c>
      <c r="G276">
        <v>0.05</v>
      </c>
      <c r="H276">
        <v>17748042.199999999</v>
      </c>
      <c r="I276">
        <v>609.63</v>
      </c>
      <c r="J276">
        <v>29112.81</v>
      </c>
    </row>
    <row r="277" spans="1:10" x14ac:dyDescent="0.2">
      <c r="A277" s="16">
        <v>46143</v>
      </c>
      <c r="B277" t="s">
        <v>40</v>
      </c>
      <c r="C277" t="s">
        <v>19</v>
      </c>
      <c r="D277" t="s">
        <v>35</v>
      </c>
      <c r="E277" t="s">
        <v>41</v>
      </c>
      <c r="F277">
        <v>1705</v>
      </c>
      <c r="G277">
        <v>0.02</v>
      </c>
      <c r="H277">
        <v>21977085.149999999</v>
      </c>
      <c r="I277">
        <v>609.63</v>
      </c>
      <c r="J277">
        <v>36049.870000000003</v>
      </c>
    </row>
    <row r="278" spans="1:10" x14ac:dyDescent="0.2">
      <c r="A278" s="16">
        <v>46143</v>
      </c>
      <c r="B278" t="s">
        <v>42</v>
      </c>
      <c r="C278" t="s">
        <v>20</v>
      </c>
      <c r="D278" t="s">
        <v>29</v>
      </c>
      <c r="E278" t="s">
        <v>43</v>
      </c>
      <c r="F278">
        <v>2840</v>
      </c>
      <c r="G278">
        <v>0.03</v>
      </c>
      <c r="H278">
        <v>45750106.920000002</v>
      </c>
      <c r="I278">
        <v>606.9</v>
      </c>
      <c r="J278">
        <v>75383.27</v>
      </c>
    </row>
    <row r="279" spans="1:10" x14ac:dyDescent="0.2">
      <c r="A279" s="16">
        <v>46143</v>
      </c>
      <c r="B279" t="s">
        <v>42</v>
      </c>
      <c r="C279" t="s">
        <v>20</v>
      </c>
      <c r="D279" t="s">
        <v>31</v>
      </c>
      <c r="E279" t="s">
        <v>43</v>
      </c>
      <c r="F279">
        <v>1619</v>
      </c>
      <c r="G279">
        <v>0.05</v>
      </c>
      <c r="H279">
        <v>55354315.890000001</v>
      </c>
      <c r="I279">
        <v>606.9</v>
      </c>
      <c r="J279">
        <v>91208.3</v>
      </c>
    </row>
    <row r="280" spans="1:10" x14ac:dyDescent="0.2">
      <c r="A280" s="16">
        <v>46143</v>
      </c>
      <c r="B280" t="s">
        <v>42</v>
      </c>
      <c r="C280" t="s">
        <v>20</v>
      </c>
      <c r="D280" t="s">
        <v>32</v>
      </c>
      <c r="E280" t="s">
        <v>43</v>
      </c>
      <c r="F280">
        <v>1317</v>
      </c>
      <c r="G280">
        <v>0.03</v>
      </c>
      <c r="H280">
        <v>28405605.329999998</v>
      </c>
      <c r="I280">
        <v>606.9</v>
      </c>
      <c r="J280">
        <v>46804.42</v>
      </c>
    </row>
    <row r="281" spans="1:10" x14ac:dyDescent="0.2">
      <c r="A281" s="16">
        <v>46143</v>
      </c>
      <c r="B281" t="s">
        <v>42</v>
      </c>
      <c r="C281" t="s">
        <v>20</v>
      </c>
      <c r="D281" t="s">
        <v>33</v>
      </c>
      <c r="E281" t="s">
        <v>43</v>
      </c>
      <c r="F281">
        <v>3374</v>
      </c>
      <c r="G281">
        <v>0.05</v>
      </c>
      <c r="H281">
        <v>33113144.329999998</v>
      </c>
      <c r="I281">
        <v>606.9</v>
      </c>
      <c r="J281">
        <v>54561.120000000003</v>
      </c>
    </row>
    <row r="282" spans="1:10" x14ac:dyDescent="0.2">
      <c r="A282" s="16">
        <v>46143</v>
      </c>
      <c r="B282" t="s">
        <v>42</v>
      </c>
      <c r="C282" t="s">
        <v>20</v>
      </c>
      <c r="D282" t="s">
        <v>34</v>
      </c>
      <c r="E282" t="s">
        <v>43</v>
      </c>
      <c r="F282">
        <v>3638</v>
      </c>
      <c r="G282">
        <v>0.05</v>
      </c>
      <c r="H282">
        <v>27374782.420000002</v>
      </c>
      <c r="I282">
        <v>606.9</v>
      </c>
      <c r="J282">
        <v>45105.919999999998</v>
      </c>
    </row>
    <row r="283" spans="1:10" x14ac:dyDescent="0.2">
      <c r="A283" s="16">
        <v>46143</v>
      </c>
      <c r="B283" t="s">
        <v>42</v>
      </c>
      <c r="C283" t="s">
        <v>20</v>
      </c>
      <c r="D283" t="s">
        <v>35</v>
      </c>
      <c r="E283" t="s">
        <v>43</v>
      </c>
      <c r="F283">
        <v>1713</v>
      </c>
      <c r="G283">
        <v>0</v>
      </c>
      <c r="H283">
        <v>22105511.809999999</v>
      </c>
      <c r="I283">
        <v>606.9</v>
      </c>
      <c r="J283">
        <v>36423.65</v>
      </c>
    </row>
    <row r="284" spans="1:10" x14ac:dyDescent="0.2">
      <c r="A284" s="16">
        <v>46143</v>
      </c>
      <c r="B284" t="s">
        <v>44</v>
      </c>
      <c r="C284" t="s">
        <v>20</v>
      </c>
      <c r="D284" t="s">
        <v>29</v>
      </c>
      <c r="E284" t="s">
        <v>45</v>
      </c>
      <c r="F284">
        <v>1947</v>
      </c>
      <c r="G284">
        <v>0</v>
      </c>
      <c r="H284">
        <v>30012044.489999998</v>
      </c>
      <c r="I284">
        <v>606.9</v>
      </c>
      <c r="J284">
        <v>49451.38</v>
      </c>
    </row>
    <row r="285" spans="1:10" x14ac:dyDescent="0.2">
      <c r="A285" s="16">
        <v>46143</v>
      </c>
      <c r="B285" t="s">
        <v>44</v>
      </c>
      <c r="C285" t="s">
        <v>20</v>
      </c>
      <c r="D285" t="s">
        <v>31</v>
      </c>
      <c r="E285" t="s">
        <v>45</v>
      </c>
      <c r="F285">
        <v>1442</v>
      </c>
      <c r="G285">
        <v>0.05</v>
      </c>
      <c r="H285">
        <v>48286677.640000001</v>
      </c>
      <c r="I285">
        <v>606.9</v>
      </c>
      <c r="J285">
        <v>79562.820000000007</v>
      </c>
    </row>
    <row r="286" spans="1:10" x14ac:dyDescent="0.2">
      <c r="A286" s="16">
        <v>46143</v>
      </c>
      <c r="B286" t="s">
        <v>44</v>
      </c>
      <c r="C286" t="s">
        <v>20</v>
      </c>
      <c r="D286" t="s">
        <v>32</v>
      </c>
      <c r="E286" t="s">
        <v>45</v>
      </c>
      <c r="F286">
        <v>1088</v>
      </c>
      <c r="G286">
        <v>0.05</v>
      </c>
      <c r="H286">
        <v>21419481.449999999</v>
      </c>
      <c r="I286">
        <v>606.9</v>
      </c>
      <c r="J286">
        <v>35293.26</v>
      </c>
    </row>
    <row r="287" spans="1:10" x14ac:dyDescent="0.2">
      <c r="A287" s="16">
        <v>46143</v>
      </c>
      <c r="B287" t="s">
        <v>44</v>
      </c>
      <c r="C287" t="s">
        <v>20</v>
      </c>
      <c r="D287" t="s">
        <v>33</v>
      </c>
      <c r="E287" t="s">
        <v>45</v>
      </c>
      <c r="F287">
        <v>1634</v>
      </c>
      <c r="G287">
        <v>0</v>
      </c>
      <c r="H287">
        <v>15791408.67</v>
      </c>
      <c r="I287">
        <v>606.9</v>
      </c>
      <c r="J287">
        <v>26019.79</v>
      </c>
    </row>
    <row r="288" spans="1:10" x14ac:dyDescent="0.2">
      <c r="A288" s="16">
        <v>46143</v>
      </c>
      <c r="B288" t="s">
        <v>44</v>
      </c>
      <c r="C288" t="s">
        <v>20</v>
      </c>
      <c r="D288" t="s">
        <v>34</v>
      </c>
      <c r="E288" t="s">
        <v>45</v>
      </c>
      <c r="F288">
        <v>2440</v>
      </c>
      <c r="G288">
        <v>0</v>
      </c>
      <c r="H288">
        <v>19171635.920000002</v>
      </c>
      <c r="I288">
        <v>606.9</v>
      </c>
      <c r="J288">
        <v>31589.45</v>
      </c>
    </row>
    <row r="289" spans="1:10" x14ac:dyDescent="0.2">
      <c r="A289" s="16">
        <v>46143</v>
      </c>
      <c r="B289" t="s">
        <v>44</v>
      </c>
      <c r="C289" t="s">
        <v>20</v>
      </c>
      <c r="D289" t="s">
        <v>35</v>
      </c>
      <c r="E289" t="s">
        <v>45</v>
      </c>
      <c r="F289">
        <v>1430</v>
      </c>
      <c r="G289">
        <v>0</v>
      </c>
      <c r="H289">
        <v>18639446.5</v>
      </c>
      <c r="I289">
        <v>606.9</v>
      </c>
      <c r="J289">
        <v>30712.55</v>
      </c>
    </row>
    <row r="290" spans="1:10" x14ac:dyDescent="0.2">
      <c r="A290" s="16">
        <v>46174</v>
      </c>
      <c r="B290" t="s">
        <v>28</v>
      </c>
      <c r="C290" t="s">
        <v>18</v>
      </c>
      <c r="D290" t="s">
        <v>29</v>
      </c>
      <c r="E290" t="s">
        <v>30</v>
      </c>
      <c r="F290">
        <v>4605</v>
      </c>
      <c r="G290">
        <v>0</v>
      </c>
      <c r="H290">
        <v>397919650.87</v>
      </c>
      <c r="I290">
        <v>3340.41</v>
      </c>
      <c r="J290">
        <v>119123</v>
      </c>
    </row>
    <row r="291" spans="1:10" x14ac:dyDescent="0.2">
      <c r="A291" s="16">
        <v>46174</v>
      </c>
      <c r="B291" t="s">
        <v>28</v>
      </c>
      <c r="C291" t="s">
        <v>18</v>
      </c>
      <c r="D291" t="s">
        <v>31</v>
      </c>
      <c r="E291" t="s">
        <v>30</v>
      </c>
      <c r="F291">
        <v>3522</v>
      </c>
      <c r="G291">
        <v>0.02</v>
      </c>
      <c r="H291">
        <v>611983588.72000003</v>
      </c>
      <c r="I291">
        <v>3340.41</v>
      </c>
      <c r="J291">
        <v>183206.13</v>
      </c>
    </row>
    <row r="292" spans="1:10" x14ac:dyDescent="0.2">
      <c r="A292" s="16">
        <v>46174</v>
      </c>
      <c r="B292" t="s">
        <v>28</v>
      </c>
      <c r="C292" t="s">
        <v>18</v>
      </c>
      <c r="D292" t="s">
        <v>32</v>
      </c>
      <c r="E292" t="s">
        <v>30</v>
      </c>
      <c r="F292">
        <v>2802</v>
      </c>
      <c r="G292">
        <v>0.02</v>
      </c>
      <c r="H292">
        <v>318537638.49000001</v>
      </c>
      <c r="I292">
        <v>3340.41</v>
      </c>
      <c r="J292">
        <v>95358.84</v>
      </c>
    </row>
    <row r="293" spans="1:10" x14ac:dyDescent="0.2">
      <c r="A293" s="16">
        <v>46174</v>
      </c>
      <c r="B293" t="s">
        <v>28</v>
      </c>
      <c r="C293" t="s">
        <v>18</v>
      </c>
      <c r="D293" t="s">
        <v>33</v>
      </c>
      <c r="E293" t="s">
        <v>30</v>
      </c>
      <c r="F293">
        <v>4246</v>
      </c>
      <c r="G293">
        <v>0.05</v>
      </c>
      <c r="H293">
        <v>226811755.93000001</v>
      </c>
      <c r="I293">
        <v>3340.41</v>
      </c>
      <c r="J293">
        <v>67899.38</v>
      </c>
    </row>
    <row r="294" spans="1:10" x14ac:dyDescent="0.2">
      <c r="A294" s="16">
        <v>46174</v>
      </c>
      <c r="B294" t="s">
        <v>28</v>
      </c>
      <c r="C294" t="s">
        <v>18</v>
      </c>
      <c r="D294" t="s">
        <v>34</v>
      </c>
      <c r="E294" t="s">
        <v>30</v>
      </c>
      <c r="F294">
        <v>4793</v>
      </c>
      <c r="G294">
        <v>0</v>
      </c>
      <c r="H294">
        <v>211130448.83000001</v>
      </c>
      <c r="I294">
        <v>3340.41</v>
      </c>
      <c r="J294">
        <v>63204.95</v>
      </c>
    </row>
    <row r="295" spans="1:10" x14ac:dyDescent="0.2">
      <c r="A295" s="16">
        <v>46174</v>
      </c>
      <c r="B295" t="s">
        <v>28</v>
      </c>
      <c r="C295" t="s">
        <v>18</v>
      </c>
      <c r="D295" t="s">
        <v>35</v>
      </c>
      <c r="E295" t="s">
        <v>30</v>
      </c>
      <c r="F295">
        <v>4053</v>
      </c>
      <c r="G295">
        <v>0</v>
      </c>
      <c r="H295">
        <v>287645177.14999998</v>
      </c>
      <c r="I295">
        <v>3340.41</v>
      </c>
      <c r="J295">
        <v>86110.74</v>
      </c>
    </row>
    <row r="296" spans="1:10" x14ac:dyDescent="0.2">
      <c r="A296" s="16">
        <v>46174</v>
      </c>
      <c r="B296" t="s">
        <v>36</v>
      </c>
      <c r="C296" t="s">
        <v>18</v>
      </c>
      <c r="D296" t="s">
        <v>29</v>
      </c>
      <c r="E296" t="s">
        <v>37</v>
      </c>
      <c r="F296">
        <v>3211</v>
      </c>
      <c r="G296">
        <v>0</v>
      </c>
      <c r="H296">
        <v>272352261.85000002</v>
      </c>
      <c r="I296">
        <v>3340.41</v>
      </c>
      <c r="J296">
        <v>81532.58</v>
      </c>
    </row>
    <row r="297" spans="1:10" x14ac:dyDescent="0.2">
      <c r="A297" s="16">
        <v>46174</v>
      </c>
      <c r="B297" t="s">
        <v>36</v>
      </c>
      <c r="C297" t="s">
        <v>18</v>
      </c>
      <c r="D297" t="s">
        <v>31</v>
      </c>
      <c r="E297" t="s">
        <v>37</v>
      </c>
      <c r="F297">
        <v>1566</v>
      </c>
      <c r="G297">
        <v>0.02</v>
      </c>
      <c r="H297">
        <v>287753570.64999998</v>
      </c>
      <c r="I297">
        <v>3340.41</v>
      </c>
      <c r="J297">
        <v>86143.19</v>
      </c>
    </row>
    <row r="298" spans="1:10" x14ac:dyDescent="0.2">
      <c r="A298" s="16">
        <v>46174</v>
      </c>
      <c r="B298" t="s">
        <v>36</v>
      </c>
      <c r="C298" t="s">
        <v>18</v>
      </c>
      <c r="D298" t="s">
        <v>32</v>
      </c>
      <c r="E298" t="s">
        <v>37</v>
      </c>
      <c r="F298">
        <v>1729</v>
      </c>
      <c r="G298">
        <v>0.05</v>
      </c>
      <c r="H298">
        <v>196018002.31</v>
      </c>
      <c r="I298">
        <v>3340.41</v>
      </c>
      <c r="J298">
        <v>58680.82</v>
      </c>
    </row>
    <row r="299" spans="1:10" x14ac:dyDescent="0.2">
      <c r="A299" s="16">
        <v>46174</v>
      </c>
      <c r="B299" t="s">
        <v>36</v>
      </c>
      <c r="C299" t="s">
        <v>18</v>
      </c>
      <c r="D299" t="s">
        <v>33</v>
      </c>
      <c r="E299" t="s">
        <v>37</v>
      </c>
      <c r="F299">
        <v>2635</v>
      </c>
      <c r="G299">
        <v>0.02</v>
      </c>
      <c r="H299">
        <v>135560988.46000001</v>
      </c>
      <c r="I299">
        <v>3340.41</v>
      </c>
      <c r="J299">
        <v>40582.14</v>
      </c>
    </row>
    <row r="300" spans="1:10" x14ac:dyDescent="0.2">
      <c r="A300" s="16">
        <v>46174</v>
      </c>
      <c r="B300" t="s">
        <v>36</v>
      </c>
      <c r="C300" t="s">
        <v>18</v>
      </c>
      <c r="D300" t="s">
        <v>34</v>
      </c>
      <c r="E300" t="s">
        <v>37</v>
      </c>
      <c r="F300">
        <v>2684</v>
      </c>
      <c r="G300">
        <v>0.05</v>
      </c>
      <c r="H300">
        <v>113180252.15000001</v>
      </c>
      <c r="I300">
        <v>3340.41</v>
      </c>
      <c r="J300">
        <v>33882.14</v>
      </c>
    </row>
    <row r="301" spans="1:10" x14ac:dyDescent="0.2">
      <c r="A301" s="16">
        <v>46174</v>
      </c>
      <c r="B301" t="s">
        <v>36</v>
      </c>
      <c r="C301" t="s">
        <v>18</v>
      </c>
      <c r="D301" t="s">
        <v>35</v>
      </c>
      <c r="E301" t="s">
        <v>37</v>
      </c>
      <c r="F301">
        <v>1687</v>
      </c>
      <c r="G301">
        <v>0.05</v>
      </c>
      <c r="H301">
        <v>120985490.52</v>
      </c>
      <c r="I301">
        <v>3340.41</v>
      </c>
      <c r="J301">
        <v>36218.75</v>
      </c>
    </row>
    <row r="302" spans="1:10" x14ac:dyDescent="0.2">
      <c r="A302" s="16">
        <v>46174</v>
      </c>
      <c r="B302" t="s">
        <v>38</v>
      </c>
      <c r="C302" t="s">
        <v>19</v>
      </c>
      <c r="D302" t="s">
        <v>29</v>
      </c>
      <c r="E302" t="s">
        <v>39</v>
      </c>
      <c r="F302">
        <v>3226</v>
      </c>
      <c r="G302">
        <v>0</v>
      </c>
      <c r="H302">
        <v>52163036.130000003</v>
      </c>
      <c r="I302">
        <v>607.82000000000005</v>
      </c>
      <c r="J302">
        <v>85819.87</v>
      </c>
    </row>
    <row r="303" spans="1:10" x14ac:dyDescent="0.2">
      <c r="A303" s="16">
        <v>46174</v>
      </c>
      <c r="B303" t="s">
        <v>38</v>
      </c>
      <c r="C303" t="s">
        <v>19</v>
      </c>
      <c r="D303" t="s">
        <v>31</v>
      </c>
      <c r="E303" t="s">
        <v>39</v>
      </c>
      <c r="F303">
        <v>2222</v>
      </c>
      <c r="G303">
        <v>0.03</v>
      </c>
      <c r="H303">
        <v>72016311.659999996</v>
      </c>
      <c r="I303">
        <v>607.82000000000005</v>
      </c>
      <c r="J303">
        <v>118482.96</v>
      </c>
    </row>
    <row r="304" spans="1:10" x14ac:dyDescent="0.2">
      <c r="A304" s="16">
        <v>46174</v>
      </c>
      <c r="B304" t="s">
        <v>38</v>
      </c>
      <c r="C304" t="s">
        <v>19</v>
      </c>
      <c r="D304" t="s">
        <v>32</v>
      </c>
      <c r="E304" t="s">
        <v>39</v>
      </c>
      <c r="F304">
        <v>2142</v>
      </c>
      <c r="G304">
        <v>0.05</v>
      </c>
      <c r="H304">
        <v>42832039.240000002</v>
      </c>
      <c r="I304">
        <v>607.82000000000005</v>
      </c>
      <c r="J304">
        <v>70468.3</v>
      </c>
    </row>
    <row r="305" spans="1:10" x14ac:dyDescent="0.2">
      <c r="A305" s="16">
        <v>46174</v>
      </c>
      <c r="B305" t="s">
        <v>38</v>
      </c>
      <c r="C305" t="s">
        <v>19</v>
      </c>
      <c r="D305" t="s">
        <v>33</v>
      </c>
      <c r="E305" t="s">
        <v>39</v>
      </c>
      <c r="F305">
        <v>3426</v>
      </c>
      <c r="G305">
        <v>0.03</v>
      </c>
      <c r="H305">
        <v>33397573.079999998</v>
      </c>
      <c r="I305">
        <v>607.82000000000005</v>
      </c>
      <c r="J305">
        <v>54946.49</v>
      </c>
    </row>
    <row r="306" spans="1:10" x14ac:dyDescent="0.2">
      <c r="A306" s="16">
        <v>46174</v>
      </c>
      <c r="B306" t="s">
        <v>38</v>
      </c>
      <c r="C306" t="s">
        <v>19</v>
      </c>
      <c r="D306" t="s">
        <v>34</v>
      </c>
      <c r="E306" t="s">
        <v>39</v>
      </c>
      <c r="F306">
        <v>3209</v>
      </c>
      <c r="G306">
        <v>0.02</v>
      </c>
      <c r="H306">
        <v>26134205.010000002</v>
      </c>
      <c r="I306">
        <v>607.82000000000005</v>
      </c>
      <c r="J306">
        <v>42996.62</v>
      </c>
    </row>
    <row r="307" spans="1:10" x14ac:dyDescent="0.2">
      <c r="A307" s="16">
        <v>46174</v>
      </c>
      <c r="B307" t="s">
        <v>38</v>
      </c>
      <c r="C307" t="s">
        <v>19</v>
      </c>
      <c r="D307" t="s">
        <v>35</v>
      </c>
      <c r="E307" t="s">
        <v>39</v>
      </c>
      <c r="F307">
        <v>2770</v>
      </c>
      <c r="G307">
        <v>0.05</v>
      </c>
      <c r="H307">
        <v>35348589.700000003</v>
      </c>
      <c r="I307">
        <v>607.82000000000005</v>
      </c>
      <c r="J307">
        <v>58156.35</v>
      </c>
    </row>
    <row r="308" spans="1:10" x14ac:dyDescent="0.2">
      <c r="A308" s="16">
        <v>46174</v>
      </c>
      <c r="B308" t="s">
        <v>40</v>
      </c>
      <c r="C308" t="s">
        <v>19</v>
      </c>
      <c r="D308" t="s">
        <v>29</v>
      </c>
      <c r="E308" t="s">
        <v>41</v>
      </c>
      <c r="F308">
        <v>2447</v>
      </c>
      <c r="G308">
        <v>0.02</v>
      </c>
      <c r="H308">
        <v>38072899.200000003</v>
      </c>
      <c r="I308">
        <v>607.82000000000005</v>
      </c>
      <c r="J308">
        <v>62638.44</v>
      </c>
    </row>
    <row r="309" spans="1:10" x14ac:dyDescent="0.2">
      <c r="A309" s="16">
        <v>46174</v>
      </c>
      <c r="B309" t="s">
        <v>40</v>
      </c>
      <c r="C309" t="s">
        <v>19</v>
      </c>
      <c r="D309" t="s">
        <v>31</v>
      </c>
      <c r="E309" t="s">
        <v>41</v>
      </c>
      <c r="F309">
        <v>1550</v>
      </c>
      <c r="G309">
        <v>0.02</v>
      </c>
      <c r="H309">
        <v>51154030.07</v>
      </c>
      <c r="I309">
        <v>607.82000000000005</v>
      </c>
      <c r="J309">
        <v>84159.83</v>
      </c>
    </row>
    <row r="310" spans="1:10" x14ac:dyDescent="0.2">
      <c r="A310" s="16">
        <v>46174</v>
      </c>
      <c r="B310" t="s">
        <v>40</v>
      </c>
      <c r="C310" t="s">
        <v>19</v>
      </c>
      <c r="D310" t="s">
        <v>32</v>
      </c>
      <c r="E310" t="s">
        <v>41</v>
      </c>
      <c r="F310">
        <v>1893</v>
      </c>
      <c r="G310">
        <v>0.02</v>
      </c>
      <c r="H310">
        <v>39878819.789999999</v>
      </c>
      <c r="I310">
        <v>607.82000000000005</v>
      </c>
      <c r="J310">
        <v>65609.59</v>
      </c>
    </row>
    <row r="311" spans="1:10" x14ac:dyDescent="0.2">
      <c r="A311" s="16">
        <v>46174</v>
      </c>
      <c r="B311" t="s">
        <v>40</v>
      </c>
      <c r="C311" t="s">
        <v>19</v>
      </c>
      <c r="D311" t="s">
        <v>33</v>
      </c>
      <c r="E311" t="s">
        <v>41</v>
      </c>
      <c r="F311">
        <v>2197</v>
      </c>
      <c r="G311">
        <v>0.03</v>
      </c>
      <c r="H311">
        <v>20906691.460000001</v>
      </c>
      <c r="I311">
        <v>607.82000000000005</v>
      </c>
      <c r="J311">
        <v>34396.19</v>
      </c>
    </row>
    <row r="312" spans="1:10" x14ac:dyDescent="0.2">
      <c r="A312" s="16">
        <v>46174</v>
      </c>
      <c r="B312" t="s">
        <v>40</v>
      </c>
      <c r="C312" t="s">
        <v>19</v>
      </c>
      <c r="D312" t="s">
        <v>34</v>
      </c>
      <c r="E312" t="s">
        <v>41</v>
      </c>
      <c r="F312">
        <v>2201</v>
      </c>
      <c r="G312">
        <v>0</v>
      </c>
      <c r="H312">
        <v>17602903.16</v>
      </c>
      <c r="I312">
        <v>607.82000000000005</v>
      </c>
      <c r="J312">
        <v>28960.720000000001</v>
      </c>
    </row>
    <row r="313" spans="1:10" x14ac:dyDescent="0.2">
      <c r="A313" s="16">
        <v>46174</v>
      </c>
      <c r="B313" t="s">
        <v>40</v>
      </c>
      <c r="C313" t="s">
        <v>19</v>
      </c>
      <c r="D313" t="s">
        <v>35</v>
      </c>
      <c r="E313" t="s">
        <v>41</v>
      </c>
      <c r="F313">
        <v>1739</v>
      </c>
      <c r="G313">
        <v>0.02</v>
      </c>
      <c r="H313">
        <v>23212640.890000001</v>
      </c>
      <c r="I313">
        <v>607.82000000000005</v>
      </c>
      <c r="J313">
        <v>38189.99</v>
      </c>
    </row>
    <row r="314" spans="1:10" x14ac:dyDescent="0.2">
      <c r="A314" s="16">
        <v>46174</v>
      </c>
      <c r="B314" t="s">
        <v>42</v>
      </c>
      <c r="C314" t="s">
        <v>20</v>
      </c>
      <c r="D314" t="s">
        <v>29</v>
      </c>
      <c r="E314" t="s">
        <v>43</v>
      </c>
      <c r="F314">
        <v>2048</v>
      </c>
      <c r="G314">
        <v>0.02</v>
      </c>
      <c r="H314">
        <v>32185868.43</v>
      </c>
      <c r="I314">
        <v>608.24</v>
      </c>
      <c r="J314">
        <v>52916.4</v>
      </c>
    </row>
    <row r="315" spans="1:10" x14ac:dyDescent="0.2">
      <c r="A315" s="16">
        <v>46174</v>
      </c>
      <c r="B315" t="s">
        <v>42</v>
      </c>
      <c r="C315" t="s">
        <v>20</v>
      </c>
      <c r="D315" t="s">
        <v>31</v>
      </c>
      <c r="E315" t="s">
        <v>43</v>
      </c>
      <c r="F315">
        <v>1621</v>
      </c>
      <c r="G315">
        <v>0.02</v>
      </c>
      <c r="H315">
        <v>52248960.369999997</v>
      </c>
      <c r="I315">
        <v>608.24</v>
      </c>
      <c r="J315">
        <v>85901.88</v>
      </c>
    </row>
    <row r="316" spans="1:10" x14ac:dyDescent="0.2">
      <c r="A316" s="16">
        <v>46174</v>
      </c>
      <c r="B316" t="s">
        <v>42</v>
      </c>
      <c r="C316" t="s">
        <v>20</v>
      </c>
      <c r="D316" t="s">
        <v>32</v>
      </c>
      <c r="E316" t="s">
        <v>43</v>
      </c>
      <c r="F316">
        <v>1440</v>
      </c>
      <c r="G316">
        <v>0.05</v>
      </c>
      <c r="H316">
        <v>27772774.27</v>
      </c>
      <c r="I316">
        <v>608.24</v>
      </c>
      <c r="J316">
        <v>45660.88</v>
      </c>
    </row>
    <row r="317" spans="1:10" x14ac:dyDescent="0.2">
      <c r="A317" s="16">
        <v>46174</v>
      </c>
      <c r="B317" t="s">
        <v>42</v>
      </c>
      <c r="C317" t="s">
        <v>20</v>
      </c>
      <c r="D317" t="s">
        <v>33</v>
      </c>
      <c r="E317" t="s">
        <v>43</v>
      </c>
      <c r="F317">
        <v>3173</v>
      </c>
      <c r="G317">
        <v>0.02</v>
      </c>
      <c r="H317">
        <v>31353691.050000001</v>
      </c>
      <c r="I317">
        <v>608.24</v>
      </c>
      <c r="J317">
        <v>51548.22</v>
      </c>
    </row>
    <row r="318" spans="1:10" x14ac:dyDescent="0.2">
      <c r="A318" s="16">
        <v>46174</v>
      </c>
      <c r="B318" t="s">
        <v>42</v>
      </c>
      <c r="C318" t="s">
        <v>20</v>
      </c>
      <c r="D318" t="s">
        <v>34</v>
      </c>
      <c r="E318" t="s">
        <v>43</v>
      </c>
      <c r="F318">
        <v>3478</v>
      </c>
      <c r="G318">
        <v>0</v>
      </c>
      <c r="H318">
        <v>27940591.710000001</v>
      </c>
      <c r="I318">
        <v>608.24</v>
      </c>
      <c r="J318">
        <v>45936.79</v>
      </c>
    </row>
    <row r="319" spans="1:10" x14ac:dyDescent="0.2">
      <c r="A319" s="16">
        <v>46174</v>
      </c>
      <c r="B319" t="s">
        <v>42</v>
      </c>
      <c r="C319" t="s">
        <v>20</v>
      </c>
      <c r="D319" t="s">
        <v>35</v>
      </c>
      <c r="E319" t="s">
        <v>43</v>
      </c>
      <c r="F319">
        <v>1762</v>
      </c>
      <c r="G319">
        <v>0.02</v>
      </c>
      <c r="H319">
        <v>22069244.260000002</v>
      </c>
      <c r="I319">
        <v>608.24</v>
      </c>
      <c r="J319">
        <v>36283.78</v>
      </c>
    </row>
    <row r="320" spans="1:10" x14ac:dyDescent="0.2">
      <c r="A320" s="16">
        <v>46174</v>
      </c>
      <c r="B320" t="s">
        <v>44</v>
      </c>
      <c r="C320" t="s">
        <v>20</v>
      </c>
      <c r="D320" t="s">
        <v>29</v>
      </c>
      <c r="E320" t="s">
        <v>45</v>
      </c>
      <c r="F320">
        <v>2074</v>
      </c>
      <c r="G320">
        <v>0.05</v>
      </c>
      <c r="H320">
        <v>33956807.969999999</v>
      </c>
      <c r="I320">
        <v>608.24</v>
      </c>
      <c r="J320">
        <v>55827.98</v>
      </c>
    </row>
    <row r="321" spans="1:10" x14ac:dyDescent="0.2">
      <c r="A321" s="16">
        <v>46174</v>
      </c>
      <c r="B321" t="s">
        <v>44</v>
      </c>
      <c r="C321" t="s">
        <v>20</v>
      </c>
      <c r="D321" t="s">
        <v>31</v>
      </c>
      <c r="E321" t="s">
        <v>45</v>
      </c>
      <c r="F321">
        <v>1338</v>
      </c>
      <c r="G321">
        <v>0.02</v>
      </c>
      <c r="H321">
        <v>45135918.57</v>
      </c>
      <c r="I321">
        <v>608.24</v>
      </c>
      <c r="J321">
        <v>74207.42</v>
      </c>
    </row>
    <row r="322" spans="1:10" x14ac:dyDescent="0.2">
      <c r="A322" s="16">
        <v>46174</v>
      </c>
      <c r="B322" t="s">
        <v>44</v>
      </c>
      <c r="C322" t="s">
        <v>20</v>
      </c>
      <c r="D322" t="s">
        <v>32</v>
      </c>
      <c r="E322" t="s">
        <v>45</v>
      </c>
      <c r="F322">
        <v>1480</v>
      </c>
      <c r="G322">
        <v>0.02</v>
      </c>
      <c r="H322">
        <v>31374124.5</v>
      </c>
      <c r="I322">
        <v>608.24</v>
      </c>
      <c r="J322">
        <v>51581.82</v>
      </c>
    </row>
    <row r="323" spans="1:10" x14ac:dyDescent="0.2">
      <c r="A323" s="16">
        <v>46174</v>
      </c>
      <c r="B323" t="s">
        <v>44</v>
      </c>
      <c r="C323" t="s">
        <v>20</v>
      </c>
      <c r="D323" t="s">
        <v>33</v>
      </c>
      <c r="E323" t="s">
        <v>45</v>
      </c>
      <c r="F323">
        <v>1766</v>
      </c>
      <c r="G323">
        <v>0</v>
      </c>
      <c r="H323">
        <v>17936935</v>
      </c>
      <c r="I323">
        <v>608.24</v>
      </c>
      <c r="J323">
        <v>29489.9</v>
      </c>
    </row>
    <row r="324" spans="1:10" x14ac:dyDescent="0.2">
      <c r="A324" s="16">
        <v>46174</v>
      </c>
      <c r="B324" t="s">
        <v>44</v>
      </c>
      <c r="C324" t="s">
        <v>20</v>
      </c>
      <c r="D324" t="s">
        <v>34</v>
      </c>
      <c r="E324" t="s">
        <v>45</v>
      </c>
      <c r="F324">
        <v>2012</v>
      </c>
      <c r="G324">
        <v>0</v>
      </c>
      <c r="H324">
        <v>16462976.01</v>
      </c>
      <c r="I324">
        <v>608.24</v>
      </c>
      <c r="J324">
        <v>27066.58</v>
      </c>
    </row>
    <row r="325" spans="1:10" x14ac:dyDescent="0.2">
      <c r="A325" s="16">
        <v>46174</v>
      </c>
      <c r="B325" t="s">
        <v>44</v>
      </c>
      <c r="C325" t="s">
        <v>20</v>
      </c>
      <c r="D325" t="s">
        <v>35</v>
      </c>
      <c r="E325" t="s">
        <v>45</v>
      </c>
      <c r="F325">
        <v>1377</v>
      </c>
      <c r="G325">
        <v>0.02</v>
      </c>
      <c r="H325">
        <v>16682479.65</v>
      </c>
      <c r="I325">
        <v>608.24</v>
      </c>
      <c r="J325">
        <v>27427.46</v>
      </c>
    </row>
    <row r="326" spans="1:10" x14ac:dyDescent="0.2">
      <c r="A326" s="16">
        <v>46204</v>
      </c>
      <c r="B326" t="s">
        <v>28</v>
      </c>
      <c r="C326" t="s">
        <v>18</v>
      </c>
      <c r="D326" t="s">
        <v>29</v>
      </c>
      <c r="E326" t="s">
        <v>30</v>
      </c>
      <c r="F326">
        <v>5533</v>
      </c>
      <c r="G326">
        <v>0.03</v>
      </c>
      <c r="H326">
        <v>479814982.56999999</v>
      </c>
      <c r="I326">
        <v>3365.93</v>
      </c>
      <c r="J326">
        <v>142550.49</v>
      </c>
    </row>
    <row r="327" spans="1:10" x14ac:dyDescent="0.2">
      <c r="A327" s="16">
        <v>46204</v>
      </c>
      <c r="B327" t="s">
        <v>28</v>
      </c>
      <c r="C327" t="s">
        <v>18</v>
      </c>
      <c r="D327" t="s">
        <v>31</v>
      </c>
      <c r="E327" t="s">
        <v>30</v>
      </c>
      <c r="F327">
        <v>3070</v>
      </c>
      <c r="G327">
        <v>0</v>
      </c>
      <c r="H327">
        <v>544927533.86000001</v>
      </c>
      <c r="I327">
        <v>3365.93</v>
      </c>
      <c r="J327">
        <v>161895.09</v>
      </c>
    </row>
    <row r="328" spans="1:10" x14ac:dyDescent="0.2">
      <c r="A328" s="16">
        <v>46204</v>
      </c>
      <c r="B328" t="s">
        <v>28</v>
      </c>
      <c r="C328" t="s">
        <v>18</v>
      </c>
      <c r="D328" t="s">
        <v>32</v>
      </c>
      <c r="E328" t="s">
        <v>30</v>
      </c>
      <c r="F328">
        <v>2721</v>
      </c>
      <c r="G328">
        <v>0</v>
      </c>
      <c r="H328">
        <v>323062338.49000001</v>
      </c>
      <c r="I328">
        <v>3365.93</v>
      </c>
      <c r="J328">
        <v>95980.11</v>
      </c>
    </row>
    <row r="329" spans="1:10" x14ac:dyDescent="0.2">
      <c r="A329" s="16">
        <v>46204</v>
      </c>
      <c r="B329" t="s">
        <v>28</v>
      </c>
      <c r="C329" t="s">
        <v>18</v>
      </c>
      <c r="D329" t="s">
        <v>33</v>
      </c>
      <c r="E329" t="s">
        <v>30</v>
      </c>
      <c r="F329">
        <v>4475</v>
      </c>
      <c r="G329">
        <v>0.05</v>
      </c>
      <c r="H329">
        <v>258406681.49000001</v>
      </c>
      <c r="I329">
        <v>3365.93</v>
      </c>
      <c r="J329">
        <v>76771.259999999995</v>
      </c>
    </row>
    <row r="330" spans="1:10" x14ac:dyDescent="0.2">
      <c r="A330" s="16">
        <v>46204</v>
      </c>
      <c r="B330" t="s">
        <v>28</v>
      </c>
      <c r="C330" t="s">
        <v>18</v>
      </c>
      <c r="D330" t="s">
        <v>34</v>
      </c>
      <c r="E330" t="s">
        <v>30</v>
      </c>
      <c r="F330">
        <v>4433</v>
      </c>
      <c r="G330">
        <v>0.03</v>
      </c>
      <c r="H330">
        <v>201690425.24000001</v>
      </c>
      <c r="I330">
        <v>3365.93</v>
      </c>
      <c r="J330">
        <v>59921.16</v>
      </c>
    </row>
    <row r="331" spans="1:10" x14ac:dyDescent="0.2">
      <c r="A331" s="16">
        <v>46204</v>
      </c>
      <c r="B331" t="s">
        <v>28</v>
      </c>
      <c r="C331" t="s">
        <v>18</v>
      </c>
      <c r="D331" t="s">
        <v>35</v>
      </c>
      <c r="E331" t="s">
        <v>30</v>
      </c>
      <c r="F331">
        <v>3608</v>
      </c>
      <c r="G331">
        <v>0.02</v>
      </c>
      <c r="H331">
        <v>266458387.81999999</v>
      </c>
      <c r="I331">
        <v>3365.93</v>
      </c>
      <c r="J331">
        <v>79163.38</v>
      </c>
    </row>
    <row r="332" spans="1:10" x14ac:dyDescent="0.2">
      <c r="A332" s="16">
        <v>46204</v>
      </c>
      <c r="B332" t="s">
        <v>36</v>
      </c>
      <c r="C332" t="s">
        <v>18</v>
      </c>
      <c r="D332" t="s">
        <v>29</v>
      </c>
      <c r="E332" t="s">
        <v>37</v>
      </c>
      <c r="F332">
        <v>3112</v>
      </c>
      <c r="G332">
        <v>0</v>
      </c>
      <c r="H332">
        <v>271949096.77999997</v>
      </c>
      <c r="I332">
        <v>3365.93</v>
      </c>
      <c r="J332">
        <v>80794.64</v>
      </c>
    </row>
    <row r="333" spans="1:10" x14ac:dyDescent="0.2">
      <c r="A333" s="16">
        <v>46204</v>
      </c>
      <c r="B333" t="s">
        <v>36</v>
      </c>
      <c r="C333" t="s">
        <v>18</v>
      </c>
      <c r="D333" t="s">
        <v>31</v>
      </c>
      <c r="E333" t="s">
        <v>37</v>
      </c>
      <c r="F333">
        <v>1779</v>
      </c>
      <c r="G333">
        <v>0</v>
      </c>
      <c r="H333">
        <v>329327875.22000003</v>
      </c>
      <c r="I333">
        <v>3365.93</v>
      </c>
      <c r="J333">
        <v>97841.57</v>
      </c>
    </row>
    <row r="334" spans="1:10" x14ac:dyDescent="0.2">
      <c r="A334" s="16">
        <v>46204</v>
      </c>
      <c r="B334" t="s">
        <v>36</v>
      </c>
      <c r="C334" t="s">
        <v>18</v>
      </c>
      <c r="D334" t="s">
        <v>32</v>
      </c>
      <c r="E334" t="s">
        <v>37</v>
      </c>
      <c r="F334">
        <v>2134</v>
      </c>
      <c r="G334">
        <v>0</v>
      </c>
      <c r="H334">
        <v>266130648.93000001</v>
      </c>
      <c r="I334">
        <v>3365.93</v>
      </c>
      <c r="J334">
        <v>79066.009999999995</v>
      </c>
    </row>
    <row r="335" spans="1:10" x14ac:dyDescent="0.2">
      <c r="A335" s="16">
        <v>46204</v>
      </c>
      <c r="B335" t="s">
        <v>36</v>
      </c>
      <c r="C335" t="s">
        <v>18</v>
      </c>
      <c r="D335" t="s">
        <v>33</v>
      </c>
      <c r="E335" t="s">
        <v>37</v>
      </c>
      <c r="F335">
        <v>2456</v>
      </c>
      <c r="G335">
        <v>0.03</v>
      </c>
      <c r="H335">
        <v>130096837.39</v>
      </c>
      <c r="I335">
        <v>3365.93</v>
      </c>
      <c r="J335">
        <v>38651.08</v>
      </c>
    </row>
    <row r="336" spans="1:10" x14ac:dyDescent="0.2">
      <c r="A336" s="16">
        <v>46204</v>
      </c>
      <c r="B336" t="s">
        <v>36</v>
      </c>
      <c r="C336" t="s">
        <v>18</v>
      </c>
      <c r="D336" t="s">
        <v>34</v>
      </c>
      <c r="E336" t="s">
        <v>37</v>
      </c>
      <c r="F336">
        <v>2620</v>
      </c>
      <c r="G336">
        <v>0.05</v>
      </c>
      <c r="H336">
        <v>117117474.63</v>
      </c>
      <c r="I336">
        <v>3365.93</v>
      </c>
      <c r="J336">
        <v>34794.980000000003</v>
      </c>
    </row>
    <row r="337" spans="1:10" x14ac:dyDescent="0.2">
      <c r="A337" s="16">
        <v>46204</v>
      </c>
      <c r="B337" t="s">
        <v>36</v>
      </c>
      <c r="C337" t="s">
        <v>18</v>
      </c>
      <c r="D337" t="s">
        <v>35</v>
      </c>
      <c r="E337" t="s">
        <v>37</v>
      </c>
      <c r="F337">
        <v>2176</v>
      </c>
      <c r="G337">
        <v>0</v>
      </c>
      <c r="H337">
        <v>163287206.25999999</v>
      </c>
      <c r="I337">
        <v>3365.93</v>
      </c>
      <c r="J337">
        <v>48511.77</v>
      </c>
    </row>
    <row r="338" spans="1:10" x14ac:dyDescent="0.2">
      <c r="A338" s="16">
        <v>46204</v>
      </c>
      <c r="B338" t="s">
        <v>38</v>
      </c>
      <c r="C338" t="s">
        <v>19</v>
      </c>
      <c r="D338" t="s">
        <v>29</v>
      </c>
      <c r="E338" t="s">
        <v>39</v>
      </c>
      <c r="F338">
        <v>3848</v>
      </c>
      <c r="G338">
        <v>0.02</v>
      </c>
      <c r="H338">
        <v>63106763.780000001</v>
      </c>
      <c r="I338">
        <v>608.30999999999995</v>
      </c>
      <c r="J338">
        <v>103741.13</v>
      </c>
    </row>
    <row r="339" spans="1:10" x14ac:dyDescent="0.2">
      <c r="A339" s="16">
        <v>46204</v>
      </c>
      <c r="B339" t="s">
        <v>38</v>
      </c>
      <c r="C339" t="s">
        <v>19</v>
      </c>
      <c r="D339" t="s">
        <v>31</v>
      </c>
      <c r="E339" t="s">
        <v>39</v>
      </c>
      <c r="F339">
        <v>2010</v>
      </c>
      <c r="G339">
        <v>0</v>
      </c>
      <c r="H339">
        <v>61495835.25</v>
      </c>
      <c r="I339">
        <v>608.30999999999995</v>
      </c>
      <c r="J339">
        <v>101092.92</v>
      </c>
    </row>
    <row r="340" spans="1:10" x14ac:dyDescent="0.2">
      <c r="A340" s="16">
        <v>46204</v>
      </c>
      <c r="B340" t="s">
        <v>38</v>
      </c>
      <c r="C340" t="s">
        <v>19</v>
      </c>
      <c r="D340" t="s">
        <v>32</v>
      </c>
      <c r="E340" t="s">
        <v>39</v>
      </c>
      <c r="F340">
        <v>2006</v>
      </c>
      <c r="G340">
        <v>0.02</v>
      </c>
      <c r="H340">
        <v>39526639.200000003</v>
      </c>
      <c r="I340">
        <v>608.30999999999995</v>
      </c>
      <c r="J340">
        <v>64977.79</v>
      </c>
    </row>
    <row r="341" spans="1:10" x14ac:dyDescent="0.2">
      <c r="A341" s="16">
        <v>46204</v>
      </c>
      <c r="B341" t="s">
        <v>38</v>
      </c>
      <c r="C341" t="s">
        <v>19</v>
      </c>
      <c r="D341" t="s">
        <v>33</v>
      </c>
      <c r="E341" t="s">
        <v>39</v>
      </c>
      <c r="F341">
        <v>3058</v>
      </c>
      <c r="G341">
        <v>0.02</v>
      </c>
      <c r="H341">
        <v>29374030.09</v>
      </c>
      <c r="I341">
        <v>608.30999999999995</v>
      </c>
      <c r="J341">
        <v>48287.93</v>
      </c>
    </row>
    <row r="342" spans="1:10" x14ac:dyDescent="0.2">
      <c r="A342" s="16">
        <v>46204</v>
      </c>
      <c r="B342" t="s">
        <v>38</v>
      </c>
      <c r="C342" t="s">
        <v>19</v>
      </c>
      <c r="D342" t="s">
        <v>34</v>
      </c>
      <c r="E342" t="s">
        <v>39</v>
      </c>
      <c r="F342">
        <v>3188</v>
      </c>
      <c r="G342">
        <v>0.03</v>
      </c>
      <c r="H342">
        <v>25396682.550000001</v>
      </c>
      <c r="I342">
        <v>608.30999999999995</v>
      </c>
      <c r="J342">
        <v>41749.57</v>
      </c>
    </row>
    <row r="343" spans="1:10" x14ac:dyDescent="0.2">
      <c r="A343" s="16">
        <v>46204</v>
      </c>
      <c r="B343" t="s">
        <v>38</v>
      </c>
      <c r="C343" t="s">
        <v>19</v>
      </c>
      <c r="D343" t="s">
        <v>35</v>
      </c>
      <c r="E343" t="s">
        <v>39</v>
      </c>
      <c r="F343">
        <v>2985</v>
      </c>
      <c r="G343">
        <v>0.03</v>
      </c>
      <c r="H343">
        <v>39625536.75</v>
      </c>
      <c r="I343">
        <v>608.30999999999995</v>
      </c>
      <c r="J343">
        <v>65140.37</v>
      </c>
    </row>
    <row r="344" spans="1:10" x14ac:dyDescent="0.2">
      <c r="A344" s="16">
        <v>46204</v>
      </c>
      <c r="B344" t="s">
        <v>40</v>
      </c>
      <c r="C344" t="s">
        <v>19</v>
      </c>
      <c r="D344" t="s">
        <v>29</v>
      </c>
      <c r="E344" t="s">
        <v>41</v>
      </c>
      <c r="F344">
        <v>2656</v>
      </c>
      <c r="G344">
        <v>0</v>
      </c>
      <c r="H344">
        <v>40949358.079999998</v>
      </c>
      <c r="I344">
        <v>608.30999999999995</v>
      </c>
      <c r="J344">
        <v>67316.600000000006</v>
      </c>
    </row>
    <row r="345" spans="1:10" x14ac:dyDescent="0.2">
      <c r="A345" s="16">
        <v>46204</v>
      </c>
      <c r="B345" t="s">
        <v>40</v>
      </c>
      <c r="C345" t="s">
        <v>19</v>
      </c>
      <c r="D345" t="s">
        <v>31</v>
      </c>
      <c r="E345" t="s">
        <v>41</v>
      </c>
      <c r="F345">
        <v>1649</v>
      </c>
      <c r="G345">
        <v>0.02</v>
      </c>
      <c r="H345">
        <v>57959751.840000004</v>
      </c>
      <c r="I345">
        <v>608.30999999999995</v>
      </c>
      <c r="J345">
        <v>95279.96</v>
      </c>
    </row>
    <row r="346" spans="1:10" x14ac:dyDescent="0.2">
      <c r="A346" s="16">
        <v>46204</v>
      </c>
      <c r="B346" t="s">
        <v>40</v>
      </c>
      <c r="C346" t="s">
        <v>19</v>
      </c>
      <c r="D346" t="s">
        <v>32</v>
      </c>
      <c r="E346" t="s">
        <v>41</v>
      </c>
      <c r="F346">
        <v>1509</v>
      </c>
      <c r="G346">
        <v>0.03</v>
      </c>
      <c r="H346">
        <v>32031372.59</v>
      </c>
      <c r="I346">
        <v>608.30999999999995</v>
      </c>
      <c r="J346">
        <v>52656.33</v>
      </c>
    </row>
    <row r="347" spans="1:10" x14ac:dyDescent="0.2">
      <c r="A347" s="16">
        <v>46204</v>
      </c>
      <c r="B347" t="s">
        <v>40</v>
      </c>
      <c r="C347" t="s">
        <v>19</v>
      </c>
      <c r="D347" t="s">
        <v>33</v>
      </c>
      <c r="E347" t="s">
        <v>41</v>
      </c>
      <c r="F347">
        <v>2597</v>
      </c>
      <c r="G347">
        <v>0</v>
      </c>
      <c r="H347">
        <v>25120165.800000001</v>
      </c>
      <c r="I347">
        <v>608.30999999999995</v>
      </c>
      <c r="J347">
        <v>41295.01</v>
      </c>
    </row>
    <row r="348" spans="1:10" x14ac:dyDescent="0.2">
      <c r="A348" s="16">
        <v>46204</v>
      </c>
      <c r="B348" t="s">
        <v>40</v>
      </c>
      <c r="C348" t="s">
        <v>19</v>
      </c>
      <c r="D348" t="s">
        <v>34</v>
      </c>
      <c r="E348" t="s">
        <v>41</v>
      </c>
      <c r="F348">
        <v>1739</v>
      </c>
      <c r="G348">
        <v>0</v>
      </c>
      <c r="H348">
        <v>13481130.949999999</v>
      </c>
      <c r="I348">
        <v>608.30999999999995</v>
      </c>
      <c r="J348">
        <v>22161.61</v>
      </c>
    </row>
    <row r="349" spans="1:10" x14ac:dyDescent="0.2">
      <c r="A349" s="16">
        <v>46204</v>
      </c>
      <c r="B349" t="s">
        <v>40</v>
      </c>
      <c r="C349" t="s">
        <v>19</v>
      </c>
      <c r="D349" t="s">
        <v>35</v>
      </c>
      <c r="E349" t="s">
        <v>41</v>
      </c>
      <c r="F349">
        <v>1750</v>
      </c>
      <c r="G349">
        <v>0.03</v>
      </c>
      <c r="H349">
        <v>22129026.489999998</v>
      </c>
      <c r="I349">
        <v>608.30999999999995</v>
      </c>
      <c r="J349">
        <v>36377.879999999997</v>
      </c>
    </row>
    <row r="350" spans="1:10" x14ac:dyDescent="0.2">
      <c r="A350" s="16">
        <v>46204</v>
      </c>
      <c r="B350" t="s">
        <v>42</v>
      </c>
      <c r="C350" t="s">
        <v>20</v>
      </c>
      <c r="D350" t="s">
        <v>29</v>
      </c>
      <c r="E350" t="s">
        <v>43</v>
      </c>
      <c r="F350">
        <v>2602</v>
      </c>
      <c r="G350">
        <v>0.02</v>
      </c>
      <c r="H350">
        <v>40678926.700000003</v>
      </c>
      <c r="I350">
        <v>607.20000000000005</v>
      </c>
      <c r="J350">
        <v>66994.28</v>
      </c>
    </row>
    <row r="351" spans="1:10" x14ac:dyDescent="0.2">
      <c r="A351" s="16">
        <v>46204</v>
      </c>
      <c r="B351" t="s">
        <v>42</v>
      </c>
      <c r="C351" t="s">
        <v>20</v>
      </c>
      <c r="D351" t="s">
        <v>31</v>
      </c>
      <c r="E351" t="s">
        <v>43</v>
      </c>
      <c r="F351">
        <v>1813</v>
      </c>
      <c r="G351">
        <v>0</v>
      </c>
      <c r="H351">
        <v>60983677.329999998</v>
      </c>
      <c r="I351">
        <v>607.20000000000005</v>
      </c>
      <c r="J351">
        <v>100434.25</v>
      </c>
    </row>
    <row r="352" spans="1:10" x14ac:dyDescent="0.2">
      <c r="A352" s="16">
        <v>46204</v>
      </c>
      <c r="B352" t="s">
        <v>42</v>
      </c>
      <c r="C352" t="s">
        <v>20</v>
      </c>
      <c r="D352" t="s">
        <v>32</v>
      </c>
      <c r="E352" t="s">
        <v>43</v>
      </c>
      <c r="F352">
        <v>1399</v>
      </c>
      <c r="G352">
        <v>0.05</v>
      </c>
      <c r="H352">
        <v>28200188.07</v>
      </c>
      <c r="I352">
        <v>607.20000000000005</v>
      </c>
      <c r="J352">
        <v>46443</v>
      </c>
    </row>
    <row r="353" spans="1:10" x14ac:dyDescent="0.2">
      <c r="A353" s="16">
        <v>46204</v>
      </c>
      <c r="B353" t="s">
        <v>42</v>
      </c>
      <c r="C353" t="s">
        <v>20</v>
      </c>
      <c r="D353" t="s">
        <v>33</v>
      </c>
      <c r="E353" t="s">
        <v>43</v>
      </c>
      <c r="F353">
        <v>3613</v>
      </c>
      <c r="G353">
        <v>0.02</v>
      </c>
      <c r="H353">
        <v>34980328.049999997</v>
      </c>
      <c r="I353">
        <v>607.20000000000005</v>
      </c>
      <c r="J353">
        <v>57609.24</v>
      </c>
    </row>
    <row r="354" spans="1:10" x14ac:dyDescent="0.2">
      <c r="A354" s="16">
        <v>46204</v>
      </c>
      <c r="B354" t="s">
        <v>42</v>
      </c>
      <c r="C354" t="s">
        <v>20</v>
      </c>
      <c r="D354" t="s">
        <v>34</v>
      </c>
      <c r="E354" t="s">
        <v>43</v>
      </c>
      <c r="F354">
        <v>3683</v>
      </c>
      <c r="G354">
        <v>0</v>
      </c>
      <c r="H354">
        <v>28366158.469999999</v>
      </c>
      <c r="I354">
        <v>607.20000000000005</v>
      </c>
      <c r="J354">
        <v>46716.33</v>
      </c>
    </row>
    <row r="355" spans="1:10" x14ac:dyDescent="0.2">
      <c r="A355" s="16">
        <v>46204</v>
      </c>
      <c r="B355" t="s">
        <v>42</v>
      </c>
      <c r="C355" t="s">
        <v>20</v>
      </c>
      <c r="D355" t="s">
        <v>35</v>
      </c>
      <c r="E355" t="s">
        <v>43</v>
      </c>
      <c r="F355">
        <v>2301</v>
      </c>
      <c r="G355">
        <v>0</v>
      </c>
      <c r="H355">
        <v>31424938.350000001</v>
      </c>
      <c r="I355">
        <v>607.20000000000005</v>
      </c>
      <c r="J355">
        <v>51753.85</v>
      </c>
    </row>
    <row r="356" spans="1:10" x14ac:dyDescent="0.2">
      <c r="A356" s="16">
        <v>46204</v>
      </c>
      <c r="B356" t="s">
        <v>44</v>
      </c>
      <c r="C356" t="s">
        <v>20</v>
      </c>
      <c r="D356" t="s">
        <v>29</v>
      </c>
      <c r="E356" t="s">
        <v>45</v>
      </c>
      <c r="F356">
        <v>1883</v>
      </c>
      <c r="G356">
        <v>0.03</v>
      </c>
      <c r="H356">
        <v>28250813.559999999</v>
      </c>
      <c r="I356">
        <v>607.20000000000005</v>
      </c>
      <c r="J356">
        <v>46526.37</v>
      </c>
    </row>
    <row r="357" spans="1:10" x14ac:dyDescent="0.2">
      <c r="A357" s="16">
        <v>46204</v>
      </c>
      <c r="B357" t="s">
        <v>44</v>
      </c>
      <c r="C357" t="s">
        <v>20</v>
      </c>
      <c r="D357" t="s">
        <v>31</v>
      </c>
      <c r="E357" t="s">
        <v>45</v>
      </c>
      <c r="F357">
        <v>1275</v>
      </c>
      <c r="G357">
        <v>0.03</v>
      </c>
      <c r="H357">
        <v>42399428.240000002</v>
      </c>
      <c r="I357">
        <v>607.20000000000005</v>
      </c>
      <c r="J357">
        <v>69827.78</v>
      </c>
    </row>
    <row r="358" spans="1:10" x14ac:dyDescent="0.2">
      <c r="A358" s="16">
        <v>46204</v>
      </c>
      <c r="B358" t="s">
        <v>44</v>
      </c>
      <c r="C358" t="s">
        <v>20</v>
      </c>
      <c r="D358" t="s">
        <v>32</v>
      </c>
      <c r="E358" t="s">
        <v>45</v>
      </c>
      <c r="F358">
        <v>1280</v>
      </c>
      <c r="G358">
        <v>0</v>
      </c>
      <c r="H358">
        <v>26299687.32</v>
      </c>
      <c r="I358">
        <v>607.20000000000005</v>
      </c>
      <c r="J358">
        <v>43313.06</v>
      </c>
    </row>
    <row r="359" spans="1:10" x14ac:dyDescent="0.2">
      <c r="A359" s="16">
        <v>46204</v>
      </c>
      <c r="B359" t="s">
        <v>44</v>
      </c>
      <c r="C359" t="s">
        <v>20</v>
      </c>
      <c r="D359" t="s">
        <v>33</v>
      </c>
      <c r="E359" t="s">
        <v>45</v>
      </c>
      <c r="F359">
        <v>1591</v>
      </c>
      <c r="G359">
        <v>0.03</v>
      </c>
      <c r="H359">
        <v>15907930.16</v>
      </c>
      <c r="I359">
        <v>607.20000000000005</v>
      </c>
      <c r="J359">
        <v>26198.83</v>
      </c>
    </row>
    <row r="360" spans="1:10" x14ac:dyDescent="0.2">
      <c r="A360" s="16">
        <v>46204</v>
      </c>
      <c r="B360" t="s">
        <v>44</v>
      </c>
      <c r="C360" t="s">
        <v>20</v>
      </c>
      <c r="D360" t="s">
        <v>34</v>
      </c>
      <c r="E360" t="s">
        <v>45</v>
      </c>
      <c r="F360">
        <v>2052</v>
      </c>
      <c r="G360">
        <v>0.05</v>
      </c>
      <c r="H360">
        <v>16499820.91</v>
      </c>
      <c r="I360">
        <v>607.20000000000005</v>
      </c>
      <c r="J360">
        <v>27173.62</v>
      </c>
    </row>
    <row r="361" spans="1:10" x14ac:dyDescent="0.2">
      <c r="A361" s="16">
        <v>46204</v>
      </c>
      <c r="B361" t="s">
        <v>44</v>
      </c>
      <c r="C361" t="s">
        <v>20</v>
      </c>
      <c r="D361" t="s">
        <v>35</v>
      </c>
      <c r="E361" t="s">
        <v>45</v>
      </c>
      <c r="F361">
        <v>1110</v>
      </c>
      <c r="G361">
        <v>0.05</v>
      </c>
      <c r="H361">
        <v>14056133.93</v>
      </c>
      <c r="I361">
        <v>607.20000000000005</v>
      </c>
      <c r="J361">
        <v>23149.1</v>
      </c>
    </row>
    <row r="362" spans="1:10" x14ac:dyDescent="0.2">
      <c r="A362" s="16">
        <v>46235</v>
      </c>
      <c r="B362" t="s">
        <v>28</v>
      </c>
      <c r="C362" t="s">
        <v>18</v>
      </c>
      <c r="D362" t="s">
        <v>29</v>
      </c>
      <c r="E362" t="s">
        <v>30</v>
      </c>
      <c r="H362">
        <v>548554171.78999996</v>
      </c>
      <c r="I362">
        <v>3408.45</v>
      </c>
      <c r="J362">
        <v>160939.48000000001</v>
      </c>
    </row>
    <row r="363" spans="1:10" x14ac:dyDescent="0.2">
      <c r="A363" s="16">
        <v>46235</v>
      </c>
      <c r="B363" t="s">
        <v>28</v>
      </c>
      <c r="C363" t="s">
        <v>18</v>
      </c>
      <c r="D363" t="s">
        <v>31</v>
      </c>
      <c r="E363" t="s">
        <v>30</v>
      </c>
      <c r="H363">
        <v>612201112.92999995</v>
      </c>
      <c r="I363">
        <v>3408.45</v>
      </c>
      <c r="J363">
        <v>179612.76</v>
      </c>
    </row>
    <row r="364" spans="1:10" x14ac:dyDescent="0.2">
      <c r="A364" s="16">
        <v>46235</v>
      </c>
      <c r="B364" t="s">
        <v>28</v>
      </c>
      <c r="C364" t="s">
        <v>18</v>
      </c>
      <c r="D364" t="s">
        <v>32</v>
      </c>
      <c r="E364" t="s">
        <v>30</v>
      </c>
      <c r="H364">
        <v>433376205.75</v>
      </c>
      <c r="I364">
        <v>3408.45</v>
      </c>
      <c r="J364">
        <v>127147.59</v>
      </c>
    </row>
    <row r="365" spans="1:10" x14ac:dyDescent="0.2">
      <c r="A365" s="16">
        <v>46235</v>
      </c>
      <c r="B365" t="s">
        <v>28</v>
      </c>
      <c r="C365" t="s">
        <v>18</v>
      </c>
      <c r="D365" t="s">
        <v>33</v>
      </c>
      <c r="E365" t="s">
        <v>30</v>
      </c>
      <c r="H365">
        <v>274593687.31999999</v>
      </c>
      <c r="I365">
        <v>3408.45</v>
      </c>
      <c r="J365">
        <v>80562.63</v>
      </c>
    </row>
    <row r="366" spans="1:10" x14ac:dyDescent="0.2">
      <c r="A366" s="16">
        <v>46235</v>
      </c>
      <c r="B366" t="s">
        <v>28</v>
      </c>
      <c r="C366" t="s">
        <v>18</v>
      </c>
      <c r="D366" t="s">
        <v>34</v>
      </c>
      <c r="E366" t="s">
        <v>30</v>
      </c>
      <c r="H366">
        <v>249669551.55000001</v>
      </c>
      <c r="I366">
        <v>3408.45</v>
      </c>
      <c r="J366">
        <v>73250.17</v>
      </c>
    </row>
    <row r="367" spans="1:10" x14ac:dyDescent="0.2">
      <c r="A367" s="16">
        <v>46235</v>
      </c>
      <c r="B367" t="s">
        <v>28</v>
      </c>
      <c r="C367" t="s">
        <v>18</v>
      </c>
      <c r="D367" t="s">
        <v>35</v>
      </c>
      <c r="E367" t="s">
        <v>30</v>
      </c>
      <c r="H367">
        <v>268064731.84</v>
      </c>
      <c r="I367">
        <v>3408.45</v>
      </c>
      <c r="J367">
        <v>78647.11</v>
      </c>
    </row>
    <row r="368" spans="1:10" x14ac:dyDescent="0.2">
      <c r="A368" s="16">
        <v>46235</v>
      </c>
      <c r="B368" t="s">
        <v>36</v>
      </c>
      <c r="C368" t="s">
        <v>18</v>
      </c>
      <c r="D368" t="s">
        <v>29</v>
      </c>
      <c r="E368" t="s">
        <v>37</v>
      </c>
      <c r="H368">
        <v>250074083.25999999</v>
      </c>
      <c r="I368">
        <v>3408.45</v>
      </c>
      <c r="J368">
        <v>73368.86</v>
      </c>
    </row>
    <row r="369" spans="1:10" x14ac:dyDescent="0.2">
      <c r="A369" s="16">
        <v>46235</v>
      </c>
      <c r="B369" t="s">
        <v>36</v>
      </c>
      <c r="C369" t="s">
        <v>18</v>
      </c>
      <c r="D369" t="s">
        <v>31</v>
      </c>
      <c r="E369" t="s">
        <v>37</v>
      </c>
      <c r="H369">
        <v>321557478.27999997</v>
      </c>
      <c r="I369">
        <v>3408.45</v>
      </c>
      <c r="J369">
        <v>94341.26</v>
      </c>
    </row>
    <row r="370" spans="1:10" x14ac:dyDescent="0.2">
      <c r="A370" s="16">
        <v>46235</v>
      </c>
      <c r="B370" t="s">
        <v>36</v>
      </c>
      <c r="C370" t="s">
        <v>18</v>
      </c>
      <c r="D370" t="s">
        <v>32</v>
      </c>
      <c r="E370" t="s">
        <v>37</v>
      </c>
      <c r="H370">
        <v>247399555.12</v>
      </c>
      <c r="I370">
        <v>3408.45</v>
      </c>
      <c r="J370">
        <v>72584.179999999993</v>
      </c>
    </row>
    <row r="371" spans="1:10" x14ac:dyDescent="0.2">
      <c r="A371" s="16">
        <v>46235</v>
      </c>
      <c r="B371" t="s">
        <v>36</v>
      </c>
      <c r="C371" t="s">
        <v>18</v>
      </c>
      <c r="D371" t="s">
        <v>33</v>
      </c>
      <c r="E371" t="s">
        <v>37</v>
      </c>
      <c r="H371">
        <v>144261926.84</v>
      </c>
      <c r="I371">
        <v>3408.45</v>
      </c>
      <c r="J371">
        <v>42324.79</v>
      </c>
    </row>
    <row r="372" spans="1:10" x14ac:dyDescent="0.2">
      <c r="A372" s="16">
        <v>46235</v>
      </c>
      <c r="B372" t="s">
        <v>36</v>
      </c>
      <c r="C372" t="s">
        <v>18</v>
      </c>
      <c r="D372" t="s">
        <v>34</v>
      </c>
      <c r="E372" t="s">
        <v>37</v>
      </c>
      <c r="H372">
        <v>138848423.63999999</v>
      </c>
      <c r="I372">
        <v>3408.45</v>
      </c>
      <c r="J372">
        <v>40736.53</v>
      </c>
    </row>
    <row r="373" spans="1:10" x14ac:dyDescent="0.2">
      <c r="A373" s="16">
        <v>46235</v>
      </c>
      <c r="B373" t="s">
        <v>36</v>
      </c>
      <c r="C373" t="s">
        <v>18</v>
      </c>
      <c r="D373" t="s">
        <v>35</v>
      </c>
      <c r="E373" t="s">
        <v>37</v>
      </c>
      <c r="H373">
        <v>157793338.36000001</v>
      </c>
      <c r="I373">
        <v>3408.45</v>
      </c>
      <c r="J373">
        <v>46294.75</v>
      </c>
    </row>
    <row r="374" spans="1:10" x14ac:dyDescent="0.2">
      <c r="A374" s="16">
        <v>46235</v>
      </c>
      <c r="B374" t="s">
        <v>38</v>
      </c>
      <c r="C374" t="s">
        <v>19</v>
      </c>
      <c r="D374" t="s">
        <v>29</v>
      </c>
      <c r="E374" t="s">
        <v>39</v>
      </c>
      <c r="H374">
        <v>58157078.75</v>
      </c>
      <c r="I374">
        <v>609.69000000000005</v>
      </c>
      <c r="J374">
        <v>95387.95</v>
      </c>
    </row>
    <row r="375" spans="1:10" x14ac:dyDescent="0.2">
      <c r="A375" s="16">
        <v>46235</v>
      </c>
      <c r="B375" t="s">
        <v>38</v>
      </c>
      <c r="C375" t="s">
        <v>19</v>
      </c>
      <c r="D375" t="s">
        <v>31</v>
      </c>
      <c r="E375" t="s">
        <v>39</v>
      </c>
      <c r="H375">
        <v>95252997.329999998</v>
      </c>
      <c r="I375">
        <v>609.69000000000005</v>
      </c>
      <c r="J375">
        <v>156231.85</v>
      </c>
    </row>
    <row r="376" spans="1:10" x14ac:dyDescent="0.2">
      <c r="A376" s="16">
        <v>46235</v>
      </c>
      <c r="B376" t="s">
        <v>38</v>
      </c>
      <c r="C376" t="s">
        <v>19</v>
      </c>
      <c r="D376" t="s">
        <v>32</v>
      </c>
      <c r="E376" t="s">
        <v>39</v>
      </c>
      <c r="H376">
        <v>42955020.859999999</v>
      </c>
      <c r="I376">
        <v>609.69000000000005</v>
      </c>
      <c r="J376">
        <v>70453.87</v>
      </c>
    </row>
    <row r="377" spans="1:10" x14ac:dyDescent="0.2">
      <c r="A377" s="16">
        <v>46235</v>
      </c>
      <c r="B377" t="s">
        <v>38</v>
      </c>
      <c r="C377" t="s">
        <v>19</v>
      </c>
      <c r="D377" t="s">
        <v>33</v>
      </c>
      <c r="E377" t="s">
        <v>39</v>
      </c>
      <c r="H377">
        <v>28688801.359999999</v>
      </c>
      <c r="I377">
        <v>609.69000000000005</v>
      </c>
      <c r="J377">
        <v>47054.73</v>
      </c>
    </row>
    <row r="378" spans="1:10" x14ac:dyDescent="0.2">
      <c r="A378" s="16">
        <v>46235</v>
      </c>
      <c r="B378" t="s">
        <v>38</v>
      </c>
      <c r="C378" t="s">
        <v>19</v>
      </c>
      <c r="D378" t="s">
        <v>34</v>
      </c>
      <c r="E378" t="s">
        <v>39</v>
      </c>
      <c r="H378">
        <v>28037798.91</v>
      </c>
      <c r="I378">
        <v>609.69000000000005</v>
      </c>
      <c r="J378">
        <v>45986.98</v>
      </c>
    </row>
    <row r="379" spans="1:10" x14ac:dyDescent="0.2">
      <c r="A379" s="16">
        <v>46235</v>
      </c>
      <c r="B379" t="s">
        <v>38</v>
      </c>
      <c r="C379" t="s">
        <v>19</v>
      </c>
      <c r="D379" t="s">
        <v>35</v>
      </c>
      <c r="E379" t="s">
        <v>39</v>
      </c>
      <c r="H379">
        <v>34092748.450000003</v>
      </c>
      <c r="I379">
        <v>609.69000000000005</v>
      </c>
      <c r="J379">
        <v>55918.17</v>
      </c>
    </row>
    <row r="380" spans="1:10" x14ac:dyDescent="0.2">
      <c r="A380" s="16">
        <v>46235</v>
      </c>
      <c r="B380" t="s">
        <v>40</v>
      </c>
      <c r="C380" t="s">
        <v>19</v>
      </c>
      <c r="D380" t="s">
        <v>29</v>
      </c>
      <c r="E380" t="s">
        <v>41</v>
      </c>
      <c r="H380">
        <v>43177875.810000002</v>
      </c>
      <c r="I380">
        <v>609.69000000000005</v>
      </c>
      <c r="J380">
        <v>70819.39</v>
      </c>
    </row>
    <row r="381" spans="1:10" x14ac:dyDescent="0.2">
      <c r="A381" s="16">
        <v>46235</v>
      </c>
      <c r="B381" t="s">
        <v>40</v>
      </c>
      <c r="C381" t="s">
        <v>19</v>
      </c>
      <c r="D381" t="s">
        <v>31</v>
      </c>
      <c r="E381" t="s">
        <v>41</v>
      </c>
      <c r="H381">
        <v>58247133.159999996</v>
      </c>
      <c r="I381">
        <v>609.69000000000005</v>
      </c>
      <c r="J381">
        <v>95535.65</v>
      </c>
    </row>
    <row r="382" spans="1:10" x14ac:dyDescent="0.2">
      <c r="A382" s="16">
        <v>46235</v>
      </c>
      <c r="B382" t="s">
        <v>40</v>
      </c>
      <c r="C382" t="s">
        <v>19</v>
      </c>
      <c r="D382" t="s">
        <v>32</v>
      </c>
      <c r="E382" t="s">
        <v>41</v>
      </c>
      <c r="H382">
        <v>38302987.770000003</v>
      </c>
      <c r="I382">
        <v>609.69000000000005</v>
      </c>
      <c r="J382">
        <v>62823.71</v>
      </c>
    </row>
    <row r="383" spans="1:10" x14ac:dyDescent="0.2">
      <c r="A383" s="16">
        <v>46235</v>
      </c>
      <c r="B383" t="s">
        <v>40</v>
      </c>
      <c r="C383" t="s">
        <v>19</v>
      </c>
      <c r="D383" t="s">
        <v>33</v>
      </c>
      <c r="E383" t="s">
        <v>41</v>
      </c>
      <c r="H383">
        <v>23757465.789999999</v>
      </c>
      <c r="I383">
        <v>609.69000000000005</v>
      </c>
      <c r="J383">
        <v>38966.47</v>
      </c>
    </row>
    <row r="384" spans="1:10" x14ac:dyDescent="0.2">
      <c r="A384" s="16">
        <v>46235</v>
      </c>
      <c r="B384" t="s">
        <v>40</v>
      </c>
      <c r="C384" t="s">
        <v>19</v>
      </c>
      <c r="D384" t="s">
        <v>34</v>
      </c>
      <c r="E384" t="s">
        <v>41</v>
      </c>
      <c r="H384">
        <v>20840569.559999999</v>
      </c>
      <c r="I384">
        <v>609.69000000000005</v>
      </c>
      <c r="J384">
        <v>34182.239999999998</v>
      </c>
    </row>
    <row r="385" spans="1:10" x14ac:dyDescent="0.2">
      <c r="A385" s="16">
        <v>46235</v>
      </c>
      <c r="B385" t="s">
        <v>40</v>
      </c>
      <c r="C385" t="s">
        <v>19</v>
      </c>
      <c r="D385" t="s">
        <v>35</v>
      </c>
      <c r="E385" t="s">
        <v>41</v>
      </c>
      <c r="H385">
        <v>24021493.07</v>
      </c>
      <c r="I385">
        <v>609.69000000000005</v>
      </c>
      <c r="J385">
        <v>39399.519999999997</v>
      </c>
    </row>
    <row r="386" spans="1:10" x14ac:dyDescent="0.2">
      <c r="A386" s="16">
        <v>46235</v>
      </c>
      <c r="B386" t="s">
        <v>42</v>
      </c>
      <c r="C386" t="s">
        <v>20</v>
      </c>
      <c r="D386" t="s">
        <v>29</v>
      </c>
      <c r="E386" t="s">
        <v>43</v>
      </c>
      <c r="H386">
        <v>44036928.5</v>
      </c>
      <c r="I386">
        <v>607.54999999999995</v>
      </c>
      <c r="J386">
        <v>72482.81</v>
      </c>
    </row>
    <row r="387" spans="1:10" x14ac:dyDescent="0.2">
      <c r="A387" s="16">
        <v>46235</v>
      </c>
      <c r="B387" t="s">
        <v>42</v>
      </c>
      <c r="C387" t="s">
        <v>20</v>
      </c>
      <c r="D387" t="s">
        <v>31</v>
      </c>
      <c r="E387" t="s">
        <v>43</v>
      </c>
      <c r="H387">
        <v>51567383.789999999</v>
      </c>
      <c r="I387">
        <v>607.54999999999995</v>
      </c>
      <c r="J387">
        <v>84877.6</v>
      </c>
    </row>
    <row r="388" spans="1:10" x14ac:dyDescent="0.2">
      <c r="A388" s="16">
        <v>46235</v>
      </c>
      <c r="B388" t="s">
        <v>42</v>
      </c>
      <c r="C388" t="s">
        <v>20</v>
      </c>
      <c r="D388" t="s">
        <v>32</v>
      </c>
      <c r="E388" t="s">
        <v>43</v>
      </c>
      <c r="H388">
        <v>51186099.82</v>
      </c>
      <c r="I388">
        <v>607.54999999999995</v>
      </c>
      <c r="J388">
        <v>84250.02</v>
      </c>
    </row>
    <row r="389" spans="1:10" x14ac:dyDescent="0.2">
      <c r="A389" s="16">
        <v>46235</v>
      </c>
      <c r="B389" t="s">
        <v>42</v>
      </c>
      <c r="C389" t="s">
        <v>20</v>
      </c>
      <c r="D389" t="s">
        <v>33</v>
      </c>
      <c r="E389" t="s">
        <v>43</v>
      </c>
      <c r="H389">
        <v>31055641.52</v>
      </c>
      <c r="I389">
        <v>607.54999999999995</v>
      </c>
      <c r="J389">
        <v>51116.19</v>
      </c>
    </row>
    <row r="390" spans="1:10" x14ac:dyDescent="0.2">
      <c r="A390" s="16">
        <v>46235</v>
      </c>
      <c r="B390" t="s">
        <v>42</v>
      </c>
      <c r="C390" t="s">
        <v>20</v>
      </c>
      <c r="D390" t="s">
        <v>34</v>
      </c>
      <c r="E390" t="s">
        <v>43</v>
      </c>
      <c r="H390">
        <v>28770441.239999998</v>
      </c>
      <c r="I390">
        <v>607.54999999999995</v>
      </c>
      <c r="J390">
        <v>47354.85</v>
      </c>
    </row>
    <row r="391" spans="1:10" x14ac:dyDescent="0.2">
      <c r="A391" s="16">
        <v>46235</v>
      </c>
      <c r="B391" t="s">
        <v>42</v>
      </c>
      <c r="C391" t="s">
        <v>20</v>
      </c>
      <c r="D391" t="s">
        <v>35</v>
      </c>
      <c r="E391" t="s">
        <v>43</v>
      </c>
      <c r="H391">
        <v>28723701.670000002</v>
      </c>
      <c r="I391">
        <v>607.54999999999995</v>
      </c>
      <c r="J391">
        <v>47277.919999999998</v>
      </c>
    </row>
    <row r="392" spans="1:10" x14ac:dyDescent="0.2">
      <c r="A392" s="16">
        <v>46235</v>
      </c>
      <c r="B392" t="s">
        <v>44</v>
      </c>
      <c r="C392" t="s">
        <v>20</v>
      </c>
      <c r="D392" t="s">
        <v>29</v>
      </c>
      <c r="E392" t="s">
        <v>45</v>
      </c>
      <c r="H392">
        <v>34085396.329999998</v>
      </c>
      <c r="I392">
        <v>607.54999999999995</v>
      </c>
      <c r="J392">
        <v>56103.03</v>
      </c>
    </row>
    <row r="393" spans="1:10" x14ac:dyDescent="0.2">
      <c r="A393" s="16">
        <v>46235</v>
      </c>
      <c r="B393" t="s">
        <v>44</v>
      </c>
      <c r="C393" t="s">
        <v>20</v>
      </c>
      <c r="D393" t="s">
        <v>31</v>
      </c>
      <c r="E393" t="s">
        <v>45</v>
      </c>
      <c r="H393">
        <v>44220514.68</v>
      </c>
      <c r="I393">
        <v>607.54999999999995</v>
      </c>
      <c r="J393">
        <v>72784.98</v>
      </c>
    </row>
    <row r="394" spans="1:10" x14ac:dyDescent="0.2">
      <c r="A394" s="16">
        <v>46235</v>
      </c>
      <c r="B394" t="s">
        <v>44</v>
      </c>
      <c r="C394" t="s">
        <v>20</v>
      </c>
      <c r="D394" t="s">
        <v>32</v>
      </c>
      <c r="E394" t="s">
        <v>45</v>
      </c>
      <c r="H394">
        <v>30376782.989999998</v>
      </c>
      <c r="I394">
        <v>607.54999999999995</v>
      </c>
      <c r="J394">
        <v>49998.82</v>
      </c>
    </row>
    <row r="395" spans="1:10" x14ac:dyDescent="0.2">
      <c r="A395" s="16">
        <v>46235</v>
      </c>
      <c r="B395" t="s">
        <v>44</v>
      </c>
      <c r="C395" t="s">
        <v>20</v>
      </c>
      <c r="D395" t="s">
        <v>33</v>
      </c>
      <c r="E395" t="s">
        <v>45</v>
      </c>
      <c r="H395">
        <v>22216025.859999999</v>
      </c>
      <c r="I395">
        <v>607.54999999999995</v>
      </c>
      <c r="J395">
        <v>36566.58</v>
      </c>
    </row>
    <row r="396" spans="1:10" x14ac:dyDescent="0.2">
      <c r="A396" s="16">
        <v>46235</v>
      </c>
      <c r="B396" t="s">
        <v>44</v>
      </c>
      <c r="C396" t="s">
        <v>20</v>
      </c>
      <c r="D396" t="s">
        <v>34</v>
      </c>
      <c r="E396" t="s">
        <v>45</v>
      </c>
      <c r="H396">
        <v>17996072.059999999</v>
      </c>
      <c r="I396">
        <v>607.54999999999995</v>
      </c>
      <c r="J396">
        <v>29620.73</v>
      </c>
    </row>
    <row r="397" spans="1:10" x14ac:dyDescent="0.2">
      <c r="A397" s="16">
        <v>46235</v>
      </c>
      <c r="B397" t="s">
        <v>44</v>
      </c>
      <c r="C397" t="s">
        <v>20</v>
      </c>
      <c r="D397" t="s">
        <v>35</v>
      </c>
      <c r="E397" t="s">
        <v>45</v>
      </c>
      <c r="H397">
        <v>20612741.280000001</v>
      </c>
      <c r="I397">
        <v>607.54999999999995</v>
      </c>
      <c r="J397">
        <v>33927.65</v>
      </c>
    </row>
    <row r="398" spans="1:10" x14ac:dyDescent="0.2">
      <c r="A398" s="16">
        <v>46266</v>
      </c>
      <c r="B398" t="s">
        <v>28</v>
      </c>
      <c r="C398" t="s">
        <v>18</v>
      </c>
      <c r="D398" t="s">
        <v>29</v>
      </c>
      <c r="E398" t="s">
        <v>30</v>
      </c>
      <c r="F398">
        <v>5108</v>
      </c>
      <c r="G398">
        <v>0.03</v>
      </c>
      <c r="H398">
        <v>443459342.68000001</v>
      </c>
      <c r="I398">
        <v>3434.47</v>
      </c>
      <c r="J398">
        <v>129120.17</v>
      </c>
    </row>
    <row r="399" spans="1:10" x14ac:dyDescent="0.2">
      <c r="A399" s="16">
        <v>46266</v>
      </c>
      <c r="B399" t="s">
        <v>28</v>
      </c>
      <c r="C399" t="s">
        <v>18</v>
      </c>
      <c r="D399" t="s">
        <v>31</v>
      </c>
      <c r="E399" t="s">
        <v>30</v>
      </c>
      <c r="F399">
        <v>2821</v>
      </c>
      <c r="G399">
        <v>0</v>
      </c>
      <c r="H399">
        <v>536389972.56999999</v>
      </c>
      <c r="I399">
        <v>3434.47</v>
      </c>
      <c r="J399">
        <v>156178.38</v>
      </c>
    </row>
    <row r="400" spans="1:10" x14ac:dyDescent="0.2">
      <c r="A400" s="16">
        <v>46266</v>
      </c>
      <c r="B400" t="s">
        <v>28</v>
      </c>
      <c r="C400" t="s">
        <v>18</v>
      </c>
      <c r="D400" t="s">
        <v>32</v>
      </c>
      <c r="E400" t="s">
        <v>30</v>
      </c>
      <c r="F400">
        <v>3221</v>
      </c>
      <c r="G400">
        <v>0.05</v>
      </c>
      <c r="H400">
        <v>371042200.52999997</v>
      </c>
      <c r="I400">
        <v>3434.47</v>
      </c>
      <c r="J400">
        <v>108034.78</v>
      </c>
    </row>
    <row r="401" spans="1:10" x14ac:dyDescent="0.2">
      <c r="A401" s="16">
        <v>46266</v>
      </c>
      <c r="B401" t="s">
        <v>28</v>
      </c>
      <c r="C401" t="s">
        <v>18</v>
      </c>
      <c r="D401" t="s">
        <v>33</v>
      </c>
      <c r="E401" t="s">
        <v>30</v>
      </c>
      <c r="F401">
        <v>4672</v>
      </c>
      <c r="G401">
        <v>0</v>
      </c>
      <c r="H401">
        <v>251667726.56999999</v>
      </c>
      <c r="I401">
        <v>3434.47</v>
      </c>
      <c r="J401">
        <v>73277.02</v>
      </c>
    </row>
    <row r="402" spans="1:10" x14ac:dyDescent="0.2">
      <c r="A402" s="16">
        <v>46266</v>
      </c>
      <c r="B402" t="s">
        <v>28</v>
      </c>
      <c r="C402" t="s">
        <v>18</v>
      </c>
      <c r="D402" t="s">
        <v>34</v>
      </c>
      <c r="E402" t="s">
        <v>30</v>
      </c>
      <c r="F402">
        <v>4616</v>
      </c>
      <c r="G402">
        <v>0.03</v>
      </c>
      <c r="H402">
        <v>204151935.86000001</v>
      </c>
      <c r="I402">
        <v>3434.47</v>
      </c>
      <c r="J402">
        <v>59442.05</v>
      </c>
    </row>
    <row r="403" spans="1:10" x14ac:dyDescent="0.2">
      <c r="A403" s="16">
        <v>46266</v>
      </c>
      <c r="B403" t="s">
        <v>28</v>
      </c>
      <c r="C403" t="s">
        <v>18</v>
      </c>
      <c r="D403" t="s">
        <v>35</v>
      </c>
      <c r="E403" t="s">
        <v>30</v>
      </c>
      <c r="F403">
        <v>3650</v>
      </c>
      <c r="G403">
        <v>0.02</v>
      </c>
      <c r="H403">
        <v>267985709.16999999</v>
      </c>
      <c r="I403">
        <v>3434.47</v>
      </c>
      <c r="J403">
        <v>78028.259999999995</v>
      </c>
    </row>
    <row r="404" spans="1:10" x14ac:dyDescent="0.2">
      <c r="A404" s="16">
        <v>46266</v>
      </c>
      <c r="B404" t="s">
        <v>36</v>
      </c>
      <c r="C404" t="s">
        <v>18</v>
      </c>
      <c r="D404" t="s">
        <v>29</v>
      </c>
      <c r="E404" t="s">
        <v>37</v>
      </c>
      <c r="F404">
        <v>3146</v>
      </c>
      <c r="G404">
        <v>0.03</v>
      </c>
      <c r="H404">
        <v>271501188.24000001</v>
      </c>
      <c r="I404">
        <v>3434.47</v>
      </c>
      <c r="J404">
        <v>79051.839999999997</v>
      </c>
    </row>
    <row r="405" spans="1:10" x14ac:dyDescent="0.2">
      <c r="A405" s="16">
        <v>46266</v>
      </c>
      <c r="B405" t="s">
        <v>36</v>
      </c>
      <c r="C405" t="s">
        <v>18</v>
      </c>
      <c r="D405" t="s">
        <v>31</v>
      </c>
      <c r="E405" t="s">
        <v>37</v>
      </c>
      <c r="F405">
        <v>1639</v>
      </c>
      <c r="G405">
        <v>0.03</v>
      </c>
      <c r="H405">
        <v>262197468.08000001</v>
      </c>
      <c r="I405">
        <v>3434.47</v>
      </c>
      <c r="J405">
        <v>76342.92</v>
      </c>
    </row>
    <row r="406" spans="1:10" x14ac:dyDescent="0.2">
      <c r="A406" s="16">
        <v>46266</v>
      </c>
      <c r="B406" t="s">
        <v>36</v>
      </c>
      <c r="C406" t="s">
        <v>18</v>
      </c>
      <c r="D406" t="s">
        <v>32</v>
      </c>
      <c r="E406" t="s">
        <v>37</v>
      </c>
      <c r="F406">
        <v>1827</v>
      </c>
      <c r="G406">
        <v>0</v>
      </c>
      <c r="H406">
        <v>223168940.43000001</v>
      </c>
      <c r="I406">
        <v>3434.47</v>
      </c>
      <c r="J406">
        <v>64979.15</v>
      </c>
    </row>
    <row r="407" spans="1:10" x14ac:dyDescent="0.2">
      <c r="A407" s="16">
        <v>46266</v>
      </c>
      <c r="B407" t="s">
        <v>36</v>
      </c>
      <c r="C407" t="s">
        <v>18</v>
      </c>
      <c r="D407" t="s">
        <v>33</v>
      </c>
      <c r="E407" t="s">
        <v>37</v>
      </c>
      <c r="F407">
        <v>3026</v>
      </c>
      <c r="G407">
        <v>0.05</v>
      </c>
      <c r="H407">
        <v>161400477.44999999</v>
      </c>
      <c r="I407">
        <v>3434.47</v>
      </c>
      <c r="J407">
        <v>46994.29</v>
      </c>
    </row>
    <row r="408" spans="1:10" x14ac:dyDescent="0.2">
      <c r="A408" s="16">
        <v>46266</v>
      </c>
      <c r="B408" t="s">
        <v>36</v>
      </c>
      <c r="C408" t="s">
        <v>18</v>
      </c>
      <c r="D408" t="s">
        <v>34</v>
      </c>
      <c r="E408" t="s">
        <v>37</v>
      </c>
      <c r="F408">
        <v>2458</v>
      </c>
      <c r="G408">
        <v>0.05</v>
      </c>
      <c r="H408">
        <v>103989436.25</v>
      </c>
      <c r="I408">
        <v>3434.47</v>
      </c>
      <c r="J408">
        <v>30278.16</v>
      </c>
    </row>
    <row r="409" spans="1:10" x14ac:dyDescent="0.2">
      <c r="A409" s="16">
        <v>46266</v>
      </c>
      <c r="B409" t="s">
        <v>36</v>
      </c>
      <c r="C409" t="s">
        <v>18</v>
      </c>
      <c r="D409" t="s">
        <v>35</v>
      </c>
      <c r="E409" t="s">
        <v>37</v>
      </c>
      <c r="F409">
        <v>2330</v>
      </c>
      <c r="G409">
        <v>0</v>
      </c>
      <c r="H409">
        <v>174644758.18000001</v>
      </c>
      <c r="I409">
        <v>3434.47</v>
      </c>
      <c r="J409">
        <v>50850.57</v>
      </c>
    </row>
    <row r="410" spans="1:10" x14ac:dyDescent="0.2">
      <c r="A410" s="16">
        <v>46266</v>
      </c>
      <c r="B410" t="s">
        <v>38</v>
      </c>
      <c r="C410" t="s">
        <v>19</v>
      </c>
      <c r="D410" t="s">
        <v>29</v>
      </c>
      <c r="E410" t="s">
        <v>39</v>
      </c>
      <c r="F410">
        <v>3594</v>
      </c>
      <c r="G410">
        <v>0</v>
      </c>
      <c r="H410">
        <v>55690323.960000001</v>
      </c>
      <c r="I410">
        <v>612.91999999999996</v>
      </c>
      <c r="J410">
        <v>90860.67</v>
      </c>
    </row>
    <row r="411" spans="1:10" x14ac:dyDescent="0.2">
      <c r="A411" s="16">
        <v>46266</v>
      </c>
      <c r="B411" t="s">
        <v>38</v>
      </c>
      <c r="C411" t="s">
        <v>19</v>
      </c>
      <c r="D411" t="s">
        <v>31</v>
      </c>
      <c r="E411" t="s">
        <v>39</v>
      </c>
      <c r="F411">
        <v>2232</v>
      </c>
      <c r="G411">
        <v>0</v>
      </c>
      <c r="H411">
        <v>74266207.310000002</v>
      </c>
      <c r="I411">
        <v>612.91999999999996</v>
      </c>
      <c r="J411">
        <v>121167.86</v>
      </c>
    </row>
    <row r="412" spans="1:10" x14ac:dyDescent="0.2">
      <c r="A412" s="16">
        <v>46266</v>
      </c>
      <c r="B412" t="s">
        <v>38</v>
      </c>
      <c r="C412" t="s">
        <v>19</v>
      </c>
      <c r="D412" t="s">
        <v>32</v>
      </c>
      <c r="E412" t="s">
        <v>39</v>
      </c>
      <c r="F412">
        <v>1936</v>
      </c>
      <c r="G412">
        <v>0.05</v>
      </c>
      <c r="H412">
        <v>40125760.979999997</v>
      </c>
      <c r="I412">
        <v>612.91999999999996</v>
      </c>
      <c r="J412">
        <v>65466.559999999998</v>
      </c>
    </row>
    <row r="413" spans="1:10" x14ac:dyDescent="0.2">
      <c r="A413" s="16">
        <v>46266</v>
      </c>
      <c r="B413" t="s">
        <v>38</v>
      </c>
      <c r="C413" t="s">
        <v>19</v>
      </c>
      <c r="D413" t="s">
        <v>33</v>
      </c>
      <c r="E413" t="s">
        <v>39</v>
      </c>
      <c r="F413">
        <v>2857</v>
      </c>
      <c r="G413">
        <v>0.05</v>
      </c>
      <c r="H413">
        <v>28043620.969999999</v>
      </c>
      <c r="I413">
        <v>612.91999999999996</v>
      </c>
      <c r="J413">
        <v>45754.13</v>
      </c>
    </row>
    <row r="414" spans="1:10" x14ac:dyDescent="0.2">
      <c r="A414" s="16">
        <v>46266</v>
      </c>
      <c r="B414" t="s">
        <v>38</v>
      </c>
      <c r="C414" t="s">
        <v>19</v>
      </c>
      <c r="D414" t="s">
        <v>34</v>
      </c>
      <c r="E414" t="s">
        <v>39</v>
      </c>
      <c r="F414">
        <v>3823</v>
      </c>
      <c r="G414">
        <v>0.05</v>
      </c>
      <c r="H414">
        <v>31474238.609999999</v>
      </c>
      <c r="I414">
        <v>612.91999999999996</v>
      </c>
      <c r="J414">
        <v>51351.3</v>
      </c>
    </row>
    <row r="415" spans="1:10" x14ac:dyDescent="0.2">
      <c r="A415" s="16">
        <v>46266</v>
      </c>
      <c r="B415" t="s">
        <v>38</v>
      </c>
      <c r="C415" t="s">
        <v>19</v>
      </c>
      <c r="D415" t="s">
        <v>35</v>
      </c>
      <c r="E415" t="s">
        <v>39</v>
      </c>
      <c r="F415">
        <v>2677</v>
      </c>
      <c r="G415">
        <v>0.05</v>
      </c>
      <c r="H415">
        <v>35194480</v>
      </c>
      <c r="I415">
        <v>612.91999999999996</v>
      </c>
      <c r="J415">
        <v>57421</v>
      </c>
    </row>
    <row r="416" spans="1:10" x14ac:dyDescent="0.2">
      <c r="A416" s="16">
        <v>46266</v>
      </c>
      <c r="B416" t="s">
        <v>40</v>
      </c>
      <c r="C416" t="s">
        <v>19</v>
      </c>
      <c r="D416" t="s">
        <v>29</v>
      </c>
      <c r="E416" t="s">
        <v>41</v>
      </c>
      <c r="F416">
        <v>2539</v>
      </c>
      <c r="G416">
        <v>0</v>
      </c>
      <c r="H416">
        <v>40437700.939999998</v>
      </c>
      <c r="I416">
        <v>612.91999999999996</v>
      </c>
      <c r="J416">
        <v>65975.5</v>
      </c>
    </row>
    <row r="417" spans="1:10" x14ac:dyDescent="0.2">
      <c r="A417" s="16">
        <v>46266</v>
      </c>
      <c r="B417" t="s">
        <v>40</v>
      </c>
      <c r="C417" t="s">
        <v>19</v>
      </c>
      <c r="D417" t="s">
        <v>31</v>
      </c>
      <c r="E417" t="s">
        <v>41</v>
      </c>
      <c r="F417">
        <v>1527</v>
      </c>
      <c r="G417">
        <v>0</v>
      </c>
      <c r="H417">
        <v>47692747.030000001</v>
      </c>
      <c r="I417">
        <v>612.91999999999996</v>
      </c>
      <c r="J417">
        <v>77812.350000000006</v>
      </c>
    </row>
    <row r="418" spans="1:10" x14ac:dyDescent="0.2">
      <c r="A418" s="16">
        <v>46266</v>
      </c>
      <c r="B418" t="s">
        <v>40</v>
      </c>
      <c r="C418" t="s">
        <v>19</v>
      </c>
      <c r="D418" t="s">
        <v>32</v>
      </c>
      <c r="E418" t="s">
        <v>41</v>
      </c>
      <c r="F418">
        <v>1205</v>
      </c>
      <c r="G418">
        <v>0</v>
      </c>
      <c r="H418">
        <v>24745535.91</v>
      </c>
      <c r="I418">
        <v>612.91999999999996</v>
      </c>
      <c r="J418">
        <v>40373.19</v>
      </c>
    </row>
    <row r="419" spans="1:10" x14ac:dyDescent="0.2">
      <c r="A419" s="16">
        <v>46266</v>
      </c>
      <c r="B419" t="s">
        <v>40</v>
      </c>
      <c r="C419" t="s">
        <v>19</v>
      </c>
      <c r="D419" t="s">
        <v>33</v>
      </c>
      <c r="E419" t="s">
        <v>41</v>
      </c>
      <c r="F419">
        <v>2302</v>
      </c>
      <c r="G419">
        <v>0.02</v>
      </c>
      <c r="H419">
        <v>22341445.030000001</v>
      </c>
      <c r="I419">
        <v>612.91999999999996</v>
      </c>
      <c r="J419">
        <v>36450.83</v>
      </c>
    </row>
    <row r="420" spans="1:10" x14ac:dyDescent="0.2">
      <c r="A420" s="16">
        <v>46266</v>
      </c>
      <c r="B420" t="s">
        <v>40</v>
      </c>
      <c r="C420" t="s">
        <v>19</v>
      </c>
      <c r="D420" t="s">
        <v>34</v>
      </c>
      <c r="E420" t="s">
        <v>41</v>
      </c>
      <c r="F420">
        <v>2286</v>
      </c>
      <c r="G420">
        <v>0.02</v>
      </c>
      <c r="H420">
        <v>19188267.050000001</v>
      </c>
      <c r="I420">
        <v>612.91999999999996</v>
      </c>
      <c r="J420">
        <v>31306.32</v>
      </c>
    </row>
    <row r="421" spans="1:10" x14ac:dyDescent="0.2">
      <c r="A421" s="16">
        <v>46266</v>
      </c>
      <c r="B421" t="s">
        <v>40</v>
      </c>
      <c r="C421" t="s">
        <v>19</v>
      </c>
      <c r="D421" t="s">
        <v>35</v>
      </c>
      <c r="E421" t="s">
        <v>41</v>
      </c>
      <c r="F421">
        <v>2018</v>
      </c>
      <c r="G421">
        <v>0.05</v>
      </c>
      <c r="H421">
        <v>25770504.690000001</v>
      </c>
      <c r="I421">
        <v>612.91999999999996</v>
      </c>
      <c r="J421">
        <v>42045.46</v>
      </c>
    </row>
    <row r="422" spans="1:10" x14ac:dyDescent="0.2">
      <c r="A422" s="16">
        <v>46266</v>
      </c>
      <c r="B422" t="s">
        <v>42</v>
      </c>
      <c r="C422" t="s">
        <v>20</v>
      </c>
      <c r="D422" t="s">
        <v>29</v>
      </c>
      <c r="E422" t="s">
        <v>43</v>
      </c>
      <c r="F422">
        <v>2454</v>
      </c>
      <c r="G422">
        <v>0.03</v>
      </c>
      <c r="H422">
        <v>38714042.060000002</v>
      </c>
      <c r="I422">
        <v>611.12</v>
      </c>
      <c r="J422">
        <v>63349.33</v>
      </c>
    </row>
    <row r="423" spans="1:10" x14ac:dyDescent="0.2">
      <c r="A423" s="16">
        <v>46266</v>
      </c>
      <c r="B423" t="s">
        <v>42</v>
      </c>
      <c r="C423" t="s">
        <v>20</v>
      </c>
      <c r="D423" t="s">
        <v>31</v>
      </c>
      <c r="E423" t="s">
        <v>43</v>
      </c>
      <c r="F423">
        <v>2027</v>
      </c>
      <c r="G423">
        <v>0</v>
      </c>
      <c r="H423">
        <v>63952175.840000004</v>
      </c>
      <c r="I423">
        <v>611.12</v>
      </c>
      <c r="J423">
        <v>104647.49</v>
      </c>
    </row>
    <row r="424" spans="1:10" x14ac:dyDescent="0.2">
      <c r="A424" s="16">
        <v>46266</v>
      </c>
      <c r="B424" t="s">
        <v>42</v>
      </c>
      <c r="C424" t="s">
        <v>20</v>
      </c>
      <c r="D424" t="s">
        <v>32</v>
      </c>
      <c r="E424" t="s">
        <v>43</v>
      </c>
      <c r="F424">
        <v>1629</v>
      </c>
      <c r="G424">
        <v>0</v>
      </c>
      <c r="H424">
        <v>34116616.82</v>
      </c>
      <c r="I424">
        <v>611.12</v>
      </c>
      <c r="J424">
        <v>55826.38</v>
      </c>
    </row>
    <row r="425" spans="1:10" x14ac:dyDescent="0.2">
      <c r="A425" s="16">
        <v>46266</v>
      </c>
      <c r="B425" t="s">
        <v>42</v>
      </c>
      <c r="C425" t="s">
        <v>20</v>
      </c>
      <c r="D425" t="s">
        <v>33</v>
      </c>
      <c r="E425" t="s">
        <v>43</v>
      </c>
      <c r="F425">
        <v>3379</v>
      </c>
      <c r="G425">
        <v>0</v>
      </c>
      <c r="H425">
        <v>31769609.73</v>
      </c>
      <c r="I425">
        <v>611.12</v>
      </c>
      <c r="J425">
        <v>51985.88</v>
      </c>
    </row>
    <row r="426" spans="1:10" x14ac:dyDescent="0.2">
      <c r="A426" s="16">
        <v>46266</v>
      </c>
      <c r="B426" t="s">
        <v>42</v>
      </c>
      <c r="C426" t="s">
        <v>20</v>
      </c>
      <c r="D426" t="s">
        <v>34</v>
      </c>
      <c r="E426" t="s">
        <v>43</v>
      </c>
      <c r="F426">
        <v>2995</v>
      </c>
      <c r="G426">
        <v>0.03</v>
      </c>
      <c r="H426">
        <v>23182390.030000001</v>
      </c>
      <c r="I426">
        <v>611.12</v>
      </c>
      <c r="J426">
        <v>37934.269999999997</v>
      </c>
    </row>
    <row r="427" spans="1:10" x14ac:dyDescent="0.2">
      <c r="A427" s="16">
        <v>46266</v>
      </c>
      <c r="B427" t="s">
        <v>42</v>
      </c>
      <c r="C427" t="s">
        <v>20</v>
      </c>
      <c r="D427" t="s">
        <v>35</v>
      </c>
      <c r="E427" t="s">
        <v>43</v>
      </c>
      <c r="F427">
        <v>2328</v>
      </c>
      <c r="G427">
        <v>0.03</v>
      </c>
      <c r="H427">
        <v>31604651.18</v>
      </c>
      <c r="I427">
        <v>611.12</v>
      </c>
      <c r="J427">
        <v>51715.95</v>
      </c>
    </row>
    <row r="428" spans="1:10" x14ac:dyDescent="0.2">
      <c r="A428" s="16">
        <v>46266</v>
      </c>
      <c r="B428" t="s">
        <v>44</v>
      </c>
      <c r="C428" t="s">
        <v>20</v>
      </c>
      <c r="D428" t="s">
        <v>29</v>
      </c>
      <c r="E428" t="s">
        <v>45</v>
      </c>
      <c r="F428">
        <v>2039</v>
      </c>
      <c r="G428">
        <v>0.03</v>
      </c>
      <c r="H428">
        <v>32345566.789999999</v>
      </c>
      <c r="I428">
        <v>611.12</v>
      </c>
      <c r="J428">
        <v>52928.34</v>
      </c>
    </row>
    <row r="429" spans="1:10" x14ac:dyDescent="0.2">
      <c r="A429" s="16">
        <v>46266</v>
      </c>
      <c r="B429" t="s">
        <v>44</v>
      </c>
      <c r="C429" t="s">
        <v>20</v>
      </c>
      <c r="D429" t="s">
        <v>31</v>
      </c>
      <c r="E429" t="s">
        <v>45</v>
      </c>
      <c r="F429">
        <v>1325</v>
      </c>
      <c r="G429">
        <v>0</v>
      </c>
      <c r="H429">
        <v>43914680.530000001</v>
      </c>
      <c r="I429">
        <v>611.12</v>
      </c>
      <c r="J429">
        <v>71859.34</v>
      </c>
    </row>
    <row r="430" spans="1:10" x14ac:dyDescent="0.2">
      <c r="A430" s="16">
        <v>46266</v>
      </c>
      <c r="B430" t="s">
        <v>44</v>
      </c>
      <c r="C430" t="s">
        <v>20</v>
      </c>
      <c r="D430" t="s">
        <v>32</v>
      </c>
      <c r="E430" t="s">
        <v>45</v>
      </c>
      <c r="F430">
        <v>1105</v>
      </c>
      <c r="G430">
        <v>0.05</v>
      </c>
      <c r="H430">
        <v>23756010.449999999</v>
      </c>
      <c r="I430">
        <v>611.12</v>
      </c>
      <c r="J430">
        <v>38872.910000000003</v>
      </c>
    </row>
    <row r="431" spans="1:10" x14ac:dyDescent="0.2">
      <c r="A431" s="16">
        <v>46266</v>
      </c>
      <c r="B431" t="s">
        <v>44</v>
      </c>
      <c r="C431" t="s">
        <v>20</v>
      </c>
      <c r="D431" t="s">
        <v>33</v>
      </c>
      <c r="E431" t="s">
        <v>45</v>
      </c>
      <c r="F431">
        <v>1887</v>
      </c>
      <c r="G431">
        <v>0.03</v>
      </c>
      <c r="H431">
        <v>18728094.91</v>
      </c>
      <c r="I431">
        <v>611.12</v>
      </c>
      <c r="J431">
        <v>30645.53</v>
      </c>
    </row>
    <row r="432" spans="1:10" x14ac:dyDescent="0.2">
      <c r="A432" s="16">
        <v>46266</v>
      </c>
      <c r="B432" t="s">
        <v>44</v>
      </c>
      <c r="C432" t="s">
        <v>20</v>
      </c>
      <c r="D432" t="s">
        <v>34</v>
      </c>
      <c r="E432" t="s">
        <v>45</v>
      </c>
      <c r="F432">
        <v>2014</v>
      </c>
      <c r="G432">
        <v>0</v>
      </c>
      <c r="H432">
        <v>15591587.800000001</v>
      </c>
      <c r="I432">
        <v>611.12</v>
      </c>
      <c r="J432">
        <v>25513.14</v>
      </c>
    </row>
    <row r="433" spans="1:10" x14ac:dyDescent="0.2">
      <c r="A433" s="16">
        <v>46266</v>
      </c>
      <c r="B433" t="s">
        <v>44</v>
      </c>
      <c r="C433" t="s">
        <v>20</v>
      </c>
      <c r="D433" t="s">
        <v>35</v>
      </c>
      <c r="E433" t="s">
        <v>45</v>
      </c>
      <c r="F433">
        <v>1684</v>
      </c>
      <c r="G433">
        <v>0</v>
      </c>
      <c r="H433">
        <v>21512513.940000001</v>
      </c>
      <c r="I433">
        <v>611.12</v>
      </c>
      <c r="J433">
        <v>35201.78</v>
      </c>
    </row>
    <row r="434" spans="1:10" x14ac:dyDescent="0.2">
      <c r="A434" s="16">
        <v>46296</v>
      </c>
      <c r="B434" t="s">
        <v>28</v>
      </c>
      <c r="C434" t="s">
        <v>18</v>
      </c>
      <c r="D434" t="s">
        <v>29</v>
      </c>
      <c r="E434" t="s">
        <v>30</v>
      </c>
      <c r="F434">
        <v>4959</v>
      </c>
      <c r="G434">
        <v>0.02</v>
      </c>
      <c r="H434">
        <v>430485706.00999999</v>
      </c>
      <c r="I434">
        <v>3448.21</v>
      </c>
      <c r="J434">
        <v>124843.24</v>
      </c>
    </row>
    <row r="435" spans="1:10" x14ac:dyDescent="0.2">
      <c r="A435" s="16">
        <v>46296</v>
      </c>
      <c r="B435" t="s">
        <v>28</v>
      </c>
      <c r="C435" t="s">
        <v>18</v>
      </c>
      <c r="D435" t="s">
        <v>31</v>
      </c>
      <c r="E435" t="s">
        <v>30</v>
      </c>
      <c r="F435">
        <v>2989</v>
      </c>
      <c r="G435">
        <v>0.02</v>
      </c>
      <c r="H435">
        <v>568271481.52999997</v>
      </c>
      <c r="I435">
        <v>3448.21</v>
      </c>
      <c r="J435">
        <v>164801.88</v>
      </c>
    </row>
    <row r="436" spans="1:10" x14ac:dyDescent="0.2">
      <c r="A436" s="16">
        <v>46296</v>
      </c>
      <c r="B436" t="s">
        <v>28</v>
      </c>
      <c r="C436" t="s">
        <v>18</v>
      </c>
      <c r="D436" t="s">
        <v>32</v>
      </c>
      <c r="E436" t="s">
        <v>30</v>
      </c>
      <c r="F436">
        <v>3274</v>
      </c>
      <c r="G436">
        <v>0.02</v>
      </c>
      <c r="H436">
        <v>377186903.17000002</v>
      </c>
      <c r="I436">
        <v>3448.21</v>
      </c>
      <c r="J436">
        <v>109386.29</v>
      </c>
    </row>
    <row r="437" spans="1:10" x14ac:dyDescent="0.2">
      <c r="A437" s="16">
        <v>46296</v>
      </c>
      <c r="B437" t="s">
        <v>28</v>
      </c>
      <c r="C437" t="s">
        <v>18</v>
      </c>
      <c r="D437" t="s">
        <v>33</v>
      </c>
      <c r="E437" t="s">
        <v>30</v>
      </c>
      <c r="F437">
        <v>5028</v>
      </c>
      <c r="G437">
        <v>0.03</v>
      </c>
      <c r="H437">
        <v>270820804.36000001</v>
      </c>
      <c r="I437">
        <v>3448.21</v>
      </c>
      <c r="J437">
        <v>78539.53</v>
      </c>
    </row>
    <row r="438" spans="1:10" x14ac:dyDescent="0.2">
      <c r="A438" s="16">
        <v>46296</v>
      </c>
      <c r="B438" t="s">
        <v>28</v>
      </c>
      <c r="C438" t="s">
        <v>18</v>
      </c>
      <c r="D438" t="s">
        <v>34</v>
      </c>
      <c r="E438" t="s">
        <v>30</v>
      </c>
      <c r="F438">
        <v>4778</v>
      </c>
      <c r="G438">
        <v>0.02</v>
      </c>
      <c r="H438">
        <v>211309992.22</v>
      </c>
      <c r="I438">
        <v>3448.21</v>
      </c>
      <c r="J438">
        <v>61281.07</v>
      </c>
    </row>
    <row r="439" spans="1:10" x14ac:dyDescent="0.2">
      <c r="A439" s="16">
        <v>46296</v>
      </c>
      <c r="B439" t="s">
        <v>28</v>
      </c>
      <c r="C439" t="s">
        <v>18</v>
      </c>
      <c r="D439" t="s">
        <v>35</v>
      </c>
      <c r="E439" t="s">
        <v>30</v>
      </c>
      <c r="F439">
        <v>3535</v>
      </c>
      <c r="G439">
        <v>0</v>
      </c>
      <c r="H439">
        <v>259539098.91999999</v>
      </c>
      <c r="I439">
        <v>3448.21</v>
      </c>
      <c r="J439">
        <v>75267.78</v>
      </c>
    </row>
    <row r="440" spans="1:10" x14ac:dyDescent="0.2">
      <c r="A440" s="16">
        <v>46296</v>
      </c>
      <c r="B440" t="s">
        <v>36</v>
      </c>
      <c r="C440" t="s">
        <v>18</v>
      </c>
      <c r="D440" t="s">
        <v>29</v>
      </c>
      <c r="E440" t="s">
        <v>37</v>
      </c>
      <c r="F440">
        <v>3448</v>
      </c>
      <c r="G440">
        <v>0.05</v>
      </c>
      <c r="H440">
        <v>297532068.13999999</v>
      </c>
      <c r="I440">
        <v>3448.21</v>
      </c>
      <c r="J440">
        <v>86285.95</v>
      </c>
    </row>
    <row r="441" spans="1:10" x14ac:dyDescent="0.2">
      <c r="A441" s="16">
        <v>46296</v>
      </c>
      <c r="B441" t="s">
        <v>36</v>
      </c>
      <c r="C441" t="s">
        <v>18</v>
      </c>
      <c r="D441" t="s">
        <v>31</v>
      </c>
      <c r="E441" t="s">
        <v>37</v>
      </c>
      <c r="F441">
        <v>1712</v>
      </c>
      <c r="G441">
        <v>0.02</v>
      </c>
      <c r="H441">
        <v>273803046.43000001</v>
      </c>
      <c r="I441">
        <v>3448.21</v>
      </c>
      <c r="J441">
        <v>79404.399999999994</v>
      </c>
    </row>
    <row r="442" spans="1:10" x14ac:dyDescent="0.2">
      <c r="A442" s="16">
        <v>46296</v>
      </c>
      <c r="B442" t="s">
        <v>36</v>
      </c>
      <c r="C442" t="s">
        <v>18</v>
      </c>
      <c r="D442" t="s">
        <v>32</v>
      </c>
      <c r="E442" t="s">
        <v>37</v>
      </c>
      <c r="F442">
        <v>1990</v>
      </c>
      <c r="G442">
        <v>0.02</v>
      </c>
      <c r="H442">
        <v>243029701.12</v>
      </c>
      <c r="I442">
        <v>3448.21</v>
      </c>
      <c r="J442">
        <v>70479.960000000006</v>
      </c>
    </row>
    <row r="443" spans="1:10" x14ac:dyDescent="0.2">
      <c r="A443" s="16">
        <v>46296</v>
      </c>
      <c r="B443" t="s">
        <v>36</v>
      </c>
      <c r="C443" t="s">
        <v>18</v>
      </c>
      <c r="D443" t="s">
        <v>33</v>
      </c>
      <c r="E443" t="s">
        <v>37</v>
      </c>
      <c r="F443">
        <v>3331</v>
      </c>
      <c r="G443">
        <v>0.05</v>
      </c>
      <c r="H443">
        <v>177676191.09999999</v>
      </c>
      <c r="I443">
        <v>3448.21</v>
      </c>
      <c r="J443">
        <v>51527.08</v>
      </c>
    </row>
    <row r="444" spans="1:10" x14ac:dyDescent="0.2">
      <c r="A444" s="16">
        <v>46296</v>
      </c>
      <c r="B444" t="s">
        <v>36</v>
      </c>
      <c r="C444" t="s">
        <v>18</v>
      </c>
      <c r="D444" t="s">
        <v>34</v>
      </c>
      <c r="E444" t="s">
        <v>37</v>
      </c>
      <c r="F444">
        <v>2420</v>
      </c>
      <c r="G444">
        <v>0.05</v>
      </c>
      <c r="H444">
        <v>102362783.22</v>
      </c>
      <c r="I444">
        <v>3448.21</v>
      </c>
      <c r="J444">
        <v>29685.77</v>
      </c>
    </row>
    <row r="445" spans="1:10" x14ac:dyDescent="0.2">
      <c r="A445" s="16">
        <v>46296</v>
      </c>
      <c r="B445" t="s">
        <v>36</v>
      </c>
      <c r="C445" t="s">
        <v>18</v>
      </c>
      <c r="D445" t="s">
        <v>35</v>
      </c>
      <c r="E445" t="s">
        <v>37</v>
      </c>
      <c r="F445">
        <v>2413</v>
      </c>
      <c r="G445">
        <v>0.02</v>
      </c>
      <c r="H445">
        <v>180861003.53</v>
      </c>
      <c r="I445">
        <v>3448.21</v>
      </c>
      <c r="J445">
        <v>52450.69</v>
      </c>
    </row>
    <row r="446" spans="1:10" x14ac:dyDescent="0.2">
      <c r="A446" s="16">
        <v>46296</v>
      </c>
      <c r="B446" t="s">
        <v>38</v>
      </c>
      <c r="C446" t="s">
        <v>19</v>
      </c>
      <c r="D446" t="s">
        <v>29</v>
      </c>
      <c r="E446" t="s">
        <v>39</v>
      </c>
      <c r="F446">
        <v>3809</v>
      </c>
      <c r="G446">
        <v>0.02</v>
      </c>
      <c r="H446">
        <v>59015152.600000001</v>
      </c>
      <c r="I446">
        <v>615.37</v>
      </c>
      <c r="J446">
        <v>95901.9</v>
      </c>
    </row>
    <row r="447" spans="1:10" x14ac:dyDescent="0.2">
      <c r="A447" s="16">
        <v>46296</v>
      </c>
      <c r="B447" t="s">
        <v>38</v>
      </c>
      <c r="C447" t="s">
        <v>19</v>
      </c>
      <c r="D447" t="s">
        <v>31</v>
      </c>
      <c r="E447" t="s">
        <v>39</v>
      </c>
      <c r="F447">
        <v>2251</v>
      </c>
      <c r="G447">
        <v>0</v>
      </c>
      <c r="H447">
        <v>74898368.25</v>
      </c>
      <c r="I447">
        <v>615.37</v>
      </c>
      <c r="J447">
        <v>121712.74</v>
      </c>
    </row>
    <row r="448" spans="1:10" x14ac:dyDescent="0.2">
      <c r="A448" s="16">
        <v>46296</v>
      </c>
      <c r="B448" t="s">
        <v>38</v>
      </c>
      <c r="C448" t="s">
        <v>19</v>
      </c>
      <c r="D448" t="s">
        <v>32</v>
      </c>
      <c r="E448" t="s">
        <v>39</v>
      </c>
      <c r="F448">
        <v>1995</v>
      </c>
      <c r="G448">
        <v>0</v>
      </c>
      <c r="H448">
        <v>41341903.32</v>
      </c>
      <c r="I448">
        <v>615.37</v>
      </c>
      <c r="J448">
        <v>67182.19</v>
      </c>
    </row>
    <row r="449" spans="1:10" x14ac:dyDescent="0.2">
      <c r="A449" s="16">
        <v>46296</v>
      </c>
      <c r="B449" t="s">
        <v>38</v>
      </c>
      <c r="C449" t="s">
        <v>19</v>
      </c>
      <c r="D449" t="s">
        <v>33</v>
      </c>
      <c r="E449" t="s">
        <v>39</v>
      </c>
      <c r="F449">
        <v>3123</v>
      </c>
      <c r="G449">
        <v>0.03</v>
      </c>
      <c r="H449">
        <v>30651169.510000002</v>
      </c>
      <c r="I449">
        <v>615.37</v>
      </c>
      <c r="J449">
        <v>49809.33</v>
      </c>
    </row>
    <row r="450" spans="1:10" x14ac:dyDescent="0.2">
      <c r="A450" s="16">
        <v>46296</v>
      </c>
      <c r="B450" t="s">
        <v>38</v>
      </c>
      <c r="C450" t="s">
        <v>19</v>
      </c>
      <c r="D450" t="s">
        <v>34</v>
      </c>
      <c r="E450" t="s">
        <v>39</v>
      </c>
      <c r="F450">
        <v>4031</v>
      </c>
      <c r="G450">
        <v>0.02</v>
      </c>
      <c r="H450">
        <v>33188776.850000001</v>
      </c>
      <c r="I450">
        <v>615.37</v>
      </c>
      <c r="J450">
        <v>53933.04</v>
      </c>
    </row>
    <row r="451" spans="1:10" x14ac:dyDescent="0.2">
      <c r="A451" s="16">
        <v>46296</v>
      </c>
      <c r="B451" t="s">
        <v>38</v>
      </c>
      <c r="C451" t="s">
        <v>19</v>
      </c>
      <c r="D451" t="s">
        <v>35</v>
      </c>
      <c r="E451" t="s">
        <v>39</v>
      </c>
      <c r="F451">
        <v>2698</v>
      </c>
      <c r="G451">
        <v>0.03</v>
      </c>
      <c r="H451">
        <v>35472748.740000002</v>
      </c>
      <c r="I451">
        <v>615.37</v>
      </c>
      <c r="J451">
        <v>57644.59</v>
      </c>
    </row>
    <row r="452" spans="1:10" x14ac:dyDescent="0.2">
      <c r="A452" s="16">
        <v>46296</v>
      </c>
      <c r="B452" t="s">
        <v>40</v>
      </c>
      <c r="C452" t="s">
        <v>19</v>
      </c>
      <c r="D452" t="s">
        <v>29</v>
      </c>
      <c r="E452" t="s">
        <v>41</v>
      </c>
      <c r="F452">
        <v>2695</v>
      </c>
      <c r="G452">
        <v>0.03</v>
      </c>
      <c r="H452">
        <v>42923684.490000002</v>
      </c>
      <c r="I452">
        <v>615.37</v>
      </c>
      <c r="J452">
        <v>69752.639999999999</v>
      </c>
    </row>
    <row r="453" spans="1:10" x14ac:dyDescent="0.2">
      <c r="A453" s="16">
        <v>46296</v>
      </c>
      <c r="B453" t="s">
        <v>40</v>
      </c>
      <c r="C453" t="s">
        <v>19</v>
      </c>
      <c r="D453" t="s">
        <v>31</v>
      </c>
      <c r="E453" t="s">
        <v>41</v>
      </c>
      <c r="F453">
        <v>1539</v>
      </c>
      <c r="G453">
        <v>0</v>
      </c>
      <c r="H453">
        <v>48061351.93</v>
      </c>
      <c r="I453">
        <v>615.37</v>
      </c>
      <c r="J453">
        <v>78101.55</v>
      </c>
    </row>
    <row r="454" spans="1:10" x14ac:dyDescent="0.2">
      <c r="A454" s="16">
        <v>46296</v>
      </c>
      <c r="B454" t="s">
        <v>40</v>
      </c>
      <c r="C454" t="s">
        <v>19</v>
      </c>
      <c r="D454" t="s">
        <v>32</v>
      </c>
      <c r="E454" t="s">
        <v>41</v>
      </c>
      <c r="F454">
        <v>1281</v>
      </c>
      <c r="G454">
        <v>0</v>
      </c>
      <c r="H454">
        <v>26298780.190000001</v>
      </c>
      <c r="I454">
        <v>615.37</v>
      </c>
      <c r="J454">
        <v>42736.53</v>
      </c>
    </row>
    <row r="455" spans="1:10" x14ac:dyDescent="0.2">
      <c r="A455" s="16">
        <v>46296</v>
      </c>
      <c r="B455" t="s">
        <v>40</v>
      </c>
      <c r="C455" t="s">
        <v>19</v>
      </c>
      <c r="D455" t="s">
        <v>33</v>
      </c>
      <c r="E455" t="s">
        <v>41</v>
      </c>
      <c r="F455">
        <v>2376</v>
      </c>
      <c r="G455">
        <v>0.03</v>
      </c>
      <c r="H455">
        <v>23062045.859999999</v>
      </c>
      <c r="I455">
        <v>615.37</v>
      </c>
      <c r="J455">
        <v>37476.71</v>
      </c>
    </row>
    <row r="456" spans="1:10" x14ac:dyDescent="0.2">
      <c r="A456" s="16">
        <v>46296</v>
      </c>
      <c r="B456" t="s">
        <v>40</v>
      </c>
      <c r="C456" t="s">
        <v>19</v>
      </c>
      <c r="D456" t="s">
        <v>34</v>
      </c>
      <c r="E456" t="s">
        <v>41</v>
      </c>
      <c r="F456">
        <v>2396</v>
      </c>
      <c r="G456">
        <v>0</v>
      </c>
      <c r="H456">
        <v>20107530.329999998</v>
      </c>
      <c r="I456">
        <v>615.37</v>
      </c>
      <c r="J456">
        <v>32675.51</v>
      </c>
    </row>
    <row r="457" spans="1:10" x14ac:dyDescent="0.2">
      <c r="A457" s="16">
        <v>46296</v>
      </c>
      <c r="B457" t="s">
        <v>40</v>
      </c>
      <c r="C457" t="s">
        <v>19</v>
      </c>
      <c r="D457" t="s">
        <v>35</v>
      </c>
      <c r="E457" t="s">
        <v>41</v>
      </c>
      <c r="F457">
        <v>2070</v>
      </c>
      <c r="G457">
        <v>0.02</v>
      </c>
      <c r="H457">
        <v>26438768.219999999</v>
      </c>
      <c r="I457">
        <v>615.37</v>
      </c>
      <c r="J457">
        <v>42964.02</v>
      </c>
    </row>
    <row r="458" spans="1:10" x14ac:dyDescent="0.2">
      <c r="A458" s="16">
        <v>46296</v>
      </c>
      <c r="B458" t="s">
        <v>42</v>
      </c>
      <c r="C458" t="s">
        <v>20</v>
      </c>
      <c r="D458" t="s">
        <v>29</v>
      </c>
      <c r="E458" t="s">
        <v>43</v>
      </c>
      <c r="F458">
        <v>2593</v>
      </c>
      <c r="G458">
        <v>0</v>
      </c>
      <c r="H458">
        <v>40904957.240000002</v>
      </c>
      <c r="I458">
        <v>613.55999999999995</v>
      </c>
      <c r="J458">
        <v>66668.23</v>
      </c>
    </row>
    <row r="459" spans="1:10" x14ac:dyDescent="0.2">
      <c r="A459" s="16">
        <v>46296</v>
      </c>
      <c r="B459" t="s">
        <v>42</v>
      </c>
      <c r="C459" t="s">
        <v>20</v>
      </c>
      <c r="D459" t="s">
        <v>31</v>
      </c>
      <c r="E459" t="s">
        <v>43</v>
      </c>
      <c r="F459">
        <v>2107</v>
      </c>
      <c r="G459">
        <v>0.05</v>
      </c>
      <c r="H459">
        <v>66481070.259999998</v>
      </c>
      <c r="I459">
        <v>613.55999999999995</v>
      </c>
      <c r="J459">
        <v>108353.01</v>
      </c>
    </row>
    <row r="460" spans="1:10" x14ac:dyDescent="0.2">
      <c r="A460" s="16">
        <v>46296</v>
      </c>
      <c r="B460" t="s">
        <v>42</v>
      </c>
      <c r="C460" t="s">
        <v>20</v>
      </c>
      <c r="D460" t="s">
        <v>32</v>
      </c>
      <c r="E460" t="s">
        <v>43</v>
      </c>
      <c r="F460">
        <v>1601</v>
      </c>
      <c r="G460">
        <v>0.02</v>
      </c>
      <c r="H460">
        <v>33524428.710000001</v>
      </c>
      <c r="I460">
        <v>613.55999999999995</v>
      </c>
      <c r="J460">
        <v>54639.199999999997</v>
      </c>
    </row>
    <row r="461" spans="1:10" x14ac:dyDescent="0.2">
      <c r="A461" s="16">
        <v>46296</v>
      </c>
      <c r="B461" t="s">
        <v>42</v>
      </c>
      <c r="C461" t="s">
        <v>20</v>
      </c>
      <c r="D461" t="s">
        <v>33</v>
      </c>
      <c r="E461" t="s">
        <v>43</v>
      </c>
      <c r="F461">
        <v>3573</v>
      </c>
      <c r="G461">
        <v>0</v>
      </c>
      <c r="H461">
        <v>33597923.75</v>
      </c>
      <c r="I461">
        <v>613.55999999999995</v>
      </c>
      <c r="J461">
        <v>54758.99</v>
      </c>
    </row>
    <row r="462" spans="1:10" x14ac:dyDescent="0.2">
      <c r="A462" s="16">
        <v>46296</v>
      </c>
      <c r="B462" t="s">
        <v>42</v>
      </c>
      <c r="C462" t="s">
        <v>20</v>
      </c>
      <c r="D462" t="s">
        <v>34</v>
      </c>
      <c r="E462" t="s">
        <v>43</v>
      </c>
      <c r="F462">
        <v>3096</v>
      </c>
      <c r="G462">
        <v>0.02</v>
      </c>
      <c r="H462">
        <v>23964234.649999999</v>
      </c>
      <c r="I462">
        <v>613.55999999999995</v>
      </c>
      <c r="J462">
        <v>39057.69</v>
      </c>
    </row>
    <row r="463" spans="1:10" x14ac:dyDescent="0.2">
      <c r="A463" s="16">
        <v>46296</v>
      </c>
      <c r="B463" t="s">
        <v>42</v>
      </c>
      <c r="C463" t="s">
        <v>20</v>
      </c>
      <c r="D463" t="s">
        <v>35</v>
      </c>
      <c r="E463" t="s">
        <v>43</v>
      </c>
      <c r="F463">
        <v>2409</v>
      </c>
      <c r="G463">
        <v>0.02</v>
      </c>
      <c r="H463">
        <v>32704252.739999998</v>
      </c>
      <c r="I463">
        <v>613.55999999999995</v>
      </c>
      <c r="J463">
        <v>53302.45</v>
      </c>
    </row>
    <row r="464" spans="1:10" x14ac:dyDescent="0.2">
      <c r="A464" s="16">
        <v>46296</v>
      </c>
      <c r="B464" t="s">
        <v>44</v>
      </c>
      <c r="C464" t="s">
        <v>20</v>
      </c>
      <c r="D464" t="s">
        <v>29</v>
      </c>
      <c r="E464" t="s">
        <v>45</v>
      </c>
      <c r="F464">
        <v>2222</v>
      </c>
      <c r="G464">
        <v>0.02</v>
      </c>
      <c r="H464">
        <v>35243841.82</v>
      </c>
      <c r="I464">
        <v>613.55999999999995</v>
      </c>
      <c r="J464">
        <v>57441.56</v>
      </c>
    </row>
    <row r="465" spans="1:10" x14ac:dyDescent="0.2">
      <c r="A465" s="16">
        <v>46296</v>
      </c>
      <c r="B465" t="s">
        <v>44</v>
      </c>
      <c r="C465" t="s">
        <v>20</v>
      </c>
      <c r="D465" t="s">
        <v>31</v>
      </c>
      <c r="E465" t="s">
        <v>45</v>
      </c>
      <c r="F465">
        <v>1400</v>
      </c>
      <c r="G465">
        <v>0.03</v>
      </c>
      <c r="H465">
        <v>46390416.969999999</v>
      </c>
      <c r="I465">
        <v>613.55999999999995</v>
      </c>
      <c r="J465">
        <v>75608.61</v>
      </c>
    </row>
    <row r="466" spans="1:10" x14ac:dyDescent="0.2">
      <c r="A466" s="16">
        <v>46296</v>
      </c>
      <c r="B466" t="s">
        <v>44</v>
      </c>
      <c r="C466" t="s">
        <v>20</v>
      </c>
      <c r="D466" t="s">
        <v>32</v>
      </c>
      <c r="E466" t="s">
        <v>45</v>
      </c>
      <c r="F466">
        <v>1150</v>
      </c>
      <c r="G466">
        <v>0.03</v>
      </c>
      <c r="H466">
        <v>24714864.25</v>
      </c>
      <c r="I466">
        <v>613.55999999999995</v>
      </c>
      <c r="J466">
        <v>40281.089999999997</v>
      </c>
    </row>
    <row r="467" spans="1:10" x14ac:dyDescent="0.2">
      <c r="A467" s="16">
        <v>46296</v>
      </c>
      <c r="B467" t="s">
        <v>44</v>
      </c>
      <c r="C467" t="s">
        <v>20</v>
      </c>
      <c r="D467" t="s">
        <v>33</v>
      </c>
      <c r="E467" t="s">
        <v>45</v>
      </c>
      <c r="F467">
        <v>1829</v>
      </c>
      <c r="G467">
        <v>0</v>
      </c>
      <c r="H467">
        <v>18157082.449999999</v>
      </c>
      <c r="I467">
        <v>613.55999999999995</v>
      </c>
      <c r="J467">
        <v>29593</v>
      </c>
    </row>
    <row r="468" spans="1:10" x14ac:dyDescent="0.2">
      <c r="A468" s="16">
        <v>46296</v>
      </c>
      <c r="B468" t="s">
        <v>44</v>
      </c>
      <c r="C468" t="s">
        <v>20</v>
      </c>
      <c r="D468" t="s">
        <v>34</v>
      </c>
      <c r="E468" t="s">
        <v>45</v>
      </c>
      <c r="F468">
        <v>2133</v>
      </c>
      <c r="G468">
        <v>0.02</v>
      </c>
      <c r="H468">
        <v>16509005.75</v>
      </c>
      <c r="I468">
        <v>613.55999999999995</v>
      </c>
      <c r="J468">
        <v>26906.91</v>
      </c>
    </row>
    <row r="469" spans="1:10" x14ac:dyDescent="0.2">
      <c r="A469" s="16">
        <v>46296</v>
      </c>
      <c r="B469" t="s">
        <v>44</v>
      </c>
      <c r="C469" t="s">
        <v>20</v>
      </c>
      <c r="D469" t="s">
        <v>35</v>
      </c>
      <c r="E469" t="s">
        <v>45</v>
      </c>
      <c r="F469">
        <v>1712</v>
      </c>
      <c r="G469">
        <v>0</v>
      </c>
      <c r="H469">
        <v>21871408.989999998</v>
      </c>
      <c r="I469">
        <v>613.55999999999995</v>
      </c>
      <c r="J469">
        <v>35646.730000000003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baseColWidth="10" defaultColWidth="8.83203125" defaultRowHeight="15" x14ac:dyDescent="0.2"/>
  <cols>
    <col min="1" max="1" width="30" customWidth="1"/>
    <col min="2" max="2" width="12" customWidth="1"/>
    <col min="3" max="3" width="10" style="13" customWidth="1"/>
    <col min="4" max="4" width="20" style="11" customWidth="1"/>
    <col min="5" max="5" width="20" style="13" customWidth="1"/>
    <col min="6" max="6" width="12" customWidth="1"/>
  </cols>
  <sheetData>
    <row r="1" spans="1:6" ht="22" customHeight="1" x14ac:dyDescent="0.2">
      <c r="A1" s="12" t="s">
        <v>46</v>
      </c>
      <c r="B1" s="12" t="s">
        <v>47</v>
      </c>
      <c r="C1" s="12" t="s">
        <v>48</v>
      </c>
      <c r="D1" s="12" t="s">
        <v>26</v>
      </c>
      <c r="E1" s="12" t="s">
        <v>49</v>
      </c>
      <c r="F1" s="12" t="s">
        <v>50</v>
      </c>
    </row>
    <row r="2" spans="1:6" x14ac:dyDescent="0.2">
      <c r="A2" t="s">
        <v>51</v>
      </c>
      <c r="B2" t="s">
        <v>52</v>
      </c>
      <c r="C2">
        <v>36</v>
      </c>
      <c r="D2">
        <v>3934602332.8000002</v>
      </c>
      <c r="E2">
        <v>0</v>
      </c>
      <c r="F2" t="s">
        <v>53</v>
      </c>
    </row>
    <row r="3" spans="1:6" x14ac:dyDescent="0.2">
      <c r="A3" t="s">
        <v>54</v>
      </c>
      <c r="B3" t="s">
        <v>55</v>
      </c>
      <c r="C3">
        <v>36</v>
      </c>
      <c r="D3">
        <v>4093418099.3899999</v>
      </c>
      <c r="E3">
        <v>0</v>
      </c>
      <c r="F3" t="s">
        <v>53</v>
      </c>
    </row>
    <row r="4" spans="1:6" x14ac:dyDescent="0.2">
      <c r="A4" t="s">
        <v>56</v>
      </c>
      <c r="B4" t="s">
        <v>57</v>
      </c>
      <c r="C4">
        <v>36</v>
      </c>
      <c r="D4">
        <v>4714213705.0299997</v>
      </c>
      <c r="E4">
        <v>36</v>
      </c>
      <c r="F4" t="s">
        <v>58</v>
      </c>
    </row>
    <row r="5" spans="1:6" x14ac:dyDescent="0.2">
      <c r="A5" t="s">
        <v>59</v>
      </c>
      <c r="B5" t="s">
        <v>52</v>
      </c>
      <c r="C5">
        <v>36</v>
      </c>
      <c r="D5">
        <v>3536041485.8099999</v>
      </c>
      <c r="E5">
        <v>0</v>
      </c>
      <c r="F5" t="s">
        <v>53</v>
      </c>
    </row>
    <row r="6" spans="1:6" x14ac:dyDescent="0.2">
      <c r="A6" t="s">
        <v>60</v>
      </c>
      <c r="B6" t="s">
        <v>52</v>
      </c>
      <c r="C6">
        <v>36</v>
      </c>
      <c r="D6">
        <v>3676338620.6900001</v>
      </c>
      <c r="E6">
        <v>0</v>
      </c>
      <c r="F6" t="s">
        <v>53</v>
      </c>
    </row>
    <row r="7" spans="1:6" x14ac:dyDescent="0.2">
      <c r="A7" t="s">
        <v>61</v>
      </c>
      <c r="B7" t="s">
        <v>55</v>
      </c>
      <c r="C7">
        <v>36</v>
      </c>
      <c r="D7">
        <v>3971688586.27</v>
      </c>
      <c r="E7">
        <v>0</v>
      </c>
      <c r="F7" t="s">
        <v>53</v>
      </c>
    </row>
    <row r="8" spans="1:6" x14ac:dyDescent="0.2">
      <c r="A8" t="s">
        <v>62</v>
      </c>
      <c r="B8" t="s">
        <v>57</v>
      </c>
      <c r="C8">
        <v>36</v>
      </c>
      <c r="D8">
        <v>4162950900.3200002</v>
      </c>
      <c r="E8">
        <v>36</v>
      </c>
      <c r="F8" t="s">
        <v>58</v>
      </c>
    </row>
    <row r="9" spans="1:6" x14ac:dyDescent="0.2">
      <c r="A9" t="s">
        <v>63</v>
      </c>
      <c r="B9" t="s">
        <v>52</v>
      </c>
      <c r="C9">
        <v>36</v>
      </c>
      <c r="D9">
        <v>4270570988.4200001</v>
      </c>
      <c r="E9">
        <v>0</v>
      </c>
      <c r="F9" t="s">
        <v>53</v>
      </c>
    </row>
    <row r="10" spans="1:6" x14ac:dyDescent="0.2">
      <c r="A10" t="s">
        <v>64</v>
      </c>
      <c r="B10" t="s">
        <v>52</v>
      </c>
      <c r="C10">
        <v>36</v>
      </c>
      <c r="D10">
        <v>3987718937.1100001</v>
      </c>
      <c r="E10">
        <v>0</v>
      </c>
      <c r="F10" t="s">
        <v>53</v>
      </c>
    </row>
    <row r="11" spans="1:6" x14ac:dyDescent="0.2">
      <c r="A11" t="s">
        <v>65</v>
      </c>
      <c r="B11" t="s">
        <v>52</v>
      </c>
      <c r="C11">
        <v>36</v>
      </c>
      <c r="D11">
        <v>4170513813.1399999</v>
      </c>
      <c r="E11">
        <v>0</v>
      </c>
      <c r="F11" t="s">
        <v>53</v>
      </c>
    </row>
    <row r="12" spans="1:6" x14ac:dyDescent="0.2">
      <c r="A12" t="s">
        <v>66</v>
      </c>
      <c r="B12" t="s">
        <v>57</v>
      </c>
      <c r="C12">
        <v>36</v>
      </c>
      <c r="D12">
        <v>4546773967.2399998</v>
      </c>
      <c r="E12">
        <v>36</v>
      </c>
      <c r="F12" t="s">
        <v>58</v>
      </c>
    </row>
    <row r="13" spans="1:6" x14ac:dyDescent="0.2">
      <c r="A13" t="s">
        <v>67</v>
      </c>
      <c r="B13" t="s">
        <v>68</v>
      </c>
      <c r="C13">
        <v>36</v>
      </c>
      <c r="D13">
        <v>4095757928.5700002</v>
      </c>
      <c r="E13">
        <v>0</v>
      </c>
      <c r="F13" t="s">
        <v>53</v>
      </c>
    </row>
    <row r="14" spans="1:6" x14ac:dyDescent="0.2">
      <c r="A14" t="s">
        <v>69</v>
      </c>
      <c r="B14" t="s">
        <v>52</v>
      </c>
      <c r="C14">
        <v>36</v>
      </c>
      <c r="D14">
        <v>4248402547.6199999</v>
      </c>
      <c r="E14">
        <v>0</v>
      </c>
      <c r="F14" t="s">
        <v>53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83203125" defaultRowHeight="15" x14ac:dyDescent="0.2"/>
  <cols>
    <col min="1" max="1" width="26" customWidth="1"/>
    <col min="2" max="2" width="100" customWidth="1"/>
  </cols>
  <sheetData>
    <row r="1" spans="1:2" ht="19" x14ac:dyDescent="0.25">
      <c r="A1" s="1" t="s">
        <v>70</v>
      </c>
    </row>
    <row r="3" spans="1:2" ht="34" customHeight="1" x14ac:dyDescent="0.2">
      <c r="A3" s="7" t="s">
        <v>71</v>
      </c>
      <c r="B3" s="17" t="s">
        <v>72</v>
      </c>
    </row>
    <row r="4" spans="1:2" ht="34" customHeight="1" x14ac:dyDescent="0.2">
      <c r="A4" s="7" t="s">
        <v>73</v>
      </c>
      <c r="B4" s="17" t="s">
        <v>74</v>
      </c>
    </row>
    <row r="5" spans="1:2" ht="34" customHeight="1" x14ac:dyDescent="0.2">
      <c r="A5" s="7" t="s">
        <v>75</v>
      </c>
      <c r="B5" s="17" t="s">
        <v>76</v>
      </c>
    </row>
    <row r="6" spans="1:2" ht="34" customHeight="1" x14ac:dyDescent="0.2">
      <c r="A6" s="7" t="s">
        <v>77</v>
      </c>
      <c r="B6" s="17" t="s">
        <v>78</v>
      </c>
    </row>
    <row r="7" spans="1:2" ht="34" customHeight="1" x14ac:dyDescent="0.2">
      <c r="A7" s="7" t="s">
        <v>79</v>
      </c>
      <c r="B7" s="17" t="s">
        <v>80</v>
      </c>
    </row>
    <row r="8" spans="1:2" ht="34" customHeight="1" x14ac:dyDescent="0.2">
      <c r="A8" s="7" t="s">
        <v>81</v>
      </c>
      <c r="B8" s="17" t="s">
        <v>82</v>
      </c>
    </row>
    <row r="9" spans="1:2" ht="34" customHeight="1" x14ac:dyDescent="0.2">
      <c r="A9" s="7" t="s">
        <v>83</v>
      </c>
      <c r="B9" s="17" t="s">
        <v>84</v>
      </c>
    </row>
    <row r="10" spans="1:2" ht="34" customHeight="1" x14ac:dyDescent="0.2">
      <c r="A10" s="7" t="s">
        <v>85</v>
      </c>
      <c r="B10" s="17" t="s">
        <v>86</v>
      </c>
    </row>
    <row r="11" spans="1:2" ht="34" customHeight="1" x14ac:dyDescent="0.2">
      <c r="A11" s="7" t="s">
        <v>87</v>
      </c>
      <c r="B11" s="17" t="s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baseColWidth="10" defaultColWidth="8.83203125" defaultRowHeight="15" x14ac:dyDescent="0.2"/>
  <cols>
    <col min="1" max="1" width="56" customWidth="1"/>
    <col min="2" max="2" width="16" customWidth="1"/>
    <col min="3" max="3" width="62" customWidth="1"/>
  </cols>
  <sheetData>
    <row r="1" spans="1:3" ht="19" x14ac:dyDescent="0.25">
      <c r="A1" s="1" t="s">
        <v>89</v>
      </c>
    </row>
    <row r="3" spans="1:3" ht="22" customHeight="1" x14ac:dyDescent="0.2">
      <c r="A3" s="12" t="s">
        <v>90</v>
      </c>
      <c r="B3" s="12" t="s">
        <v>91</v>
      </c>
      <c r="C3" s="12" t="s">
        <v>92</v>
      </c>
    </row>
    <row r="4" spans="1:3" x14ac:dyDescent="0.2">
      <c r="A4" s="4" t="s">
        <v>93</v>
      </c>
      <c r="B4" s="5">
        <f>COUNTA(_xlfn.UNIQUE(t_Consolide[Agence]))</f>
        <v>6</v>
      </c>
      <c r="C4" s="2" t="s">
        <v>94</v>
      </c>
    </row>
    <row r="5" spans="1:3" x14ac:dyDescent="0.2">
      <c r="A5" s="4" t="s">
        <v>95</v>
      </c>
      <c r="B5" s="5">
        <f>ROWS(t_Consolide[Montant_Local])-COUNT(t_Consolide[Montant_Local])</f>
        <v>0</v>
      </c>
      <c r="C5" s="2" t="s">
        <v>96</v>
      </c>
    </row>
    <row r="6" spans="1:3" x14ac:dyDescent="0.2">
      <c r="A6" s="4" t="s">
        <v>97</v>
      </c>
      <c r="B6" s="5">
        <f>SUMIFS(t_Controle[Lignes],t_Controle[Statut],"WARNING")</f>
        <v>108</v>
      </c>
      <c r="C6" s="2" t="s">
        <v>98</v>
      </c>
    </row>
    <row r="8" spans="1:3" x14ac:dyDescent="0.2">
      <c r="A8" s="3" t="s">
        <v>99</v>
      </c>
      <c r="B8" t="s">
        <v>53</v>
      </c>
    </row>
    <row r="10" spans="1:3" x14ac:dyDescent="0.2">
      <c r="A10" t="s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baseColWidth="10" defaultColWidth="8.83203125" defaultRowHeight="15" x14ac:dyDescent="0.2"/>
  <cols>
    <col min="1" max="1" width="26" customWidth="1"/>
    <col min="2" max="2" width="100" customWidth="1"/>
  </cols>
  <sheetData>
    <row r="1" spans="1:2" ht="19" x14ac:dyDescent="0.25">
      <c r="A1" s="1" t="s">
        <v>101</v>
      </c>
    </row>
    <row r="3" spans="1:2" ht="34" customHeight="1" x14ac:dyDescent="0.2">
      <c r="A3" s="7" t="s">
        <v>102</v>
      </c>
      <c r="B3" s="17" t="s">
        <v>103</v>
      </c>
    </row>
    <row r="4" spans="1:2" ht="34" customHeight="1" x14ac:dyDescent="0.2">
      <c r="A4" s="7" t="s">
        <v>104</v>
      </c>
      <c r="B4" s="17" t="s">
        <v>105</v>
      </c>
    </row>
    <row r="5" spans="1:2" ht="34" customHeight="1" x14ac:dyDescent="0.2">
      <c r="A5" s="7" t="s">
        <v>106</v>
      </c>
      <c r="B5" s="17" t="s">
        <v>107</v>
      </c>
    </row>
    <row r="6" spans="1:2" ht="34" customHeight="1" x14ac:dyDescent="0.2">
      <c r="A6" s="7" t="s">
        <v>108</v>
      </c>
      <c r="B6" s="17" t="s">
        <v>109</v>
      </c>
    </row>
    <row r="7" spans="1:2" ht="34" customHeight="1" x14ac:dyDescent="0.2">
      <c r="A7" s="7" t="s">
        <v>110</v>
      </c>
      <c r="B7" s="17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REPONSES</vt:lpstr>
      <vt:lpstr>TAUX</vt:lpstr>
      <vt:lpstr>CONSOLIDE</vt:lpstr>
      <vt:lpstr>CONTROLE</vt:lpstr>
      <vt:lpstr>README</vt:lpstr>
      <vt:lpstr>QUALITE</vt:lpstr>
      <vt:lpstr>ANNEXE_IA</vt:lpstr>
      <vt:lpstr>Q_NULS</vt:lpstr>
      <vt:lpstr>R_CONTROLE</vt:lpstr>
      <vt:lpstr>R_ECART_SOURCE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2026-09-17T19:08:01Z</dcterms:created>
  <dcterms:modified xsi:type="dcterms:W3CDTF">2026-09-17T19:08:08Z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2026-09-17T19:08:08Z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a4a60385-ddee-4c7b-9d72-155297725ff4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