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4/"/>
    </mc:Choice>
  </mc:AlternateContent>
  <xr:revisionPtr revIDLastSave="0" documentId="11_85452BB8D013FF96F3540ED93C51F2DB0B61A05F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Rappro" sheetId="1" r:id="rId1"/>
    <sheet name="Analy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</calcChain>
</file>

<file path=xl/sharedStrings.xml><?xml version="1.0" encoding="utf-8"?>
<sst xmlns="http://schemas.openxmlformats.org/spreadsheetml/2006/main" count="8394" uniqueCount="3627">
  <si>
    <t>Ref_Commande</t>
  </si>
  <si>
    <t>Client</t>
  </si>
  <si>
    <t>Agence</t>
  </si>
  <si>
    <t>Devise</t>
  </si>
  <si>
    <t>Montant</t>
  </si>
  <si>
    <t>Montant_USD</t>
  </si>
  <si>
    <t>Ref_Livraison</t>
  </si>
  <si>
    <t>Ref_Facture</t>
  </si>
  <si>
    <t>Nb_Factures</t>
  </si>
  <si>
    <t>Ecart_USD</t>
  </si>
  <si>
    <t>Statut</t>
  </si>
  <si>
    <t>CMD-00001</t>
  </si>
  <si>
    <t>GROSSISTE SANDAGA</t>
  </si>
  <si>
    <t>Kinshasa</t>
  </si>
  <si>
    <t>CDF</t>
  </si>
  <si>
    <t>LIV-00001</t>
  </si>
  <si>
    <t>FAC-00001</t>
  </si>
  <si>
    <t>Rapprochée</t>
  </si>
  <si>
    <t>CMD-00002</t>
  </si>
  <si>
    <t>DEPOT BONABERI</t>
  </si>
  <si>
    <t>Libreville</t>
  </si>
  <si>
    <t>XAF</t>
  </si>
  <si>
    <t>LIV-00002</t>
  </si>
  <si>
    <t>FAC-00002</t>
  </si>
  <si>
    <t>CMD-00003</t>
  </si>
  <si>
    <t>DEPOT NGIRI-NGIRI</t>
  </si>
  <si>
    <t>Dakar</t>
  </si>
  <si>
    <t>XOF</t>
  </si>
  <si>
    <t>LIV-00003</t>
  </si>
  <si>
    <t>FAC-00003</t>
  </si>
  <si>
    <t>CMD-00004</t>
  </si>
  <si>
    <t>DEPOT ABOBO</t>
  </si>
  <si>
    <t>LIV-00004</t>
  </si>
  <si>
    <t>FAC-00004</t>
  </si>
  <si>
    <t>CMD-00005</t>
  </si>
  <si>
    <t>CANTINE UNIKIN</t>
  </si>
  <si>
    <t>LIV-00005</t>
  </si>
  <si>
    <t>FAC-00005</t>
  </si>
  <si>
    <t>CMD-00006</t>
  </si>
  <si>
    <t>LIV-00006</t>
  </si>
  <si>
    <t>FAC-00006</t>
  </si>
  <si>
    <t>CMD-00007</t>
  </si>
  <si>
    <t>Abidjan</t>
  </si>
  <si>
    <t>LIV-00007</t>
  </si>
  <si>
    <t>FAC-00007</t>
  </si>
  <si>
    <t>Écart de montant</t>
  </si>
  <si>
    <t>CMD-00008</t>
  </si>
  <si>
    <t>LIV-00008</t>
  </si>
  <si>
    <t>FAC-00008</t>
  </si>
  <si>
    <t>CMD-00009</t>
  </si>
  <si>
    <t>ALIMENTATION AKANDA</t>
  </si>
  <si>
    <t>Douala</t>
  </si>
  <si>
    <t>LIV-00009</t>
  </si>
  <si>
    <t>FAC-00009</t>
  </si>
  <si>
    <t>CMD-00010</t>
  </si>
  <si>
    <t>GROSSISTE MASINA</t>
  </si>
  <si>
    <t>LIV-00010</t>
  </si>
  <si>
    <t>FAC-00010</t>
  </si>
  <si>
    <t>CMD-00011</t>
  </si>
  <si>
    <t>BOUTIQUE MAMA NGALULA</t>
  </si>
  <si>
    <t>LIV-00011</t>
  </si>
  <si>
    <t>FAC-00011</t>
  </si>
  <si>
    <t>CMD-00012</t>
  </si>
  <si>
    <t>SUPERETTE PLATEAU</t>
  </si>
  <si>
    <t>LIV-00012</t>
  </si>
  <si>
    <t>FAC-00012</t>
  </si>
  <si>
    <t>CMD-00013</t>
  </si>
  <si>
    <t>GROSSISTE MATONGE</t>
  </si>
  <si>
    <t>LIV-00013</t>
  </si>
  <si>
    <t>FAC-00013</t>
  </si>
  <si>
    <t>CMD-00014</t>
  </si>
  <si>
    <t>LIV-00014</t>
  </si>
  <si>
    <t>FAC-00014</t>
  </si>
  <si>
    <t>CMD-00015</t>
  </si>
  <si>
    <t>LIV-00015</t>
  </si>
  <si>
    <t>FAC-00015</t>
  </si>
  <si>
    <t>CMD-00016</t>
  </si>
  <si>
    <t>MINI-MARCHE LIMETE</t>
  </si>
  <si>
    <t>LIV-00016</t>
  </si>
  <si>
    <t>FAC-00016</t>
  </si>
  <si>
    <t>CMD-00017</t>
  </si>
  <si>
    <t>LIV-00017</t>
  </si>
  <si>
    <t>FAC-00017</t>
  </si>
  <si>
    <t>CMD-00018</t>
  </si>
  <si>
    <t>LIV-00018</t>
  </si>
  <si>
    <t>FAC-00018</t>
  </si>
  <si>
    <t>CMD-00019</t>
  </si>
  <si>
    <t>BOUTIQUE SELEMBAO</t>
  </si>
  <si>
    <t>LIV-00019</t>
  </si>
  <si>
    <t>FAC-00019</t>
  </si>
  <si>
    <t>CMD-00020</t>
  </si>
  <si>
    <t>SUPERETTE GOMBE</t>
  </si>
  <si>
    <t>LIV-00020</t>
  </si>
  <si>
    <t>FAC-00020</t>
  </si>
  <si>
    <t>CMD-00021</t>
  </si>
  <si>
    <t>LIV-00021</t>
  </si>
  <si>
    <t>FAC-00021</t>
  </si>
  <si>
    <t>CMD-00022</t>
  </si>
  <si>
    <t>ALIMENTATION BANDAL</t>
  </si>
  <si>
    <t>LIV-00022</t>
  </si>
  <si>
    <t>FAC-00022</t>
  </si>
  <si>
    <t>CMD-00023</t>
  </si>
  <si>
    <t>Lubumbashi</t>
  </si>
  <si>
    <t>LIV-00023</t>
  </si>
  <si>
    <t>FAC-00023</t>
  </si>
  <si>
    <t>CMD-00024</t>
  </si>
  <si>
    <t>SUPERMARCHE CITY</t>
  </si>
  <si>
    <t>LIV-00024</t>
  </si>
  <si>
    <t>FAC-00024</t>
  </si>
  <si>
    <t>CMD-00025</t>
  </si>
  <si>
    <t>LIV-00025</t>
  </si>
  <si>
    <t>FAC-00025</t>
  </si>
  <si>
    <t>CMD-00026</t>
  </si>
  <si>
    <t>LIV-00026</t>
  </si>
  <si>
    <t>FAC-00026</t>
  </si>
  <si>
    <t>CMD-00027</t>
  </si>
  <si>
    <t>LIV-00027</t>
  </si>
  <si>
    <t>FAC-00027</t>
  </si>
  <si>
    <t>CMD-00028</t>
  </si>
  <si>
    <t>LIV-00028</t>
  </si>
  <si>
    <t>FAC-00028</t>
  </si>
  <si>
    <t>CMD-00029</t>
  </si>
  <si>
    <t>LIV-00029</t>
  </si>
  <si>
    <t>FAC-00029</t>
  </si>
  <si>
    <t>CMD-00030</t>
  </si>
  <si>
    <t>LIV-00030</t>
  </si>
  <si>
    <t>FAC-00030</t>
  </si>
  <si>
    <t>CMD-00031</t>
  </si>
  <si>
    <t>BOULANGERIE VICTOIRE</t>
  </si>
  <si>
    <t>LIV-00031</t>
  </si>
  <si>
    <t>FAC-00031</t>
  </si>
  <si>
    <t>CMD-00032</t>
  </si>
  <si>
    <t>LIV-00032</t>
  </si>
  <si>
    <t>FAC-00032</t>
  </si>
  <si>
    <t>CMD-00033</t>
  </si>
  <si>
    <t>RESTAURANT LE TROPICAL</t>
  </si>
  <si>
    <t>LIV-00033</t>
  </si>
  <si>
    <t>FAC-00033</t>
  </si>
  <si>
    <t>CMD-00034</t>
  </si>
  <si>
    <t>DEPOT KINTAMBO</t>
  </si>
  <si>
    <t>LIV-00034</t>
  </si>
  <si>
    <t>FAC-00034</t>
  </si>
  <si>
    <t>CMD-00035</t>
  </si>
  <si>
    <t>HOTEL FLEUVE CONGO</t>
  </si>
  <si>
    <t>LIV-00035</t>
  </si>
  <si>
    <t>FAC-00035</t>
  </si>
  <si>
    <t>CMD-00036</t>
  </si>
  <si>
    <t>LIV-00036</t>
  </si>
  <si>
    <t>FAC-00036</t>
  </si>
  <si>
    <t>CMD-00037</t>
  </si>
  <si>
    <t>LIV-00037</t>
  </si>
  <si>
    <t>FAC-00037</t>
  </si>
  <si>
    <t>CMD-00038</t>
  </si>
  <si>
    <t>LIV-00038</t>
  </si>
  <si>
    <t>FAC-00038</t>
  </si>
  <si>
    <t>CMD-00039</t>
  </si>
  <si>
    <t>LIV-00039</t>
  </si>
  <si>
    <t>FAC-00039</t>
  </si>
  <si>
    <t>CMD-00040</t>
  </si>
  <si>
    <t>LIV-00040</t>
  </si>
  <si>
    <t>FAC-00040</t>
  </si>
  <si>
    <t>CMD-00041</t>
  </si>
  <si>
    <t>LIV-00041</t>
  </si>
  <si>
    <t>FAC-00041</t>
  </si>
  <si>
    <t>CMD-00042</t>
  </si>
  <si>
    <t>LIV-00042</t>
  </si>
  <si>
    <t>FAC-00042</t>
  </si>
  <si>
    <t>CMD-00043</t>
  </si>
  <si>
    <t>LIV-00043</t>
  </si>
  <si>
    <t>FAC-00043</t>
  </si>
  <si>
    <t>CMD-00044</t>
  </si>
  <si>
    <t>LIV-00044</t>
  </si>
  <si>
    <t>FAC-00044</t>
  </si>
  <si>
    <t>CMD-00045</t>
  </si>
  <si>
    <t>LIV-00045</t>
  </si>
  <si>
    <t>FAC-00045</t>
  </si>
  <si>
    <t>CMD-00046</t>
  </si>
  <si>
    <t>LIV-00046</t>
  </si>
  <si>
    <t>FAC-00046</t>
  </si>
  <si>
    <t>CMD-00047</t>
  </si>
  <si>
    <t>LIV-00047</t>
  </si>
  <si>
    <t>FAC-00047</t>
  </si>
  <si>
    <t>CMD-00048</t>
  </si>
  <si>
    <t>LIV-00048</t>
  </si>
  <si>
    <t>FAC-00048</t>
  </si>
  <si>
    <t>CMD-00049</t>
  </si>
  <si>
    <t>LIV-00049</t>
  </si>
  <si>
    <t>FAC-00049</t>
  </si>
  <si>
    <t>CMD-00050</t>
  </si>
  <si>
    <t>LIV-00050</t>
  </si>
  <si>
    <t>FAC-00050</t>
  </si>
  <si>
    <t>CMD-00051</t>
  </si>
  <si>
    <t>LIV-00051</t>
  </si>
  <si>
    <t>FAC-00051</t>
  </si>
  <si>
    <t>CMD-00052</t>
  </si>
  <si>
    <t>LIV-00052</t>
  </si>
  <si>
    <t>FAC-00052</t>
  </si>
  <si>
    <t>CMD-00053</t>
  </si>
  <si>
    <t>LIV-00053</t>
  </si>
  <si>
    <t>FAC-00053</t>
  </si>
  <si>
    <t>CMD-00054</t>
  </si>
  <si>
    <t>LIV-00054</t>
  </si>
  <si>
    <t>FAC-00054</t>
  </si>
  <si>
    <t>CMD-00055</t>
  </si>
  <si>
    <t>LIV-00055</t>
  </si>
  <si>
    <t>FAC-00055</t>
  </si>
  <si>
    <t>CMD-00056</t>
  </si>
  <si>
    <t>LIV-00056</t>
  </si>
  <si>
    <t>FAC-00056</t>
  </si>
  <si>
    <t>CMD-00057</t>
  </si>
  <si>
    <t>LIV-00057</t>
  </si>
  <si>
    <t>FAC-00057</t>
  </si>
  <si>
    <t>CMD-00058</t>
  </si>
  <si>
    <t>LIV-00058</t>
  </si>
  <si>
    <t>FAC-00058</t>
  </si>
  <si>
    <t>CMD-00059</t>
  </si>
  <si>
    <t>LIV-00059</t>
  </si>
  <si>
    <t>FAC-00059</t>
  </si>
  <si>
    <t>CMD-00060</t>
  </si>
  <si>
    <t>LIV-00060</t>
  </si>
  <si>
    <t>FAC-00060</t>
  </si>
  <si>
    <t>CMD-00061</t>
  </si>
  <si>
    <t>LIV-00061</t>
  </si>
  <si>
    <t>FAC-00061</t>
  </si>
  <si>
    <t>CMD-00062</t>
  </si>
  <si>
    <t>LIV-00062</t>
  </si>
  <si>
    <t>FAC-00062</t>
  </si>
  <si>
    <t>CMD-00063</t>
  </si>
  <si>
    <t>LIV-00063</t>
  </si>
  <si>
    <t>FAC-00063</t>
  </si>
  <si>
    <t>CMD-00064</t>
  </si>
  <si>
    <t>LIV-00064</t>
  </si>
  <si>
    <t>FAC-00064</t>
  </si>
  <si>
    <t>CMD-00065</t>
  </si>
  <si>
    <t>LIV-00065</t>
  </si>
  <si>
    <t>FAC-00065</t>
  </si>
  <si>
    <t>CMD-00066</t>
  </si>
  <si>
    <t>LIV-00066</t>
  </si>
  <si>
    <t>FAC-00066</t>
  </si>
  <si>
    <t>CMD-00067</t>
  </si>
  <si>
    <t>EPICERIE LEMBA</t>
  </si>
  <si>
    <t>LIV-00067</t>
  </si>
  <si>
    <t>FAC-00067</t>
  </si>
  <si>
    <t>CMD-00068</t>
  </si>
  <si>
    <t>LIV-00068</t>
  </si>
  <si>
    <t>FAC-00068</t>
  </si>
  <si>
    <t>CMD-00069</t>
  </si>
  <si>
    <t>LIV-00069</t>
  </si>
  <si>
    <t>FAC-00069</t>
  </si>
  <si>
    <t>CMD-00070</t>
  </si>
  <si>
    <t>LIV-00070</t>
  </si>
  <si>
    <t>FAC-00070</t>
  </si>
  <si>
    <t>CMD-00071</t>
  </si>
  <si>
    <t>LIV-00071</t>
  </si>
  <si>
    <t>FAC-00071</t>
  </si>
  <si>
    <t>CMD-00072</t>
  </si>
  <si>
    <t>LIV-00072</t>
  </si>
  <si>
    <t>FAC-00072</t>
  </si>
  <si>
    <t>CMD-00073</t>
  </si>
  <si>
    <t>LIV-00073</t>
  </si>
  <si>
    <t>FAC-00073</t>
  </si>
  <si>
    <t>CMD-00074</t>
  </si>
  <si>
    <t>LIV-00074</t>
  </si>
  <si>
    <t>FAC-00074</t>
  </si>
  <si>
    <t>CMD-00075</t>
  </si>
  <si>
    <t>LIV-00075</t>
  </si>
  <si>
    <t>FAC-00075</t>
  </si>
  <si>
    <t>CMD-00076</t>
  </si>
  <si>
    <t>LIV-00076</t>
  </si>
  <si>
    <t>FAC-00076</t>
  </si>
  <si>
    <t>CMD-00077</t>
  </si>
  <si>
    <t>LIV-00077</t>
  </si>
  <si>
    <t>FAC-00077</t>
  </si>
  <si>
    <t>CMD-00078</t>
  </si>
  <si>
    <t>LIV-00078</t>
  </si>
  <si>
    <t>FAC-00078</t>
  </si>
  <si>
    <t>CMD-00079</t>
  </si>
  <si>
    <t>LIV-00079</t>
  </si>
  <si>
    <t>FAC-00079</t>
  </si>
  <si>
    <t>CMD-00080</t>
  </si>
  <si>
    <t>LIV-00080</t>
  </si>
  <si>
    <t>FAC-00080</t>
  </si>
  <si>
    <t>CMD-00081</t>
  </si>
  <si>
    <t>LIV-00081</t>
  </si>
  <si>
    <t>FAC-00081</t>
  </si>
  <si>
    <t>CMD-00082</t>
  </si>
  <si>
    <t>LIV-00082</t>
  </si>
  <si>
    <t>FAC-00082</t>
  </si>
  <si>
    <t>CMD-00083</t>
  </si>
  <si>
    <t>LIV-00083</t>
  </si>
  <si>
    <t>FAC-00083</t>
  </si>
  <si>
    <t>CMD-00084</t>
  </si>
  <si>
    <t>LIV-00084</t>
  </si>
  <si>
    <t>FAC-00084</t>
  </si>
  <si>
    <t>CMD-00085</t>
  </si>
  <si>
    <t>LIV-00085</t>
  </si>
  <si>
    <t>FAC-00085</t>
  </si>
  <si>
    <t>CMD-00086</t>
  </si>
  <si>
    <t>LIV-00086</t>
  </si>
  <si>
    <t>FAC-00086</t>
  </si>
  <si>
    <t>CMD-00087</t>
  </si>
  <si>
    <t>LIV-00087</t>
  </si>
  <si>
    <t>FAC-00087</t>
  </si>
  <si>
    <t>CMD-00088</t>
  </si>
  <si>
    <t>LIV-00088</t>
  </si>
  <si>
    <t>FAC-00088</t>
  </si>
  <si>
    <t>CMD-00089</t>
  </si>
  <si>
    <t>LIV-00089</t>
  </si>
  <si>
    <t>FAC-00089</t>
  </si>
  <si>
    <t>CMD-00090</t>
  </si>
  <si>
    <t>LIV-00090</t>
  </si>
  <si>
    <t>FAC-00090</t>
  </si>
  <si>
    <t>CMD-00091</t>
  </si>
  <si>
    <t>LIV-00091</t>
  </si>
  <si>
    <t>FAC-00091</t>
  </si>
  <si>
    <t>CMD-00092</t>
  </si>
  <si>
    <t>LIV-00092</t>
  </si>
  <si>
    <t>FAC-00092</t>
  </si>
  <si>
    <t>CMD-00093</t>
  </si>
  <si>
    <t>LIV-00093</t>
  </si>
  <si>
    <t>FAC-00093</t>
  </si>
  <si>
    <t>CMD-00094</t>
  </si>
  <si>
    <t>LIV-00094</t>
  </si>
  <si>
    <t>FAC-00094</t>
  </si>
  <si>
    <t>CMD-00095</t>
  </si>
  <si>
    <t>LIV-00095</t>
  </si>
  <si>
    <t>FAC-00095</t>
  </si>
  <si>
    <t>CMD-00096</t>
  </si>
  <si>
    <t>LIV-00096</t>
  </si>
  <si>
    <t>FAC-00096</t>
  </si>
  <si>
    <t>CMD-00097</t>
  </si>
  <si>
    <t>LIV-00097</t>
  </si>
  <si>
    <t>FAC-00097</t>
  </si>
  <si>
    <t>CMD-00098</t>
  </si>
  <si>
    <t>LIV-00098</t>
  </si>
  <si>
    <t>FAC-00098</t>
  </si>
  <si>
    <t>CMD-00099</t>
  </si>
  <si>
    <t>LIV-00099</t>
  </si>
  <si>
    <t>FAC-00099</t>
  </si>
  <si>
    <t>CMD-00100</t>
  </si>
  <si>
    <t>LIV-00100</t>
  </si>
  <si>
    <t>FAC-00100</t>
  </si>
  <si>
    <t>CMD-00101</t>
  </si>
  <si>
    <t>LIV-00101</t>
  </si>
  <si>
    <t>FAC-00101</t>
  </si>
  <si>
    <t>CMD-00102</t>
  </si>
  <si>
    <t>LIV-00102</t>
  </si>
  <si>
    <t>FAC-00102</t>
  </si>
  <si>
    <t>CMD-00103</t>
  </si>
  <si>
    <t>LIV-00103</t>
  </si>
  <si>
    <t>FAC-00103</t>
  </si>
  <si>
    <t>CMD-00104</t>
  </si>
  <si>
    <t>LIV-00104</t>
  </si>
  <si>
    <t>FAC-00104</t>
  </si>
  <si>
    <t>CMD-00105</t>
  </si>
  <si>
    <t>LIV-00105</t>
  </si>
  <si>
    <t>FAC-00105</t>
  </si>
  <si>
    <t>CMD-00106</t>
  </si>
  <si>
    <t>LIV-00106</t>
  </si>
  <si>
    <t>FAC-00106</t>
  </si>
  <si>
    <t>CMD-00107</t>
  </si>
  <si>
    <t>LIV-00107</t>
  </si>
  <si>
    <t>FAC-00107</t>
  </si>
  <si>
    <t>CMD-00108</t>
  </si>
  <si>
    <t>LIV-00108</t>
  </si>
  <si>
    <t>FAC-00108</t>
  </si>
  <si>
    <t>CMD-00109</t>
  </si>
  <si>
    <t>LIV-00109</t>
  </si>
  <si>
    <t>FAC-00109</t>
  </si>
  <si>
    <t>CMD-00110</t>
  </si>
  <si>
    <t>LIV-00110</t>
  </si>
  <si>
    <t>FAC-00110</t>
  </si>
  <si>
    <t>CMD-00111</t>
  </si>
  <si>
    <t>LIV-00111</t>
  </si>
  <si>
    <t>FAC-00111</t>
  </si>
  <si>
    <t>CMD-00112</t>
  </si>
  <si>
    <t>Non livrée</t>
  </si>
  <si>
    <t>CMD-00113</t>
  </si>
  <si>
    <t>LIV-00112</t>
  </si>
  <si>
    <t>FAC-00112</t>
  </si>
  <si>
    <t>CMD-00114</t>
  </si>
  <si>
    <t>LIV-00113</t>
  </si>
  <si>
    <t>FAC-00113</t>
  </si>
  <si>
    <t>CMD-00115</t>
  </si>
  <si>
    <t>LIV-00114</t>
  </si>
  <si>
    <t>FAC-00114</t>
  </si>
  <si>
    <t>CMD-00116</t>
  </si>
  <si>
    <t>LIV-00115</t>
  </si>
  <si>
    <t>FAC-00115</t>
  </si>
  <si>
    <t>CMD-00117</t>
  </si>
  <si>
    <t>LIV-00116</t>
  </si>
  <si>
    <t>FAC-00116</t>
  </si>
  <si>
    <t>CMD-00118</t>
  </si>
  <si>
    <t>LIV-00117</t>
  </si>
  <si>
    <t>FAC-00117</t>
  </si>
  <si>
    <t>CMD-00119</t>
  </si>
  <si>
    <t>LIV-00118</t>
  </si>
  <si>
    <t>FAC-00118</t>
  </si>
  <si>
    <t>CMD-00120</t>
  </si>
  <si>
    <t>LIV-00119</t>
  </si>
  <si>
    <t>FAC-00119</t>
  </si>
  <si>
    <t>CMD-00121</t>
  </si>
  <si>
    <t>LIV-00120</t>
  </si>
  <si>
    <t>FAC-00120</t>
  </si>
  <si>
    <t>CMD-00122</t>
  </si>
  <si>
    <t>LIV-00121</t>
  </si>
  <si>
    <t>FAC-00121</t>
  </si>
  <si>
    <t>CMD-00123</t>
  </si>
  <si>
    <t>LIV-00122</t>
  </si>
  <si>
    <t>FAC-00122</t>
  </si>
  <si>
    <t>CMD-00124</t>
  </si>
  <si>
    <t>LIV-00123</t>
  </si>
  <si>
    <t>FAC-00123</t>
  </si>
  <si>
    <t>CMD-00125</t>
  </si>
  <si>
    <t>LIV-00124</t>
  </si>
  <si>
    <t>FAC-00124</t>
  </si>
  <si>
    <t>CMD-00126</t>
  </si>
  <si>
    <t>LIV-00125</t>
  </si>
  <si>
    <t>FAC-00125</t>
  </si>
  <si>
    <t>CMD-00127</t>
  </si>
  <si>
    <t>LIV-00126</t>
  </si>
  <si>
    <t>FAC-00126</t>
  </si>
  <si>
    <t>CMD-00128</t>
  </si>
  <si>
    <t>LIV-00127</t>
  </si>
  <si>
    <t>FAC-00127</t>
  </si>
  <si>
    <t>CMD-00129</t>
  </si>
  <si>
    <t>LIV-00128</t>
  </si>
  <si>
    <t>FAC-00128</t>
  </si>
  <si>
    <t>CMD-00130</t>
  </si>
  <si>
    <t>LIV-00129</t>
  </si>
  <si>
    <t>FAC-00129</t>
  </si>
  <si>
    <t>CMD-00131</t>
  </si>
  <si>
    <t>LIV-00130</t>
  </si>
  <si>
    <t>FAC-00130</t>
  </si>
  <si>
    <t>CMD-00132</t>
  </si>
  <si>
    <t>LIV-00131</t>
  </si>
  <si>
    <t>FAC-00131</t>
  </si>
  <si>
    <t>CMD-00133</t>
  </si>
  <si>
    <t>LIV-00132</t>
  </si>
  <si>
    <t>FAC-00132</t>
  </si>
  <si>
    <t>CMD-00134</t>
  </si>
  <si>
    <t>LIV-00133</t>
  </si>
  <si>
    <t>FAC-00133</t>
  </si>
  <si>
    <t>CMD-00135</t>
  </si>
  <si>
    <t>LIV-00134</t>
  </si>
  <si>
    <t>FAC-00134</t>
  </si>
  <si>
    <t>CMD-00136</t>
  </si>
  <si>
    <t>LIV-00135</t>
  </si>
  <si>
    <t>FAC-00135</t>
  </si>
  <si>
    <t>CMD-00137</t>
  </si>
  <si>
    <t>LIV-00136</t>
  </si>
  <si>
    <t>FAC-00136</t>
  </si>
  <si>
    <t>CMD-00138</t>
  </si>
  <si>
    <t>LIV-00137</t>
  </si>
  <si>
    <t>FAC-00137</t>
  </si>
  <si>
    <t>CMD-00139</t>
  </si>
  <si>
    <t>LIV-00138</t>
  </si>
  <si>
    <t>FAC-00138</t>
  </si>
  <si>
    <t>CMD-00140</t>
  </si>
  <si>
    <t>LIV-00139</t>
  </si>
  <si>
    <t>FAC-00139</t>
  </si>
  <si>
    <t>CMD-00141</t>
  </si>
  <si>
    <t>LIV-00140</t>
  </si>
  <si>
    <t>FAC-00140</t>
  </si>
  <si>
    <t>CMD-00142</t>
  </si>
  <si>
    <t>LIV-00141</t>
  </si>
  <si>
    <t>FAC-00141</t>
  </si>
  <si>
    <t>CMD-00143</t>
  </si>
  <si>
    <t>LIV-00142</t>
  </si>
  <si>
    <t>FAC-00142</t>
  </si>
  <si>
    <t>CMD-00144</t>
  </si>
  <si>
    <t>LIV-00143</t>
  </si>
  <si>
    <t>FAC-00143</t>
  </si>
  <si>
    <t>CMD-00145</t>
  </si>
  <si>
    <t>LIV-00144</t>
  </si>
  <si>
    <t>FAC-00144</t>
  </si>
  <si>
    <t>CMD-00146</t>
  </si>
  <si>
    <t>LIV-00145</t>
  </si>
  <si>
    <t>FAC-00145</t>
  </si>
  <si>
    <t>CMD-00147</t>
  </si>
  <si>
    <t>LIV-00146</t>
  </si>
  <si>
    <t>FAC-00146</t>
  </si>
  <si>
    <t>CMD-00148</t>
  </si>
  <si>
    <t>LIV-00147</t>
  </si>
  <si>
    <t>FAC-00147</t>
  </si>
  <si>
    <t>CMD-00149</t>
  </si>
  <si>
    <t>LIV-00148</t>
  </si>
  <si>
    <t>FAC-00148</t>
  </si>
  <si>
    <t>CMD-00150</t>
  </si>
  <si>
    <t>LIV-00149</t>
  </si>
  <si>
    <t>FAC-00149</t>
  </si>
  <si>
    <t>CMD-00151</t>
  </si>
  <si>
    <t>LIV-00150</t>
  </si>
  <si>
    <t>FAC-00150</t>
  </si>
  <si>
    <t>CMD-00152</t>
  </si>
  <si>
    <t>LIV-00151</t>
  </si>
  <si>
    <t>FAC-00151</t>
  </si>
  <si>
    <t>CMD-00153</t>
  </si>
  <si>
    <t>LIV-00152</t>
  </si>
  <si>
    <t>FAC-00152</t>
  </si>
  <si>
    <t>CMD-00154</t>
  </si>
  <si>
    <t>LIV-00153</t>
  </si>
  <si>
    <t>FAC-00153</t>
  </si>
  <si>
    <t>CMD-00155</t>
  </si>
  <si>
    <t>LIV-00154</t>
  </si>
  <si>
    <t>FAC-00154</t>
  </si>
  <si>
    <t>CMD-00156</t>
  </si>
  <si>
    <t>LIV-00155</t>
  </si>
  <si>
    <t>FAC-00155</t>
  </si>
  <si>
    <t>CMD-00157</t>
  </si>
  <si>
    <t>LIV-00156</t>
  </si>
  <si>
    <t>FAC-00156</t>
  </si>
  <si>
    <t>CMD-00158</t>
  </si>
  <si>
    <t>LIV-00157</t>
  </si>
  <si>
    <t>FAC-00157</t>
  </si>
  <si>
    <t>CMD-00159</t>
  </si>
  <si>
    <t>LIV-00158</t>
  </si>
  <si>
    <t>FAC-00158</t>
  </si>
  <si>
    <t>CMD-00160</t>
  </si>
  <si>
    <t>LIV-00159</t>
  </si>
  <si>
    <t>FAC-00159</t>
  </si>
  <si>
    <t>CMD-00161</t>
  </si>
  <si>
    <t>LIV-00160</t>
  </si>
  <si>
    <t>FAC-00160</t>
  </si>
  <si>
    <t>CMD-00162</t>
  </si>
  <si>
    <t>LIV-00161</t>
  </si>
  <si>
    <t>FAC-00161</t>
  </si>
  <si>
    <t>CMD-00163</t>
  </si>
  <si>
    <t>LIV-00162</t>
  </si>
  <si>
    <t>FAC-00162</t>
  </si>
  <si>
    <t>CMD-00164</t>
  </si>
  <si>
    <t>LIV-00163</t>
  </si>
  <si>
    <t>FAC-00163</t>
  </si>
  <si>
    <t>CMD-00165</t>
  </si>
  <si>
    <t>LIV-00164</t>
  </si>
  <si>
    <t>FAC-00164</t>
  </si>
  <si>
    <t>CMD-00166</t>
  </si>
  <si>
    <t>LIV-00165</t>
  </si>
  <si>
    <t>FAC-00165</t>
  </si>
  <si>
    <t>CMD-00167</t>
  </si>
  <si>
    <t>LIV-00166</t>
  </si>
  <si>
    <t>FAC-00166</t>
  </si>
  <si>
    <t>CMD-00168</t>
  </si>
  <si>
    <t>LIV-00167</t>
  </si>
  <si>
    <t>FAC-00167</t>
  </si>
  <si>
    <t>CMD-00169</t>
  </si>
  <si>
    <t>LIV-00168</t>
  </si>
  <si>
    <t>FAC-00168</t>
  </si>
  <si>
    <t>CMD-00170</t>
  </si>
  <si>
    <t>LIV-00169</t>
  </si>
  <si>
    <t>FAC-00169</t>
  </si>
  <si>
    <t>CMD-00171</t>
  </si>
  <si>
    <t>LIV-00170</t>
  </si>
  <si>
    <t>FAC-00170</t>
  </si>
  <si>
    <t>CMD-00172</t>
  </si>
  <si>
    <t>LIV-00171</t>
  </si>
  <si>
    <t>FAC-00171</t>
  </si>
  <si>
    <t>CMD-00173</t>
  </si>
  <si>
    <t>LIV-00172</t>
  </si>
  <si>
    <t>FAC-00172</t>
  </si>
  <si>
    <t>CMD-00174</t>
  </si>
  <si>
    <t>LIV-00173</t>
  </si>
  <si>
    <t>FAC-00173</t>
  </si>
  <si>
    <t>CMD-00175</t>
  </si>
  <si>
    <t>LIV-00174</t>
  </si>
  <si>
    <t>FAC-00174</t>
  </si>
  <si>
    <t>CMD-00176</t>
  </si>
  <si>
    <t>LIV-00175</t>
  </si>
  <si>
    <t>FAC-00175</t>
  </si>
  <si>
    <t>CMD-00177</t>
  </si>
  <si>
    <t>LIV-00176</t>
  </si>
  <si>
    <t>FAC-00176</t>
  </si>
  <si>
    <t>CMD-00178</t>
  </si>
  <si>
    <t>LIV-00177</t>
  </si>
  <si>
    <t>FAC-00177</t>
  </si>
  <si>
    <t>CMD-00179</t>
  </si>
  <si>
    <t>LIV-00178</t>
  </si>
  <si>
    <t>FAC-00178</t>
  </si>
  <si>
    <t>CMD-00180</t>
  </si>
  <si>
    <t>LIV-00179</t>
  </si>
  <si>
    <t>FAC-00179</t>
  </si>
  <si>
    <t>CMD-00181</t>
  </si>
  <si>
    <t>LIV-00180</t>
  </si>
  <si>
    <t>FAC-00180</t>
  </si>
  <si>
    <t>CMD-00182</t>
  </si>
  <si>
    <t>LIV-00181</t>
  </si>
  <si>
    <t>FAC-00181</t>
  </si>
  <si>
    <t>CMD-00183</t>
  </si>
  <si>
    <t>LIV-00182</t>
  </si>
  <si>
    <t>FAC-00182</t>
  </si>
  <si>
    <t>CMD-00184</t>
  </si>
  <si>
    <t>LIV-00183</t>
  </si>
  <si>
    <t>FAC-00183</t>
  </si>
  <si>
    <t>CMD-00185</t>
  </si>
  <si>
    <t>LIV-00184</t>
  </si>
  <si>
    <t>FAC-00184</t>
  </si>
  <si>
    <t>CMD-00186</t>
  </si>
  <si>
    <t>LIV-00185</t>
  </si>
  <si>
    <t>FAC-00185</t>
  </si>
  <si>
    <t>CMD-00187</t>
  </si>
  <si>
    <t>LIV-00186</t>
  </si>
  <si>
    <t>FAC-00186</t>
  </si>
  <si>
    <t>CMD-00188</t>
  </si>
  <si>
    <t>LIV-00187</t>
  </si>
  <si>
    <t>FAC-00187</t>
  </si>
  <si>
    <t>CMD-00189</t>
  </si>
  <si>
    <t>LIV-00188</t>
  </si>
  <si>
    <t>FAC-00188</t>
  </si>
  <si>
    <t>CMD-00190</t>
  </si>
  <si>
    <t>LIV-00189</t>
  </si>
  <si>
    <t>FAC-00189</t>
  </si>
  <si>
    <t>CMD-00191</t>
  </si>
  <si>
    <t>LIV-00190</t>
  </si>
  <si>
    <t>FAC-00190</t>
  </si>
  <si>
    <t>CMD-00192</t>
  </si>
  <si>
    <t>LIV-00191</t>
  </si>
  <si>
    <t>FAC-00191</t>
  </si>
  <si>
    <t>CMD-00193</t>
  </si>
  <si>
    <t>LIV-00192</t>
  </si>
  <si>
    <t>FAC-00192</t>
  </si>
  <si>
    <t>CMD-00194</t>
  </si>
  <si>
    <t>LIV-00193</t>
  </si>
  <si>
    <t>FAC-00193</t>
  </si>
  <si>
    <t>CMD-00195</t>
  </si>
  <si>
    <t>LIV-00194</t>
  </si>
  <si>
    <t>FAC-00194</t>
  </si>
  <si>
    <t>CMD-00196</t>
  </si>
  <si>
    <t>LIV-00195</t>
  </si>
  <si>
    <t>FAC-00195</t>
  </si>
  <si>
    <t>CMD-00197</t>
  </si>
  <si>
    <t>LIV-00196</t>
  </si>
  <si>
    <t>FAC-00196</t>
  </si>
  <si>
    <t>CMD-00198</t>
  </si>
  <si>
    <t>LIV-00197</t>
  </si>
  <si>
    <t>FAC-00197</t>
  </si>
  <si>
    <t>CMD-00199</t>
  </si>
  <si>
    <t>LIV-00198</t>
  </si>
  <si>
    <t>FAC-00198</t>
  </si>
  <si>
    <t>CMD-00200</t>
  </si>
  <si>
    <t>LIV-00199</t>
  </si>
  <si>
    <t>FAC-00199</t>
  </si>
  <si>
    <t>CMD-00201</t>
  </si>
  <si>
    <t>LIV-00200</t>
  </si>
  <si>
    <t>FAC-00200</t>
  </si>
  <si>
    <t>CMD-00202</t>
  </si>
  <si>
    <t>LIV-00201</t>
  </si>
  <si>
    <t>FAC-00201</t>
  </si>
  <si>
    <t>CMD-00203</t>
  </si>
  <si>
    <t>LIV-00202</t>
  </si>
  <si>
    <t>FAC-00202</t>
  </si>
  <si>
    <t>CMD-00204</t>
  </si>
  <si>
    <t>LIV-00203</t>
  </si>
  <si>
    <t>FAC-00203</t>
  </si>
  <si>
    <t>CMD-00205</t>
  </si>
  <si>
    <t>LIV-00204</t>
  </si>
  <si>
    <t>FAC-00204</t>
  </si>
  <si>
    <t>CMD-00206</t>
  </si>
  <si>
    <t>CMD-00207</t>
  </si>
  <si>
    <t>LIV-00205</t>
  </si>
  <si>
    <t>FAC-00205</t>
  </si>
  <si>
    <t>CMD-00208</t>
  </si>
  <si>
    <t>LIV-00206</t>
  </si>
  <si>
    <t>FAC-00206</t>
  </si>
  <si>
    <t>CMD-00209</t>
  </si>
  <si>
    <t>LIV-00207</t>
  </si>
  <si>
    <t>FAC-00207</t>
  </si>
  <si>
    <t>CMD-00210</t>
  </si>
  <si>
    <t>LIV-00208</t>
  </si>
  <si>
    <t>FAC-00208</t>
  </si>
  <si>
    <t>CMD-00211</t>
  </si>
  <si>
    <t>LIV-00209</t>
  </si>
  <si>
    <t>FAC-00209</t>
  </si>
  <si>
    <t>CMD-00212</t>
  </si>
  <si>
    <t>LIV-00210</t>
  </si>
  <si>
    <t>FAC-00210</t>
  </si>
  <si>
    <t>CMD-00213</t>
  </si>
  <si>
    <t>LIV-00211</t>
  </si>
  <si>
    <t>FAC-00211</t>
  </si>
  <si>
    <t>CMD-00214</t>
  </si>
  <si>
    <t>LIV-00212</t>
  </si>
  <si>
    <t>FAC-00212</t>
  </si>
  <si>
    <t>CMD-00215</t>
  </si>
  <si>
    <t>LIV-00213</t>
  </si>
  <si>
    <t>FAC-00213</t>
  </si>
  <si>
    <t>CMD-00216</t>
  </si>
  <si>
    <t>LIV-00214</t>
  </si>
  <si>
    <t>FAC-00214</t>
  </si>
  <si>
    <t>CMD-00217</t>
  </si>
  <si>
    <t>LIV-00215</t>
  </si>
  <si>
    <t>FAC-00215</t>
  </si>
  <si>
    <t>CMD-00218</t>
  </si>
  <si>
    <t>LIV-00216</t>
  </si>
  <si>
    <t>FAC-00216</t>
  </si>
  <si>
    <t>CMD-00219</t>
  </si>
  <si>
    <t>LIV-00217</t>
  </si>
  <si>
    <t>FAC-00217</t>
  </si>
  <si>
    <t>CMD-00220</t>
  </si>
  <si>
    <t>LIV-00218</t>
  </si>
  <si>
    <t>Livrée non facturée</t>
  </si>
  <si>
    <t>CMD-00221</t>
  </si>
  <si>
    <t>LIV-00219</t>
  </si>
  <si>
    <t>FAC-00218</t>
  </si>
  <si>
    <t>CMD-00222</t>
  </si>
  <si>
    <t>LIV-00220</t>
  </si>
  <si>
    <t>FAC-00219</t>
  </si>
  <si>
    <t>CMD-00223</t>
  </si>
  <si>
    <t>LIV-00221</t>
  </si>
  <si>
    <t>FAC-00220</t>
  </si>
  <si>
    <t>CMD-00224</t>
  </si>
  <si>
    <t>LIV-00222</t>
  </si>
  <si>
    <t>FAC-00221</t>
  </si>
  <si>
    <t>CMD-00225</t>
  </si>
  <si>
    <t>LIV-00223</t>
  </si>
  <si>
    <t>FAC-00222</t>
  </si>
  <si>
    <t>CMD-00226</t>
  </si>
  <si>
    <t>LIV-00224</t>
  </si>
  <si>
    <t>FAC-00223</t>
  </si>
  <si>
    <t>CMD-00227</t>
  </si>
  <si>
    <t>LIV-00225</t>
  </si>
  <si>
    <t>FAC-00224</t>
  </si>
  <si>
    <t>CMD-00228</t>
  </si>
  <si>
    <t>LIV-00226</t>
  </si>
  <si>
    <t>FAC-00225</t>
  </si>
  <si>
    <t>CMD-00229</t>
  </si>
  <si>
    <t>LIV-00227</t>
  </si>
  <si>
    <t>FAC-00226</t>
  </si>
  <si>
    <t>CMD-00230</t>
  </si>
  <si>
    <t>LIV-00228</t>
  </si>
  <si>
    <t>FAC-00227</t>
  </si>
  <si>
    <t>CMD-00231</t>
  </si>
  <si>
    <t>LIV-00229</t>
  </si>
  <si>
    <t>FAC-00228</t>
  </si>
  <si>
    <t>CMD-00232</t>
  </si>
  <si>
    <t>LIV-00230</t>
  </si>
  <si>
    <t>FAC-00229</t>
  </si>
  <si>
    <t>CMD-00233</t>
  </si>
  <si>
    <t>LIV-00231</t>
  </si>
  <si>
    <t>FAC-00230</t>
  </si>
  <si>
    <t>CMD-00234</t>
  </si>
  <si>
    <t>LIV-00232</t>
  </si>
  <si>
    <t>FAC-00231</t>
  </si>
  <si>
    <t>CMD-00235</t>
  </si>
  <si>
    <t>LIV-00233</t>
  </si>
  <si>
    <t>FAC-00232</t>
  </si>
  <si>
    <t>CMD-00236</t>
  </si>
  <si>
    <t>LIV-00234</t>
  </si>
  <si>
    <t>FAC-00233</t>
  </si>
  <si>
    <t>CMD-00237</t>
  </si>
  <si>
    <t>LIV-00235</t>
  </si>
  <si>
    <t>FAC-00234</t>
  </si>
  <si>
    <t>CMD-00238</t>
  </si>
  <si>
    <t>LIV-00236</t>
  </si>
  <si>
    <t>FAC-00235</t>
  </si>
  <si>
    <t>CMD-00239</t>
  </si>
  <si>
    <t>LIV-00237</t>
  </si>
  <si>
    <t>FAC-00236</t>
  </si>
  <si>
    <t>CMD-00240</t>
  </si>
  <si>
    <t>LIV-00238</t>
  </si>
  <si>
    <t>FAC-00237</t>
  </si>
  <si>
    <t>CMD-00241</t>
  </si>
  <si>
    <t>LIV-00239</t>
  </si>
  <si>
    <t>FAC-00238</t>
  </si>
  <si>
    <t>CMD-00242</t>
  </si>
  <si>
    <t>LIV-00240</t>
  </si>
  <si>
    <t>FAC-00239</t>
  </si>
  <si>
    <t>CMD-00243</t>
  </si>
  <si>
    <t>LIV-00241</t>
  </si>
  <si>
    <t>FAC-00240</t>
  </si>
  <si>
    <t>CMD-00244</t>
  </si>
  <si>
    <t>LIV-00242</t>
  </si>
  <si>
    <t>FAC-00241</t>
  </si>
  <si>
    <t>CMD-00245</t>
  </si>
  <si>
    <t>LIV-00243</t>
  </si>
  <si>
    <t>FAC-00242</t>
  </si>
  <si>
    <t>CMD-00246</t>
  </si>
  <si>
    <t>LIV-00244</t>
  </si>
  <si>
    <t>FAC-00243</t>
  </si>
  <si>
    <t>CMD-00247</t>
  </si>
  <si>
    <t>LIV-00245</t>
  </si>
  <si>
    <t>FAC-00244</t>
  </si>
  <si>
    <t>CMD-00248</t>
  </si>
  <si>
    <t>LIV-00246</t>
  </si>
  <si>
    <t>FAC-00245</t>
  </si>
  <si>
    <t>CMD-00249</t>
  </si>
  <si>
    <t>LIV-00247</t>
  </si>
  <si>
    <t>FAC-00246</t>
  </si>
  <si>
    <t>CMD-00250</t>
  </si>
  <si>
    <t>LIV-00248</t>
  </si>
  <si>
    <t>FAC-00247</t>
  </si>
  <si>
    <t>CMD-00251</t>
  </si>
  <si>
    <t>LIV-00249</t>
  </si>
  <si>
    <t>FAC-00248</t>
  </si>
  <si>
    <t>CMD-00252</t>
  </si>
  <si>
    <t>LIV-00250</t>
  </si>
  <si>
    <t>FAC-00249</t>
  </si>
  <si>
    <t>CMD-00253</t>
  </si>
  <si>
    <t>LIV-00251</t>
  </si>
  <si>
    <t>FAC-00250</t>
  </si>
  <si>
    <t>CMD-00254</t>
  </si>
  <si>
    <t>LIV-00252</t>
  </si>
  <si>
    <t>FAC-00251</t>
  </si>
  <si>
    <t>CMD-00255</t>
  </si>
  <si>
    <t>LIV-00253</t>
  </si>
  <si>
    <t>FAC-00252</t>
  </si>
  <si>
    <t>CMD-00256</t>
  </si>
  <si>
    <t>LIV-00254</t>
  </si>
  <si>
    <t>FAC-00253</t>
  </si>
  <si>
    <t>CMD-00257</t>
  </si>
  <si>
    <t>LIV-00255</t>
  </si>
  <si>
    <t>FAC-00254</t>
  </si>
  <si>
    <t>CMD-00258</t>
  </si>
  <si>
    <t>LIV-00256</t>
  </si>
  <si>
    <t>FAC-00255</t>
  </si>
  <si>
    <t>CMD-00259</t>
  </si>
  <si>
    <t>LIV-00257</t>
  </si>
  <si>
    <t>FAC-00256</t>
  </si>
  <si>
    <t>CMD-00260</t>
  </si>
  <si>
    <t>LIV-00258</t>
  </si>
  <si>
    <t>FAC-00257</t>
  </si>
  <si>
    <t>CMD-00261</t>
  </si>
  <si>
    <t>LIV-00259</t>
  </si>
  <si>
    <t>FAC-00258</t>
  </si>
  <si>
    <t>CMD-00262</t>
  </si>
  <si>
    <t>LIV-00260</t>
  </si>
  <si>
    <t>FAC-00259</t>
  </si>
  <si>
    <t>CMD-00263</t>
  </si>
  <si>
    <t>LIV-00261</t>
  </si>
  <si>
    <t>FAC-00260</t>
  </si>
  <si>
    <t>CMD-00264</t>
  </si>
  <si>
    <t>LIV-00262</t>
  </si>
  <si>
    <t>FAC-00261</t>
  </si>
  <si>
    <t>CMD-00265</t>
  </si>
  <si>
    <t>LIV-00263</t>
  </si>
  <si>
    <t>FAC-00262</t>
  </si>
  <si>
    <t>CMD-00266</t>
  </si>
  <si>
    <t>LIV-00264</t>
  </si>
  <si>
    <t>FAC-00263</t>
  </si>
  <si>
    <t>CMD-00267</t>
  </si>
  <si>
    <t>LIV-00265</t>
  </si>
  <si>
    <t>FAC-00264</t>
  </si>
  <si>
    <t>CMD-00268</t>
  </si>
  <si>
    <t>LIV-00266</t>
  </si>
  <si>
    <t>FAC-00265</t>
  </si>
  <si>
    <t>CMD-00269</t>
  </si>
  <si>
    <t>LIV-00267</t>
  </si>
  <si>
    <t>FAC-00266</t>
  </si>
  <si>
    <t>CMD-00270</t>
  </si>
  <si>
    <t>LIV-00268</t>
  </si>
  <si>
    <t>FAC-00267</t>
  </si>
  <si>
    <t>CMD-00271</t>
  </si>
  <si>
    <t>LIV-00269</t>
  </si>
  <si>
    <t>FAC-00268</t>
  </si>
  <si>
    <t>CMD-00272</t>
  </si>
  <si>
    <t>LIV-00270</t>
  </si>
  <si>
    <t>FAC-00269</t>
  </si>
  <si>
    <t>CMD-00273</t>
  </si>
  <si>
    <t>LIV-00271</t>
  </si>
  <si>
    <t>FAC-00270</t>
  </si>
  <si>
    <t>CMD-00274</t>
  </si>
  <si>
    <t>LIV-00272</t>
  </si>
  <si>
    <t>FAC-00271</t>
  </si>
  <si>
    <t>CMD-00275</t>
  </si>
  <si>
    <t>LIV-00273</t>
  </si>
  <si>
    <t>FAC-00272</t>
  </si>
  <si>
    <t>CMD-00276</t>
  </si>
  <si>
    <t>LIV-00274</t>
  </si>
  <si>
    <t>FAC-00273</t>
  </si>
  <si>
    <t>CMD-00277</t>
  </si>
  <si>
    <t>LIV-00275</t>
  </si>
  <si>
    <t>FAC-00274</t>
  </si>
  <si>
    <t>CMD-00278</t>
  </si>
  <si>
    <t>LIV-00276</t>
  </si>
  <si>
    <t>FAC-00275</t>
  </si>
  <si>
    <t>CMD-00279</t>
  </si>
  <si>
    <t>LIV-00277</t>
  </si>
  <si>
    <t>FAC-00276</t>
  </si>
  <si>
    <t>CMD-00280</t>
  </si>
  <si>
    <t>LIV-00278</t>
  </si>
  <si>
    <t>FAC-00277</t>
  </si>
  <si>
    <t>CMD-00281</t>
  </si>
  <si>
    <t>LIV-00279</t>
  </si>
  <si>
    <t>FAC-00278</t>
  </si>
  <si>
    <t>CMD-00282</t>
  </si>
  <si>
    <t>LIV-00280</t>
  </si>
  <si>
    <t>FAC-00279</t>
  </si>
  <si>
    <t>CMD-00283</t>
  </si>
  <si>
    <t>CMD-00284</t>
  </si>
  <si>
    <t>LIV-00281</t>
  </si>
  <si>
    <t>FAC-00280</t>
  </si>
  <si>
    <t>CMD-00285</t>
  </si>
  <si>
    <t>LIV-00282</t>
  </si>
  <si>
    <t>FAC-00281</t>
  </si>
  <si>
    <t>CMD-00286</t>
  </si>
  <si>
    <t>LIV-00283</t>
  </si>
  <si>
    <t>FAC-00282</t>
  </si>
  <si>
    <t>CMD-00287</t>
  </si>
  <si>
    <t>LIV-00284</t>
  </si>
  <si>
    <t>FAC-00283</t>
  </si>
  <si>
    <t>CMD-00288</t>
  </si>
  <si>
    <t>LIV-00285</t>
  </si>
  <si>
    <t>FAC-00284</t>
  </si>
  <si>
    <t>CMD-00289</t>
  </si>
  <si>
    <t>LIV-00286</t>
  </si>
  <si>
    <t>FAC-00285</t>
  </si>
  <si>
    <t>CMD-00290</t>
  </si>
  <si>
    <t>LIV-00287</t>
  </si>
  <si>
    <t>FAC-00286</t>
  </si>
  <si>
    <t>CMD-00291</t>
  </si>
  <si>
    <t>LIV-00288</t>
  </si>
  <si>
    <t>FAC-00287</t>
  </si>
  <si>
    <t>CMD-00292</t>
  </si>
  <si>
    <t>LIV-00289</t>
  </si>
  <si>
    <t>FAC-00288</t>
  </si>
  <si>
    <t>CMD-00293</t>
  </si>
  <si>
    <t>LIV-00290</t>
  </si>
  <si>
    <t>FAC-00289</t>
  </si>
  <si>
    <t>CMD-00294</t>
  </si>
  <si>
    <t>LIV-00291</t>
  </si>
  <si>
    <t>FAC-00290</t>
  </si>
  <si>
    <t>CMD-00295</t>
  </si>
  <si>
    <t>LIV-00292</t>
  </si>
  <si>
    <t>FAC-00291</t>
  </si>
  <si>
    <t>CMD-00296</t>
  </si>
  <si>
    <t>LIV-00293</t>
  </si>
  <si>
    <t>FAC-00292</t>
  </si>
  <si>
    <t>CMD-00297</t>
  </si>
  <si>
    <t>LIV-00294</t>
  </si>
  <si>
    <t>FAC-00293</t>
  </si>
  <si>
    <t>CMD-00298</t>
  </si>
  <si>
    <t>LIV-00295</t>
  </si>
  <si>
    <t>FAC-00294</t>
  </si>
  <si>
    <t>CMD-00299</t>
  </si>
  <si>
    <t>LIV-00296</t>
  </si>
  <si>
    <t>FAC-00295</t>
  </si>
  <si>
    <t>CMD-00300</t>
  </si>
  <si>
    <t>LIV-00297</t>
  </si>
  <si>
    <t>FAC-00296</t>
  </si>
  <si>
    <t>CMD-00301</t>
  </si>
  <si>
    <t>LIV-00298</t>
  </si>
  <si>
    <t>FAC-00297</t>
  </si>
  <si>
    <t>CMD-00302</t>
  </si>
  <si>
    <t>LIV-00299</t>
  </si>
  <si>
    <t>FAC-00298</t>
  </si>
  <si>
    <t>CMD-00303</t>
  </si>
  <si>
    <t>LIV-00300</t>
  </si>
  <si>
    <t>FAC-00299</t>
  </si>
  <si>
    <t>CMD-00304</t>
  </si>
  <si>
    <t>LIV-00301</t>
  </si>
  <si>
    <t>FAC-00300</t>
  </si>
  <si>
    <t>CMD-00305</t>
  </si>
  <si>
    <t>LIV-00302</t>
  </si>
  <si>
    <t>FAC-00301</t>
  </si>
  <si>
    <t>CMD-00306</t>
  </si>
  <si>
    <t>LIV-00303</t>
  </si>
  <si>
    <t>FAC-00302</t>
  </si>
  <si>
    <t>CMD-00307</t>
  </si>
  <si>
    <t>LIV-00304</t>
  </si>
  <si>
    <t>FAC-00303</t>
  </si>
  <si>
    <t>CMD-00308</t>
  </si>
  <si>
    <t>LIV-00305</t>
  </si>
  <si>
    <t>FAC-00304</t>
  </si>
  <si>
    <t>CMD-00309</t>
  </si>
  <si>
    <t>LIV-00306</t>
  </si>
  <si>
    <t>FAC-00305</t>
  </si>
  <si>
    <t>CMD-00310</t>
  </si>
  <si>
    <t>LIV-00307</t>
  </si>
  <si>
    <t>FAC-00306</t>
  </si>
  <si>
    <t>CMD-00311</t>
  </si>
  <si>
    <t>LIV-00308</t>
  </si>
  <si>
    <t>FAC-00307</t>
  </si>
  <si>
    <t>CMD-00312</t>
  </si>
  <si>
    <t>LIV-00309</t>
  </si>
  <si>
    <t>FAC-00308</t>
  </si>
  <si>
    <t>CMD-00313</t>
  </si>
  <si>
    <t>LIV-00310</t>
  </si>
  <si>
    <t>FAC-00309</t>
  </si>
  <si>
    <t>CMD-00314</t>
  </si>
  <si>
    <t>LIV-00311</t>
  </si>
  <si>
    <t>FAC-00310</t>
  </si>
  <si>
    <t>CMD-00315</t>
  </si>
  <si>
    <t>LIV-00312</t>
  </si>
  <si>
    <t>FAC-00311</t>
  </si>
  <si>
    <t>CMD-00316</t>
  </si>
  <si>
    <t>LIV-00313</t>
  </si>
  <si>
    <t>FAC-00312</t>
  </si>
  <si>
    <t>CMD-00317</t>
  </si>
  <si>
    <t>LIV-00314</t>
  </si>
  <si>
    <t>FAC-00313</t>
  </si>
  <si>
    <t>CMD-00318</t>
  </si>
  <si>
    <t>LIV-00315</t>
  </si>
  <si>
    <t>FAC-00314</t>
  </si>
  <si>
    <t>CMD-00319</t>
  </si>
  <si>
    <t>LIV-00316</t>
  </si>
  <si>
    <t>FAC-00315</t>
  </si>
  <si>
    <t>CMD-00320</t>
  </si>
  <si>
    <t>LIV-00317</t>
  </si>
  <si>
    <t>FAC-00316</t>
  </si>
  <si>
    <t>CMD-00321</t>
  </si>
  <si>
    <t>LIV-00318</t>
  </si>
  <si>
    <t>FAC-00317</t>
  </si>
  <si>
    <t>CMD-00322</t>
  </si>
  <si>
    <t>LIV-00319</t>
  </si>
  <si>
    <t>FAC-00318</t>
  </si>
  <si>
    <t>CMD-00323</t>
  </si>
  <si>
    <t>LIV-00320</t>
  </si>
  <si>
    <t>FAC-00319</t>
  </si>
  <si>
    <t>CMD-00324</t>
  </si>
  <si>
    <t>LIV-00321</t>
  </si>
  <si>
    <t>FAC-00320</t>
  </si>
  <si>
    <t>CMD-00325</t>
  </si>
  <si>
    <t>LIV-00322</t>
  </si>
  <si>
    <t>FAC-00321</t>
  </si>
  <si>
    <t>CMD-00326</t>
  </si>
  <si>
    <t>LIV-00323</t>
  </si>
  <si>
    <t>FAC-00322</t>
  </si>
  <si>
    <t>CMD-00327</t>
  </si>
  <si>
    <t>LIV-00324</t>
  </si>
  <si>
    <t>FAC-00323</t>
  </si>
  <si>
    <t>CMD-00328</t>
  </si>
  <si>
    <t>LIV-00325</t>
  </si>
  <si>
    <t>FAC-00324</t>
  </si>
  <si>
    <t>CMD-00329</t>
  </si>
  <si>
    <t>LIV-00326</t>
  </si>
  <si>
    <t>FAC-00325</t>
  </si>
  <si>
    <t>CMD-00330</t>
  </si>
  <si>
    <t>LIV-00327</t>
  </si>
  <si>
    <t>FAC-00326</t>
  </si>
  <si>
    <t>CMD-00331</t>
  </si>
  <si>
    <t>LIV-00328</t>
  </si>
  <si>
    <t>FAC-00327</t>
  </si>
  <si>
    <t>CMD-00332</t>
  </si>
  <si>
    <t>LIV-00329</t>
  </si>
  <si>
    <t>FAC-00328</t>
  </si>
  <si>
    <t>CMD-00333</t>
  </si>
  <si>
    <t>LIV-00330</t>
  </si>
  <si>
    <t>FAC-00329</t>
  </si>
  <si>
    <t>CMD-00334</t>
  </si>
  <si>
    <t>LIV-00331</t>
  </si>
  <si>
    <t>FAC-00330</t>
  </si>
  <si>
    <t>CMD-00335</t>
  </si>
  <si>
    <t>LIV-00332</t>
  </si>
  <si>
    <t>FAC-00331</t>
  </si>
  <si>
    <t>CMD-00336</t>
  </si>
  <si>
    <t>LIV-00333</t>
  </si>
  <si>
    <t>FAC-00332</t>
  </si>
  <si>
    <t>CMD-00337</t>
  </si>
  <si>
    <t>LIV-00334</t>
  </si>
  <si>
    <t>FAC-00333</t>
  </si>
  <si>
    <t>CMD-00338</t>
  </si>
  <si>
    <t>LIV-00335</t>
  </si>
  <si>
    <t>FAC-00334</t>
  </si>
  <si>
    <t>CMD-00339</t>
  </si>
  <si>
    <t>LIV-00336</t>
  </si>
  <si>
    <t>FAC-00335</t>
  </si>
  <si>
    <t>CMD-00340</t>
  </si>
  <si>
    <t>LIV-00337</t>
  </si>
  <si>
    <t>FAC-00336</t>
  </si>
  <si>
    <t>CMD-00341</t>
  </si>
  <si>
    <t>LIV-00338</t>
  </si>
  <si>
    <t>FAC-00337</t>
  </si>
  <si>
    <t>CMD-00342</t>
  </si>
  <si>
    <t>LIV-00339</t>
  </si>
  <si>
    <t>FAC-00338</t>
  </si>
  <si>
    <t>CMD-00343</t>
  </si>
  <si>
    <t>LIV-00340</t>
  </si>
  <si>
    <t>FAC-00339</t>
  </si>
  <si>
    <t>CMD-00344</t>
  </si>
  <si>
    <t>LIV-00341</t>
  </si>
  <si>
    <t>FAC-00340</t>
  </si>
  <si>
    <t>CMD-00345</t>
  </si>
  <si>
    <t>LIV-00342</t>
  </si>
  <si>
    <t>FAC-00341</t>
  </si>
  <si>
    <t>CMD-00346</t>
  </si>
  <si>
    <t>LIV-00343</t>
  </si>
  <si>
    <t>FAC-07886</t>
  </si>
  <si>
    <t>Facture en double</t>
  </si>
  <si>
    <t>CMD-00347</t>
  </si>
  <si>
    <t>LIV-00344</t>
  </si>
  <si>
    <t>FAC-00343</t>
  </si>
  <si>
    <t>CMD-00348</t>
  </si>
  <si>
    <t>LIV-00345</t>
  </si>
  <si>
    <t>FAC-00344</t>
  </si>
  <si>
    <t>CMD-00349</t>
  </si>
  <si>
    <t>LIV-00346</t>
  </si>
  <si>
    <t>FAC-00345</t>
  </si>
  <si>
    <t>CMD-00350</t>
  </si>
  <si>
    <t>LIV-00347</t>
  </si>
  <si>
    <t>FAC-00346</t>
  </si>
  <si>
    <t>CMD-00351</t>
  </si>
  <si>
    <t>LIV-00348</t>
  </si>
  <si>
    <t>FAC-00347</t>
  </si>
  <si>
    <t>CMD-00352</t>
  </si>
  <si>
    <t>CMD-00353</t>
  </si>
  <si>
    <t>LIV-00349</t>
  </si>
  <si>
    <t>FAC-00348</t>
  </si>
  <si>
    <t>CMD-00354</t>
  </si>
  <si>
    <t>LIV-00350</t>
  </si>
  <si>
    <t>FAC-00349</t>
  </si>
  <si>
    <t>CMD-00355</t>
  </si>
  <si>
    <t>LIV-00351</t>
  </si>
  <si>
    <t>FAC-00350</t>
  </si>
  <si>
    <t>CMD-00356</t>
  </si>
  <si>
    <t>LIV-00352</t>
  </si>
  <si>
    <t>FAC-00351</t>
  </si>
  <si>
    <t>CMD-00357</t>
  </si>
  <si>
    <t>LIV-00353</t>
  </si>
  <si>
    <t>FAC-00352</t>
  </si>
  <si>
    <t>CMD-00358</t>
  </si>
  <si>
    <t>LIV-00354</t>
  </si>
  <si>
    <t>FAC-00353</t>
  </si>
  <si>
    <t>CMD-00359</t>
  </si>
  <si>
    <t>LIV-00355</t>
  </si>
  <si>
    <t>FAC-00354</t>
  </si>
  <si>
    <t>CMD-00360</t>
  </si>
  <si>
    <t>LIV-00356</t>
  </si>
  <si>
    <t>FAC-00355</t>
  </si>
  <si>
    <t>CMD-00361</t>
  </si>
  <si>
    <t>LIV-00357</t>
  </si>
  <si>
    <t>FAC-00356</t>
  </si>
  <si>
    <t>CMD-00362</t>
  </si>
  <si>
    <t>LIV-00358</t>
  </si>
  <si>
    <t>FAC-00357</t>
  </si>
  <si>
    <t>CMD-00363</t>
  </si>
  <si>
    <t>LIV-00359</t>
  </si>
  <si>
    <t>FAC-00358</t>
  </si>
  <si>
    <t>CMD-00364</t>
  </si>
  <si>
    <t>LIV-00360</t>
  </si>
  <si>
    <t>FAC-00359</t>
  </si>
  <si>
    <t>CMD-00365</t>
  </si>
  <si>
    <t>LIV-00361</t>
  </si>
  <si>
    <t>FAC-00360</t>
  </si>
  <si>
    <t>CMD-00366</t>
  </si>
  <si>
    <t>LIV-00362</t>
  </si>
  <si>
    <t>FAC-00361</t>
  </si>
  <si>
    <t>CMD-00367</t>
  </si>
  <si>
    <t>LIV-00363</t>
  </si>
  <si>
    <t>FAC-00362</t>
  </si>
  <si>
    <t>CMD-00368</t>
  </si>
  <si>
    <t>LIV-00364</t>
  </si>
  <si>
    <t>FAC-00363</t>
  </si>
  <si>
    <t>CMD-00369</t>
  </si>
  <si>
    <t>LIV-00365</t>
  </si>
  <si>
    <t>FAC-00364</t>
  </si>
  <si>
    <t>CMD-00370</t>
  </si>
  <si>
    <t>LIV-00366</t>
  </si>
  <si>
    <t>FAC-00365</t>
  </si>
  <si>
    <t>CMD-00371</t>
  </si>
  <si>
    <t>LIV-00367</t>
  </si>
  <si>
    <t>FAC-00366</t>
  </si>
  <si>
    <t>CMD-00372</t>
  </si>
  <si>
    <t>LIV-00368</t>
  </si>
  <si>
    <t>FAC-00367</t>
  </si>
  <si>
    <t>CMD-00373</t>
  </si>
  <si>
    <t>LIV-00369</t>
  </si>
  <si>
    <t>FAC-00368</t>
  </si>
  <si>
    <t>CMD-00374</t>
  </si>
  <si>
    <t>LIV-00370</t>
  </si>
  <si>
    <t>FAC-00369</t>
  </si>
  <si>
    <t>CMD-00375</t>
  </si>
  <si>
    <t>LIV-00371</t>
  </si>
  <si>
    <t>FAC-00370</t>
  </si>
  <si>
    <t>CMD-00376</t>
  </si>
  <si>
    <t>LIV-00372</t>
  </si>
  <si>
    <t>FAC-00371</t>
  </si>
  <si>
    <t>CMD-00377</t>
  </si>
  <si>
    <t>LIV-00373</t>
  </si>
  <si>
    <t>FAC-00372</t>
  </si>
  <si>
    <t>CMD-00378</t>
  </si>
  <si>
    <t>LIV-00374</t>
  </si>
  <si>
    <t>FAC-00373</t>
  </si>
  <si>
    <t>CMD-00379</t>
  </si>
  <si>
    <t>LIV-00375</t>
  </si>
  <si>
    <t>FAC-00374</t>
  </si>
  <si>
    <t>CMD-00380</t>
  </si>
  <si>
    <t>LIV-00376</t>
  </si>
  <si>
    <t>FAC-00375</t>
  </si>
  <si>
    <t>CMD-00381</t>
  </si>
  <si>
    <t>LIV-00377</t>
  </si>
  <si>
    <t>FAC-00376</t>
  </si>
  <si>
    <t>CMD-00382</t>
  </si>
  <si>
    <t>LIV-00378</t>
  </si>
  <si>
    <t>FAC-00377</t>
  </si>
  <si>
    <t>CMD-00383</t>
  </si>
  <si>
    <t>LIV-00379</t>
  </si>
  <si>
    <t>FAC-00378</t>
  </si>
  <si>
    <t>CMD-00384</t>
  </si>
  <si>
    <t>LIV-00380</t>
  </si>
  <si>
    <t>FAC-00379</t>
  </si>
  <si>
    <t>CMD-00385</t>
  </si>
  <si>
    <t>LIV-00381</t>
  </si>
  <si>
    <t>FAC-00380</t>
  </si>
  <si>
    <t>CMD-00386</t>
  </si>
  <si>
    <t>LIV-00382</t>
  </si>
  <si>
    <t>FAC-00381</t>
  </si>
  <si>
    <t>CMD-00387</t>
  </si>
  <si>
    <t>LIV-00383</t>
  </si>
  <si>
    <t>FAC-00382</t>
  </si>
  <si>
    <t>CMD-00388</t>
  </si>
  <si>
    <t>LIV-00384</t>
  </si>
  <si>
    <t>FAC-00383</t>
  </si>
  <si>
    <t>CMD-00389</t>
  </si>
  <si>
    <t>LIV-00385</t>
  </si>
  <si>
    <t>FAC-00384</t>
  </si>
  <si>
    <t>CMD-00390</t>
  </si>
  <si>
    <t>LIV-00386</t>
  </si>
  <si>
    <t>FAC-00385</t>
  </si>
  <si>
    <t>CMD-00391</t>
  </si>
  <si>
    <t>LIV-00387</t>
  </si>
  <si>
    <t>FAC-00386</t>
  </si>
  <si>
    <t>CMD-00392</t>
  </si>
  <si>
    <t>LIV-00388</t>
  </si>
  <si>
    <t>FAC-00387</t>
  </si>
  <si>
    <t>CMD-00393</t>
  </si>
  <si>
    <t>LIV-00389</t>
  </si>
  <si>
    <t>FAC-00388</t>
  </si>
  <si>
    <t>CMD-00394</t>
  </si>
  <si>
    <t>LIV-00390</t>
  </si>
  <si>
    <t>FAC-00389</t>
  </si>
  <si>
    <t>CMD-00395</t>
  </si>
  <si>
    <t>LIV-00391</t>
  </si>
  <si>
    <t>FAC-00390</t>
  </si>
  <si>
    <t>CMD-00396</t>
  </si>
  <si>
    <t>LIV-00392</t>
  </si>
  <si>
    <t>FAC-00391</t>
  </si>
  <si>
    <t>CMD-00397</t>
  </si>
  <si>
    <t>LIV-00393</t>
  </si>
  <si>
    <t>FAC-00392</t>
  </si>
  <si>
    <t>CMD-00398</t>
  </si>
  <si>
    <t>LIV-00394</t>
  </si>
  <si>
    <t>FAC-00393</t>
  </si>
  <si>
    <t>CMD-00399</t>
  </si>
  <si>
    <t>LIV-00395</t>
  </si>
  <si>
    <t>FAC-00394</t>
  </si>
  <si>
    <t>CMD-00400</t>
  </si>
  <si>
    <t>LIV-00396</t>
  </si>
  <si>
    <t>FAC-00395</t>
  </si>
  <si>
    <t>CMD-00401</t>
  </si>
  <si>
    <t>LIV-00397</t>
  </si>
  <si>
    <t>FAC-00396</t>
  </si>
  <si>
    <t>CMD-00402</t>
  </si>
  <si>
    <t>LIV-00398</t>
  </si>
  <si>
    <t>FAC-00397</t>
  </si>
  <si>
    <t>CMD-00403</t>
  </si>
  <si>
    <t>LIV-00399</t>
  </si>
  <si>
    <t>FAC-00398</t>
  </si>
  <si>
    <t>CMD-00404</t>
  </si>
  <si>
    <t>LIV-00400</t>
  </si>
  <si>
    <t>FAC-00399</t>
  </si>
  <si>
    <t>CMD-00405</t>
  </si>
  <si>
    <t>LIV-00401</t>
  </si>
  <si>
    <t>FAC-00400</t>
  </si>
  <si>
    <t>CMD-00406</t>
  </si>
  <si>
    <t>LIV-00402</t>
  </si>
  <si>
    <t>FAC-00401</t>
  </si>
  <si>
    <t>CMD-00407</t>
  </si>
  <si>
    <t>LIV-00403</t>
  </si>
  <si>
    <t>FAC-00402</t>
  </si>
  <si>
    <t>CMD-00408</t>
  </si>
  <si>
    <t>LIV-00404</t>
  </si>
  <si>
    <t>FAC-00403</t>
  </si>
  <si>
    <t>CMD-00409</t>
  </si>
  <si>
    <t>LIV-00405</t>
  </si>
  <si>
    <t>FAC-00404</t>
  </si>
  <si>
    <t>CMD-00410</t>
  </si>
  <si>
    <t>LIV-00406</t>
  </si>
  <si>
    <t>FAC-00405</t>
  </si>
  <si>
    <t>CMD-00411</t>
  </si>
  <si>
    <t>LIV-00407</t>
  </si>
  <si>
    <t>FAC-00406</t>
  </si>
  <si>
    <t>CMD-00412</t>
  </si>
  <si>
    <t>LIV-00408</t>
  </si>
  <si>
    <t>FAC-00407</t>
  </si>
  <si>
    <t>CMD-00413</t>
  </si>
  <si>
    <t>LIV-00409</t>
  </si>
  <si>
    <t>FAC-00408</t>
  </si>
  <si>
    <t>CMD-00414</t>
  </si>
  <si>
    <t>LIV-00410</t>
  </si>
  <si>
    <t>FAC-00409</t>
  </si>
  <si>
    <t>CMD-00415</t>
  </si>
  <si>
    <t>LIV-00411</t>
  </si>
  <si>
    <t>FAC-00410</t>
  </si>
  <si>
    <t>CMD-00416</t>
  </si>
  <si>
    <t>LIV-00412</t>
  </si>
  <si>
    <t>FAC-00411</t>
  </si>
  <si>
    <t>CMD-00417</t>
  </si>
  <si>
    <t>LIV-00413</t>
  </si>
  <si>
    <t>FAC-00412</t>
  </si>
  <si>
    <t>CMD-00418</t>
  </si>
  <si>
    <t>LIV-00414</t>
  </si>
  <si>
    <t>FAC-00413</t>
  </si>
  <si>
    <t>CMD-00419</t>
  </si>
  <si>
    <t>LIV-00415</t>
  </si>
  <si>
    <t>FAC-00414</t>
  </si>
  <si>
    <t>CMD-00420</t>
  </si>
  <si>
    <t>LIV-00416</t>
  </si>
  <si>
    <t>FAC-00415</t>
  </si>
  <si>
    <t>CMD-00421</t>
  </si>
  <si>
    <t>LIV-00417</t>
  </si>
  <si>
    <t>FAC-00416</t>
  </si>
  <si>
    <t>CMD-00422</t>
  </si>
  <si>
    <t>LIV-00418</t>
  </si>
  <si>
    <t>FAC-00417</t>
  </si>
  <si>
    <t>CMD-00423</t>
  </si>
  <si>
    <t>LIV-00419</t>
  </si>
  <si>
    <t>FAC-00418</t>
  </si>
  <si>
    <t>CMD-00424</t>
  </si>
  <si>
    <t>LIV-00420</t>
  </si>
  <si>
    <t>FAC-00419</t>
  </si>
  <si>
    <t>CMD-00425</t>
  </si>
  <si>
    <t>LIV-00421</t>
  </si>
  <si>
    <t>FAC-00420</t>
  </si>
  <si>
    <t>CMD-00426</t>
  </si>
  <si>
    <t>LIV-00422</t>
  </si>
  <si>
    <t>FAC-00421</t>
  </si>
  <si>
    <t>CMD-00427</t>
  </si>
  <si>
    <t>LIV-00423</t>
  </si>
  <si>
    <t>FAC-00422</t>
  </si>
  <si>
    <t>CMD-00428</t>
  </si>
  <si>
    <t>LIV-00424</t>
  </si>
  <si>
    <t>FAC-00423</t>
  </si>
  <si>
    <t>CMD-00429</t>
  </si>
  <si>
    <t>LIV-00425</t>
  </si>
  <si>
    <t>FAC-00424</t>
  </si>
  <si>
    <t>CMD-00430</t>
  </si>
  <si>
    <t>LIV-00426</t>
  </si>
  <si>
    <t>FAC-00425</t>
  </si>
  <si>
    <t>CMD-00431</t>
  </si>
  <si>
    <t>LIV-00427</t>
  </si>
  <si>
    <t>FAC-00426</t>
  </si>
  <si>
    <t>CMD-00432</t>
  </si>
  <si>
    <t>LIV-00428</t>
  </si>
  <si>
    <t>FAC-00427</t>
  </si>
  <si>
    <t>CMD-00433</t>
  </si>
  <si>
    <t>LIV-00429</t>
  </si>
  <si>
    <t>FAC-00428</t>
  </si>
  <si>
    <t>CMD-00434</t>
  </si>
  <si>
    <t>LIV-00430</t>
  </si>
  <si>
    <t>FAC-00429</t>
  </si>
  <si>
    <t>CMD-00435</t>
  </si>
  <si>
    <t>LIV-00431</t>
  </si>
  <si>
    <t>FAC-00430</t>
  </si>
  <si>
    <t>CMD-00436</t>
  </si>
  <si>
    <t>LIV-00432</t>
  </si>
  <si>
    <t>FAC-00431</t>
  </si>
  <si>
    <t>CMD-00437</t>
  </si>
  <si>
    <t>LIV-00433</t>
  </si>
  <si>
    <t>FAC-00432</t>
  </si>
  <si>
    <t>CMD-00438</t>
  </si>
  <si>
    <t>LIV-00434</t>
  </si>
  <si>
    <t>FAC-00433</t>
  </si>
  <si>
    <t>CMD-00439</t>
  </si>
  <si>
    <t>LIV-00435</t>
  </si>
  <si>
    <t>FAC-00434</t>
  </si>
  <si>
    <t>CMD-00440</t>
  </si>
  <si>
    <t>LIV-00436</t>
  </si>
  <si>
    <t>FAC-00435</t>
  </si>
  <si>
    <t>CMD-00441</t>
  </si>
  <si>
    <t>LIV-00437</t>
  </si>
  <si>
    <t>FAC-00436</t>
  </si>
  <si>
    <t>CMD-00442</t>
  </si>
  <si>
    <t>LIV-00438</t>
  </si>
  <si>
    <t>FAC-00437</t>
  </si>
  <si>
    <t>CMD-00443</t>
  </si>
  <si>
    <t>LIV-00439</t>
  </si>
  <si>
    <t>FAC-00438</t>
  </si>
  <si>
    <t>CMD-00444</t>
  </si>
  <si>
    <t>LIV-00440</t>
  </si>
  <si>
    <t>FAC-00439</t>
  </si>
  <si>
    <t>CMD-00445</t>
  </si>
  <si>
    <t>LIV-00441</t>
  </si>
  <si>
    <t>FAC-00440</t>
  </si>
  <si>
    <t>CMD-00446</t>
  </si>
  <si>
    <t>LIV-00442</t>
  </si>
  <si>
    <t>FAC-00441</t>
  </si>
  <si>
    <t>CMD-00447</t>
  </si>
  <si>
    <t>LIV-00443</t>
  </si>
  <si>
    <t>FAC-00442</t>
  </si>
  <si>
    <t>CMD-00448</t>
  </si>
  <si>
    <t>LIV-00444</t>
  </si>
  <si>
    <t>FAC-00443</t>
  </si>
  <si>
    <t>CMD-00449</t>
  </si>
  <si>
    <t>LIV-00445</t>
  </si>
  <si>
    <t>FAC-00444</t>
  </si>
  <si>
    <t>CMD-00450</t>
  </si>
  <si>
    <t>LIV-00446</t>
  </si>
  <si>
    <t>FAC-00445</t>
  </si>
  <si>
    <t>CMD-00451</t>
  </si>
  <si>
    <t>LIV-00447</t>
  </si>
  <si>
    <t>FAC-00446</t>
  </si>
  <si>
    <t>CMD-00452</t>
  </si>
  <si>
    <t>LIV-00448</t>
  </si>
  <si>
    <t>FAC-00447</t>
  </si>
  <si>
    <t>CMD-00453</t>
  </si>
  <si>
    <t>LIV-00449</t>
  </si>
  <si>
    <t>FAC-00448</t>
  </si>
  <si>
    <t>CMD-00454</t>
  </si>
  <si>
    <t>LIV-00450</t>
  </si>
  <si>
    <t>FAC-00449</t>
  </si>
  <si>
    <t>CMD-00455</t>
  </si>
  <si>
    <t>LIV-00451</t>
  </si>
  <si>
    <t>FAC-00450</t>
  </si>
  <si>
    <t>CMD-00456</t>
  </si>
  <si>
    <t>LIV-00452</t>
  </si>
  <si>
    <t>FAC-00451</t>
  </si>
  <si>
    <t>CMD-00457</t>
  </si>
  <si>
    <t>LIV-00453</t>
  </si>
  <si>
    <t>FAC-00452</t>
  </si>
  <si>
    <t>CMD-00458</t>
  </si>
  <si>
    <t>LIV-00454</t>
  </si>
  <si>
    <t>FAC-00453</t>
  </si>
  <si>
    <t>CMD-00459</t>
  </si>
  <si>
    <t>LIV-00455</t>
  </si>
  <si>
    <t>FAC-00454</t>
  </si>
  <si>
    <t>CMD-00460</t>
  </si>
  <si>
    <t>LIV-00456</t>
  </si>
  <si>
    <t>FAC-00455</t>
  </si>
  <si>
    <t>CMD-00461</t>
  </si>
  <si>
    <t>LIV-00457</t>
  </si>
  <si>
    <t>FAC-00456</t>
  </si>
  <si>
    <t>CMD-00462</t>
  </si>
  <si>
    <t>LIV-00458</t>
  </si>
  <si>
    <t>FAC-00457</t>
  </si>
  <si>
    <t>CMD-00463</t>
  </si>
  <si>
    <t>LIV-00459</t>
  </si>
  <si>
    <t>FAC-00458</t>
  </si>
  <si>
    <t>CMD-00464</t>
  </si>
  <si>
    <t>LIV-00460</t>
  </si>
  <si>
    <t>FAC-00459</t>
  </si>
  <si>
    <t>CMD-00465</t>
  </si>
  <si>
    <t>LIV-00461</t>
  </si>
  <si>
    <t>FAC-00460</t>
  </si>
  <si>
    <t>CMD-00466</t>
  </si>
  <si>
    <t>LIV-00462</t>
  </si>
  <si>
    <t>FAC-00461</t>
  </si>
  <si>
    <t>CMD-00467</t>
  </si>
  <si>
    <t>LIV-00463</t>
  </si>
  <si>
    <t>FAC-00462</t>
  </si>
  <si>
    <t>CMD-00468</t>
  </si>
  <si>
    <t>LIV-00464</t>
  </si>
  <si>
    <t>FAC-00463</t>
  </si>
  <si>
    <t>CMD-00469</t>
  </si>
  <si>
    <t>LIV-00465</t>
  </si>
  <si>
    <t>FAC-00464</t>
  </si>
  <si>
    <t>CMD-00470</t>
  </si>
  <si>
    <t>LIV-00466</t>
  </si>
  <si>
    <t>FAC-00465</t>
  </si>
  <si>
    <t>CMD-00471</t>
  </si>
  <si>
    <t>LIV-00467</t>
  </si>
  <si>
    <t>FAC-00466</t>
  </si>
  <si>
    <t>CMD-00472</t>
  </si>
  <si>
    <t>LIV-00468</t>
  </si>
  <si>
    <t>FAC-00467</t>
  </si>
  <si>
    <t>CMD-00473</t>
  </si>
  <si>
    <t>LIV-00469</t>
  </si>
  <si>
    <t>FAC-00468</t>
  </si>
  <si>
    <t>CMD-00474</t>
  </si>
  <si>
    <t>LIV-00470</t>
  </si>
  <si>
    <t>FAC-00469</t>
  </si>
  <si>
    <t>CMD-00475</t>
  </si>
  <si>
    <t>LIV-00471</t>
  </si>
  <si>
    <t>FAC-00470</t>
  </si>
  <si>
    <t>CMD-00476</t>
  </si>
  <si>
    <t>LIV-00472</t>
  </si>
  <si>
    <t>FAC-00471</t>
  </si>
  <si>
    <t>CMD-00477</t>
  </si>
  <si>
    <t>LIV-00473</t>
  </si>
  <si>
    <t>FAC-00472</t>
  </si>
  <si>
    <t>CMD-00478</t>
  </si>
  <si>
    <t>LIV-00474</t>
  </si>
  <si>
    <t>FAC-00473</t>
  </si>
  <si>
    <t>CMD-00479</t>
  </si>
  <si>
    <t>LIV-00475</t>
  </si>
  <si>
    <t>FAC-00474</t>
  </si>
  <si>
    <t>CMD-00480</t>
  </si>
  <si>
    <t>LIV-00476</t>
  </si>
  <si>
    <t>FAC-00475</t>
  </si>
  <si>
    <t>CMD-00481</t>
  </si>
  <si>
    <t>LIV-00477</t>
  </si>
  <si>
    <t>FAC-00476</t>
  </si>
  <si>
    <t>CMD-00482</t>
  </si>
  <si>
    <t>LIV-00478</t>
  </si>
  <si>
    <t>FAC-00477</t>
  </si>
  <si>
    <t>CMD-00483</t>
  </si>
  <si>
    <t>LIV-00479</t>
  </si>
  <si>
    <t>FAC-00478</t>
  </si>
  <si>
    <t>CMD-00484</t>
  </si>
  <si>
    <t>CMD-00485</t>
  </si>
  <si>
    <t>LIV-00480</t>
  </si>
  <si>
    <t>FAC-00479</t>
  </si>
  <si>
    <t>CMD-00486</t>
  </si>
  <si>
    <t>LIV-00481</t>
  </si>
  <si>
    <t>FAC-00480</t>
  </si>
  <si>
    <t>CMD-00487</t>
  </si>
  <si>
    <t>LIV-00482</t>
  </si>
  <si>
    <t>FAC-00481</t>
  </si>
  <si>
    <t>CMD-00488</t>
  </si>
  <si>
    <t>LIV-00483</t>
  </si>
  <si>
    <t>FAC-00482</t>
  </si>
  <si>
    <t>CMD-00489</t>
  </si>
  <si>
    <t>LIV-00484</t>
  </si>
  <si>
    <t>FAC-00483</t>
  </si>
  <si>
    <t>CMD-00490</t>
  </si>
  <si>
    <t>LIV-00485</t>
  </si>
  <si>
    <t>FAC-00484</t>
  </si>
  <si>
    <t>CMD-00491</t>
  </si>
  <si>
    <t>LIV-00486</t>
  </si>
  <si>
    <t>FAC-00485</t>
  </si>
  <si>
    <t>CMD-00492</t>
  </si>
  <si>
    <t>LIV-00487</t>
  </si>
  <si>
    <t>FAC-00486</t>
  </si>
  <si>
    <t>CMD-00493</t>
  </si>
  <si>
    <t>LIV-00488</t>
  </si>
  <si>
    <t>FAC-00487</t>
  </si>
  <si>
    <t>CMD-00494</t>
  </si>
  <si>
    <t>LIV-00489</t>
  </si>
  <si>
    <t>FAC-00488</t>
  </si>
  <si>
    <t>CMD-00495</t>
  </si>
  <si>
    <t>LIV-00490</t>
  </si>
  <si>
    <t>FAC-00489</t>
  </si>
  <si>
    <t>CMD-00496</t>
  </si>
  <si>
    <t>LIV-00491</t>
  </si>
  <si>
    <t>FAC-00490</t>
  </si>
  <si>
    <t>CMD-00497</t>
  </si>
  <si>
    <t>LIV-00492</t>
  </si>
  <si>
    <t>FAC-00491</t>
  </si>
  <si>
    <t>CMD-00498</t>
  </si>
  <si>
    <t>LIV-00493</t>
  </si>
  <si>
    <t>FAC-00492</t>
  </si>
  <si>
    <t>CMD-00499</t>
  </si>
  <si>
    <t>LIV-00494</t>
  </si>
  <si>
    <t>FAC-00493</t>
  </si>
  <si>
    <t>CMD-00500</t>
  </si>
  <si>
    <t>LIV-00495</t>
  </si>
  <si>
    <t>FAC-00494</t>
  </si>
  <si>
    <t>CMD-00501</t>
  </si>
  <si>
    <t>LIV-00496</t>
  </si>
  <si>
    <t>FAC-00495</t>
  </si>
  <si>
    <t>CMD-00502</t>
  </si>
  <si>
    <t>LIV-00497</t>
  </si>
  <si>
    <t>FAC-00496</t>
  </si>
  <si>
    <t>CMD-00503</t>
  </si>
  <si>
    <t>LIV-00498</t>
  </si>
  <si>
    <t>FAC-00497</t>
  </si>
  <si>
    <t>CMD-00504</t>
  </si>
  <si>
    <t>LIV-00499</t>
  </si>
  <si>
    <t>FAC-00498</t>
  </si>
  <si>
    <t>CMD-00505</t>
  </si>
  <si>
    <t>LIV-00500</t>
  </si>
  <si>
    <t>FAC-00499</t>
  </si>
  <si>
    <t>CMD-00506</t>
  </si>
  <si>
    <t>LIV-00501</t>
  </si>
  <si>
    <t>FAC-00500</t>
  </si>
  <si>
    <t>CMD-00507</t>
  </si>
  <si>
    <t>LIV-00502</t>
  </si>
  <si>
    <t>FAC-00501</t>
  </si>
  <si>
    <t>CMD-00508</t>
  </si>
  <si>
    <t>LIV-00503</t>
  </si>
  <si>
    <t>FAC-00502</t>
  </si>
  <si>
    <t>CMD-00509</t>
  </si>
  <si>
    <t>LIV-00504</t>
  </si>
  <si>
    <t>FAC-00503</t>
  </si>
  <si>
    <t>CMD-00510</t>
  </si>
  <si>
    <t>CMD-00511</t>
  </si>
  <si>
    <t>LIV-00505</t>
  </si>
  <si>
    <t>FAC-00504</t>
  </si>
  <si>
    <t>CMD-00512</t>
  </si>
  <si>
    <t>LIV-00506</t>
  </si>
  <si>
    <t>FAC-00505</t>
  </si>
  <si>
    <t>CMD-00513</t>
  </si>
  <si>
    <t>LIV-00507</t>
  </si>
  <si>
    <t>FAC-00506</t>
  </si>
  <si>
    <t>CMD-00514</t>
  </si>
  <si>
    <t>LIV-00508</t>
  </si>
  <si>
    <t>FAC-00507</t>
  </si>
  <si>
    <t>CMD-00515</t>
  </si>
  <si>
    <t>LIV-00509</t>
  </si>
  <si>
    <t>FAC-00508</t>
  </si>
  <si>
    <t>CMD-00516</t>
  </si>
  <si>
    <t>LIV-00510</t>
  </si>
  <si>
    <t>FAC-00509</t>
  </si>
  <si>
    <t>CMD-00517</t>
  </si>
  <si>
    <t>LIV-00511</t>
  </si>
  <si>
    <t>FAC-00510</t>
  </si>
  <si>
    <t>CMD-00518</t>
  </si>
  <si>
    <t>LIV-00512</t>
  </si>
  <si>
    <t>FAC-00511</t>
  </si>
  <si>
    <t>CMD-00519</t>
  </si>
  <si>
    <t>LIV-00513</t>
  </si>
  <si>
    <t>FAC-00512</t>
  </si>
  <si>
    <t>CMD-00520</t>
  </si>
  <si>
    <t>LIV-00514</t>
  </si>
  <si>
    <t>FAC-00513</t>
  </si>
  <si>
    <t>CMD-00521</t>
  </si>
  <si>
    <t>LIV-00515</t>
  </si>
  <si>
    <t>FAC-00514</t>
  </si>
  <si>
    <t>CMD-00522</t>
  </si>
  <si>
    <t>LIV-00516</t>
  </si>
  <si>
    <t>FAC-00515</t>
  </si>
  <si>
    <t>CMD-00523</t>
  </si>
  <si>
    <t>LIV-00517</t>
  </si>
  <si>
    <t>FAC-00516</t>
  </si>
  <si>
    <t>CMD-00524</t>
  </si>
  <si>
    <t>LIV-00518</t>
  </si>
  <si>
    <t>FAC-00517</t>
  </si>
  <si>
    <t>CMD-00525</t>
  </si>
  <si>
    <t>LIV-00519</t>
  </si>
  <si>
    <t>FAC-00518</t>
  </si>
  <si>
    <t>CMD-00526</t>
  </si>
  <si>
    <t>LIV-00520</t>
  </si>
  <si>
    <t>FAC-00519</t>
  </si>
  <si>
    <t>CMD-00527</t>
  </si>
  <si>
    <t>LIV-00521</t>
  </si>
  <si>
    <t>FAC-00520</t>
  </si>
  <si>
    <t>CMD-00528</t>
  </si>
  <si>
    <t>LIV-00522</t>
  </si>
  <si>
    <t>FAC-00521</t>
  </si>
  <si>
    <t>CMD-00529</t>
  </si>
  <si>
    <t>LIV-00523</t>
  </si>
  <si>
    <t>FAC-00522</t>
  </si>
  <si>
    <t>CMD-00530</t>
  </si>
  <si>
    <t>LIV-00524</t>
  </si>
  <si>
    <t>FAC-00523</t>
  </si>
  <si>
    <t>CMD-00531</t>
  </si>
  <si>
    <t>LIV-00525</t>
  </si>
  <si>
    <t>FAC-00524</t>
  </si>
  <si>
    <t>CMD-00532</t>
  </si>
  <si>
    <t>LIV-00526</t>
  </si>
  <si>
    <t>FAC-00525</t>
  </si>
  <si>
    <t>CMD-00533</t>
  </si>
  <si>
    <t>LIV-00527</t>
  </si>
  <si>
    <t>FAC-00526</t>
  </si>
  <si>
    <t>CMD-00534</t>
  </si>
  <si>
    <t>LIV-00528</t>
  </si>
  <si>
    <t>FAC-00527</t>
  </si>
  <si>
    <t>CMD-00535</t>
  </si>
  <si>
    <t>LIV-00529</t>
  </si>
  <si>
    <t>FAC-00528</t>
  </si>
  <si>
    <t>CMD-00536</t>
  </si>
  <si>
    <t>LIV-00530</t>
  </si>
  <si>
    <t>FAC-00529</t>
  </si>
  <si>
    <t>CMD-00537</t>
  </si>
  <si>
    <t>LIV-00531</t>
  </si>
  <si>
    <t>FAC-00530</t>
  </si>
  <si>
    <t>CMD-00538</t>
  </si>
  <si>
    <t>LIV-00532</t>
  </si>
  <si>
    <t>FAC-00531</t>
  </si>
  <si>
    <t>CMD-00539</t>
  </si>
  <si>
    <t>CMD-00540</t>
  </si>
  <si>
    <t>LIV-00533</t>
  </si>
  <si>
    <t>FAC-00532</t>
  </si>
  <si>
    <t>CMD-00541</t>
  </si>
  <si>
    <t>LIV-00534</t>
  </si>
  <si>
    <t>FAC-00533</t>
  </si>
  <si>
    <t>CMD-00542</t>
  </si>
  <si>
    <t>LIV-00535</t>
  </si>
  <si>
    <t>FAC-00534</t>
  </si>
  <si>
    <t>CMD-00543</t>
  </si>
  <si>
    <t>LIV-00536</t>
  </si>
  <si>
    <t>FAC-00535</t>
  </si>
  <si>
    <t>CMD-00544</t>
  </si>
  <si>
    <t>LIV-00537</t>
  </si>
  <si>
    <t>FAC-00536</t>
  </si>
  <si>
    <t>CMD-00545</t>
  </si>
  <si>
    <t>LIV-00538</t>
  </si>
  <si>
    <t>FAC-00537</t>
  </si>
  <si>
    <t>CMD-00546</t>
  </si>
  <si>
    <t>LIV-00539</t>
  </si>
  <si>
    <t>FAC-00538</t>
  </si>
  <si>
    <t>CMD-00547</t>
  </si>
  <si>
    <t>LIV-00540</t>
  </si>
  <si>
    <t>FAC-00539</t>
  </si>
  <si>
    <t>CMD-00548</t>
  </si>
  <si>
    <t>LIV-00541</t>
  </si>
  <si>
    <t>FAC-00540</t>
  </si>
  <si>
    <t>CMD-00549</t>
  </si>
  <si>
    <t>LIV-00542</t>
  </si>
  <si>
    <t>FAC-00541</t>
  </si>
  <si>
    <t>CMD-00550</t>
  </si>
  <si>
    <t>LIV-00543</t>
  </si>
  <si>
    <t>FAC-00542</t>
  </si>
  <si>
    <t>CMD-00551</t>
  </si>
  <si>
    <t>LIV-00544</t>
  </si>
  <si>
    <t>FAC-00543</t>
  </si>
  <si>
    <t>CMD-00552</t>
  </si>
  <si>
    <t>LIV-00545</t>
  </si>
  <si>
    <t>FAC-00544</t>
  </si>
  <si>
    <t>CMD-00553</t>
  </si>
  <si>
    <t>LIV-00546</t>
  </si>
  <si>
    <t>FAC-00545</t>
  </si>
  <si>
    <t>CMD-00554</t>
  </si>
  <si>
    <t>LIV-00547</t>
  </si>
  <si>
    <t>FAC-00546</t>
  </si>
  <si>
    <t>CMD-00555</t>
  </si>
  <si>
    <t>LIV-00548</t>
  </si>
  <si>
    <t>FAC-00547</t>
  </si>
  <si>
    <t>CMD-00556</t>
  </si>
  <si>
    <t>LIV-00549</t>
  </si>
  <si>
    <t>FAC-00548</t>
  </si>
  <si>
    <t>CMD-00557</t>
  </si>
  <si>
    <t>LIV-00550</t>
  </si>
  <si>
    <t>FAC-00549</t>
  </si>
  <si>
    <t>CMD-00558</t>
  </si>
  <si>
    <t>LIV-00551</t>
  </si>
  <si>
    <t>FAC-00550</t>
  </si>
  <si>
    <t>CMD-00559</t>
  </si>
  <si>
    <t>LIV-00552</t>
  </si>
  <si>
    <t>FAC-00551</t>
  </si>
  <si>
    <t>CMD-00560</t>
  </si>
  <si>
    <t>LIV-00553</t>
  </si>
  <si>
    <t>FAC-00552</t>
  </si>
  <si>
    <t>CMD-00561</t>
  </si>
  <si>
    <t>LIV-00554</t>
  </si>
  <si>
    <t>FAC-00553</t>
  </si>
  <si>
    <t>CMD-00562</t>
  </si>
  <si>
    <t>LIV-00555</t>
  </si>
  <si>
    <t>FAC-00554</t>
  </si>
  <si>
    <t>CMD-00563</t>
  </si>
  <si>
    <t>LIV-00556</t>
  </si>
  <si>
    <t>FAC-00555</t>
  </si>
  <si>
    <t>CMD-00564</t>
  </si>
  <si>
    <t>LIV-00557</t>
  </si>
  <si>
    <t>FAC-00556</t>
  </si>
  <si>
    <t>CMD-00565</t>
  </si>
  <si>
    <t>LIV-00558</t>
  </si>
  <si>
    <t>FAC-00557</t>
  </si>
  <si>
    <t>CMD-00566</t>
  </si>
  <si>
    <t>LIV-00559</t>
  </si>
  <si>
    <t>FAC-00558</t>
  </si>
  <si>
    <t>CMD-00567</t>
  </si>
  <si>
    <t>LIV-00560</t>
  </si>
  <si>
    <t>FAC-00559</t>
  </si>
  <si>
    <t>CMD-00568</t>
  </si>
  <si>
    <t>LIV-00561</t>
  </si>
  <si>
    <t>FAC-00560</t>
  </si>
  <si>
    <t>CMD-00569</t>
  </si>
  <si>
    <t>LIV-00562</t>
  </si>
  <si>
    <t>FAC-00561</t>
  </si>
  <si>
    <t>CMD-00570</t>
  </si>
  <si>
    <t>LIV-00563</t>
  </si>
  <si>
    <t>FAC-00562</t>
  </si>
  <si>
    <t>CMD-00571</t>
  </si>
  <si>
    <t>LIV-00564</t>
  </si>
  <si>
    <t>FAC-00563</t>
  </si>
  <si>
    <t>CMD-00572</t>
  </si>
  <si>
    <t>LIV-00565</t>
  </si>
  <si>
    <t>FAC-00564</t>
  </si>
  <si>
    <t>CMD-00573</t>
  </si>
  <si>
    <t>LIV-00566</t>
  </si>
  <si>
    <t>FAC-00565</t>
  </si>
  <si>
    <t>CMD-00574</t>
  </si>
  <si>
    <t>LIV-00567</t>
  </si>
  <si>
    <t>FAC-00566</t>
  </si>
  <si>
    <t>CMD-00575</t>
  </si>
  <si>
    <t>LIV-00568</t>
  </si>
  <si>
    <t>FAC-00567</t>
  </si>
  <si>
    <t>CMD-00576</t>
  </si>
  <si>
    <t>LIV-00569</t>
  </si>
  <si>
    <t>FAC-00568</t>
  </si>
  <si>
    <t>CMD-00577</t>
  </si>
  <si>
    <t>LIV-00570</t>
  </si>
  <si>
    <t>FAC-00569</t>
  </si>
  <si>
    <t>CMD-00578</t>
  </si>
  <si>
    <t>LIV-00571</t>
  </si>
  <si>
    <t>FAC-00570</t>
  </si>
  <si>
    <t>CMD-00579</t>
  </si>
  <si>
    <t>LIV-00572</t>
  </si>
  <si>
    <t>FAC-00571</t>
  </si>
  <si>
    <t>CMD-00580</t>
  </si>
  <si>
    <t>LIV-00573</t>
  </si>
  <si>
    <t>FAC-00572</t>
  </si>
  <si>
    <t>CMD-00581</t>
  </si>
  <si>
    <t>LIV-00574</t>
  </si>
  <si>
    <t>FAC-00573</t>
  </si>
  <si>
    <t>CMD-00582</t>
  </si>
  <si>
    <t>LIV-00575</t>
  </si>
  <si>
    <t>FAC-00574</t>
  </si>
  <si>
    <t>CMD-00583</t>
  </si>
  <si>
    <t>LIV-00576</t>
  </si>
  <si>
    <t>FAC-00575</t>
  </si>
  <si>
    <t>CMD-00584</t>
  </si>
  <si>
    <t>LIV-00577</t>
  </si>
  <si>
    <t>FAC-00576</t>
  </si>
  <si>
    <t>CMD-00585</t>
  </si>
  <si>
    <t>LIV-00578</t>
  </si>
  <si>
    <t>FAC-00577</t>
  </si>
  <si>
    <t>CMD-00586</t>
  </si>
  <si>
    <t>LIV-00579</t>
  </si>
  <si>
    <t>FAC-00578</t>
  </si>
  <si>
    <t>CMD-00587</t>
  </si>
  <si>
    <t>LIV-00580</t>
  </si>
  <si>
    <t>FAC-00579</t>
  </si>
  <si>
    <t>CMD-00588</t>
  </si>
  <si>
    <t>LIV-00581</t>
  </si>
  <si>
    <t>FAC-00580</t>
  </si>
  <si>
    <t>CMD-00589</t>
  </si>
  <si>
    <t>LIV-00582</t>
  </si>
  <si>
    <t>FAC-00581</t>
  </si>
  <si>
    <t>CMD-00590</t>
  </si>
  <si>
    <t>LIV-00583</t>
  </si>
  <si>
    <t>FAC-00582</t>
  </si>
  <si>
    <t>CMD-00591</t>
  </si>
  <si>
    <t>LIV-00584</t>
  </si>
  <si>
    <t>FAC-00583</t>
  </si>
  <si>
    <t>CMD-00592</t>
  </si>
  <si>
    <t>LIV-00585</t>
  </si>
  <si>
    <t>FAC-00584</t>
  </si>
  <si>
    <t>CMD-00593</t>
  </si>
  <si>
    <t>LIV-00586</t>
  </si>
  <si>
    <t>FAC-00585</t>
  </si>
  <si>
    <t>CMD-00594</t>
  </si>
  <si>
    <t>LIV-00587</t>
  </si>
  <si>
    <t>FAC-00586</t>
  </si>
  <si>
    <t>CMD-00595</t>
  </si>
  <si>
    <t>LIV-00588</t>
  </si>
  <si>
    <t>FAC-00587</t>
  </si>
  <si>
    <t>CMD-00596</t>
  </si>
  <si>
    <t>LIV-00589</t>
  </si>
  <si>
    <t>FAC-00588</t>
  </si>
  <si>
    <t>CMD-00597</t>
  </si>
  <si>
    <t>LIV-00590</t>
  </si>
  <si>
    <t>FAC-00589</t>
  </si>
  <si>
    <t>CMD-00598</t>
  </si>
  <si>
    <t>LIV-00591</t>
  </si>
  <si>
    <t>FAC-00590</t>
  </si>
  <si>
    <t>CMD-00599</t>
  </si>
  <si>
    <t>LIV-00592</t>
  </si>
  <si>
    <t>FAC-00591</t>
  </si>
  <si>
    <t>CMD-00600</t>
  </si>
  <si>
    <t>LIV-00593</t>
  </si>
  <si>
    <t>FAC-00592</t>
  </si>
  <si>
    <t>CMD-00601</t>
  </si>
  <si>
    <t>LIV-00594</t>
  </si>
  <si>
    <t>FAC-00593</t>
  </si>
  <si>
    <t>CMD-00602</t>
  </si>
  <si>
    <t>LIV-00595</t>
  </si>
  <si>
    <t>FAC-00594</t>
  </si>
  <si>
    <t>CMD-00603</t>
  </si>
  <si>
    <t>LIV-00596</t>
  </si>
  <si>
    <t>FAC-00595</t>
  </si>
  <si>
    <t>CMD-00604</t>
  </si>
  <si>
    <t>LIV-00597</t>
  </si>
  <si>
    <t>FAC-00596</t>
  </si>
  <si>
    <t>CMD-00605</t>
  </si>
  <si>
    <t>LIV-00598</t>
  </si>
  <si>
    <t>FAC-00597</t>
  </si>
  <si>
    <t>CMD-00606</t>
  </si>
  <si>
    <t>LIV-00599</t>
  </si>
  <si>
    <t>FAC-00598</t>
  </si>
  <si>
    <t>CMD-00607</t>
  </si>
  <si>
    <t>LIV-00600</t>
  </si>
  <si>
    <t>FAC-00599</t>
  </si>
  <si>
    <t>CMD-00608</t>
  </si>
  <si>
    <t>LIV-00601</t>
  </si>
  <si>
    <t>FAC-00600</t>
  </si>
  <si>
    <t>CMD-00609</t>
  </si>
  <si>
    <t>LIV-00602</t>
  </si>
  <si>
    <t>CMD-00610</t>
  </si>
  <si>
    <t>LIV-00603</t>
  </si>
  <si>
    <t>FAC-00601</t>
  </si>
  <si>
    <t>CMD-00611</t>
  </si>
  <si>
    <t>LIV-00604</t>
  </si>
  <si>
    <t>FAC-00602</t>
  </si>
  <si>
    <t>CMD-00612</t>
  </si>
  <si>
    <t>LIV-00605</t>
  </si>
  <si>
    <t>FAC-00603</t>
  </si>
  <si>
    <t>CMD-00613</t>
  </si>
  <si>
    <t>LIV-00606</t>
  </si>
  <si>
    <t>FAC-00604</t>
  </si>
  <si>
    <t>CMD-00614</t>
  </si>
  <si>
    <t>LIV-00607</t>
  </si>
  <si>
    <t>FAC-00605</t>
  </si>
  <si>
    <t>CMD-00615</t>
  </si>
  <si>
    <t>LIV-00608</t>
  </si>
  <si>
    <t>FAC-00606</t>
  </si>
  <si>
    <t>CMD-00616</t>
  </si>
  <si>
    <t>LIV-00609</t>
  </si>
  <si>
    <t>FAC-00607</t>
  </si>
  <si>
    <t>CMD-00617</t>
  </si>
  <si>
    <t>LIV-00610</t>
  </si>
  <si>
    <t>FAC-00608</t>
  </si>
  <si>
    <t>CMD-00618</t>
  </si>
  <si>
    <t>LIV-00611</t>
  </si>
  <si>
    <t>FAC-00609</t>
  </si>
  <si>
    <t>CMD-00619</t>
  </si>
  <si>
    <t>LIV-00612</t>
  </si>
  <si>
    <t>FAC-00610</t>
  </si>
  <si>
    <t>CMD-00620</t>
  </si>
  <si>
    <t>LIV-00613</t>
  </si>
  <si>
    <t>FAC-00611</t>
  </si>
  <si>
    <t>CMD-00621</t>
  </si>
  <si>
    <t>LIV-00614</t>
  </si>
  <si>
    <t>FAC-00612</t>
  </si>
  <si>
    <t>CMD-00622</t>
  </si>
  <si>
    <t>LIV-00615</t>
  </si>
  <si>
    <t>FAC-00613</t>
  </si>
  <si>
    <t>CMD-00623</t>
  </si>
  <si>
    <t>LIV-00616</t>
  </si>
  <si>
    <t>FAC-00614</t>
  </si>
  <si>
    <t>CMD-00624</t>
  </si>
  <si>
    <t>LIV-00617</t>
  </si>
  <si>
    <t>FAC-00615</t>
  </si>
  <si>
    <t>CMD-00625</t>
  </si>
  <si>
    <t>LIV-00618</t>
  </si>
  <si>
    <t>FAC-00616</t>
  </si>
  <si>
    <t>CMD-00626</t>
  </si>
  <si>
    <t>LIV-00619</t>
  </si>
  <si>
    <t>FAC-00617</t>
  </si>
  <si>
    <t>CMD-00627</t>
  </si>
  <si>
    <t>LIV-00620</t>
  </si>
  <si>
    <t>FAC-00618</t>
  </si>
  <si>
    <t>CMD-00628</t>
  </si>
  <si>
    <t>LIV-00621</t>
  </si>
  <si>
    <t>FAC-00619</t>
  </si>
  <si>
    <t>CMD-00629</t>
  </si>
  <si>
    <t>LIV-00622</t>
  </si>
  <si>
    <t>FAC-00620</t>
  </si>
  <si>
    <t>CMD-00630</t>
  </si>
  <si>
    <t>LIV-00623</t>
  </si>
  <si>
    <t>FAC-00621</t>
  </si>
  <si>
    <t>CMD-00631</t>
  </si>
  <si>
    <t>LIV-00624</t>
  </si>
  <si>
    <t>FAC-00622</t>
  </si>
  <si>
    <t>CMD-00632</t>
  </si>
  <si>
    <t>LIV-00625</t>
  </si>
  <si>
    <t>FAC-00623</t>
  </si>
  <si>
    <t>CMD-00633</t>
  </si>
  <si>
    <t>LIV-00626</t>
  </si>
  <si>
    <t>FAC-00624</t>
  </si>
  <si>
    <t>CMD-00634</t>
  </si>
  <si>
    <t>LIV-00627</t>
  </si>
  <si>
    <t>FAC-00625</t>
  </si>
  <si>
    <t>CMD-00635</t>
  </si>
  <si>
    <t>LIV-00628</t>
  </si>
  <si>
    <t>FAC-00626</t>
  </si>
  <si>
    <t>CMD-00636</t>
  </si>
  <si>
    <t>LIV-00629</t>
  </si>
  <si>
    <t>FAC-00627</t>
  </si>
  <si>
    <t>CMD-00637</t>
  </si>
  <si>
    <t>LIV-00630</t>
  </si>
  <si>
    <t>FAC-00628</t>
  </si>
  <si>
    <t>CMD-00638</t>
  </si>
  <si>
    <t>LIV-00631</t>
  </si>
  <si>
    <t>FAC-00629</t>
  </si>
  <si>
    <t>CMD-00639</t>
  </si>
  <si>
    <t>LIV-00632</t>
  </si>
  <si>
    <t>FAC-00630</t>
  </si>
  <si>
    <t>CMD-00640</t>
  </si>
  <si>
    <t>LIV-00633</t>
  </si>
  <si>
    <t>FAC-00631</t>
  </si>
  <si>
    <t>CMD-00641</t>
  </si>
  <si>
    <t>LIV-00634</t>
  </si>
  <si>
    <t>FAC-00632</t>
  </si>
  <si>
    <t>CMD-00642</t>
  </si>
  <si>
    <t>LIV-00635</t>
  </si>
  <si>
    <t>FAC-00633</t>
  </si>
  <si>
    <t>CMD-00643</t>
  </si>
  <si>
    <t>LIV-00636</t>
  </si>
  <si>
    <t>FAC-00634</t>
  </si>
  <si>
    <t>CMD-00644</t>
  </si>
  <si>
    <t>LIV-00637</t>
  </si>
  <si>
    <t>FAC-00635</t>
  </si>
  <si>
    <t>CMD-00645</t>
  </si>
  <si>
    <t>LIV-00638</t>
  </si>
  <si>
    <t>FAC-00636</t>
  </si>
  <si>
    <t>CMD-00646</t>
  </si>
  <si>
    <t>LIV-00639</t>
  </si>
  <si>
    <t>FAC-00637</t>
  </si>
  <si>
    <t>CMD-00647</t>
  </si>
  <si>
    <t>LIV-00640</t>
  </si>
  <si>
    <t>FAC-00638</t>
  </si>
  <si>
    <t>CMD-00648</t>
  </si>
  <si>
    <t>LIV-00641</t>
  </si>
  <si>
    <t>FAC-00639</t>
  </si>
  <si>
    <t>CMD-00649</t>
  </si>
  <si>
    <t>LIV-00642</t>
  </si>
  <si>
    <t>FAC-00640</t>
  </si>
  <si>
    <t>CMD-00650</t>
  </si>
  <si>
    <t>LIV-00643</t>
  </si>
  <si>
    <t>FAC-00641</t>
  </si>
  <si>
    <t>CMD-00651</t>
  </si>
  <si>
    <t>LIV-00644</t>
  </si>
  <si>
    <t>FAC-00642</t>
  </si>
  <si>
    <t>CMD-00652</t>
  </si>
  <si>
    <t>LIV-00645</t>
  </si>
  <si>
    <t>FAC-00643</t>
  </si>
  <si>
    <t>CMD-00653</t>
  </si>
  <si>
    <t>LIV-00646</t>
  </si>
  <si>
    <t>FAC-00644</t>
  </si>
  <si>
    <t>CMD-00654</t>
  </si>
  <si>
    <t>LIV-00647</t>
  </si>
  <si>
    <t>FAC-00645</t>
  </si>
  <si>
    <t>CMD-00655</t>
  </si>
  <si>
    <t>LIV-00648</t>
  </si>
  <si>
    <t>FAC-00646</t>
  </si>
  <si>
    <t>CMD-00656</t>
  </si>
  <si>
    <t>LIV-00649</t>
  </si>
  <si>
    <t>FAC-00647</t>
  </si>
  <si>
    <t>CMD-00657</t>
  </si>
  <si>
    <t>LIV-00650</t>
  </si>
  <si>
    <t>FAC-00648</t>
  </si>
  <si>
    <t>CMD-00658</t>
  </si>
  <si>
    <t>LIV-00651</t>
  </si>
  <si>
    <t>FAC-00649</t>
  </si>
  <si>
    <t>CMD-00659</t>
  </si>
  <si>
    <t>LIV-00652</t>
  </si>
  <si>
    <t>FAC-00650</t>
  </si>
  <si>
    <t>CMD-00660</t>
  </si>
  <si>
    <t>LIV-00653</t>
  </si>
  <si>
    <t>FAC-00651</t>
  </si>
  <si>
    <t>CMD-00661</t>
  </si>
  <si>
    <t>LIV-00654</t>
  </si>
  <si>
    <t>FAC-00652</t>
  </si>
  <si>
    <t>CMD-00662</t>
  </si>
  <si>
    <t>LIV-00655</t>
  </si>
  <si>
    <t>FAC-00653</t>
  </si>
  <si>
    <t>CMD-00663</t>
  </si>
  <si>
    <t>LIV-00656</t>
  </si>
  <si>
    <t>FAC-00654</t>
  </si>
  <si>
    <t>CMD-00664</t>
  </si>
  <si>
    <t>LIV-00657</t>
  </si>
  <si>
    <t>FAC-00655</t>
  </si>
  <si>
    <t>CMD-00665</t>
  </si>
  <si>
    <t>LIV-00658</t>
  </si>
  <si>
    <t>FAC-00656</t>
  </si>
  <si>
    <t>CMD-00666</t>
  </si>
  <si>
    <t>LIV-00659</t>
  </si>
  <si>
    <t>FAC-00657</t>
  </si>
  <si>
    <t>CMD-00667</t>
  </si>
  <si>
    <t>LIV-00660</t>
  </si>
  <si>
    <t>FAC-00658</t>
  </si>
  <si>
    <t>CMD-00668</t>
  </si>
  <si>
    <t>LIV-00661</t>
  </si>
  <si>
    <t>FAC-00659</t>
  </si>
  <si>
    <t>CMD-00669</t>
  </si>
  <si>
    <t>LIV-00662</t>
  </si>
  <si>
    <t>FAC-00660</t>
  </si>
  <si>
    <t>CMD-00670</t>
  </si>
  <si>
    <t>LIV-00663</t>
  </si>
  <si>
    <t>FAC-00661</t>
  </si>
  <si>
    <t>CMD-00671</t>
  </si>
  <si>
    <t>LIV-00664</t>
  </si>
  <si>
    <t>FAC-00662</t>
  </si>
  <si>
    <t>CMD-00672</t>
  </si>
  <si>
    <t>LIV-00665</t>
  </si>
  <si>
    <t>FAC-00663</t>
  </si>
  <si>
    <t>CMD-00673</t>
  </si>
  <si>
    <t>LIV-00666</t>
  </si>
  <si>
    <t>FAC-00664</t>
  </si>
  <si>
    <t>CMD-00674</t>
  </si>
  <si>
    <t>LIV-00667</t>
  </si>
  <si>
    <t>FAC-00665</t>
  </si>
  <si>
    <t>CMD-00675</t>
  </si>
  <si>
    <t>LIV-00668</t>
  </si>
  <si>
    <t>FAC-00666</t>
  </si>
  <si>
    <t>CMD-00676</t>
  </si>
  <si>
    <t>LIV-00669</t>
  </si>
  <si>
    <t>FAC-00667</t>
  </si>
  <si>
    <t>CMD-00677</t>
  </si>
  <si>
    <t>LIV-00670</t>
  </si>
  <si>
    <t>FAC-00668</t>
  </si>
  <si>
    <t>CMD-00678</t>
  </si>
  <si>
    <t>LIV-00671</t>
  </si>
  <si>
    <t>FAC-00669</t>
  </si>
  <si>
    <t>CMD-00679</t>
  </si>
  <si>
    <t>LIV-00672</t>
  </si>
  <si>
    <t>FAC-00670</t>
  </si>
  <si>
    <t>CMD-00680</t>
  </si>
  <si>
    <t>LIV-00673</t>
  </si>
  <si>
    <t>FAC-00671</t>
  </si>
  <si>
    <t>CMD-00681</t>
  </si>
  <si>
    <t>LIV-00674</t>
  </si>
  <si>
    <t>FAC-00672</t>
  </si>
  <si>
    <t>CMD-00682</t>
  </si>
  <si>
    <t>LIV-00675</t>
  </si>
  <si>
    <t>FAC-00673</t>
  </si>
  <si>
    <t>CMD-00683</t>
  </si>
  <si>
    <t>LIV-00676</t>
  </si>
  <si>
    <t>FAC-00674</t>
  </si>
  <si>
    <t>CMD-00684</t>
  </si>
  <si>
    <t>LIV-00677</t>
  </si>
  <si>
    <t>FAC-00675</t>
  </si>
  <si>
    <t>CMD-00685</t>
  </si>
  <si>
    <t>LIV-00678</t>
  </si>
  <si>
    <t>FAC-00676</t>
  </si>
  <si>
    <t>CMD-00686</t>
  </si>
  <si>
    <t>LIV-00679</t>
  </si>
  <si>
    <t>FAC-00677</t>
  </si>
  <si>
    <t>CMD-00687</t>
  </si>
  <si>
    <t>LIV-00680</t>
  </si>
  <si>
    <t>FAC-00678</t>
  </si>
  <si>
    <t>CMD-00688</t>
  </si>
  <si>
    <t>LIV-00681</t>
  </si>
  <si>
    <t>FAC-00679</t>
  </si>
  <si>
    <t>CMD-00689</t>
  </si>
  <si>
    <t>LIV-00682</t>
  </si>
  <si>
    <t>FAC-00680</t>
  </si>
  <si>
    <t>CMD-00690</t>
  </si>
  <si>
    <t>LIV-00683</t>
  </si>
  <si>
    <t>FAC-00681</t>
  </si>
  <si>
    <t>CMD-00691</t>
  </si>
  <si>
    <t>LIV-00684</t>
  </si>
  <si>
    <t>FAC-00682</t>
  </si>
  <si>
    <t>CMD-00692</t>
  </si>
  <si>
    <t>LIV-00685</t>
  </si>
  <si>
    <t>FAC-00683</t>
  </si>
  <si>
    <t>CMD-00693</t>
  </si>
  <si>
    <t>LIV-00686</t>
  </si>
  <si>
    <t>FAC-00684</t>
  </si>
  <si>
    <t>CMD-00694</t>
  </si>
  <si>
    <t>LIV-00687</t>
  </si>
  <si>
    <t>FAC-00685</t>
  </si>
  <si>
    <t>CMD-00695</t>
  </si>
  <si>
    <t>LIV-00688</t>
  </si>
  <si>
    <t>FAC-00686</t>
  </si>
  <si>
    <t>CMD-00696</t>
  </si>
  <si>
    <t>LIV-00689</t>
  </si>
  <si>
    <t>FAC-00687</t>
  </si>
  <si>
    <t>CMD-00697</t>
  </si>
  <si>
    <t>LIV-00690</t>
  </si>
  <si>
    <t>FAC-00688</t>
  </si>
  <si>
    <t>CMD-00698</t>
  </si>
  <si>
    <t>LIV-00691</t>
  </si>
  <si>
    <t>FAC-00689</t>
  </si>
  <si>
    <t>CMD-00699</t>
  </si>
  <si>
    <t>LIV-00692</t>
  </si>
  <si>
    <t>FAC-00690</t>
  </si>
  <si>
    <t>CMD-00700</t>
  </si>
  <si>
    <t>LIV-00693</t>
  </si>
  <si>
    <t>FAC-00691</t>
  </si>
  <si>
    <t>CMD-00701</t>
  </si>
  <si>
    <t>LIV-00694</t>
  </si>
  <si>
    <t>FAC-00692</t>
  </si>
  <si>
    <t>CMD-00702</t>
  </si>
  <si>
    <t>LIV-00695</t>
  </si>
  <si>
    <t>FAC-00693</t>
  </si>
  <si>
    <t>CMD-00703</t>
  </si>
  <si>
    <t>LIV-00696</t>
  </si>
  <si>
    <t>FAC-00694</t>
  </si>
  <si>
    <t>CMD-00704</t>
  </si>
  <si>
    <t>LIV-00697</t>
  </si>
  <si>
    <t>FAC-00695</t>
  </si>
  <si>
    <t>CMD-00705</t>
  </si>
  <si>
    <t>CMD-00706</t>
  </si>
  <si>
    <t>LIV-00698</t>
  </si>
  <si>
    <t>FAC-00696</t>
  </si>
  <si>
    <t>CMD-00707</t>
  </si>
  <si>
    <t>LIV-00699</t>
  </si>
  <si>
    <t>FAC-00697</t>
  </si>
  <si>
    <t>CMD-00708</t>
  </si>
  <si>
    <t>LIV-00700</t>
  </si>
  <si>
    <t>FAC-00698</t>
  </si>
  <si>
    <t>CMD-00709</t>
  </si>
  <si>
    <t>LIV-00701</t>
  </si>
  <si>
    <t>FAC-00699</t>
  </si>
  <si>
    <t>CMD-00710</t>
  </si>
  <si>
    <t>LIV-00702</t>
  </si>
  <si>
    <t>FAC-00700</t>
  </si>
  <si>
    <t>CMD-00711</t>
  </si>
  <si>
    <t>LIV-00703</t>
  </si>
  <si>
    <t>FAC-00701</t>
  </si>
  <si>
    <t>CMD-00712</t>
  </si>
  <si>
    <t>LIV-00704</t>
  </si>
  <si>
    <t>FAC-00702</t>
  </si>
  <si>
    <t>CMD-00713</t>
  </si>
  <si>
    <t>LIV-00705</t>
  </si>
  <si>
    <t>FAC-00703</t>
  </si>
  <si>
    <t>CMD-00714</t>
  </si>
  <si>
    <t>LIV-00706</t>
  </si>
  <si>
    <t>FAC-00704</t>
  </si>
  <si>
    <t>CMD-00715</t>
  </si>
  <si>
    <t>LIV-00707</t>
  </si>
  <si>
    <t>FAC-00705</t>
  </si>
  <si>
    <t>CMD-00716</t>
  </si>
  <si>
    <t>LIV-00708</t>
  </si>
  <si>
    <t>FAC-00706</t>
  </si>
  <si>
    <t>CMD-00717</t>
  </si>
  <si>
    <t>LIV-00709</t>
  </si>
  <si>
    <t>FAC-00707</t>
  </si>
  <si>
    <t>CMD-00718</t>
  </si>
  <si>
    <t>LIV-00710</t>
  </si>
  <si>
    <t>FAC-00708</t>
  </si>
  <si>
    <t>CMD-00719</t>
  </si>
  <si>
    <t>LIV-00711</t>
  </si>
  <si>
    <t>FAC-00709</t>
  </si>
  <si>
    <t>CMD-00720</t>
  </si>
  <si>
    <t>LIV-00712</t>
  </si>
  <si>
    <t>FAC-00710</t>
  </si>
  <si>
    <t>CMD-00721</t>
  </si>
  <si>
    <t>LIV-00713</t>
  </si>
  <si>
    <t>FAC-00711</t>
  </si>
  <si>
    <t>CMD-00722</t>
  </si>
  <si>
    <t>LIV-00714</t>
  </si>
  <si>
    <t>FAC-00712</t>
  </si>
  <si>
    <t>CMD-00723</t>
  </si>
  <si>
    <t>LIV-00715</t>
  </si>
  <si>
    <t>FAC-00713</t>
  </si>
  <si>
    <t>CMD-00724</t>
  </si>
  <si>
    <t>LIV-00716</t>
  </si>
  <si>
    <t>FAC-00714</t>
  </si>
  <si>
    <t>CMD-00725</t>
  </si>
  <si>
    <t>LIV-00717</t>
  </si>
  <si>
    <t>FAC-00715</t>
  </si>
  <si>
    <t>CMD-00726</t>
  </si>
  <si>
    <t>LIV-00718</t>
  </si>
  <si>
    <t>FAC-00716</t>
  </si>
  <si>
    <t>CMD-00727</t>
  </si>
  <si>
    <t>LIV-00719</t>
  </si>
  <si>
    <t>FAC-00717</t>
  </si>
  <si>
    <t>CMD-00728</t>
  </si>
  <si>
    <t>LIV-00720</t>
  </si>
  <si>
    <t>FAC-00718</t>
  </si>
  <si>
    <t>CMD-00729</t>
  </si>
  <si>
    <t>LIV-00721</t>
  </si>
  <si>
    <t>FAC-00719</t>
  </si>
  <si>
    <t>CMD-00730</t>
  </si>
  <si>
    <t>LIV-00722</t>
  </si>
  <si>
    <t>FAC-00720</t>
  </si>
  <si>
    <t>CMD-00731</t>
  </si>
  <si>
    <t>LIV-00723</t>
  </si>
  <si>
    <t>FAC-00721</t>
  </si>
  <si>
    <t>CMD-00732</t>
  </si>
  <si>
    <t>LIV-00724</t>
  </si>
  <si>
    <t>FAC-00722</t>
  </si>
  <si>
    <t>CMD-00733</t>
  </si>
  <si>
    <t>LIV-00725</t>
  </si>
  <si>
    <t>FAC-00723</t>
  </si>
  <si>
    <t>CMD-00734</t>
  </si>
  <si>
    <t>LIV-00726</t>
  </si>
  <si>
    <t>FAC-00724</t>
  </si>
  <si>
    <t>CMD-00735</t>
  </si>
  <si>
    <t>LIV-00727</t>
  </si>
  <si>
    <t>FAC-00725</t>
  </si>
  <si>
    <t>CMD-00736</t>
  </si>
  <si>
    <t>LIV-00728</t>
  </si>
  <si>
    <t>FAC-00726</t>
  </si>
  <si>
    <t>CMD-00737</t>
  </si>
  <si>
    <t>LIV-00729</t>
  </si>
  <si>
    <t>FAC-00727</t>
  </si>
  <si>
    <t>CMD-00738</t>
  </si>
  <si>
    <t>LIV-00730</t>
  </si>
  <si>
    <t>FAC-00728</t>
  </si>
  <si>
    <t>CMD-00739</t>
  </si>
  <si>
    <t>LIV-00731</t>
  </si>
  <si>
    <t>FAC-00729</t>
  </si>
  <si>
    <t>CMD-00740</t>
  </si>
  <si>
    <t>LIV-00732</t>
  </si>
  <si>
    <t>FAC-00730</t>
  </si>
  <si>
    <t>CMD-00741</t>
  </si>
  <si>
    <t>LIV-00733</t>
  </si>
  <si>
    <t>FAC-00731</t>
  </si>
  <si>
    <t>CMD-00742</t>
  </si>
  <si>
    <t>LIV-00734</t>
  </si>
  <si>
    <t>FAC-00732</t>
  </si>
  <si>
    <t>CMD-00743</t>
  </si>
  <si>
    <t>LIV-00735</t>
  </si>
  <si>
    <t>FAC-00733</t>
  </si>
  <si>
    <t>CMD-00744</t>
  </si>
  <si>
    <t>LIV-00736</t>
  </si>
  <si>
    <t>FAC-00734</t>
  </si>
  <si>
    <t>CMD-00745</t>
  </si>
  <si>
    <t>LIV-00737</t>
  </si>
  <si>
    <t>FAC-00735</t>
  </si>
  <si>
    <t>CMD-00746</t>
  </si>
  <si>
    <t>LIV-00738</t>
  </si>
  <si>
    <t>FAC-00736</t>
  </si>
  <si>
    <t>CMD-00747</t>
  </si>
  <si>
    <t>LIV-00739</t>
  </si>
  <si>
    <t>FAC-00737</t>
  </si>
  <si>
    <t>CMD-00748</t>
  </si>
  <si>
    <t>LIV-00740</t>
  </si>
  <si>
    <t>FAC-00738</t>
  </si>
  <si>
    <t>CMD-00749</t>
  </si>
  <si>
    <t>LIV-00741</t>
  </si>
  <si>
    <t>FAC-00739</t>
  </si>
  <si>
    <t>CMD-00750</t>
  </si>
  <si>
    <t>LIV-00742</t>
  </si>
  <si>
    <t>FAC-00740</t>
  </si>
  <si>
    <t>CMD-00751</t>
  </si>
  <si>
    <t>LIV-00743</t>
  </si>
  <si>
    <t>FAC-00741</t>
  </si>
  <si>
    <t>CMD-00752</t>
  </si>
  <si>
    <t>LIV-00744</t>
  </si>
  <si>
    <t>FAC-00742</t>
  </si>
  <si>
    <t>CMD-00753</t>
  </si>
  <si>
    <t>LIV-00745</t>
  </si>
  <si>
    <t>FAC-00743</t>
  </si>
  <si>
    <t>CMD-00754</t>
  </si>
  <si>
    <t>LIV-00746</t>
  </si>
  <si>
    <t>FAC-00744</t>
  </si>
  <si>
    <t>CMD-00755</t>
  </si>
  <si>
    <t>LIV-00747</t>
  </si>
  <si>
    <t>FAC-00745</t>
  </si>
  <si>
    <t>CMD-00756</t>
  </si>
  <si>
    <t>LIV-00748</t>
  </si>
  <si>
    <t>FAC-00746</t>
  </si>
  <si>
    <t>CMD-00757</t>
  </si>
  <si>
    <t>LIV-00749</t>
  </si>
  <si>
    <t>FAC-00747</t>
  </si>
  <si>
    <t>CMD-00758</t>
  </si>
  <si>
    <t>LIV-00750</t>
  </si>
  <si>
    <t>FAC-00748</t>
  </si>
  <si>
    <t>CMD-00759</t>
  </si>
  <si>
    <t>LIV-00751</t>
  </si>
  <si>
    <t>FAC-00749</t>
  </si>
  <si>
    <t>CMD-00760</t>
  </si>
  <si>
    <t>LIV-00752</t>
  </si>
  <si>
    <t>FAC-00750</t>
  </si>
  <si>
    <t>CMD-00761</t>
  </si>
  <si>
    <t>LIV-00753</t>
  </si>
  <si>
    <t>FAC-00751</t>
  </si>
  <si>
    <t>CMD-00762</t>
  </si>
  <si>
    <t>LIV-00754</t>
  </si>
  <si>
    <t>FAC-00752</t>
  </si>
  <si>
    <t>CMD-00763</t>
  </si>
  <si>
    <t>LIV-00755</t>
  </si>
  <si>
    <t>FAC-00753</t>
  </si>
  <si>
    <t>CMD-00764</t>
  </si>
  <si>
    <t>LIV-00756</t>
  </si>
  <si>
    <t>FAC-00754</t>
  </si>
  <si>
    <t>CMD-00765</t>
  </si>
  <si>
    <t>LIV-00757</t>
  </si>
  <si>
    <t>FAC-00755</t>
  </si>
  <si>
    <t>CMD-00766</t>
  </si>
  <si>
    <t>LIV-00758</t>
  </si>
  <si>
    <t>FAC-00756</t>
  </si>
  <si>
    <t>CMD-00767</t>
  </si>
  <si>
    <t>LIV-00759</t>
  </si>
  <si>
    <t>FAC-00757</t>
  </si>
  <si>
    <t>CMD-00768</t>
  </si>
  <si>
    <t>LIV-00760</t>
  </si>
  <si>
    <t>FAC-00758</t>
  </si>
  <si>
    <t>CMD-00769</t>
  </si>
  <si>
    <t>LIV-00761</t>
  </si>
  <si>
    <t>FAC-00759</t>
  </si>
  <si>
    <t>CMD-00770</t>
  </si>
  <si>
    <t>LIV-00762</t>
  </si>
  <si>
    <t>FAC-00760</t>
  </si>
  <si>
    <t>CMD-00771</t>
  </si>
  <si>
    <t>LIV-00763</t>
  </si>
  <si>
    <t>FAC-00761</t>
  </si>
  <si>
    <t>CMD-00772</t>
  </si>
  <si>
    <t>LIV-00764</t>
  </si>
  <si>
    <t>FAC-00762</t>
  </si>
  <si>
    <t>CMD-00773</t>
  </si>
  <si>
    <t>LIV-00765</t>
  </si>
  <si>
    <t>FAC-00763</t>
  </si>
  <si>
    <t>CMD-00774</t>
  </si>
  <si>
    <t>LIV-00766</t>
  </si>
  <si>
    <t>FAC-00764</t>
  </si>
  <si>
    <t>CMD-00775</t>
  </si>
  <si>
    <t>LIV-00767</t>
  </si>
  <si>
    <t>FAC-00765</t>
  </si>
  <si>
    <t>CMD-00776</t>
  </si>
  <si>
    <t>LIV-00768</t>
  </si>
  <si>
    <t>FAC-00766</t>
  </si>
  <si>
    <t>CMD-00777</t>
  </si>
  <si>
    <t>LIV-00769</t>
  </si>
  <si>
    <t>FAC-00767</t>
  </si>
  <si>
    <t>CMD-00778</t>
  </si>
  <si>
    <t>LIV-00770</t>
  </si>
  <si>
    <t>FAC-00768</t>
  </si>
  <si>
    <t>CMD-00779</t>
  </si>
  <si>
    <t>LIV-00771</t>
  </si>
  <si>
    <t>FAC-00769</t>
  </si>
  <si>
    <t>CMD-00780</t>
  </si>
  <si>
    <t>LIV-00772</t>
  </si>
  <si>
    <t>FAC-00770</t>
  </si>
  <si>
    <t>CMD-00781</t>
  </si>
  <si>
    <t>LIV-00773</t>
  </si>
  <si>
    <t>FAC-00771</t>
  </si>
  <si>
    <t>CMD-00782</t>
  </si>
  <si>
    <t>LIV-00774</t>
  </si>
  <si>
    <t>FAC-00772</t>
  </si>
  <si>
    <t>CMD-00783</t>
  </si>
  <si>
    <t>LIV-00775</t>
  </si>
  <si>
    <t>FAC-00773</t>
  </si>
  <si>
    <t>CMD-00784</t>
  </si>
  <si>
    <t>LIV-00776</t>
  </si>
  <si>
    <t>FAC-00774</t>
  </si>
  <si>
    <t>CMD-00785</t>
  </si>
  <si>
    <t>LIV-00777</t>
  </si>
  <si>
    <t>FAC-00775</t>
  </si>
  <si>
    <t>CMD-00786</t>
  </si>
  <si>
    <t>LIV-00778</t>
  </si>
  <si>
    <t>FAC-00776</t>
  </si>
  <si>
    <t>CMD-00787</t>
  </si>
  <si>
    <t>LIV-00779</t>
  </si>
  <si>
    <t>FAC-00777</t>
  </si>
  <si>
    <t>CMD-00788</t>
  </si>
  <si>
    <t>LIV-00780</t>
  </si>
  <si>
    <t>FAC-00778</t>
  </si>
  <si>
    <t>CMD-00789</t>
  </si>
  <si>
    <t>LIV-00781</t>
  </si>
  <si>
    <t>FAC-00779</t>
  </si>
  <si>
    <t>CMD-00790</t>
  </si>
  <si>
    <t>LIV-00782</t>
  </si>
  <si>
    <t>FAC-00780</t>
  </si>
  <si>
    <t>CMD-00791</t>
  </si>
  <si>
    <t>LIV-00783</t>
  </si>
  <si>
    <t>FAC-00781</t>
  </si>
  <si>
    <t>CMD-00792</t>
  </si>
  <si>
    <t>LIV-00784</t>
  </si>
  <si>
    <t>FAC-00782</t>
  </si>
  <si>
    <t>CMD-00793</t>
  </si>
  <si>
    <t>LIV-00785</t>
  </si>
  <si>
    <t>FAC-00783</t>
  </si>
  <si>
    <t>CMD-00794</t>
  </si>
  <si>
    <t>LIV-00786</t>
  </si>
  <si>
    <t>FAC-00784</t>
  </si>
  <si>
    <t>CMD-00795</t>
  </si>
  <si>
    <t>LIV-00787</t>
  </si>
  <si>
    <t>FAC-00785</t>
  </si>
  <si>
    <t>CMD-00796</t>
  </si>
  <si>
    <t>LIV-00788</t>
  </si>
  <si>
    <t>FAC-00786</t>
  </si>
  <si>
    <t>CMD-00797</t>
  </si>
  <si>
    <t>LIV-00789</t>
  </si>
  <si>
    <t>FAC-00787</t>
  </si>
  <si>
    <t>CMD-00798</t>
  </si>
  <si>
    <t>LIV-00790</t>
  </si>
  <si>
    <t>FAC-00788</t>
  </si>
  <si>
    <t>CMD-00799</t>
  </si>
  <si>
    <t>LIV-00791</t>
  </si>
  <si>
    <t>FAC-00789</t>
  </si>
  <si>
    <t>CMD-00800</t>
  </si>
  <si>
    <t>LIV-00792</t>
  </si>
  <si>
    <t>FAC-00790</t>
  </si>
  <si>
    <t>CMD-00801</t>
  </si>
  <si>
    <t>LIV-00793</t>
  </si>
  <si>
    <t>FAC-00791</t>
  </si>
  <si>
    <t>CMD-00802</t>
  </si>
  <si>
    <t>LIV-00794</t>
  </si>
  <si>
    <t>FAC-00792</t>
  </si>
  <si>
    <t>CMD-00803</t>
  </si>
  <si>
    <t>LIV-00795</t>
  </si>
  <si>
    <t>FAC-00793</t>
  </si>
  <si>
    <t>CMD-00804</t>
  </si>
  <si>
    <t>LIV-00796</t>
  </si>
  <si>
    <t>FAC-00794</t>
  </si>
  <si>
    <t>CMD-00805</t>
  </si>
  <si>
    <t>LIV-00797</t>
  </si>
  <si>
    <t>FAC-00795</t>
  </si>
  <si>
    <t>CMD-00806</t>
  </si>
  <si>
    <t>LIV-00798</t>
  </si>
  <si>
    <t>FAC-00796</t>
  </si>
  <si>
    <t>CMD-00807</t>
  </si>
  <si>
    <t>LIV-00799</t>
  </si>
  <si>
    <t>FAC-00797</t>
  </si>
  <si>
    <t>CMD-00808</t>
  </si>
  <si>
    <t>LIV-00800</t>
  </si>
  <si>
    <t>FAC-00798</t>
  </si>
  <si>
    <t>CMD-00809</t>
  </si>
  <si>
    <t>LIV-00801</t>
  </si>
  <si>
    <t>FAC-00799</t>
  </si>
  <si>
    <t>CMD-00810</t>
  </si>
  <si>
    <t>LIV-00802</t>
  </si>
  <si>
    <t>FAC-00800</t>
  </si>
  <si>
    <t>CMD-00811</t>
  </si>
  <si>
    <t>LIV-00803</t>
  </si>
  <si>
    <t>FAC-00801</t>
  </si>
  <si>
    <t>CMD-00812</t>
  </si>
  <si>
    <t>LIV-00804</t>
  </si>
  <si>
    <t>FAC-00802</t>
  </si>
  <si>
    <t>CMD-00813</t>
  </si>
  <si>
    <t>LIV-00805</t>
  </si>
  <si>
    <t>FAC-00803</t>
  </si>
  <si>
    <t>CMD-00814</t>
  </si>
  <si>
    <t>LIV-00806</t>
  </si>
  <si>
    <t>FAC-00804</t>
  </si>
  <si>
    <t>CMD-00815</t>
  </si>
  <si>
    <t>LIV-00807</t>
  </si>
  <si>
    <t>FAC-00805</t>
  </si>
  <si>
    <t>CMD-00816</t>
  </si>
  <si>
    <t>LIV-00808</t>
  </si>
  <si>
    <t>FAC-00806</t>
  </si>
  <si>
    <t>CMD-00817</t>
  </si>
  <si>
    <t>LIV-00809</t>
  </si>
  <si>
    <t>FAC-00807</t>
  </si>
  <si>
    <t>CMD-00818</t>
  </si>
  <si>
    <t>LIV-00810</t>
  </si>
  <si>
    <t>FAC-00808</t>
  </si>
  <si>
    <t>CMD-00819</t>
  </si>
  <si>
    <t>LIV-00811</t>
  </si>
  <si>
    <t>FAC-00809</t>
  </si>
  <si>
    <t>CMD-00820</t>
  </si>
  <si>
    <t>LIV-00812</t>
  </si>
  <si>
    <t>FAC-00810</t>
  </si>
  <si>
    <t>CMD-00821</t>
  </si>
  <si>
    <t>LIV-00813</t>
  </si>
  <si>
    <t>FAC-00811</t>
  </si>
  <si>
    <t>CMD-00822</t>
  </si>
  <si>
    <t>LIV-00814</t>
  </si>
  <si>
    <t>FAC-00812</t>
  </si>
  <si>
    <t>CMD-00823</t>
  </si>
  <si>
    <t>LIV-00815</t>
  </si>
  <si>
    <t>FAC-00813</t>
  </si>
  <si>
    <t>CMD-00824</t>
  </si>
  <si>
    <t>LIV-00816</t>
  </si>
  <si>
    <t>FAC-00814</t>
  </si>
  <si>
    <t>CMD-00825</t>
  </si>
  <si>
    <t>LIV-00817</t>
  </si>
  <si>
    <t>FAC-00815</t>
  </si>
  <si>
    <t>CMD-00826</t>
  </si>
  <si>
    <t>LIV-00818</t>
  </si>
  <si>
    <t>FAC-00816</t>
  </si>
  <si>
    <t>CMD-00827</t>
  </si>
  <si>
    <t>LIV-00819</t>
  </si>
  <si>
    <t>FAC-00817</t>
  </si>
  <si>
    <t>CMD-00828</t>
  </si>
  <si>
    <t>LIV-00820</t>
  </si>
  <si>
    <t>FAC-00818</t>
  </si>
  <si>
    <t>CMD-00829</t>
  </si>
  <si>
    <t>LIV-00821</t>
  </si>
  <si>
    <t>FAC-00819</t>
  </si>
  <si>
    <t>CMD-00830</t>
  </si>
  <si>
    <t>LIV-00822</t>
  </si>
  <si>
    <t>FAC-00820</t>
  </si>
  <si>
    <t>CMD-00831</t>
  </si>
  <si>
    <t>LIV-00823</t>
  </si>
  <si>
    <t>FAC-00821</t>
  </si>
  <si>
    <t>CMD-00832</t>
  </si>
  <si>
    <t>LIV-00824</t>
  </si>
  <si>
    <t>FAC-00822</t>
  </si>
  <si>
    <t>CMD-00833</t>
  </si>
  <si>
    <t>LIV-00825</t>
  </si>
  <si>
    <t>FAC-00823</t>
  </si>
  <si>
    <t>CMD-00834</t>
  </si>
  <si>
    <t>LIV-00826</t>
  </si>
  <si>
    <t>FAC-00824</t>
  </si>
  <si>
    <t>CMD-00835</t>
  </si>
  <si>
    <t>LIV-00827</t>
  </si>
  <si>
    <t>FAC-00825</t>
  </si>
  <si>
    <t>CMD-00836</t>
  </si>
  <si>
    <t>LIV-00828</t>
  </si>
  <si>
    <t>FAC-00826</t>
  </si>
  <si>
    <t>CMD-00837</t>
  </si>
  <si>
    <t>CMD-00838</t>
  </si>
  <si>
    <t>LIV-00829</t>
  </si>
  <si>
    <t>FAC-00827</t>
  </si>
  <si>
    <t>CMD-00839</t>
  </si>
  <si>
    <t>LIV-00830</t>
  </si>
  <si>
    <t>FAC-00828</t>
  </si>
  <si>
    <t>CMD-00840</t>
  </si>
  <si>
    <t>LIV-00831</t>
  </si>
  <si>
    <t>FAC-00829</t>
  </si>
  <si>
    <t>CMD-00841</t>
  </si>
  <si>
    <t>LIV-00832</t>
  </si>
  <si>
    <t>FAC-00830</t>
  </si>
  <si>
    <t>CMD-00842</t>
  </si>
  <si>
    <t>LIV-00833</t>
  </si>
  <si>
    <t>FAC-00831</t>
  </si>
  <si>
    <t>CMD-00843</t>
  </si>
  <si>
    <t>LIV-00834</t>
  </si>
  <si>
    <t>FAC-00832</t>
  </si>
  <si>
    <t>CMD-00844</t>
  </si>
  <si>
    <t>LIV-00835</t>
  </si>
  <si>
    <t>FAC-00833</t>
  </si>
  <si>
    <t>CMD-00845</t>
  </si>
  <si>
    <t>LIV-00836</t>
  </si>
  <si>
    <t>FAC-00834</t>
  </si>
  <si>
    <t>CMD-00846</t>
  </si>
  <si>
    <t>LIV-00837</t>
  </si>
  <si>
    <t>FAC-00835</t>
  </si>
  <si>
    <t>CMD-00847</t>
  </si>
  <si>
    <t>LIV-00838</t>
  </si>
  <si>
    <t>FAC-00836</t>
  </si>
  <si>
    <t>CMD-00848</t>
  </si>
  <si>
    <t>LIV-00839</t>
  </si>
  <si>
    <t>FAC-00837</t>
  </si>
  <si>
    <t>CMD-00849</t>
  </si>
  <si>
    <t>LIV-00840</t>
  </si>
  <si>
    <t>FAC-00838</t>
  </si>
  <si>
    <t>CMD-00850</t>
  </si>
  <si>
    <t>LIV-00841</t>
  </si>
  <si>
    <t>FAC-00839</t>
  </si>
  <si>
    <t>CMD-00851</t>
  </si>
  <si>
    <t>LIV-00842</t>
  </si>
  <si>
    <t>FAC-00840</t>
  </si>
  <si>
    <t>CMD-00852</t>
  </si>
  <si>
    <t>LIV-00843</t>
  </si>
  <si>
    <t>FAC-00841</t>
  </si>
  <si>
    <t>CMD-00853</t>
  </si>
  <si>
    <t>LIV-00844</t>
  </si>
  <si>
    <t>FAC-00842</t>
  </si>
  <si>
    <t>CMD-00854</t>
  </si>
  <si>
    <t>LIV-00845</t>
  </si>
  <si>
    <t>FAC-00843</t>
  </si>
  <si>
    <t>CMD-00855</t>
  </si>
  <si>
    <t>LIV-00846</t>
  </si>
  <si>
    <t>FAC-00844</t>
  </si>
  <si>
    <t>CMD-00856</t>
  </si>
  <si>
    <t>LIV-00847</t>
  </si>
  <si>
    <t>FAC-00845</t>
  </si>
  <si>
    <t>CMD-00857</t>
  </si>
  <si>
    <t>LIV-00848</t>
  </si>
  <si>
    <t>FAC-00846</t>
  </si>
  <si>
    <t>CMD-00858</t>
  </si>
  <si>
    <t>LIV-00849</t>
  </si>
  <si>
    <t>FAC-00847</t>
  </si>
  <si>
    <t>CMD-00859</t>
  </si>
  <si>
    <t>LIV-00850</t>
  </si>
  <si>
    <t>FAC-00848</t>
  </si>
  <si>
    <t>CMD-00860</t>
  </si>
  <si>
    <t>LIV-00851</t>
  </si>
  <si>
    <t>FAC-00849</t>
  </si>
  <si>
    <t>CMD-00861</t>
  </si>
  <si>
    <t>LIV-00852</t>
  </si>
  <si>
    <t>FAC-00850</t>
  </si>
  <si>
    <t>CMD-00862</t>
  </si>
  <si>
    <t>LIV-00853</t>
  </si>
  <si>
    <t>FAC-00851</t>
  </si>
  <si>
    <t>CMD-00863</t>
  </si>
  <si>
    <t>LIV-00854</t>
  </si>
  <si>
    <t>FAC-00852</t>
  </si>
  <si>
    <t>CMD-00864</t>
  </si>
  <si>
    <t>LIV-00855</t>
  </si>
  <si>
    <t>FAC-00853</t>
  </si>
  <si>
    <t>CMD-00865</t>
  </si>
  <si>
    <t>LIV-00856</t>
  </si>
  <si>
    <t>FAC-00854</t>
  </si>
  <si>
    <t>CMD-00866</t>
  </si>
  <si>
    <t>LIV-00857</t>
  </si>
  <si>
    <t>FAC-00855</t>
  </si>
  <si>
    <t>CMD-00867</t>
  </si>
  <si>
    <t>LIV-00858</t>
  </si>
  <si>
    <t>FAC-00856</t>
  </si>
  <si>
    <t>CMD-00868</t>
  </si>
  <si>
    <t>LIV-00859</t>
  </si>
  <si>
    <t>FAC-00857</t>
  </si>
  <si>
    <t>CMD-00869</t>
  </si>
  <si>
    <t>LIV-00860</t>
  </si>
  <si>
    <t>FAC-00858</t>
  </si>
  <si>
    <t>CMD-00870</t>
  </si>
  <si>
    <t>LIV-00861</t>
  </si>
  <si>
    <t>FAC-00859</t>
  </si>
  <si>
    <t>CMD-00871</t>
  </si>
  <si>
    <t>LIV-00862</t>
  </si>
  <si>
    <t>FAC-00860</t>
  </si>
  <si>
    <t>CMD-00872</t>
  </si>
  <si>
    <t>LIV-00863</t>
  </si>
  <si>
    <t>FAC-00861</t>
  </si>
  <si>
    <t>CMD-00873</t>
  </si>
  <si>
    <t>LIV-00864</t>
  </si>
  <si>
    <t>FAC-00862</t>
  </si>
  <si>
    <t>CMD-00874</t>
  </si>
  <si>
    <t>LIV-00865</t>
  </si>
  <si>
    <t>FAC-00863</t>
  </si>
  <si>
    <t>CMD-00875</t>
  </si>
  <si>
    <t>LIV-00866</t>
  </si>
  <si>
    <t>FAC-00864</t>
  </si>
  <si>
    <t>CMD-00876</t>
  </si>
  <si>
    <t>LIV-00867</t>
  </si>
  <si>
    <t>FAC-00865</t>
  </si>
  <si>
    <t>CMD-00877</t>
  </si>
  <si>
    <t>LIV-00868</t>
  </si>
  <si>
    <t>FAC-00866</t>
  </si>
  <si>
    <t>CMD-00878</t>
  </si>
  <si>
    <t>LIV-00869</t>
  </si>
  <si>
    <t>FAC-00867</t>
  </si>
  <si>
    <t>CMD-00879</t>
  </si>
  <si>
    <t>LIV-00870</t>
  </si>
  <si>
    <t>FAC-00868</t>
  </si>
  <si>
    <t>CMD-00880</t>
  </si>
  <si>
    <t>LIV-00871</t>
  </si>
  <si>
    <t>FAC-00869</t>
  </si>
  <si>
    <t>CMD-00881</t>
  </si>
  <si>
    <t>LIV-00872</t>
  </si>
  <si>
    <t>FAC-00870</t>
  </si>
  <si>
    <t>CMD-00882</t>
  </si>
  <si>
    <t>LIV-00873</t>
  </si>
  <si>
    <t>FAC-00871</t>
  </si>
  <si>
    <t>CMD-00883</t>
  </si>
  <si>
    <t>LIV-00874</t>
  </si>
  <si>
    <t>FAC-00872</t>
  </si>
  <si>
    <t>CMD-00884</t>
  </si>
  <si>
    <t>LIV-00875</t>
  </si>
  <si>
    <t>FAC-00873</t>
  </si>
  <si>
    <t>CMD-00885</t>
  </si>
  <si>
    <t>LIV-00876</t>
  </si>
  <si>
    <t>FAC-00874</t>
  </si>
  <si>
    <t>CMD-00886</t>
  </si>
  <si>
    <t>LIV-00877</t>
  </si>
  <si>
    <t>FAC-00875</t>
  </si>
  <si>
    <t>CMD-00887</t>
  </si>
  <si>
    <t>LIV-00878</t>
  </si>
  <si>
    <t>FAC-00876</t>
  </si>
  <si>
    <t>CMD-00888</t>
  </si>
  <si>
    <t>LIV-00879</t>
  </si>
  <si>
    <t>FAC-00877</t>
  </si>
  <si>
    <t>CMD-00889</t>
  </si>
  <si>
    <t>LIV-00880</t>
  </si>
  <si>
    <t>FAC-00878</t>
  </si>
  <si>
    <t>CMD-00890</t>
  </si>
  <si>
    <t>LIV-00881</t>
  </si>
  <si>
    <t>FAC-00879</t>
  </si>
  <si>
    <t>CMD-00891</t>
  </si>
  <si>
    <t>LIV-00882</t>
  </si>
  <si>
    <t>FAC-00880</t>
  </si>
  <si>
    <t>CMD-00892</t>
  </si>
  <si>
    <t>LIV-00883</t>
  </si>
  <si>
    <t>FAC-00881</t>
  </si>
  <si>
    <t>CMD-00893</t>
  </si>
  <si>
    <t>LIV-00884</t>
  </si>
  <si>
    <t>FAC-00882</t>
  </si>
  <si>
    <t>CMD-00894</t>
  </si>
  <si>
    <t>LIV-00885</t>
  </si>
  <si>
    <t>FAC-00883</t>
  </si>
  <si>
    <t>CMD-00895</t>
  </si>
  <si>
    <t>LIV-00886</t>
  </si>
  <si>
    <t>FAC-00884</t>
  </si>
  <si>
    <t>CMD-00896</t>
  </si>
  <si>
    <t>LIV-00887</t>
  </si>
  <si>
    <t>FAC-00885</t>
  </si>
  <si>
    <t>CMD-00897</t>
  </si>
  <si>
    <t>LIV-00888</t>
  </si>
  <si>
    <t>FAC-00886</t>
  </si>
  <si>
    <t>CMD-00898</t>
  </si>
  <si>
    <t>LIV-00889</t>
  </si>
  <si>
    <t>FAC-00887</t>
  </si>
  <si>
    <t>CMD-00899</t>
  </si>
  <si>
    <t>LIV-00890</t>
  </si>
  <si>
    <t>FAC-00888</t>
  </si>
  <si>
    <t>CMD-00900</t>
  </si>
  <si>
    <t>LIV-00891</t>
  </si>
  <si>
    <t>FAC-00889</t>
  </si>
  <si>
    <t>CMD-00901</t>
  </si>
  <si>
    <t>LIV-00892</t>
  </si>
  <si>
    <t>FAC-00890</t>
  </si>
  <si>
    <t>CMD-00902</t>
  </si>
  <si>
    <t>LIV-00893</t>
  </si>
  <si>
    <t>FAC-00891</t>
  </si>
  <si>
    <t>CMD-00903</t>
  </si>
  <si>
    <t>LIV-00894</t>
  </si>
  <si>
    <t>FAC-00892</t>
  </si>
  <si>
    <t>CMD-00904</t>
  </si>
  <si>
    <t>LIV-00895</t>
  </si>
  <si>
    <t>FAC-00893</t>
  </si>
  <si>
    <t>CMD-00905</t>
  </si>
  <si>
    <t>LIV-00896</t>
  </si>
  <si>
    <t>FAC-00894</t>
  </si>
  <si>
    <t>CMD-00906</t>
  </si>
  <si>
    <t>LIV-00897</t>
  </si>
  <si>
    <t>FAC-00895</t>
  </si>
  <si>
    <t>CMD-00907</t>
  </si>
  <si>
    <t>LIV-00898</t>
  </si>
  <si>
    <t>FAC-00896</t>
  </si>
  <si>
    <t>CMD-00908</t>
  </si>
  <si>
    <t>LIV-00899</t>
  </si>
  <si>
    <t>FAC-00897</t>
  </si>
  <si>
    <t>CMD-00909</t>
  </si>
  <si>
    <t>LIV-00900</t>
  </si>
  <si>
    <t>FAC-00898</t>
  </si>
  <si>
    <t>CMD-00910</t>
  </si>
  <si>
    <t>LIV-00901</t>
  </si>
  <si>
    <t>FAC-00899</t>
  </si>
  <si>
    <t>CMD-00911</t>
  </si>
  <si>
    <t>LIV-00902</t>
  </si>
  <si>
    <t>FAC-00900</t>
  </si>
  <si>
    <t>CMD-00912</t>
  </si>
  <si>
    <t>LIV-00903</t>
  </si>
  <si>
    <t>FAC-00901</t>
  </si>
  <si>
    <t>CMD-00913</t>
  </si>
  <si>
    <t>LIV-00904</t>
  </si>
  <si>
    <t>FAC-00902</t>
  </si>
  <si>
    <t>CMD-00914</t>
  </si>
  <si>
    <t>LIV-00905</t>
  </si>
  <si>
    <t>FAC-00903</t>
  </si>
  <si>
    <t>CMD-00915</t>
  </si>
  <si>
    <t>LIV-00906</t>
  </si>
  <si>
    <t>FAC-00904</t>
  </si>
  <si>
    <t>CMD-00916</t>
  </si>
  <si>
    <t>LIV-00907</t>
  </si>
  <si>
    <t>FAC-00905</t>
  </si>
  <si>
    <t>CMD-00917</t>
  </si>
  <si>
    <t>LIV-00908</t>
  </si>
  <si>
    <t>FAC-00906</t>
  </si>
  <si>
    <t>CMD-00918</t>
  </si>
  <si>
    <t>LIV-00909</t>
  </si>
  <si>
    <t>FAC-00907</t>
  </si>
  <si>
    <t>CMD-00919</t>
  </si>
  <si>
    <t>LIV-00910</t>
  </si>
  <si>
    <t>FAC-00908</t>
  </si>
  <si>
    <t>CMD-00920</t>
  </si>
  <si>
    <t>LIV-00911</t>
  </si>
  <si>
    <t>FAC-00909</t>
  </si>
  <si>
    <t>CMD-00921</t>
  </si>
  <si>
    <t>LIV-00912</t>
  </si>
  <si>
    <t>FAC-00910</t>
  </si>
  <si>
    <t>CMD-00922</t>
  </si>
  <si>
    <t>LIV-00913</t>
  </si>
  <si>
    <t>FAC-00911</t>
  </si>
  <si>
    <t>CMD-00923</t>
  </si>
  <si>
    <t>LIV-00914</t>
  </si>
  <si>
    <t>FAC-00912</t>
  </si>
  <si>
    <t>CMD-00924</t>
  </si>
  <si>
    <t>LIV-00915</t>
  </si>
  <si>
    <t>FAC-00913</t>
  </si>
  <si>
    <t>CMD-00925</t>
  </si>
  <si>
    <t>LIV-00916</t>
  </si>
  <si>
    <t>FAC-00914</t>
  </si>
  <si>
    <t>CMD-00926</t>
  </si>
  <si>
    <t>LIV-00917</t>
  </si>
  <si>
    <t>FAC-00915</t>
  </si>
  <si>
    <t>CMD-00927</t>
  </si>
  <si>
    <t>LIV-00918</t>
  </si>
  <si>
    <t>FAC-00916</t>
  </si>
  <si>
    <t>CMD-00928</t>
  </si>
  <si>
    <t>LIV-00919</t>
  </si>
  <si>
    <t>FAC-00917</t>
  </si>
  <si>
    <t>CMD-00929</t>
  </si>
  <si>
    <t>LIV-00920</t>
  </si>
  <si>
    <t>FAC-00918</t>
  </si>
  <si>
    <t>CMD-00930</t>
  </si>
  <si>
    <t>LIV-00921</t>
  </si>
  <si>
    <t>FAC-00919</t>
  </si>
  <si>
    <t>CMD-00931</t>
  </si>
  <si>
    <t>LIV-00922</t>
  </si>
  <si>
    <t>FAC-00920</t>
  </si>
  <si>
    <t>CMD-00932</t>
  </si>
  <si>
    <t>LIV-00923</t>
  </si>
  <si>
    <t>FAC-00921</t>
  </si>
  <si>
    <t>CMD-00933</t>
  </si>
  <si>
    <t>LIV-00924</t>
  </si>
  <si>
    <t>FAC-00922</t>
  </si>
  <si>
    <t>CMD-00934</t>
  </si>
  <si>
    <t>LIV-00925</t>
  </si>
  <si>
    <t>FAC-00923</t>
  </si>
  <si>
    <t>CMD-00935</t>
  </si>
  <si>
    <t>LIV-00926</t>
  </si>
  <si>
    <t>FAC-00924</t>
  </si>
  <si>
    <t>CMD-00936</t>
  </si>
  <si>
    <t>LIV-00927</t>
  </si>
  <si>
    <t>FAC-00925</t>
  </si>
  <si>
    <t>CMD-00937</t>
  </si>
  <si>
    <t>LIV-00928</t>
  </si>
  <si>
    <t>FAC-00926</t>
  </si>
  <si>
    <t>CMD-00938</t>
  </si>
  <si>
    <t>LIV-00929</t>
  </si>
  <si>
    <t>FAC-00927</t>
  </si>
  <si>
    <t>CMD-00939</t>
  </si>
  <si>
    <t>LIV-00930</t>
  </si>
  <si>
    <t>FAC-00928</t>
  </si>
  <si>
    <t>CMD-00940</t>
  </si>
  <si>
    <t>LIV-00931</t>
  </si>
  <si>
    <t>FAC-00929</t>
  </si>
  <si>
    <t>CMD-00941</t>
  </si>
  <si>
    <t>LIV-00932</t>
  </si>
  <si>
    <t>FAC-00930</t>
  </si>
  <si>
    <t>CMD-00942</t>
  </si>
  <si>
    <t>LIV-00933</t>
  </si>
  <si>
    <t>FAC-00931</t>
  </si>
  <si>
    <t>CMD-00943</t>
  </si>
  <si>
    <t>LIV-00934</t>
  </si>
  <si>
    <t>FAC-00932</t>
  </si>
  <si>
    <t>CMD-00944</t>
  </si>
  <si>
    <t>LIV-00935</t>
  </si>
  <si>
    <t>FAC-00933</t>
  </si>
  <si>
    <t>CMD-00945</t>
  </si>
  <si>
    <t>LIV-00936</t>
  </si>
  <si>
    <t>FAC-00934</t>
  </si>
  <si>
    <t>CMD-00946</t>
  </si>
  <si>
    <t>LIV-00937</t>
  </si>
  <si>
    <t>FAC-00935</t>
  </si>
  <si>
    <t>CMD-00947</t>
  </si>
  <si>
    <t>LIV-00938</t>
  </si>
  <si>
    <t>FAC-00936</t>
  </si>
  <si>
    <t>CMD-00948</t>
  </si>
  <si>
    <t>LIV-00939</t>
  </si>
  <si>
    <t>FAC-00937</t>
  </si>
  <si>
    <t>CMD-00949</t>
  </si>
  <si>
    <t>LIV-00940</t>
  </si>
  <si>
    <t>FAC-00938</t>
  </si>
  <si>
    <t>CMD-00950</t>
  </si>
  <si>
    <t>LIV-00941</t>
  </si>
  <si>
    <t>FAC-00939</t>
  </si>
  <si>
    <t>CMD-00951</t>
  </si>
  <si>
    <t>LIV-00942</t>
  </si>
  <si>
    <t>FAC-00940</t>
  </si>
  <si>
    <t>CMD-00952</t>
  </si>
  <si>
    <t>LIV-00943</t>
  </si>
  <si>
    <t>FAC-00941</t>
  </si>
  <si>
    <t>CMD-00953</t>
  </si>
  <si>
    <t>LIV-00944</t>
  </si>
  <si>
    <t>FAC-00942</t>
  </si>
  <si>
    <t>CMD-00954</t>
  </si>
  <si>
    <t>LIV-00945</t>
  </si>
  <si>
    <t>FAC-00943</t>
  </si>
  <si>
    <t>CMD-00955</t>
  </si>
  <si>
    <t>LIV-00946</t>
  </si>
  <si>
    <t>FAC-00944</t>
  </si>
  <si>
    <t>CMD-00956</t>
  </si>
  <si>
    <t>LIV-00947</t>
  </si>
  <si>
    <t>FAC-00945</t>
  </si>
  <si>
    <t>CMD-00957</t>
  </si>
  <si>
    <t>LIV-00948</t>
  </si>
  <si>
    <t>FAC-00946</t>
  </si>
  <si>
    <t>CMD-00958</t>
  </si>
  <si>
    <t>LIV-00949</t>
  </si>
  <si>
    <t>FAC-00947</t>
  </si>
  <si>
    <t>CMD-00959</t>
  </si>
  <si>
    <t>LIV-00950</t>
  </si>
  <si>
    <t>FAC-00948</t>
  </si>
  <si>
    <t>CMD-00960</t>
  </si>
  <si>
    <t>LIV-00951</t>
  </si>
  <si>
    <t>FAC-00949</t>
  </si>
  <si>
    <t>CMD-00961</t>
  </si>
  <si>
    <t>LIV-00952</t>
  </si>
  <si>
    <t>FAC-00950</t>
  </si>
  <si>
    <t>CMD-00962</t>
  </si>
  <si>
    <t>LIV-00953</t>
  </si>
  <si>
    <t>FAC-00951</t>
  </si>
  <si>
    <t>CMD-00963</t>
  </si>
  <si>
    <t>LIV-00954</t>
  </si>
  <si>
    <t>FAC-00952</t>
  </si>
  <si>
    <t>CMD-00964</t>
  </si>
  <si>
    <t>LIV-00955</t>
  </si>
  <si>
    <t>FAC-00953</t>
  </si>
  <si>
    <t>CMD-00965</t>
  </si>
  <si>
    <t>LIV-00956</t>
  </si>
  <si>
    <t>FAC-00954</t>
  </si>
  <si>
    <t>CMD-00966</t>
  </si>
  <si>
    <t>LIV-00957</t>
  </si>
  <si>
    <t>FAC-00955</t>
  </si>
  <si>
    <t>CMD-00967</t>
  </si>
  <si>
    <t>LIV-00958</t>
  </si>
  <si>
    <t>FAC-00956</t>
  </si>
  <si>
    <t>CMD-00968</t>
  </si>
  <si>
    <t>LIV-00959</t>
  </si>
  <si>
    <t>FAC-00957</t>
  </si>
  <si>
    <t>CMD-00969</t>
  </si>
  <si>
    <t>LIV-00960</t>
  </si>
  <si>
    <t>FAC-00958</t>
  </si>
  <si>
    <t>CMD-00970</t>
  </si>
  <si>
    <t>LIV-00961</t>
  </si>
  <si>
    <t>FAC-00959</t>
  </si>
  <si>
    <t>CMD-00971</t>
  </si>
  <si>
    <t>LIV-00962</t>
  </si>
  <si>
    <t>FAC-00960</t>
  </si>
  <si>
    <t>CMD-00972</t>
  </si>
  <si>
    <t>LIV-00963</t>
  </si>
  <si>
    <t>FAC-00961</t>
  </si>
  <si>
    <t>CMD-00973</t>
  </si>
  <si>
    <t>LIV-00964</t>
  </si>
  <si>
    <t>FAC-00962</t>
  </si>
  <si>
    <t>CMD-00974</t>
  </si>
  <si>
    <t>LIV-00965</t>
  </si>
  <si>
    <t>FAC-00963</t>
  </si>
  <si>
    <t>CMD-00975</t>
  </si>
  <si>
    <t>LIV-00966</t>
  </si>
  <si>
    <t>FAC-00964</t>
  </si>
  <si>
    <t>CMD-00976</t>
  </si>
  <si>
    <t>LIV-00967</t>
  </si>
  <si>
    <t>FAC-00965</t>
  </si>
  <si>
    <t>CMD-00977</t>
  </si>
  <si>
    <t>LIV-00968</t>
  </si>
  <si>
    <t>FAC-00966</t>
  </si>
  <si>
    <t>CMD-00978</t>
  </si>
  <si>
    <t>LIV-00969</t>
  </si>
  <si>
    <t>FAC-00967</t>
  </si>
  <si>
    <t>CMD-00979</t>
  </si>
  <si>
    <t>LIV-00970</t>
  </si>
  <si>
    <t>FAC-00968</t>
  </si>
  <si>
    <t>CMD-00980</t>
  </si>
  <si>
    <t>LIV-00971</t>
  </si>
  <si>
    <t>FAC-00969</t>
  </si>
  <si>
    <t>CMD-00981</t>
  </si>
  <si>
    <t>LIV-00972</t>
  </si>
  <si>
    <t>FAC-00970</t>
  </si>
  <si>
    <t>CMD-00982</t>
  </si>
  <si>
    <t>LIV-00973</t>
  </si>
  <si>
    <t>FAC-00971</t>
  </si>
  <si>
    <t>CMD-00983</t>
  </si>
  <si>
    <t>LIV-00974</t>
  </si>
  <si>
    <t>FAC-00972</t>
  </si>
  <si>
    <t>CMD-00984</t>
  </si>
  <si>
    <t>LIV-00975</t>
  </si>
  <si>
    <t>FAC-00973</t>
  </si>
  <si>
    <t>CMD-00985</t>
  </si>
  <si>
    <t>LIV-00976</t>
  </si>
  <si>
    <t>FAC-00974</t>
  </si>
  <si>
    <t>CMD-00986</t>
  </si>
  <si>
    <t>LIV-00977</t>
  </si>
  <si>
    <t>FAC-00975</t>
  </si>
  <si>
    <t>CMD-00987</t>
  </si>
  <si>
    <t>LIV-00978</t>
  </si>
  <si>
    <t>FAC-00976</t>
  </si>
  <si>
    <t>CMD-00988</t>
  </si>
  <si>
    <t>LIV-00979</t>
  </si>
  <si>
    <t>FAC-00977</t>
  </si>
  <si>
    <t>CMD-00989</t>
  </si>
  <si>
    <t>LIV-00980</t>
  </si>
  <si>
    <t>FAC-00978</t>
  </si>
  <si>
    <t>CMD-00990</t>
  </si>
  <si>
    <t>LIV-00981</t>
  </si>
  <si>
    <t>FAC-00979</t>
  </si>
  <si>
    <t>CMD-00991</t>
  </si>
  <si>
    <t>LIV-00982</t>
  </si>
  <si>
    <t>FAC-00980</t>
  </si>
  <si>
    <t>CMD-00992</t>
  </si>
  <si>
    <t>LIV-00983</t>
  </si>
  <si>
    <t>FAC-00981</t>
  </si>
  <si>
    <t>CMD-00993</t>
  </si>
  <si>
    <t>LIV-00984</t>
  </si>
  <si>
    <t>FAC-00982</t>
  </si>
  <si>
    <t>CMD-00994</t>
  </si>
  <si>
    <t>LIV-00985</t>
  </si>
  <si>
    <t>FAC-00983</t>
  </si>
  <si>
    <t>CMD-00995</t>
  </si>
  <si>
    <t>LIV-00986</t>
  </si>
  <si>
    <t>FAC-00984</t>
  </si>
  <si>
    <t>CMD-00996</t>
  </si>
  <si>
    <t>LIV-00987</t>
  </si>
  <si>
    <t>FAC-00985</t>
  </si>
  <si>
    <t>CMD-00997</t>
  </si>
  <si>
    <t>LIV-00988</t>
  </si>
  <si>
    <t>FAC-00986</t>
  </si>
  <si>
    <t>CMD-00998</t>
  </si>
  <si>
    <t>LIV-00989</t>
  </si>
  <si>
    <t>FAC-00987</t>
  </si>
  <si>
    <t>CMD-00999</t>
  </si>
  <si>
    <t>LIV-00990</t>
  </si>
  <si>
    <t>FAC-00988</t>
  </si>
  <si>
    <t>CMD-01000</t>
  </si>
  <si>
    <t>LIV-00991</t>
  </si>
  <si>
    <t>FAC-00989</t>
  </si>
  <si>
    <t>CMD-01001</t>
  </si>
  <si>
    <t>LIV-00992</t>
  </si>
  <si>
    <t>FAC-00990</t>
  </si>
  <si>
    <t>CMD-01002</t>
  </si>
  <si>
    <t>LIV-00993</t>
  </si>
  <si>
    <t>FAC-00991</t>
  </si>
  <si>
    <t>CMD-01003</t>
  </si>
  <si>
    <t>LIV-00994</t>
  </si>
  <si>
    <t>FAC-00992</t>
  </si>
  <si>
    <t>CMD-01004</t>
  </si>
  <si>
    <t>LIV-00995</t>
  </si>
  <si>
    <t>FAC-00993</t>
  </si>
  <si>
    <t>CMD-01005</t>
  </si>
  <si>
    <t>LIV-00996</t>
  </si>
  <si>
    <t>FAC-00994</t>
  </si>
  <si>
    <t>CMD-01006</t>
  </si>
  <si>
    <t>LIV-00997</t>
  </si>
  <si>
    <t>FAC-00995</t>
  </si>
  <si>
    <t>CMD-01007</t>
  </si>
  <si>
    <t>LIV-00998</t>
  </si>
  <si>
    <t>FAC-00996</t>
  </si>
  <si>
    <t>CMD-01008</t>
  </si>
  <si>
    <t>CMD-01009</t>
  </si>
  <si>
    <t>LIV-00999</t>
  </si>
  <si>
    <t>FAC-00997</t>
  </si>
  <si>
    <t>CMD-01010</t>
  </si>
  <si>
    <t>LIV-01000</t>
  </si>
  <si>
    <t>FAC-00998</t>
  </si>
  <si>
    <t>CMD-01011</t>
  </si>
  <si>
    <t>LIV-01001</t>
  </si>
  <si>
    <t>FAC-00999</t>
  </si>
  <si>
    <t>CMD-01012</t>
  </si>
  <si>
    <t>LIV-01002</t>
  </si>
  <si>
    <t>FAC-01000</t>
  </si>
  <si>
    <t>CMD-01013</t>
  </si>
  <si>
    <t>LIV-01003</t>
  </si>
  <si>
    <t>FAC-01001</t>
  </si>
  <si>
    <t>CMD-01014</t>
  </si>
  <si>
    <t>LIV-01004</t>
  </si>
  <si>
    <t>FAC-01002</t>
  </si>
  <si>
    <t>CMD-01015</t>
  </si>
  <si>
    <t>LIV-01005</t>
  </si>
  <si>
    <t>FAC-01003</t>
  </si>
  <si>
    <t>CMD-01016</t>
  </si>
  <si>
    <t>LIV-01006</t>
  </si>
  <si>
    <t>FAC-01004</t>
  </si>
  <si>
    <t>CMD-01017</t>
  </si>
  <si>
    <t>LIV-01007</t>
  </si>
  <si>
    <t>FAC-01005</t>
  </si>
  <si>
    <t>CMD-01018</t>
  </si>
  <si>
    <t>LIV-01008</t>
  </si>
  <si>
    <t>FAC-01006</t>
  </si>
  <si>
    <t>CMD-01019</t>
  </si>
  <si>
    <t>LIV-01009</t>
  </si>
  <si>
    <t>FAC-01007</t>
  </si>
  <si>
    <t>CMD-01020</t>
  </si>
  <si>
    <t>LIV-01010</t>
  </si>
  <si>
    <t>FAC-01008</t>
  </si>
  <si>
    <t>CMD-01021</t>
  </si>
  <si>
    <t>LIV-01011</t>
  </si>
  <si>
    <t>FAC-01009</t>
  </si>
  <si>
    <t>CMD-01022</t>
  </si>
  <si>
    <t>LIV-01012</t>
  </si>
  <si>
    <t>FAC-01010</t>
  </si>
  <si>
    <t>CMD-01023</t>
  </si>
  <si>
    <t>LIV-01013</t>
  </si>
  <si>
    <t>FAC-01011</t>
  </si>
  <si>
    <t>CMD-01024</t>
  </si>
  <si>
    <t>LIV-01014</t>
  </si>
  <si>
    <t>FAC-01012</t>
  </si>
  <si>
    <t>CMD-01025</t>
  </si>
  <si>
    <t>LIV-01015</t>
  </si>
  <si>
    <t>FAC-01013</t>
  </si>
  <si>
    <t>CMD-01026</t>
  </si>
  <si>
    <t>LIV-01016</t>
  </si>
  <si>
    <t>FAC-01014</t>
  </si>
  <si>
    <t>CMD-01027</t>
  </si>
  <si>
    <t>LIV-01017</t>
  </si>
  <si>
    <t>FAC-01015</t>
  </si>
  <si>
    <t>CMD-01028</t>
  </si>
  <si>
    <t>CMD-01029</t>
  </si>
  <si>
    <t>LIV-01018</t>
  </si>
  <si>
    <t>FAC-01016</t>
  </si>
  <si>
    <t>CMD-01030</t>
  </si>
  <si>
    <t>LIV-01019</t>
  </si>
  <si>
    <t>FAC-01017</t>
  </si>
  <si>
    <t>CMD-01031</t>
  </si>
  <si>
    <t>LIV-01020</t>
  </si>
  <si>
    <t>FAC-01018</t>
  </si>
  <si>
    <t>CMD-01032</t>
  </si>
  <si>
    <t>LIV-01021</t>
  </si>
  <si>
    <t>FAC-01019</t>
  </si>
  <si>
    <t>CMD-01033</t>
  </si>
  <si>
    <t>LIV-01022</t>
  </si>
  <si>
    <t>FAC-01020</t>
  </si>
  <si>
    <t>CMD-01034</t>
  </si>
  <si>
    <t>LIV-01023</t>
  </si>
  <si>
    <t>FAC-01021</t>
  </si>
  <si>
    <t>CMD-01035</t>
  </si>
  <si>
    <t>LIV-01024</t>
  </si>
  <si>
    <t>FAC-01022</t>
  </si>
  <si>
    <t>CMD-01036</t>
  </si>
  <si>
    <t>LIV-01025</t>
  </si>
  <si>
    <t>FAC-01023</t>
  </si>
  <si>
    <t>CMD-01037</t>
  </si>
  <si>
    <t>LIV-01026</t>
  </si>
  <si>
    <t>FAC-01024</t>
  </si>
  <si>
    <t>CMD-01038</t>
  </si>
  <si>
    <t>LIV-01027</t>
  </si>
  <si>
    <t>FAC-01025</t>
  </si>
  <si>
    <t>CMD-01039</t>
  </si>
  <si>
    <t>LIV-01028</t>
  </si>
  <si>
    <t>FAC-01026</t>
  </si>
  <si>
    <t>CMD-01040</t>
  </si>
  <si>
    <t>LIV-01029</t>
  </si>
  <si>
    <t>FAC-01027</t>
  </si>
  <si>
    <t>CMD-01041</t>
  </si>
  <si>
    <t>LIV-01030</t>
  </si>
  <si>
    <t>FAC-01028</t>
  </si>
  <si>
    <t>CMD-01042</t>
  </si>
  <si>
    <t>LIV-01031</t>
  </si>
  <si>
    <t>FAC-01029</t>
  </si>
  <si>
    <t>CMD-01043</t>
  </si>
  <si>
    <t>LIV-01032</t>
  </si>
  <si>
    <t>FAC-01030</t>
  </si>
  <si>
    <t>CMD-01044</t>
  </si>
  <si>
    <t>LIV-01033</t>
  </si>
  <si>
    <t>FAC-01031</t>
  </si>
  <si>
    <t>CMD-01045</t>
  </si>
  <si>
    <t>LIV-01034</t>
  </si>
  <si>
    <t>FAC-01032</t>
  </si>
  <si>
    <t>CMD-01046</t>
  </si>
  <si>
    <t>LIV-01035</t>
  </si>
  <si>
    <t>FAC-01033</t>
  </si>
  <si>
    <t>CMD-01047</t>
  </si>
  <si>
    <t>LIV-01036</t>
  </si>
  <si>
    <t>FAC-01034</t>
  </si>
  <si>
    <t>CMD-01048</t>
  </si>
  <si>
    <t>LIV-01037</t>
  </si>
  <si>
    <t>FAC-01035</t>
  </si>
  <si>
    <t>CMD-01049</t>
  </si>
  <si>
    <t>LIV-01038</t>
  </si>
  <si>
    <t>FAC-01036</t>
  </si>
  <si>
    <t>CMD-01050</t>
  </si>
  <si>
    <t>LIV-01039</t>
  </si>
  <si>
    <t>FAC-01037</t>
  </si>
  <si>
    <t>CMD-01051</t>
  </si>
  <si>
    <t>LIV-01040</t>
  </si>
  <si>
    <t>FAC-01038</t>
  </si>
  <si>
    <t>CMD-01052</t>
  </si>
  <si>
    <t>LIV-01041</t>
  </si>
  <si>
    <t>FAC-01039</t>
  </si>
  <si>
    <t>CMD-01053</t>
  </si>
  <si>
    <t>LIV-01042</t>
  </si>
  <si>
    <t>FAC-01040</t>
  </si>
  <si>
    <t>CMD-01054</t>
  </si>
  <si>
    <t>LIV-01043</t>
  </si>
  <si>
    <t>FAC-01041</t>
  </si>
  <si>
    <t>CMD-01055</t>
  </si>
  <si>
    <t>LIV-01044</t>
  </si>
  <si>
    <t>FAC-01042</t>
  </si>
  <si>
    <t>CMD-01056</t>
  </si>
  <si>
    <t>LIV-01045</t>
  </si>
  <si>
    <t>FAC-01043</t>
  </si>
  <si>
    <t>CMD-01057</t>
  </si>
  <si>
    <t>LIV-01046</t>
  </si>
  <si>
    <t>FAC-01044</t>
  </si>
  <si>
    <t>CMD-01058</t>
  </si>
  <si>
    <t>LIV-01047</t>
  </si>
  <si>
    <t>FAC-01045</t>
  </si>
  <si>
    <t>CMD-01059</t>
  </si>
  <si>
    <t>LIV-01048</t>
  </si>
  <si>
    <t>FAC-01046</t>
  </si>
  <si>
    <t>CMD-01060</t>
  </si>
  <si>
    <t>LIV-01049</t>
  </si>
  <si>
    <t>FAC-01047</t>
  </si>
  <si>
    <t>CMD-01061</t>
  </si>
  <si>
    <t>LIV-01050</t>
  </si>
  <si>
    <t>FAC-01048</t>
  </si>
  <si>
    <t>CMD-01062</t>
  </si>
  <si>
    <t>LIV-01051</t>
  </si>
  <si>
    <t>FAC-01049</t>
  </si>
  <si>
    <t>CMD-01063</t>
  </si>
  <si>
    <t>LIV-01052</t>
  </si>
  <si>
    <t>FAC-01050</t>
  </si>
  <si>
    <t>CMD-01064</t>
  </si>
  <si>
    <t>LIV-01053</t>
  </si>
  <si>
    <t>FAC-01051</t>
  </si>
  <si>
    <t>CMD-01065</t>
  </si>
  <si>
    <t>LIV-01054</t>
  </si>
  <si>
    <t>FAC-01052</t>
  </si>
  <si>
    <t>CMD-01066</t>
  </si>
  <si>
    <t>LIV-01055</t>
  </si>
  <si>
    <t>FAC-01053</t>
  </si>
  <si>
    <t>CMD-01067</t>
  </si>
  <si>
    <t>LIV-01056</t>
  </si>
  <si>
    <t>FAC-01054</t>
  </si>
  <si>
    <t>CMD-01068</t>
  </si>
  <si>
    <t>LIV-01057</t>
  </si>
  <si>
    <t>FAC-01055</t>
  </si>
  <si>
    <t>CMD-01069</t>
  </si>
  <si>
    <t>LIV-01058</t>
  </si>
  <si>
    <t>FAC-01056</t>
  </si>
  <si>
    <t>CMD-01070</t>
  </si>
  <si>
    <t>LIV-01059</t>
  </si>
  <si>
    <t>FAC-01057</t>
  </si>
  <si>
    <t>CMD-01071</t>
  </si>
  <si>
    <t>LIV-01060</t>
  </si>
  <si>
    <t>FAC-01058</t>
  </si>
  <si>
    <t>CMD-01072</t>
  </si>
  <si>
    <t>LIV-01061</t>
  </si>
  <si>
    <t>FAC-01059</t>
  </si>
  <si>
    <t>CMD-01073</t>
  </si>
  <si>
    <t>LIV-01062</t>
  </si>
  <si>
    <t>FAC-01060</t>
  </si>
  <si>
    <t>CMD-01074</t>
  </si>
  <si>
    <t>LIV-01063</t>
  </si>
  <si>
    <t>FAC-01061</t>
  </si>
  <si>
    <t>CMD-01075</t>
  </si>
  <si>
    <t>LIV-01064</t>
  </si>
  <si>
    <t>FAC-01062</t>
  </si>
  <si>
    <t>CMD-01076</t>
  </si>
  <si>
    <t>LIV-01065</t>
  </si>
  <si>
    <t>FAC-01063</t>
  </si>
  <si>
    <t>CMD-01077</t>
  </si>
  <si>
    <t>LIV-01066</t>
  </si>
  <si>
    <t>FAC-01064</t>
  </si>
  <si>
    <t>CMD-01078</t>
  </si>
  <si>
    <t>LIV-01067</t>
  </si>
  <si>
    <t>FAC-01065</t>
  </si>
  <si>
    <t>CMD-01079</t>
  </si>
  <si>
    <t>LIV-01068</t>
  </si>
  <si>
    <t>FAC-01066</t>
  </si>
  <si>
    <t>CMD-01080</t>
  </si>
  <si>
    <t>LIV-01069</t>
  </si>
  <si>
    <t>FAC-01067</t>
  </si>
  <si>
    <t>CMD-01081</t>
  </si>
  <si>
    <t>LIV-01070</t>
  </si>
  <si>
    <t>FAC-01068</t>
  </si>
  <si>
    <t>CMD-01082</t>
  </si>
  <si>
    <t>LIV-01071</t>
  </si>
  <si>
    <t>FAC-01069</t>
  </si>
  <si>
    <t>CMD-01083</t>
  </si>
  <si>
    <t>LIV-01072</t>
  </si>
  <si>
    <t>FAC-01070</t>
  </si>
  <si>
    <t>CMD-01084</t>
  </si>
  <si>
    <t>LIV-01073</t>
  </si>
  <si>
    <t>FAC-01071</t>
  </si>
  <si>
    <t>CMD-01085</t>
  </si>
  <si>
    <t>LIV-01074</t>
  </si>
  <si>
    <t>FAC-01072</t>
  </si>
  <si>
    <t>CMD-01086</t>
  </si>
  <si>
    <t>LIV-01075</t>
  </si>
  <si>
    <t>FAC-01073</t>
  </si>
  <si>
    <t>CMD-01087</t>
  </si>
  <si>
    <t>LIV-01076</t>
  </si>
  <si>
    <t>FAC-01074</t>
  </si>
  <si>
    <t>CMD-01088</t>
  </si>
  <si>
    <t>LIV-01077</t>
  </si>
  <si>
    <t>FAC-01075</t>
  </si>
  <si>
    <t>CMD-01089</t>
  </si>
  <si>
    <t>LIV-01078</t>
  </si>
  <si>
    <t>FAC-01076</t>
  </si>
  <si>
    <t>CMD-01090</t>
  </si>
  <si>
    <t>LIV-01079</t>
  </si>
  <si>
    <t>FAC-01077</t>
  </si>
  <si>
    <t>CMD-01091</t>
  </si>
  <si>
    <t>LIV-01080</t>
  </si>
  <si>
    <t>FAC-01078</t>
  </si>
  <si>
    <t>CMD-01092</t>
  </si>
  <si>
    <t>LIV-01081</t>
  </si>
  <si>
    <t>FAC-01079</t>
  </si>
  <si>
    <t>CMD-01093</t>
  </si>
  <si>
    <t>LIV-01082</t>
  </si>
  <si>
    <t>FAC-01080</t>
  </si>
  <si>
    <t>CMD-01094</t>
  </si>
  <si>
    <t>LIV-01083</t>
  </si>
  <si>
    <t>FAC-01081</t>
  </si>
  <si>
    <t>CMD-01095</t>
  </si>
  <si>
    <t>LIV-01084</t>
  </si>
  <si>
    <t>FAC-01082</t>
  </si>
  <si>
    <t>CMD-01096</t>
  </si>
  <si>
    <t>LIV-01085</t>
  </si>
  <si>
    <t>FAC-01083</t>
  </si>
  <si>
    <t>CMD-01097</t>
  </si>
  <si>
    <t>LIV-01086</t>
  </si>
  <si>
    <t>FAC-01084</t>
  </si>
  <si>
    <t>CMD-01098</t>
  </si>
  <si>
    <t>LIV-01087</t>
  </si>
  <si>
    <t>FAC-01085</t>
  </si>
  <si>
    <t>CMD-01099</t>
  </si>
  <si>
    <t>LIV-01088</t>
  </si>
  <si>
    <t>FAC-01086</t>
  </si>
  <si>
    <t>CMD-01100</t>
  </si>
  <si>
    <t>LIV-01089</t>
  </si>
  <si>
    <t>FAC-01087</t>
  </si>
  <si>
    <t>CMD-01101</t>
  </si>
  <si>
    <t>LIV-01090</t>
  </si>
  <si>
    <t>FAC-01088</t>
  </si>
  <si>
    <t>CMD-01102</t>
  </si>
  <si>
    <t>LIV-01091</t>
  </si>
  <si>
    <t>FAC-01089</t>
  </si>
  <si>
    <t>CMD-01103</t>
  </si>
  <si>
    <t>LIV-01092</t>
  </si>
  <si>
    <t>FAC-01090</t>
  </si>
  <si>
    <t>CMD-01104</t>
  </si>
  <si>
    <t>LIV-01093</t>
  </si>
  <si>
    <t>FAC-01091</t>
  </si>
  <si>
    <t>CMD-01105</t>
  </si>
  <si>
    <t>LIV-01094</t>
  </si>
  <si>
    <t>FAC-01092</t>
  </si>
  <si>
    <t>CMD-01106</t>
  </si>
  <si>
    <t>LIV-01095</t>
  </si>
  <si>
    <t>FAC-01093</t>
  </si>
  <si>
    <t>CMD-01107</t>
  </si>
  <si>
    <t>LIV-01096</t>
  </si>
  <si>
    <t>FAC-01094</t>
  </si>
  <si>
    <t>CMD-01108</t>
  </si>
  <si>
    <t>LIV-01097</t>
  </si>
  <si>
    <t>FAC-01095</t>
  </si>
  <si>
    <t>CMD-01109</t>
  </si>
  <si>
    <t>LIV-01098</t>
  </si>
  <si>
    <t>FAC-01096</t>
  </si>
  <si>
    <t>CMD-01110</t>
  </si>
  <si>
    <t>LIV-01099</t>
  </si>
  <si>
    <t>FAC-01097</t>
  </si>
  <si>
    <t>CMD-01111</t>
  </si>
  <si>
    <t>LIV-01100</t>
  </si>
  <si>
    <t>FAC-01098</t>
  </si>
  <si>
    <t>CMD-01112</t>
  </si>
  <si>
    <t>LIV-01101</t>
  </si>
  <si>
    <t>FAC-01099</t>
  </si>
  <si>
    <t>CMD-01113</t>
  </si>
  <si>
    <t>LIV-01102</t>
  </si>
  <si>
    <t>FAC-01100</t>
  </si>
  <si>
    <t>CMD-01114</t>
  </si>
  <si>
    <t>LIV-01103</t>
  </si>
  <si>
    <t>FAC-01101</t>
  </si>
  <si>
    <t>CMD-01115</t>
  </si>
  <si>
    <t>LIV-01104</t>
  </si>
  <si>
    <t>FAC-01102</t>
  </si>
  <si>
    <t>CMD-01116</t>
  </si>
  <si>
    <t>LIV-01105</t>
  </si>
  <si>
    <t>FAC-01103</t>
  </si>
  <si>
    <t>CMD-01117</t>
  </si>
  <si>
    <t>LIV-01106</t>
  </si>
  <si>
    <t>FAC-01104</t>
  </si>
  <si>
    <t>CMD-01118</t>
  </si>
  <si>
    <t>LIV-01107</t>
  </si>
  <si>
    <t>FAC-01105</t>
  </si>
  <si>
    <t>CMD-01119</t>
  </si>
  <si>
    <t>LIV-01108</t>
  </si>
  <si>
    <t>FAC-01106</t>
  </si>
  <si>
    <t>CMD-01120</t>
  </si>
  <si>
    <t>LIV-01109</t>
  </si>
  <si>
    <t>FAC-01107</t>
  </si>
  <si>
    <t>CMD-01121</t>
  </si>
  <si>
    <t>LIV-01110</t>
  </si>
  <si>
    <t>FAC-01108</t>
  </si>
  <si>
    <t>CMD-01122</t>
  </si>
  <si>
    <t>LIV-01111</t>
  </si>
  <si>
    <t>FAC-01109</t>
  </si>
  <si>
    <t>CMD-01123</t>
  </si>
  <si>
    <t>LIV-01112</t>
  </si>
  <si>
    <t>FAC-01110</t>
  </si>
  <si>
    <t>CMD-01124</t>
  </si>
  <si>
    <t>LIV-01113</t>
  </si>
  <si>
    <t>FAC-01111</t>
  </si>
  <si>
    <t>CMD-01125</t>
  </si>
  <si>
    <t>LIV-01114</t>
  </si>
  <si>
    <t>FAC-01112</t>
  </si>
  <si>
    <t>CMD-01126</t>
  </si>
  <si>
    <t>LIV-01115</t>
  </si>
  <si>
    <t>FAC-01113</t>
  </si>
  <si>
    <t>CMD-01127</t>
  </si>
  <si>
    <t>LIV-01116</t>
  </si>
  <si>
    <t>FAC-01114</t>
  </si>
  <si>
    <t>CMD-01128</t>
  </si>
  <si>
    <t>LIV-01117</t>
  </si>
  <si>
    <t>FAC-01115</t>
  </si>
  <si>
    <t>CMD-01129</t>
  </si>
  <si>
    <t>LIV-01118</t>
  </si>
  <si>
    <t>FAC-01116</t>
  </si>
  <si>
    <t>CMD-01130</t>
  </si>
  <si>
    <t>LIV-01119</t>
  </si>
  <si>
    <t>FAC-01117</t>
  </si>
  <si>
    <t>CMD-01131</t>
  </si>
  <si>
    <t>LIV-01120</t>
  </si>
  <si>
    <t>FAC-01118</t>
  </si>
  <si>
    <t>CMD-01132</t>
  </si>
  <si>
    <t>LIV-01121</t>
  </si>
  <si>
    <t>FAC-01119</t>
  </si>
  <si>
    <t>CMD-01133</t>
  </si>
  <si>
    <t>LIV-01122</t>
  </si>
  <si>
    <t>FAC-01120</t>
  </si>
  <si>
    <t>CMD-01134</t>
  </si>
  <si>
    <t>LIV-01123</t>
  </si>
  <si>
    <t>FAC-01121</t>
  </si>
  <si>
    <t>CMD-01135</t>
  </si>
  <si>
    <t>LIV-01124</t>
  </si>
  <si>
    <t>FAC-01122</t>
  </si>
  <si>
    <t>CMD-01136</t>
  </si>
  <si>
    <t>LIV-01125</t>
  </si>
  <si>
    <t>FAC-01123</t>
  </si>
  <si>
    <t>CMD-01137</t>
  </si>
  <si>
    <t>LIV-01126</t>
  </si>
  <si>
    <t>FAC-01124</t>
  </si>
  <si>
    <t>CMD-01138</t>
  </si>
  <si>
    <t>LIV-01127</t>
  </si>
  <si>
    <t>FAC-01125</t>
  </si>
  <si>
    <t>CMD-01139</t>
  </si>
  <si>
    <t>LIV-01128</t>
  </si>
  <si>
    <t>FAC-01126</t>
  </si>
  <si>
    <t>CMD-01140</t>
  </si>
  <si>
    <t>LIV-01129</t>
  </si>
  <si>
    <t>FAC-01127</t>
  </si>
  <si>
    <t>CMD-01141</t>
  </si>
  <si>
    <t>LIV-01130</t>
  </si>
  <si>
    <t>FAC-01128</t>
  </si>
  <si>
    <t>CMD-01142</t>
  </si>
  <si>
    <t>LIV-01131</t>
  </si>
  <si>
    <t>FAC-01129</t>
  </si>
  <si>
    <t>CMD-01143</t>
  </si>
  <si>
    <t>LIV-01132</t>
  </si>
  <si>
    <t>FAC-01130</t>
  </si>
  <si>
    <t>CMD-01144</t>
  </si>
  <si>
    <t>LIV-01133</t>
  </si>
  <si>
    <t>FAC-01131</t>
  </si>
  <si>
    <t>CMD-01145</t>
  </si>
  <si>
    <t>LIV-01134</t>
  </si>
  <si>
    <t>FAC-01132</t>
  </si>
  <si>
    <t>CMD-01146</t>
  </si>
  <si>
    <t>LIV-01135</t>
  </si>
  <si>
    <t>FAC-01133</t>
  </si>
  <si>
    <t>CMD-01147</t>
  </si>
  <si>
    <t>LIV-01136</t>
  </si>
  <si>
    <t>FAC-01134</t>
  </si>
  <si>
    <t>CMD-01148</t>
  </si>
  <si>
    <t>CMD-01149</t>
  </si>
  <si>
    <t>LIV-01137</t>
  </si>
  <si>
    <t>FAC-01135</t>
  </si>
  <si>
    <t>CMD-01150</t>
  </si>
  <si>
    <t>LIV-01138</t>
  </si>
  <si>
    <t>FAC-01136</t>
  </si>
  <si>
    <t>CMD-01151</t>
  </si>
  <si>
    <t>LIV-01139</t>
  </si>
  <si>
    <t>FAC-01137</t>
  </si>
  <si>
    <t>CMD-01152</t>
  </si>
  <si>
    <t>LIV-01140</t>
  </si>
  <si>
    <t>FAC-01138</t>
  </si>
  <si>
    <t>CMD-01153</t>
  </si>
  <si>
    <t>LIV-01141</t>
  </si>
  <si>
    <t>FAC-01139</t>
  </si>
  <si>
    <t>CMD-01154</t>
  </si>
  <si>
    <t>LIV-01142</t>
  </si>
  <si>
    <t>FAC-01140</t>
  </si>
  <si>
    <t>CMD-01155</t>
  </si>
  <si>
    <t>LIV-01143</t>
  </si>
  <si>
    <t>FAC-01141</t>
  </si>
  <si>
    <t>CMD-01156</t>
  </si>
  <si>
    <t>CMD-01157</t>
  </si>
  <si>
    <t>LIV-01144</t>
  </si>
  <si>
    <t>FAC-01142</t>
  </si>
  <si>
    <t>CMD-01158</t>
  </si>
  <si>
    <t>LIV-01145</t>
  </si>
  <si>
    <t>FAC-01143</t>
  </si>
  <si>
    <t>CMD-01159</t>
  </si>
  <si>
    <t>LIV-01146</t>
  </si>
  <si>
    <t>FAC-01144</t>
  </si>
  <si>
    <t>CMD-01160</t>
  </si>
  <si>
    <t>LIV-01147</t>
  </si>
  <si>
    <t>FAC-01145</t>
  </si>
  <si>
    <t>CMD-01161</t>
  </si>
  <si>
    <t>LIV-01148</t>
  </si>
  <si>
    <t>FAC-01146</t>
  </si>
  <si>
    <t>CMD-01162</t>
  </si>
  <si>
    <t>LIV-01149</t>
  </si>
  <si>
    <t>FAC-01147</t>
  </si>
  <si>
    <t>CMD-01163</t>
  </si>
  <si>
    <t>LIV-01150</t>
  </si>
  <si>
    <t>FAC-01148</t>
  </si>
  <si>
    <t>CMD-01164</t>
  </si>
  <si>
    <t>LIV-01151</t>
  </si>
  <si>
    <t>FAC-01149</t>
  </si>
  <si>
    <t>CMD-01165</t>
  </si>
  <si>
    <t>LIV-01152</t>
  </si>
  <si>
    <t>FAC-01150</t>
  </si>
  <si>
    <t>CMD-01166</t>
  </si>
  <si>
    <t>LIV-01153</t>
  </si>
  <si>
    <t>FAC-01151</t>
  </si>
  <si>
    <t>CMD-01167</t>
  </si>
  <si>
    <t>LIV-01154</t>
  </si>
  <si>
    <t>FAC-01152</t>
  </si>
  <si>
    <t>CMD-01168</t>
  </si>
  <si>
    <t>LIV-01155</t>
  </si>
  <si>
    <t>FAC-01153</t>
  </si>
  <si>
    <t>CMD-01169</t>
  </si>
  <si>
    <t>LIV-01156</t>
  </si>
  <si>
    <t>FAC-01154</t>
  </si>
  <si>
    <t>CMD-01170</t>
  </si>
  <si>
    <t>LIV-01157</t>
  </si>
  <si>
    <t>FAC-01155</t>
  </si>
  <si>
    <t>CMD-01171</t>
  </si>
  <si>
    <t>LIV-01158</t>
  </si>
  <si>
    <t>FAC-01156</t>
  </si>
  <si>
    <t>CMD-01172</t>
  </si>
  <si>
    <t>LIV-01159</t>
  </si>
  <si>
    <t>FAC-01157</t>
  </si>
  <si>
    <t>CMD-01173</t>
  </si>
  <si>
    <t>LIV-01160</t>
  </si>
  <si>
    <t>FAC-01158</t>
  </si>
  <si>
    <t>CMD-01174</t>
  </si>
  <si>
    <t>LIV-01161</t>
  </si>
  <si>
    <t>FAC-01159</t>
  </si>
  <si>
    <t>CMD-01175</t>
  </si>
  <si>
    <t>LIV-01162</t>
  </si>
  <si>
    <t>FAC-01160</t>
  </si>
  <si>
    <t>CMD-01176</t>
  </si>
  <si>
    <t>LIV-01163</t>
  </si>
  <si>
    <t>FAC-01161</t>
  </si>
  <si>
    <t>CMD-01177</t>
  </si>
  <si>
    <t>LIV-01164</t>
  </si>
  <si>
    <t>FAC-01162</t>
  </si>
  <si>
    <t>CMD-01178</t>
  </si>
  <si>
    <t>LIV-01165</t>
  </si>
  <si>
    <t>FAC-01163</t>
  </si>
  <si>
    <t>CMD-01179</t>
  </si>
  <si>
    <t>LIV-01166</t>
  </si>
  <si>
    <t>FAC-01164</t>
  </si>
  <si>
    <t>CMD-01180</t>
  </si>
  <si>
    <t>LIV-01167</t>
  </si>
  <si>
    <t>FAC-01165</t>
  </si>
  <si>
    <t>CMD-01181</t>
  </si>
  <si>
    <t>LIV-01168</t>
  </si>
  <si>
    <t>FAC-01166</t>
  </si>
  <si>
    <t>CMD-01182</t>
  </si>
  <si>
    <t>LIV-01169</t>
  </si>
  <si>
    <t>FAC-01167</t>
  </si>
  <si>
    <t>CMD-01183</t>
  </si>
  <si>
    <t>LIV-01170</t>
  </si>
  <si>
    <t>FAC-01168</t>
  </si>
  <si>
    <t>CMD-01184</t>
  </si>
  <si>
    <t>LIV-01171</t>
  </si>
  <si>
    <t>FAC-01169</t>
  </si>
  <si>
    <t>CMD-01185</t>
  </si>
  <si>
    <t>LIV-01172</t>
  </si>
  <si>
    <t>FAC-01170</t>
  </si>
  <si>
    <t>CMD-01186</t>
  </si>
  <si>
    <t>LIV-01173</t>
  </si>
  <si>
    <t>FAC-01171</t>
  </si>
  <si>
    <t>CMD-01187</t>
  </si>
  <si>
    <t>LIV-01174</t>
  </si>
  <si>
    <t>FAC-01172</t>
  </si>
  <si>
    <t>CMD-01188</t>
  </si>
  <si>
    <t>LIV-01175</t>
  </si>
  <si>
    <t>FAC-01173</t>
  </si>
  <si>
    <t>CMD-01189</t>
  </si>
  <si>
    <t>LIV-01176</t>
  </si>
  <si>
    <t>FAC-01174</t>
  </si>
  <si>
    <t>CMD-01190</t>
  </si>
  <si>
    <t>LIV-01177</t>
  </si>
  <si>
    <t>FAC-01175</t>
  </si>
  <si>
    <t>CMD-01191</t>
  </si>
  <si>
    <t>LIV-01178</t>
  </si>
  <si>
    <t>FAC-01176</t>
  </si>
  <si>
    <t>CMD-01192</t>
  </si>
  <si>
    <t>LIV-01179</t>
  </si>
  <si>
    <t>FAC-01177</t>
  </si>
  <si>
    <t>CMD-01193</t>
  </si>
  <si>
    <t>LIV-01180</t>
  </si>
  <si>
    <t>FAC-01178</t>
  </si>
  <si>
    <t>CMD-01194</t>
  </si>
  <si>
    <t>LIV-01181</t>
  </si>
  <si>
    <t>FAC-01179</t>
  </si>
  <si>
    <t>CMD-01195</t>
  </si>
  <si>
    <t>LIV-01182</t>
  </si>
  <si>
    <t>FAC-01180</t>
  </si>
  <si>
    <t>CMD-01196</t>
  </si>
  <si>
    <t>LIV-01183</t>
  </si>
  <si>
    <t>FAC-01181</t>
  </si>
  <si>
    <t>CMD-01197</t>
  </si>
  <si>
    <t>LIV-01184</t>
  </si>
  <si>
    <t>FAC-01182</t>
  </si>
  <si>
    <t>CMD-01198</t>
  </si>
  <si>
    <t>LIV-01185</t>
  </si>
  <si>
    <t>FAC-01183</t>
  </si>
  <si>
    <t>CMD-01199</t>
  </si>
  <si>
    <t>LIV-01186</t>
  </si>
  <si>
    <t>FAC-01184</t>
  </si>
  <si>
    <t>CMD-01200</t>
  </si>
  <si>
    <t>LIV-01187</t>
  </si>
  <si>
    <t>FAC-01185</t>
  </si>
  <si>
    <t>Ce que les matrices dynamiques savent faire</t>
  </si>
  <si>
    <t>Chaque réponse tient dans UNE cellule. C'est ce qui les rend vérifiables — et ce qui évite le déversement quand on ne le veut pas.</t>
  </si>
  <si>
    <t>Statut cherché</t>
  </si>
  <si>
    <t>Nombre de lignes dans ce statut</t>
  </si>
  <si>
    <t>Statuts distincts, triés</t>
  </si>
  <si>
    <t>Agences concernées par ce statut</t>
  </si>
  <si>
    <t>Montant total de ce statut, en USD</t>
  </si>
  <si>
    <t>Le plus gros écart de ce statut</t>
  </si>
  <si>
    <t>Les cinq premières commandes concernées</t>
  </si>
  <si>
    <t>Commandes concernées dans UNE SEULE agence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</si>
</sst>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01418"/>
      <name val="Calibri"/>
      <family val="2"/>
    </font>
    <font>
      <i/>
      <sz val="10"/>
      <color rgb="FF6B72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R" displayName="t_R" ref="A1:K1201">
  <autoFilter ref="A1:K1201" xr:uid="{00000000-0009-0000-0100-000001000000}"/>
  <tableColumns count="11">
    <tableColumn id="1" xr3:uid="{00000000-0010-0000-0000-000001000000}" name="Ref_Commande"/>
    <tableColumn id="2" xr3:uid="{00000000-0010-0000-0000-000002000000}" name="Client"/>
    <tableColumn id="3" xr3:uid="{00000000-0010-0000-0000-000003000000}" name="Agence"/>
    <tableColumn id="4" xr3:uid="{00000000-0010-0000-0000-000004000000}" name="Devise"/>
    <tableColumn id="5" xr3:uid="{00000000-0010-0000-0000-000005000000}" name="Montant"/>
    <tableColumn id="6" xr3:uid="{00000000-0010-0000-0000-000006000000}" name="Montant_USD"/>
    <tableColumn id="7" xr3:uid="{00000000-0010-0000-0000-000007000000}" name="Ref_Livraison"/>
    <tableColumn id="8" xr3:uid="{00000000-0010-0000-0000-000008000000}" name="Ref_Facture"/>
    <tableColumn id="9" xr3:uid="{00000000-0010-0000-0000-000009000000}" name="Nb_Factures"/>
    <tableColumn id="10" xr3:uid="{00000000-0010-0000-0000-00000A000000}" name="Ecart_USD"/>
    <tableColumn id="11" xr3:uid="{00000000-0010-0000-0000-00000B000000}" name="Stat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1"/>
  <sheetViews>
    <sheetView tabSelected="1" workbookViewId="0"/>
  </sheetViews>
  <sheetFormatPr baseColWidth="10" defaultColWidth="8.83203125" defaultRowHeight="15" x14ac:dyDescent="0.2"/>
  <cols>
    <col min="1" max="1" width="16" customWidth="1"/>
    <col min="2" max="2" width="30" customWidth="1"/>
    <col min="3" max="3" width="14" customWidth="1"/>
    <col min="4" max="4" width="9" customWidth="1"/>
    <col min="5" max="5" width="16" customWidth="1"/>
    <col min="6" max="6" width="14" customWidth="1"/>
    <col min="7" max="8" width="16" customWidth="1"/>
    <col min="9" max="9" width="12" customWidth="1"/>
    <col min="10" max="10" width="14" customWidth="1"/>
    <col min="11" max="11" width="22" customWidth="1"/>
  </cols>
  <sheetData>
    <row r="1" spans="1:11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2922000</v>
      </c>
      <c r="F2">
        <v>966.27</v>
      </c>
      <c r="G2" t="s">
        <v>15</v>
      </c>
      <c r="H2" t="s">
        <v>16</v>
      </c>
      <c r="I2">
        <v>1</v>
      </c>
      <c r="J2">
        <v>0</v>
      </c>
      <c r="K2" t="s">
        <v>17</v>
      </c>
    </row>
    <row r="3" spans="1:11" x14ac:dyDescent="0.2">
      <c r="A3" t="s">
        <v>18</v>
      </c>
      <c r="B3" t="s">
        <v>19</v>
      </c>
      <c r="C3" t="s">
        <v>20</v>
      </c>
      <c r="D3" t="s">
        <v>21</v>
      </c>
      <c r="E3">
        <v>932000</v>
      </c>
      <c r="F3">
        <v>1550.75</v>
      </c>
      <c r="G3" t="s">
        <v>22</v>
      </c>
      <c r="H3" t="s">
        <v>23</v>
      </c>
      <c r="I3">
        <v>1</v>
      </c>
      <c r="J3">
        <v>0</v>
      </c>
      <c r="K3" t="s">
        <v>17</v>
      </c>
    </row>
    <row r="4" spans="1:11" x14ac:dyDescent="0.2">
      <c r="A4" t="s">
        <v>24</v>
      </c>
      <c r="B4" t="s">
        <v>25</v>
      </c>
      <c r="C4" t="s">
        <v>26</v>
      </c>
      <c r="D4" t="s">
        <v>27</v>
      </c>
      <c r="E4">
        <v>175000</v>
      </c>
      <c r="F4">
        <v>291.18</v>
      </c>
      <c r="G4" t="s">
        <v>28</v>
      </c>
      <c r="H4" t="s">
        <v>29</v>
      </c>
      <c r="I4">
        <v>1</v>
      </c>
      <c r="J4">
        <v>0</v>
      </c>
      <c r="K4" t="s">
        <v>17</v>
      </c>
    </row>
    <row r="5" spans="1:11" x14ac:dyDescent="0.2">
      <c r="A5" t="s">
        <v>30</v>
      </c>
      <c r="B5" t="s">
        <v>31</v>
      </c>
      <c r="C5" t="s">
        <v>13</v>
      </c>
      <c r="D5" t="s">
        <v>14</v>
      </c>
      <c r="E5">
        <v>1509000</v>
      </c>
      <c r="F5">
        <v>499.01</v>
      </c>
      <c r="G5" t="s">
        <v>32</v>
      </c>
      <c r="H5" t="s">
        <v>33</v>
      </c>
      <c r="I5">
        <v>1</v>
      </c>
      <c r="J5">
        <v>0</v>
      </c>
      <c r="K5" t="s">
        <v>17</v>
      </c>
    </row>
    <row r="6" spans="1:11" x14ac:dyDescent="0.2">
      <c r="A6" t="s">
        <v>34</v>
      </c>
      <c r="B6" t="s">
        <v>35</v>
      </c>
      <c r="C6" t="s">
        <v>20</v>
      </c>
      <c r="D6" t="s">
        <v>21</v>
      </c>
      <c r="E6">
        <v>290000</v>
      </c>
      <c r="F6">
        <v>482.53</v>
      </c>
      <c r="G6" t="s">
        <v>36</v>
      </c>
      <c r="H6" t="s">
        <v>37</v>
      </c>
      <c r="I6">
        <v>1</v>
      </c>
      <c r="J6">
        <v>0</v>
      </c>
      <c r="K6" t="s">
        <v>17</v>
      </c>
    </row>
    <row r="7" spans="1:11" x14ac:dyDescent="0.2">
      <c r="A7" t="s">
        <v>38</v>
      </c>
      <c r="B7" t="s">
        <v>12</v>
      </c>
      <c r="C7" t="s">
        <v>26</v>
      </c>
      <c r="D7" t="s">
        <v>27</v>
      </c>
      <c r="E7">
        <v>183000</v>
      </c>
      <c r="F7">
        <v>304.49</v>
      </c>
      <c r="G7" t="s">
        <v>39</v>
      </c>
      <c r="H7" t="s">
        <v>40</v>
      </c>
      <c r="I7">
        <v>1</v>
      </c>
      <c r="J7">
        <v>0</v>
      </c>
      <c r="K7" t="s">
        <v>17</v>
      </c>
    </row>
    <row r="8" spans="1:11" x14ac:dyDescent="0.2">
      <c r="A8" t="s">
        <v>41</v>
      </c>
      <c r="B8" t="s">
        <v>19</v>
      </c>
      <c r="C8" t="s">
        <v>42</v>
      </c>
      <c r="D8" t="s">
        <v>27</v>
      </c>
      <c r="E8">
        <v>315000</v>
      </c>
      <c r="F8">
        <v>524.13</v>
      </c>
      <c r="G8" t="s">
        <v>43</v>
      </c>
      <c r="H8" t="s">
        <v>44</v>
      </c>
      <c r="I8">
        <v>1</v>
      </c>
      <c r="J8">
        <v>-36.61</v>
      </c>
      <c r="K8" t="s">
        <v>45</v>
      </c>
    </row>
    <row r="9" spans="1:11" x14ac:dyDescent="0.2">
      <c r="A9" t="s">
        <v>46</v>
      </c>
      <c r="B9" t="s">
        <v>19</v>
      </c>
      <c r="C9" t="s">
        <v>42</v>
      </c>
      <c r="D9" t="s">
        <v>27</v>
      </c>
      <c r="E9">
        <v>320000</v>
      </c>
      <c r="F9">
        <v>532.45000000000005</v>
      </c>
      <c r="G9" t="s">
        <v>47</v>
      </c>
      <c r="H9" t="s">
        <v>48</v>
      </c>
      <c r="I9">
        <v>1</v>
      </c>
      <c r="J9">
        <v>-4.99</v>
      </c>
      <c r="K9" t="s">
        <v>17</v>
      </c>
    </row>
    <row r="10" spans="1:11" x14ac:dyDescent="0.2">
      <c r="A10" t="s">
        <v>49</v>
      </c>
      <c r="B10" t="s">
        <v>50</v>
      </c>
      <c r="C10" t="s">
        <v>51</v>
      </c>
      <c r="D10" t="s">
        <v>21</v>
      </c>
      <c r="E10">
        <v>441000</v>
      </c>
      <c r="F10">
        <v>733.78</v>
      </c>
      <c r="G10" t="s">
        <v>52</v>
      </c>
      <c r="H10" t="s">
        <v>53</v>
      </c>
      <c r="I10">
        <v>1</v>
      </c>
      <c r="J10">
        <v>0</v>
      </c>
      <c r="K10" t="s">
        <v>17</v>
      </c>
    </row>
    <row r="11" spans="1:11" x14ac:dyDescent="0.2">
      <c r="A11" t="s">
        <v>54</v>
      </c>
      <c r="B11" t="s">
        <v>55</v>
      </c>
      <c r="C11" t="s">
        <v>26</v>
      </c>
      <c r="D11" t="s">
        <v>27</v>
      </c>
      <c r="E11">
        <v>330000</v>
      </c>
      <c r="F11">
        <v>549.08000000000004</v>
      </c>
      <c r="G11" t="s">
        <v>56</v>
      </c>
      <c r="H11" t="s">
        <v>57</v>
      </c>
      <c r="I11">
        <v>1</v>
      </c>
      <c r="J11">
        <v>0</v>
      </c>
      <c r="K11" t="s">
        <v>17</v>
      </c>
    </row>
    <row r="12" spans="1:11" x14ac:dyDescent="0.2">
      <c r="A12" t="s">
        <v>58</v>
      </c>
      <c r="B12" t="s">
        <v>59</v>
      </c>
      <c r="C12" t="s">
        <v>51</v>
      </c>
      <c r="D12" t="s">
        <v>21</v>
      </c>
      <c r="E12">
        <v>1360000</v>
      </c>
      <c r="F12">
        <v>2262.9</v>
      </c>
      <c r="G12" t="s">
        <v>60</v>
      </c>
      <c r="H12" t="s">
        <v>61</v>
      </c>
      <c r="I12">
        <v>1</v>
      </c>
      <c r="J12">
        <v>0</v>
      </c>
      <c r="K12" t="s">
        <v>17</v>
      </c>
    </row>
    <row r="13" spans="1:11" x14ac:dyDescent="0.2">
      <c r="A13" t="s">
        <v>62</v>
      </c>
      <c r="B13" t="s">
        <v>63</v>
      </c>
      <c r="C13" t="s">
        <v>51</v>
      </c>
      <c r="D13" t="s">
        <v>21</v>
      </c>
      <c r="E13">
        <v>287000</v>
      </c>
      <c r="F13">
        <v>477.54</v>
      </c>
      <c r="G13" t="s">
        <v>64</v>
      </c>
      <c r="H13" t="s">
        <v>65</v>
      </c>
      <c r="I13">
        <v>1</v>
      </c>
      <c r="J13">
        <v>34.94</v>
      </c>
      <c r="K13" t="s">
        <v>45</v>
      </c>
    </row>
    <row r="14" spans="1:11" x14ac:dyDescent="0.2">
      <c r="A14" t="s">
        <v>66</v>
      </c>
      <c r="B14" t="s">
        <v>67</v>
      </c>
      <c r="C14" t="s">
        <v>20</v>
      </c>
      <c r="D14" t="s">
        <v>21</v>
      </c>
      <c r="E14">
        <v>104000</v>
      </c>
      <c r="F14">
        <v>173.04</v>
      </c>
      <c r="G14" t="s">
        <v>68</v>
      </c>
      <c r="H14" t="s">
        <v>69</v>
      </c>
      <c r="I14">
        <v>1</v>
      </c>
      <c r="J14">
        <v>0</v>
      </c>
      <c r="K14" t="s">
        <v>17</v>
      </c>
    </row>
    <row r="15" spans="1:11" x14ac:dyDescent="0.2">
      <c r="A15" t="s">
        <v>70</v>
      </c>
      <c r="B15" t="s">
        <v>31</v>
      </c>
      <c r="C15" t="s">
        <v>26</v>
      </c>
      <c r="D15" t="s">
        <v>27</v>
      </c>
      <c r="E15">
        <v>78000</v>
      </c>
      <c r="F15">
        <v>129.78</v>
      </c>
      <c r="G15" t="s">
        <v>71</v>
      </c>
      <c r="H15" t="s">
        <v>72</v>
      </c>
      <c r="I15">
        <v>1</v>
      </c>
      <c r="J15">
        <v>0</v>
      </c>
      <c r="K15" t="s">
        <v>17</v>
      </c>
    </row>
    <row r="16" spans="1:11" x14ac:dyDescent="0.2">
      <c r="A16" t="s">
        <v>73</v>
      </c>
      <c r="B16" t="s">
        <v>25</v>
      </c>
      <c r="C16" t="s">
        <v>20</v>
      </c>
      <c r="D16" t="s">
        <v>21</v>
      </c>
      <c r="E16">
        <v>510000</v>
      </c>
      <c r="F16">
        <v>848.59</v>
      </c>
      <c r="G16" t="s">
        <v>74</v>
      </c>
      <c r="H16" t="s">
        <v>75</v>
      </c>
      <c r="I16">
        <v>1</v>
      </c>
      <c r="J16">
        <v>0</v>
      </c>
      <c r="K16" t="s">
        <v>17</v>
      </c>
    </row>
    <row r="17" spans="1:11" x14ac:dyDescent="0.2">
      <c r="A17" t="s">
        <v>76</v>
      </c>
      <c r="B17" t="s">
        <v>77</v>
      </c>
      <c r="C17" t="s">
        <v>51</v>
      </c>
      <c r="D17" t="s">
        <v>21</v>
      </c>
      <c r="E17">
        <v>1011000</v>
      </c>
      <c r="F17">
        <v>1682.2</v>
      </c>
      <c r="G17" t="s">
        <v>78</v>
      </c>
      <c r="H17" t="s">
        <v>79</v>
      </c>
      <c r="I17">
        <v>1</v>
      </c>
      <c r="J17">
        <v>0</v>
      </c>
      <c r="K17" t="s">
        <v>17</v>
      </c>
    </row>
    <row r="18" spans="1:11" x14ac:dyDescent="0.2">
      <c r="A18" t="s">
        <v>80</v>
      </c>
      <c r="B18" t="s">
        <v>31</v>
      </c>
      <c r="C18" t="s">
        <v>26</v>
      </c>
      <c r="D18" t="s">
        <v>27</v>
      </c>
      <c r="E18">
        <v>348000</v>
      </c>
      <c r="F18">
        <v>579.03</v>
      </c>
      <c r="G18" t="s">
        <v>81</v>
      </c>
      <c r="H18" t="s">
        <v>82</v>
      </c>
      <c r="I18">
        <v>1</v>
      </c>
      <c r="J18">
        <v>0</v>
      </c>
      <c r="K18" t="s">
        <v>17</v>
      </c>
    </row>
    <row r="19" spans="1:11" x14ac:dyDescent="0.2">
      <c r="A19" t="s">
        <v>83</v>
      </c>
      <c r="B19" t="s">
        <v>55</v>
      </c>
      <c r="C19" t="s">
        <v>26</v>
      </c>
      <c r="D19" t="s">
        <v>27</v>
      </c>
      <c r="E19">
        <v>484000</v>
      </c>
      <c r="F19">
        <v>805.32</v>
      </c>
      <c r="G19" t="s">
        <v>84</v>
      </c>
      <c r="H19" t="s">
        <v>85</v>
      </c>
      <c r="I19">
        <v>1</v>
      </c>
      <c r="J19">
        <v>0</v>
      </c>
      <c r="K19" t="s">
        <v>17</v>
      </c>
    </row>
    <row r="20" spans="1:11" x14ac:dyDescent="0.2">
      <c r="A20" t="s">
        <v>86</v>
      </c>
      <c r="B20" t="s">
        <v>87</v>
      </c>
      <c r="C20" t="s">
        <v>51</v>
      </c>
      <c r="D20" t="s">
        <v>21</v>
      </c>
      <c r="E20">
        <v>558000</v>
      </c>
      <c r="F20">
        <v>928.45</v>
      </c>
      <c r="G20" t="s">
        <v>88</v>
      </c>
      <c r="H20" t="s">
        <v>89</v>
      </c>
      <c r="I20">
        <v>1</v>
      </c>
      <c r="J20">
        <v>0</v>
      </c>
      <c r="K20" t="s">
        <v>17</v>
      </c>
    </row>
    <row r="21" spans="1:11" x14ac:dyDescent="0.2">
      <c r="A21" t="s">
        <v>90</v>
      </c>
      <c r="B21" t="s">
        <v>91</v>
      </c>
      <c r="C21" t="s">
        <v>26</v>
      </c>
      <c r="D21" t="s">
        <v>27</v>
      </c>
      <c r="E21">
        <v>1482000</v>
      </c>
      <c r="F21">
        <v>2465.89</v>
      </c>
      <c r="G21" t="s">
        <v>92</v>
      </c>
      <c r="H21" t="s">
        <v>93</v>
      </c>
      <c r="I21">
        <v>1</v>
      </c>
      <c r="J21">
        <v>0</v>
      </c>
      <c r="K21" t="s">
        <v>17</v>
      </c>
    </row>
    <row r="22" spans="1:11" x14ac:dyDescent="0.2">
      <c r="A22" t="s">
        <v>94</v>
      </c>
      <c r="B22" t="s">
        <v>31</v>
      </c>
      <c r="C22" t="s">
        <v>26</v>
      </c>
      <c r="D22" t="s">
        <v>27</v>
      </c>
      <c r="E22">
        <v>899000</v>
      </c>
      <c r="F22">
        <v>1495.84</v>
      </c>
      <c r="G22" t="s">
        <v>95</v>
      </c>
      <c r="H22" t="s">
        <v>96</v>
      </c>
      <c r="I22">
        <v>1</v>
      </c>
      <c r="J22">
        <v>0</v>
      </c>
      <c r="K22" t="s">
        <v>17</v>
      </c>
    </row>
    <row r="23" spans="1:11" x14ac:dyDescent="0.2">
      <c r="A23" t="s">
        <v>97</v>
      </c>
      <c r="B23" t="s">
        <v>98</v>
      </c>
      <c r="C23" t="s">
        <v>13</v>
      </c>
      <c r="D23" t="s">
        <v>14</v>
      </c>
      <c r="E23">
        <v>18029000</v>
      </c>
      <c r="F23">
        <v>5961.97</v>
      </c>
      <c r="G23" t="s">
        <v>99</v>
      </c>
      <c r="H23" t="s">
        <v>100</v>
      </c>
      <c r="I23">
        <v>1</v>
      </c>
      <c r="J23">
        <v>0</v>
      </c>
      <c r="K23" t="s">
        <v>17</v>
      </c>
    </row>
    <row r="24" spans="1:11" x14ac:dyDescent="0.2">
      <c r="A24" t="s">
        <v>101</v>
      </c>
      <c r="B24" t="s">
        <v>59</v>
      </c>
      <c r="C24" t="s">
        <v>102</v>
      </c>
      <c r="D24" t="s">
        <v>14</v>
      </c>
      <c r="E24">
        <v>3902000</v>
      </c>
      <c r="F24">
        <v>1290.3399999999999</v>
      </c>
      <c r="G24" t="s">
        <v>103</v>
      </c>
      <c r="H24" t="s">
        <v>104</v>
      </c>
      <c r="I24">
        <v>1</v>
      </c>
      <c r="J24">
        <v>0</v>
      </c>
      <c r="K24" t="s">
        <v>17</v>
      </c>
    </row>
    <row r="25" spans="1:11" x14ac:dyDescent="0.2">
      <c r="A25" t="s">
        <v>105</v>
      </c>
      <c r="B25" t="s">
        <v>106</v>
      </c>
      <c r="C25" t="s">
        <v>13</v>
      </c>
      <c r="D25" t="s">
        <v>14</v>
      </c>
      <c r="E25">
        <v>3745000</v>
      </c>
      <c r="F25">
        <v>1238.43</v>
      </c>
      <c r="G25" t="s">
        <v>107</v>
      </c>
      <c r="H25" t="s">
        <v>108</v>
      </c>
      <c r="I25">
        <v>1</v>
      </c>
      <c r="J25">
        <v>0</v>
      </c>
      <c r="K25" t="s">
        <v>17</v>
      </c>
    </row>
    <row r="26" spans="1:11" x14ac:dyDescent="0.2">
      <c r="A26" t="s">
        <v>109</v>
      </c>
      <c r="B26" t="s">
        <v>19</v>
      </c>
      <c r="C26" t="s">
        <v>51</v>
      </c>
      <c r="D26" t="s">
        <v>21</v>
      </c>
      <c r="E26">
        <v>551000</v>
      </c>
      <c r="F26">
        <v>916.81</v>
      </c>
      <c r="G26" t="s">
        <v>110</v>
      </c>
      <c r="H26" t="s">
        <v>111</v>
      </c>
      <c r="I26">
        <v>1</v>
      </c>
      <c r="J26">
        <v>0</v>
      </c>
      <c r="K26" t="s">
        <v>17</v>
      </c>
    </row>
    <row r="27" spans="1:11" x14ac:dyDescent="0.2">
      <c r="A27" t="s">
        <v>112</v>
      </c>
      <c r="B27" t="s">
        <v>12</v>
      </c>
      <c r="C27" t="s">
        <v>51</v>
      </c>
      <c r="D27" t="s">
        <v>21</v>
      </c>
      <c r="E27">
        <v>425000</v>
      </c>
      <c r="F27">
        <v>707.15</v>
      </c>
      <c r="G27" t="s">
        <v>113</v>
      </c>
      <c r="H27" t="s">
        <v>114</v>
      </c>
      <c r="I27">
        <v>1</v>
      </c>
      <c r="J27">
        <v>0</v>
      </c>
      <c r="K27" t="s">
        <v>17</v>
      </c>
    </row>
    <row r="28" spans="1:11" x14ac:dyDescent="0.2">
      <c r="A28" t="s">
        <v>115</v>
      </c>
      <c r="B28" t="s">
        <v>63</v>
      </c>
      <c r="C28" t="s">
        <v>102</v>
      </c>
      <c r="D28" t="s">
        <v>14</v>
      </c>
      <c r="E28">
        <v>2100000</v>
      </c>
      <c r="F28">
        <v>694.44</v>
      </c>
      <c r="G28" t="s">
        <v>116</v>
      </c>
      <c r="H28" t="s">
        <v>117</v>
      </c>
      <c r="I28">
        <v>1</v>
      </c>
      <c r="J28">
        <v>0</v>
      </c>
      <c r="K28" t="s">
        <v>17</v>
      </c>
    </row>
    <row r="29" spans="1:11" x14ac:dyDescent="0.2">
      <c r="A29" t="s">
        <v>118</v>
      </c>
      <c r="B29" t="s">
        <v>77</v>
      </c>
      <c r="C29" t="s">
        <v>42</v>
      </c>
      <c r="D29" t="s">
        <v>27</v>
      </c>
      <c r="E29">
        <v>1005000</v>
      </c>
      <c r="F29">
        <v>1672.21</v>
      </c>
      <c r="G29" t="s">
        <v>119</v>
      </c>
      <c r="H29" t="s">
        <v>120</v>
      </c>
      <c r="I29">
        <v>1</v>
      </c>
      <c r="J29">
        <v>0</v>
      </c>
      <c r="K29" t="s">
        <v>17</v>
      </c>
    </row>
    <row r="30" spans="1:11" x14ac:dyDescent="0.2">
      <c r="A30" t="s">
        <v>121</v>
      </c>
      <c r="B30" t="s">
        <v>98</v>
      </c>
      <c r="C30" t="s">
        <v>102</v>
      </c>
      <c r="D30" t="s">
        <v>14</v>
      </c>
      <c r="E30">
        <v>2268000</v>
      </c>
      <c r="F30">
        <v>750</v>
      </c>
      <c r="G30" t="s">
        <v>122</v>
      </c>
      <c r="H30" t="s">
        <v>123</v>
      </c>
      <c r="I30">
        <v>1</v>
      </c>
      <c r="J30">
        <v>0</v>
      </c>
      <c r="K30" t="s">
        <v>17</v>
      </c>
    </row>
    <row r="31" spans="1:11" x14ac:dyDescent="0.2">
      <c r="A31" t="s">
        <v>124</v>
      </c>
      <c r="B31" t="s">
        <v>59</v>
      </c>
      <c r="C31" t="s">
        <v>26</v>
      </c>
      <c r="D31" t="s">
        <v>27</v>
      </c>
      <c r="E31">
        <v>320000</v>
      </c>
      <c r="F31">
        <v>532.45000000000005</v>
      </c>
      <c r="G31" t="s">
        <v>125</v>
      </c>
      <c r="H31" t="s">
        <v>126</v>
      </c>
      <c r="I31">
        <v>1</v>
      </c>
      <c r="J31">
        <v>0</v>
      </c>
      <c r="K31" t="s">
        <v>17</v>
      </c>
    </row>
    <row r="32" spans="1:11" x14ac:dyDescent="0.2">
      <c r="A32" t="s">
        <v>127</v>
      </c>
      <c r="B32" t="s">
        <v>128</v>
      </c>
      <c r="C32" t="s">
        <v>13</v>
      </c>
      <c r="D32" t="s">
        <v>14</v>
      </c>
      <c r="E32">
        <v>2238000</v>
      </c>
      <c r="F32">
        <v>740.08</v>
      </c>
      <c r="G32" t="s">
        <v>129</v>
      </c>
      <c r="H32" t="s">
        <v>130</v>
      </c>
      <c r="I32">
        <v>1</v>
      </c>
      <c r="J32">
        <v>0</v>
      </c>
      <c r="K32" t="s">
        <v>17</v>
      </c>
    </row>
    <row r="33" spans="1:11" x14ac:dyDescent="0.2">
      <c r="A33" t="s">
        <v>131</v>
      </c>
      <c r="B33" t="s">
        <v>19</v>
      </c>
      <c r="C33" t="s">
        <v>42</v>
      </c>
      <c r="D33" t="s">
        <v>27</v>
      </c>
      <c r="E33">
        <v>1371000</v>
      </c>
      <c r="F33">
        <v>2281.1999999999998</v>
      </c>
      <c r="G33" t="s">
        <v>132</v>
      </c>
      <c r="H33" t="s">
        <v>133</v>
      </c>
      <c r="I33">
        <v>1</v>
      </c>
      <c r="J33">
        <v>0</v>
      </c>
      <c r="K33" t="s">
        <v>17</v>
      </c>
    </row>
    <row r="34" spans="1:11" x14ac:dyDescent="0.2">
      <c r="A34" t="s">
        <v>134</v>
      </c>
      <c r="B34" t="s">
        <v>135</v>
      </c>
      <c r="C34" t="s">
        <v>51</v>
      </c>
      <c r="D34" t="s">
        <v>21</v>
      </c>
      <c r="E34">
        <v>726000</v>
      </c>
      <c r="F34">
        <v>1207.99</v>
      </c>
      <c r="G34" t="s">
        <v>136</v>
      </c>
      <c r="H34" t="s">
        <v>137</v>
      </c>
      <c r="I34">
        <v>1</v>
      </c>
      <c r="J34">
        <v>0</v>
      </c>
      <c r="K34" t="s">
        <v>17</v>
      </c>
    </row>
    <row r="35" spans="1:11" x14ac:dyDescent="0.2">
      <c r="A35" t="s">
        <v>138</v>
      </c>
      <c r="B35" t="s">
        <v>139</v>
      </c>
      <c r="C35" t="s">
        <v>26</v>
      </c>
      <c r="D35" t="s">
        <v>27</v>
      </c>
      <c r="E35">
        <v>605000</v>
      </c>
      <c r="F35">
        <v>1006.66</v>
      </c>
      <c r="G35" t="s">
        <v>140</v>
      </c>
      <c r="H35" t="s">
        <v>141</v>
      </c>
      <c r="I35">
        <v>1</v>
      </c>
      <c r="J35">
        <v>0</v>
      </c>
      <c r="K35" t="s">
        <v>17</v>
      </c>
    </row>
    <row r="36" spans="1:11" x14ac:dyDescent="0.2">
      <c r="A36" t="s">
        <v>142</v>
      </c>
      <c r="B36" t="s">
        <v>143</v>
      </c>
      <c r="C36" t="s">
        <v>51</v>
      </c>
      <c r="D36" t="s">
        <v>21</v>
      </c>
      <c r="E36">
        <v>372000</v>
      </c>
      <c r="F36">
        <v>618.97</v>
      </c>
      <c r="G36" t="s">
        <v>144</v>
      </c>
      <c r="H36" t="s">
        <v>145</v>
      </c>
      <c r="I36">
        <v>1</v>
      </c>
      <c r="J36">
        <v>0</v>
      </c>
      <c r="K36" t="s">
        <v>17</v>
      </c>
    </row>
    <row r="37" spans="1:11" x14ac:dyDescent="0.2">
      <c r="A37" t="s">
        <v>146</v>
      </c>
      <c r="B37" t="s">
        <v>59</v>
      </c>
      <c r="C37" t="s">
        <v>13</v>
      </c>
      <c r="D37" t="s">
        <v>14</v>
      </c>
      <c r="E37">
        <v>3187000</v>
      </c>
      <c r="F37">
        <v>1053.9000000000001</v>
      </c>
      <c r="G37" t="s">
        <v>147</v>
      </c>
      <c r="H37" t="s">
        <v>148</v>
      </c>
      <c r="I37">
        <v>1</v>
      </c>
      <c r="J37">
        <v>0</v>
      </c>
      <c r="K37" t="s">
        <v>17</v>
      </c>
    </row>
    <row r="38" spans="1:11" x14ac:dyDescent="0.2">
      <c r="A38" t="s">
        <v>149</v>
      </c>
      <c r="B38" t="s">
        <v>63</v>
      </c>
      <c r="C38" t="s">
        <v>102</v>
      </c>
      <c r="D38" t="s">
        <v>14</v>
      </c>
      <c r="E38">
        <v>2830000</v>
      </c>
      <c r="F38">
        <v>935.85</v>
      </c>
      <c r="G38" t="s">
        <v>150</v>
      </c>
      <c r="H38" t="s">
        <v>151</v>
      </c>
      <c r="I38">
        <v>1</v>
      </c>
      <c r="J38">
        <v>0</v>
      </c>
      <c r="K38" t="s">
        <v>17</v>
      </c>
    </row>
    <row r="39" spans="1:11" x14ac:dyDescent="0.2">
      <c r="A39" t="s">
        <v>152</v>
      </c>
      <c r="B39" t="s">
        <v>139</v>
      </c>
      <c r="C39" t="s">
        <v>102</v>
      </c>
      <c r="D39" t="s">
        <v>14</v>
      </c>
      <c r="E39">
        <v>1685000</v>
      </c>
      <c r="F39">
        <v>557.21</v>
      </c>
      <c r="G39" t="s">
        <v>153</v>
      </c>
      <c r="H39" t="s">
        <v>154</v>
      </c>
      <c r="I39">
        <v>1</v>
      </c>
      <c r="J39">
        <v>0</v>
      </c>
      <c r="K39" t="s">
        <v>17</v>
      </c>
    </row>
    <row r="40" spans="1:11" x14ac:dyDescent="0.2">
      <c r="A40" t="s">
        <v>155</v>
      </c>
      <c r="B40" t="s">
        <v>128</v>
      </c>
      <c r="C40" t="s">
        <v>26</v>
      </c>
      <c r="D40" t="s">
        <v>27</v>
      </c>
      <c r="E40">
        <v>294000</v>
      </c>
      <c r="F40">
        <v>489.18</v>
      </c>
      <c r="G40" t="s">
        <v>156</v>
      </c>
      <c r="H40" t="s">
        <v>157</v>
      </c>
      <c r="I40">
        <v>1</v>
      </c>
      <c r="J40">
        <v>0</v>
      </c>
      <c r="K40" t="s">
        <v>17</v>
      </c>
    </row>
    <row r="41" spans="1:11" x14ac:dyDescent="0.2">
      <c r="A41" t="s">
        <v>158</v>
      </c>
      <c r="B41" t="s">
        <v>31</v>
      </c>
      <c r="C41" t="s">
        <v>26</v>
      </c>
      <c r="D41" t="s">
        <v>27</v>
      </c>
      <c r="E41">
        <v>310000</v>
      </c>
      <c r="F41">
        <v>515.80999999999995</v>
      </c>
      <c r="G41" t="s">
        <v>159</v>
      </c>
      <c r="H41" t="s">
        <v>160</v>
      </c>
      <c r="I41">
        <v>1</v>
      </c>
      <c r="J41">
        <v>0</v>
      </c>
      <c r="K41" t="s">
        <v>17</v>
      </c>
    </row>
    <row r="42" spans="1:11" x14ac:dyDescent="0.2">
      <c r="A42" t="s">
        <v>161</v>
      </c>
      <c r="B42" t="s">
        <v>139</v>
      </c>
      <c r="C42" t="s">
        <v>26</v>
      </c>
      <c r="D42" t="s">
        <v>27</v>
      </c>
      <c r="E42">
        <v>823000</v>
      </c>
      <c r="F42">
        <v>1369.38</v>
      </c>
      <c r="G42" t="s">
        <v>162</v>
      </c>
      <c r="H42" t="s">
        <v>163</v>
      </c>
      <c r="I42">
        <v>1</v>
      </c>
      <c r="J42">
        <v>0</v>
      </c>
      <c r="K42" t="s">
        <v>17</v>
      </c>
    </row>
    <row r="43" spans="1:11" x14ac:dyDescent="0.2">
      <c r="A43" t="s">
        <v>164</v>
      </c>
      <c r="B43" t="s">
        <v>143</v>
      </c>
      <c r="C43" t="s">
        <v>26</v>
      </c>
      <c r="D43" t="s">
        <v>27</v>
      </c>
      <c r="E43">
        <v>620000</v>
      </c>
      <c r="F43">
        <v>1031.6099999999999</v>
      </c>
      <c r="G43" t="s">
        <v>165</v>
      </c>
      <c r="H43" t="s">
        <v>166</v>
      </c>
      <c r="I43">
        <v>1</v>
      </c>
      <c r="J43">
        <v>0</v>
      </c>
      <c r="K43" t="s">
        <v>17</v>
      </c>
    </row>
    <row r="44" spans="1:11" x14ac:dyDescent="0.2">
      <c r="A44" t="s">
        <v>167</v>
      </c>
      <c r="B44" t="s">
        <v>19</v>
      </c>
      <c r="C44" t="s">
        <v>13</v>
      </c>
      <c r="D44" t="s">
        <v>14</v>
      </c>
      <c r="E44">
        <v>1722000</v>
      </c>
      <c r="F44">
        <v>569.44000000000005</v>
      </c>
      <c r="G44" t="s">
        <v>168</v>
      </c>
      <c r="H44" t="s">
        <v>169</v>
      </c>
      <c r="I44">
        <v>1</v>
      </c>
      <c r="J44">
        <v>0</v>
      </c>
      <c r="K44" t="s">
        <v>17</v>
      </c>
    </row>
    <row r="45" spans="1:11" x14ac:dyDescent="0.2">
      <c r="A45" t="s">
        <v>170</v>
      </c>
      <c r="B45" t="s">
        <v>12</v>
      </c>
      <c r="C45" t="s">
        <v>51</v>
      </c>
      <c r="D45" t="s">
        <v>21</v>
      </c>
      <c r="E45">
        <v>159000</v>
      </c>
      <c r="F45">
        <v>264.56</v>
      </c>
      <c r="G45" t="s">
        <v>171</v>
      </c>
      <c r="H45" t="s">
        <v>172</v>
      </c>
      <c r="I45">
        <v>1</v>
      </c>
      <c r="J45">
        <v>0</v>
      </c>
      <c r="K45" t="s">
        <v>17</v>
      </c>
    </row>
    <row r="46" spans="1:11" x14ac:dyDescent="0.2">
      <c r="A46" t="s">
        <v>173</v>
      </c>
      <c r="B46" t="s">
        <v>91</v>
      </c>
      <c r="C46" t="s">
        <v>51</v>
      </c>
      <c r="D46" t="s">
        <v>21</v>
      </c>
      <c r="E46">
        <v>924000</v>
      </c>
      <c r="F46">
        <v>1537.44</v>
      </c>
      <c r="G46" t="s">
        <v>174</v>
      </c>
      <c r="H46" t="s">
        <v>175</v>
      </c>
      <c r="I46">
        <v>1</v>
      </c>
      <c r="J46">
        <v>0</v>
      </c>
      <c r="K46" t="s">
        <v>17</v>
      </c>
    </row>
    <row r="47" spans="1:11" x14ac:dyDescent="0.2">
      <c r="A47" t="s">
        <v>176</v>
      </c>
      <c r="B47" t="s">
        <v>98</v>
      </c>
      <c r="C47" t="s">
        <v>20</v>
      </c>
      <c r="D47" t="s">
        <v>21</v>
      </c>
      <c r="E47">
        <v>482000</v>
      </c>
      <c r="F47">
        <v>802</v>
      </c>
      <c r="G47" t="s">
        <v>177</v>
      </c>
      <c r="H47" t="s">
        <v>178</v>
      </c>
      <c r="I47">
        <v>1</v>
      </c>
      <c r="J47">
        <v>0</v>
      </c>
      <c r="K47" t="s">
        <v>17</v>
      </c>
    </row>
    <row r="48" spans="1:11" x14ac:dyDescent="0.2">
      <c r="A48" t="s">
        <v>179</v>
      </c>
      <c r="B48" t="s">
        <v>35</v>
      </c>
      <c r="C48" t="s">
        <v>26</v>
      </c>
      <c r="D48" t="s">
        <v>27</v>
      </c>
      <c r="E48">
        <v>106000</v>
      </c>
      <c r="F48">
        <v>176.37</v>
      </c>
      <c r="G48" t="s">
        <v>180</v>
      </c>
      <c r="H48" t="s">
        <v>181</v>
      </c>
      <c r="I48">
        <v>1</v>
      </c>
      <c r="J48">
        <v>0</v>
      </c>
      <c r="K48" t="s">
        <v>17</v>
      </c>
    </row>
    <row r="49" spans="1:11" x14ac:dyDescent="0.2">
      <c r="A49" t="s">
        <v>182</v>
      </c>
      <c r="B49" t="s">
        <v>63</v>
      </c>
      <c r="C49" t="s">
        <v>20</v>
      </c>
      <c r="D49" t="s">
        <v>21</v>
      </c>
      <c r="E49">
        <v>1428000</v>
      </c>
      <c r="F49">
        <v>2376.04</v>
      </c>
      <c r="G49" t="s">
        <v>183</v>
      </c>
      <c r="H49" t="s">
        <v>184</v>
      </c>
      <c r="I49">
        <v>1</v>
      </c>
      <c r="J49">
        <v>0</v>
      </c>
      <c r="K49" t="s">
        <v>17</v>
      </c>
    </row>
    <row r="50" spans="1:11" x14ac:dyDescent="0.2">
      <c r="A50" t="s">
        <v>185</v>
      </c>
      <c r="B50" t="s">
        <v>87</v>
      </c>
      <c r="C50" t="s">
        <v>42</v>
      </c>
      <c r="D50" t="s">
        <v>27</v>
      </c>
      <c r="E50">
        <v>67000</v>
      </c>
      <c r="F50">
        <v>111.48</v>
      </c>
      <c r="G50" t="s">
        <v>186</v>
      </c>
      <c r="H50" t="s">
        <v>187</v>
      </c>
      <c r="I50">
        <v>1</v>
      </c>
      <c r="J50">
        <v>0</v>
      </c>
      <c r="K50" t="s">
        <v>17</v>
      </c>
    </row>
    <row r="51" spans="1:11" x14ac:dyDescent="0.2">
      <c r="A51" t="s">
        <v>188</v>
      </c>
      <c r="B51" t="s">
        <v>91</v>
      </c>
      <c r="C51" t="s">
        <v>102</v>
      </c>
      <c r="D51" t="s">
        <v>14</v>
      </c>
      <c r="E51">
        <v>1544000</v>
      </c>
      <c r="F51">
        <v>510.58</v>
      </c>
      <c r="G51" t="s">
        <v>189</v>
      </c>
      <c r="H51" t="s">
        <v>190</v>
      </c>
      <c r="I51">
        <v>1</v>
      </c>
      <c r="J51">
        <v>0</v>
      </c>
      <c r="K51" t="s">
        <v>17</v>
      </c>
    </row>
    <row r="52" spans="1:11" x14ac:dyDescent="0.2">
      <c r="A52" t="s">
        <v>191</v>
      </c>
      <c r="B52" t="s">
        <v>12</v>
      </c>
      <c r="C52" t="s">
        <v>26</v>
      </c>
      <c r="D52" t="s">
        <v>27</v>
      </c>
      <c r="E52">
        <v>261000</v>
      </c>
      <c r="F52">
        <v>434.28</v>
      </c>
      <c r="G52" t="s">
        <v>192</v>
      </c>
      <c r="H52" t="s">
        <v>193</v>
      </c>
      <c r="I52">
        <v>1</v>
      </c>
      <c r="J52">
        <v>0</v>
      </c>
      <c r="K52" t="s">
        <v>17</v>
      </c>
    </row>
    <row r="53" spans="1:11" x14ac:dyDescent="0.2">
      <c r="A53" t="s">
        <v>194</v>
      </c>
      <c r="B53" t="s">
        <v>50</v>
      </c>
      <c r="C53" t="s">
        <v>51</v>
      </c>
      <c r="D53" t="s">
        <v>21</v>
      </c>
      <c r="E53">
        <v>277000</v>
      </c>
      <c r="F53">
        <v>460.9</v>
      </c>
      <c r="G53" t="s">
        <v>195</v>
      </c>
      <c r="H53" t="s">
        <v>196</v>
      </c>
      <c r="I53">
        <v>1</v>
      </c>
      <c r="J53">
        <v>0</v>
      </c>
      <c r="K53" t="s">
        <v>17</v>
      </c>
    </row>
    <row r="54" spans="1:11" x14ac:dyDescent="0.2">
      <c r="A54" t="s">
        <v>197</v>
      </c>
      <c r="B54" t="s">
        <v>50</v>
      </c>
      <c r="C54" t="s">
        <v>13</v>
      </c>
      <c r="D54" t="s">
        <v>14</v>
      </c>
      <c r="E54">
        <v>5139000</v>
      </c>
      <c r="F54">
        <v>1699.4</v>
      </c>
      <c r="G54" t="s">
        <v>198</v>
      </c>
      <c r="H54" t="s">
        <v>199</v>
      </c>
      <c r="I54">
        <v>1</v>
      </c>
      <c r="J54">
        <v>0</v>
      </c>
      <c r="K54" t="s">
        <v>17</v>
      </c>
    </row>
    <row r="55" spans="1:11" x14ac:dyDescent="0.2">
      <c r="A55" t="s">
        <v>200</v>
      </c>
      <c r="B55" t="s">
        <v>35</v>
      </c>
      <c r="C55" t="s">
        <v>26</v>
      </c>
      <c r="D55" t="s">
        <v>27</v>
      </c>
      <c r="E55">
        <v>324000</v>
      </c>
      <c r="F55">
        <v>539.1</v>
      </c>
      <c r="G55" t="s">
        <v>201</v>
      </c>
      <c r="H55" t="s">
        <v>202</v>
      </c>
      <c r="I55">
        <v>1</v>
      </c>
      <c r="J55">
        <v>0</v>
      </c>
      <c r="K55" t="s">
        <v>17</v>
      </c>
    </row>
    <row r="56" spans="1:11" x14ac:dyDescent="0.2">
      <c r="A56" t="s">
        <v>203</v>
      </c>
      <c r="B56" t="s">
        <v>59</v>
      </c>
      <c r="C56" t="s">
        <v>51</v>
      </c>
      <c r="D56" t="s">
        <v>21</v>
      </c>
      <c r="E56">
        <v>210000</v>
      </c>
      <c r="F56">
        <v>349.42</v>
      </c>
      <c r="G56" t="s">
        <v>204</v>
      </c>
      <c r="H56" t="s">
        <v>205</v>
      </c>
      <c r="I56">
        <v>1</v>
      </c>
      <c r="J56">
        <v>0</v>
      </c>
      <c r="K56" t="s">
        <v>17</v>
      </c>
    </row>
    <row r="57" spans="1:11" x14ac:dyDescent="0.2">
      <c r="A57" t="s">
        <v>206</v>
      </c>
      <c r="B57" t="s">
        <v>98</v>
      </c>
      <c r="C57" t="s">
        <v>42</v>
      </c>
      <c r="D57" t="s">
        <v>27</v>
      </c>
      <c r="E57">
        <v>645000</v>
      </c>
      <c r="F57">
        <v>1073.21</v>
      </c>
      <c r="G57" t="s">
        <v>207</v>
      </c>
      <c r="H57" t="s">
        <v>208</v>
      </c>
      <c r="I57">
        <v>1</v>
      </c>
      <c r="J57">
        <v>0</v>
      </c>
      <c r="K57" t="s">
        <v>17</v>
      </c>
    </row>
    <row r="58" spans="1:11" x14ac:dyDescent="0.2">
      <c r="A58" t="s">
        <v>209</v>
      </c>
      <c r="B58" t="s">
        <v>59</v>
      </c>
      <c r="C58" t="s">
        <v>42</v>
      </c>
      <c r="D58" t="s">
        <v>27</v>
      </c>
      <c r="E58">
        <v>759000</v>
      </c>
      <c r="F58">
        <v>1262.9000000000001</v>
      </c>
      <c r="G58" t="s">
        <v>210</v>
      </c>
      <c r="H58" t="s">
        <v>211</v>
      </c>
      <c r="I58">
        <v>1</v>
      </c>
      <c r="J58">
        <v>0</v>
      </c>
      <c r="K58" t="s">
        <v>17</v>
      </c>
    </row>
    <row r="59" spans="1:11" x14ac:dyDescent="0.2">
      <c r="A59" t="s">
        <v>212</v>
      </c>
      <c r="B59" t="s">
        <v>67</v>
      </c>
      <c r="C59" t="s">
        <v>51</v>
      </c>
      <c r="D59" t="s">
        <v>21</v>
      </c>
      <c r="E59">
        <v>261000</v>
      </c>
      <c r="F59">
        <v>434.28</v>
      </c>
      <c r="G59" t="s">
        <v>213</v>
      </c>
      <c r="H59" t="s">
        <v>214</v>
      </c>
      <c r="I59">
        <v>1</v>
      </c>
      <c r="J59">
        <v>0</v>
      </c>
      <c r="K59" t="s">
        <v>17</v>
      </c>
    </row>
    <row r="60" spans="1:11" x14ac:dyDescent="0.2">
      <c r="A60" t="s">
        <v>215</v>
      </c>
      <c r="B60" t="s">
        <v>25</v>
      </c>
      <c r="C60" t="s">
        <v>51</v>
      </c>
      <c r="D60" t="s">
        <v>21</v>
      </c>
      <c r="E60">
        <v>250000</v>
      </c>
      <c r="F60">
        <v>415.97</v>
      </c>
      <c r="G60" t="s">
        <v>216</v>
      </c>
      <c r="H60" t="s">
        <v>217</v>
      </c>
      <c r="I60">
        <v>1</v>
      </c>
      <c r="J60">
        <v>0</v>
      </c>
      <c r="K60" t="s">
        <v>17</v>
      </c>
    </row>
    <row r="61" spans="1:11" x14ac:dyDescent="0.2">
      <c r="A61" t="s">
        <v>218</v>
      </c>
      <c r="B61" t="s">
        <v>77</v>
      </c>
      <c r="C61" t="s">
        <v>13</v>
      </c>
      <c r="D61" t="s">
        <v>14</v>
      </c>
      <c r="E61">
        <v>1947000</v>
      </c>
      <c r="F61">
        <v>643.85</v>
      </c>
      <c r="G61" t="s">
        <v>219</v>
      </c>
      <c r="H61" t="s">
        <v>220</v>
      </c>
      <c r="I61">
        <v>1</v>
      </c>
      <c r="J61">
        <v>0</v>
      </c>
      <c r="K61" t="s">
        <v>17</v>
      </c>
    </row>
    <row r="62" spans="1:11" x14ac:dyDescent="0.2">
      <c r="A62" t="s">
        <v>221</v>
      </c>
      <c r="B62" t="s">
        <v>67</v>
      </c>
      <c r="C62" t="s">
        <v>26</v>
      </c>
      <c r="D62" t="s">
        <v>27</v>
      </c>
      <c r="E62">
        <v>238000</v>
      </c>
      <c r="F62">
        <v>396.01</v>
      </c>
      <c r="G62" t="s">
        <v>222</v>
      </c>
      <c r="H62" t="s">
        <v>223</v>
      </c>
      <c r="I62">
        <v>1</v>
      </c>
      <c r="J62">
        <v>0</v>
      </c>
      <c r="K62" t="s">
        <v>17</v>
      </c>
    </row>
    <row r="63" spans="1:11" x14ac:dyDescent="0.2">
      <c r="A63" t="s">
        <v>224</v>
      </c>
      <c r="B63" t="s">
        <v>12</v>
      </c>
      <c r="C63" t="s">
        <v>102</v>
      </c>
      <c r="D63" t="s">
        <v>14</v>
      </c>
      <c r="E63">
        <v>2608000</v>
      </c>
      <c r="F63">
        <v>862.43</v>
      </c>
      <c r="G63" t="s">
        <v>225</v>
      </c>
      <c r="H63" t="s">
        <v>226</v>
      </c>
      <c r="I63">
        <v>1</v>
      </c>
      <c r="J63">
        <v>0</v>
      </c>
      <c r="K63" t="s">
        <v>17</v>
      </c>
    </row>
    <row r="64" spans="1:11" x14ac:dyDescent="0.2">
      <c r="A64" t="s">
        <v>227</v>
      </c>
      <c r="B64" t="s">
        <v>67</v>
      </c>
      <c r="C64" t="s">
        <v>20</v>
      </c>
      <c r="D64" t="s">
        <v>21</v>
      </c>
      <c r="E64">
        <v>873000</v>
      </c>
      <c r="F64">
        <v>1452.58</v>
      </c>
      <c r="G64" t="s">
        <v>228</v>
      </c>
      <c r="H64" t="s">
        <v>229</v>
      </c>
      <c r="I64">
        <v>1</v>
      </c>
      <c r="J64">
        <v>0</v>
      </c>
      <c r="K64" t="s">
        <v>17</v>
      </c>
    </row>
    <row r="65" spans="1:11" x14ac:dyDescent="0.2">
      <c r="A65" t="s">
        <v>230</v>
      </c>
      <c r="B65" t="s">
        <v>55</v>
      </c>
      <c r="C65" t="s">
        <v>102</v>
      </c>
      <c r="D65" t="s">
        <v>14</v>
      </c>
      <c r="E65">
        <v>887000</v>
      </c>
      <c r="F65">
        <v>293.32</v>
      </c>
      <c r="G65" t="s">
        <v>231</v>
      </c>
      <c r="H65" t="s">
        <v>232</v>
      </c>
      <c r="I65">
        <v>1</v>
      </c>
      <c r="J65">
        <v>0</v>
      </c>
      <c r="K65" t="s">
        <v>17</v>
      </c>
    </row>
    <row r="66" spans="1:11" x14ac:dyDescent="0.2">
      <c r="A66" t="s">
        <v>233</v>
      </c>
      <c r="B66" t="s">
        <v>12</v>
      </c>
      <c r="C66" t="s">
        <v>42</v>
      </c>
      <c r="D66" t="s">
        <v>27</v>
      </c>
      <c r="E66">
        <v>536000</v>
      </c>
      <c r="F66">
        <v>891.85</v>
      </c>
      <c r="G66" t="s">
        <v>234</v>
      </c>
      <c r="H66" t="s">
        <v>235</v>
      </c>
      <c r="I66">
        <v>1</v>
      </c>
      <c r="J66">
        <v>0</v>
      </c>
      <c r="K66" t="s">
        <v>17</v>
      </c>
    </row>
    <row r="67" spans="1:11" x14ac:dyDescent="0.2">
      <c r="A67" t="s">
        <v>236</v>
      </c>
      <c r="B67" t="s">
        <v>63</v>
      </c>
      <c r="C67" t="s">
        <v>13</v>
      </c>
      <c r="D67" t="s">
        <v>14</v>
      </c>
      <c r="E67">
        <v>2250000</v>
      </c>
      <c r="F67">
        <v>744.05</v>
      </c>
      <c r="G67" t="s">
        <v>237</v>
      </c>
      <c r="H67" t="s">
        <v>238</v>
      </c>
      <c r="I67">
        <v>1</v>
      </c>
      <c r="J67">
        <v>29.1</v>
      </c>
      <c r="K67" t="s">
        <v>45</v>
      </c>
    </row>
    <row r="68" spans="1:11" x14ac:dyDescent="0.2">
      <c r="A68" t="s">
        <v>239</v>
      </c>
      <c r="B68" t="s">
        <v>240</v>
      </c>
      <c r="C68" t="s">
        <v>20</v>
      </c>
      <c r="D68" t="s">
        <v>21</v>
      </c>
      <c r="E68">
        <v>213000</v>
      </c>
      <c r="F68">
        <v>354.41</v>
      </c>
      <c r="G68" t="s">
        <v>241</v>
      </c>
      <c r="H68" t="s">
        <v>242</v>
      </c>
      <c r="I68">
        <v>1</v>
      </c>
      <c r="J68">
        <v>0</v>
      </c>
      <c r="K68" t="s">
        <v>17</v>
      </c>
    </row>
    <row r="69" spans="1:11" x14ac:dyDescent="0.2">
      <c r="A69" t="s">
        <v>243</v>
      </c>
      <c r="B69" t="s">
        <v>67</v>
      </c>
      <c r="C69" t="s">
        <v>26</v>
      </c>
      <c r="D69" t="s">
        <v>27</v>
      </c>
      <c r="E69">
        <v>203000</v>
      </c>
      <c r="F69">
        <v>337.77</v>
      </c>
      <c r="G69" t="s">
        <v>244</v>
      </c>
      <c r="H69" t="s">
        <v>245</v>
      </c>
      <c r="I69">
        <v>1</v>
      </c>
      <c r="J69">
        <v>0</v>
      </c>
      <c r="K69" t="s">
        <v>17</v>
      </c>
    </row>
    <row r="70" spans="1:11" x14ac:dyDescent="0.2">
      <c r="A70" t="s">
        <v>246</v>
      </c>
      <c r="B70" t="s">
        <v>35</v>
      </c>
      <c r="C70" t="s">
        <v>20</v>
      </c>
      <c r="D70" t="s">
        <v>21</v>
      </c>
      <c r="E70">
        <v>1118000</v>
      </c>
      <c r="F70">
        <v>1860.23</v>
      </c>
      <c r="G70" t="s">
        <v>247</v>
      </c>
      <c r="H70" t="s">
        <v>248</v>
      </c>
      <c r="I70">
        <v>1</v>
      </c>
      <c r="J70">
        <v>0</v>
      </c>
      <c r="K70" t="s">
        <v>17</v>
      </c>
    </row>
    <row r="71" spans="1:11" x14ac:dyDescent="0.2">
      <c r="A71" t="s">
        <v>249</v>
      </c>
      <c r="B71" t="s">
        <v>135</v>
      </c>
      <c r="C71" t="s">
        <v>102</v>
      </c>
      <c r="D71" t="s">
        <v>14</v>
      </c>
      <c r="E71">
        <v>2463000</v>
      </c>
      <c r="F71">
        <v>814.48</v>
      </c>
      <c r="G71" t="s">
        <v>250</v>
      </c>
      <c r="H71" t="s">
        <v>251</v>
      </c>
      <c r="I71">
        <v>1</v>
      </c>
      <c r="J71">
        <v>0</v>
      </c>
      <c r="K71" t="s">
        <v>17</v>
      </c>
    </row>
    <row r="72" spans="1:11" x14ac:dyDescent="0.2">
      <c r="A72" t="s">
        <v>252</v>
      </c>
      <c r="B72" t="s">
        <v>31</v>
      </c>
      <c r="C72" t="s">
        <v>42</v>
      </c>
      <c r="D72" t="s">
        <v>27</v>
      </c>
      <c r="E72">
        <v>260000</v>
      </c>
      <c r="F72">
        <v>432.61</v>
      </c>
      <c r="G72" t="s">
        <v>253</v>
      </c>
      <c r="H72" t="s">
        <v>254</v>
      </c>
      <c r="I72">
        <v>1</v>
      </c>
      <c r="J72">
        <v>0</v>
      </c>
      <c r="K72" t="s">
        <v>17</v>
      </c>
    </row>
    <row r="73" spans="1:11" x14ac:dyDescent="0.2">
      <c r="A73" t="s">
        <v>255</v>
      </c>
      <c r="B73" t="s">
        <v>55</v>
      </c>
      <c r="C73" t="s">
        <v>20</v>
      </c>
      <c r="D73" t="s">
        <v>21</v>
      </c>
      <c r="E73">
        <v>507000</v>
      </c>
      <c r="F73">
        <v>843.59</v>
      </c>
      <c r="G73" t="s">
        <v>256</v>
      </c>
      <c r="H73" t="s">
        <v>257</v>
      </c>
      <c r="I73">
        <v>1</v>
      </c>
      <c r="J73">
        <v>0</v>
      </c>
      <c r="K73" t="s">
        <v>17</v>
      </c>
    </row>
    <row r="74" spans="1:11" x14ac:dyDescent="0.2">
      <c r="A74" t="s">
        <v>258</v>
      </c>
      <c r="B74" t="s">
        <v>63</v>
      </c>
      <c r="C74" t="s">
        <v>102</v>
      </c>
      <c r="D74" t="s">
        <v>14</v>
      </c>
      <c r="E74">
        <v>2146000</v>
      </c>
      <c r="F74">
        <v>709.66</v>
      </c>
      <c r="G74" t="s">
        <v>259</v>
      </c>
      <c r="H74" t="s">
        <v>260</v>
      </c>
      <c r="I74">
        <v>1</v>
      </c>
      <c r="J74">
        <v>0</v>
      </c>
      <c r="K74" t="s">
        <v>17</v>
      </c>
    </row>
    <row r="75" spans="1:11" x14ac:dyDescent="0.2">
      <c r="A75" t="s">
        <v>261</v>
      </c>
      <c r="B75" t="s">
        <v>139</v>
      </c>
      <c r="C75" t="s">
        <v>20</v>
      </c>
      <c r="D75" t="s">
        <v>21</v>
      </c>
      <c r="E75">
        <v>388000</v>
      </c>
      <c r="F75">
        <v>645.59</v>
      </c>
      <c r="G75" t="s">
        <v>262</v>
      </c>
      <c r="H75" t="s">
        <v>263</v>
      </c>
      <c r="I75">
        <v>1</v>
      </c>
      <c r="J75">
        <v>0</v>
      </c>
      <c r="K75" t="s">
        <v>17</v>
      </c>
    </row>
    <row r="76" spans="1:11" x14ac:dyDescent="0.2">
      <c r="A76" t="s">
        <v>264</v>
      </c>
      <c r="B76" t="s">
        <v>98</v>
      </c>
      <c r="C76" t="s">
        <v>42</v>
      </c>
      <c r="D76" t="s">
        <v>27</v>
      </c>
      <c r="E76">
        <v>231000</v>
      </c>
      <c r="F76">
        <v>384.36</v>
      </c>
      <c r="G76" t="s">
        <v>265</v>
      </c>
      <c r="H76" t="s">
        <v>266</v>
      </c>
      <c r="I76">
        <v>1</v>
      </c>
      <c r="J76">
        <v>-24.96</v>
      </c>
      <c r="K76" t="s">
        <v>45</v>
      </c>
    </row>
    <row r="77" spans="1:11" x14ac:dyDescent="0.2">
      <c r="A77" t="s">
        <v>267</v>
      </c>
      <c r="B77" t="s">
        <v>19</v>
      </c>
      <c r="C77" t="s">
        <v>13</v>
      </c>
      <c r="D77" t="s">
        <v>14</v>
      </c>
      <c r="E77">
        <v>2974000</v>
      </c>
      <c r="F77">
        <v>983.47</v>
      </c>
      <c r="G77" t="s">
        <v>268</v>
      </c>
      <c r="H77" t="s">
        <v>269</v>
      </c>
      <c r="I77">
        <v>1</v>
      </c>
      <c r="J77">
        <v>0</v>
      </c>
      <c r="K77" t="s">
        <v>17</v>
      </c>
    </row>
    <row r="78" spans="1:11" x14ac:dyDescent="0.2">
      <c r="A78" t="s">
        <v>270</v>
      </c>
      <c r="B78" t="s">
        <v>12</v>
      </c>
      <c r="C78" t="s">
        <v>42</v>
      </c>
      <c r="D78" t="s">
        <v>27</v>
      </c>
      <c r="E78">
        <v>4165000</v>
      </c>
      <c r="F78">
        <v>6930.12</v>
      </c>
      <c r="G78" t="s">
        <v>271</v>
      </c>
      <c r="H78" t="s">
        <v>272</v>
      </c>
      <c r="I78">
        <v>1</v>
      </c>
      <c r="J78">
        <v>0</v>
      </c>
      <c r="K78" t="s">
        <v>17</v>
      </c>
    </row>
    <row r="79" spans="1:11" x14ac:dyDescent="0.2">
      <c r="A79" t="s">
        <v>273</v>
      </c>
      <c r="B79" t="s">
        <v>63</v>
      </c>
      <c r="C79" t="s">
        <v>51</v>
      </c>
      <c r="D79" t="s">
        <v>21</v>
      </c>
      <c r="E79">
        <v>1569000</v>
      </c>
      <c r="F79">
        <v>2610.65</v>
      </c>
      <c r="G79" t="s">
        <v>274</v>
      </c>
      <c r="H79" t="s">
        <v>275</v>
      </c>
      <c r="I79">
        <v>1</v>
      </c>
      <c r="J79">
        <v>0</v>
      </c>
      <c r="K79" t="s">
        <v>17</v>
      </c>
    </row>
    <row r="80" spans="1:11" x14ac:dyDescent="0.2">
      <c r="A80" t="s">
        <v>276</v>
      </c>
      <c r="B80" t="s">
        <v>19</v>
      </c>
      <c r="C80" t="s">
        <v>13</v>
      </c>
      <c r="D80" t="s">
        <v>14</v>
      </c>
      <c r="E80">
        <v>1608000</v>
      </c>
      <c r="F80">
        <v>531.75</v>
      </c>
      <c r="G80" t="s">
        <v>277</v>
      </c>
      <c r="H80" t="s">
        <v>278</v>
      </c>
      <c r="I80">
        <v>1</v>
      </c>
      <c r="J80">
        <v>0</v>
      </c>
      <c r="K80" t="s">
        <v>17</v>
      </c>
    </row>
    <row r="81" spans="1:11" x14ac:dyDescent="0.2">
      <c r="A81" t="s">
        <v>279</v>
      </c>
      <c r="B81" t="s">
        <v>25</v>
      </c>
      <c r="C81" t="s">
        <v>20</v>
      </c>
      <c r="D81" t="s">
        <v>21</v>
      </c>
      <c r="E81">
        <v>708000</v>
      </c>
      <c r="F81">
        <v>1178.04</v>
      </c>
      <c r="G81" t="s">
        <v>280</v>
      </c>
      <c r="H81" t="s">
        <v>281</v>
      </c>
      <c r="I81">
        <v>1</v>
      </c>
      <c r="J81">
        <v>-26.62</v>
      </c>
      <c r="K81" t="s">
        <v>45</v>
      </c>
    </row>
    <row r="82" spans="1:11" x14ac:dyDescent="0.2">
      <c r="A82" t="s">
        <v>282</v>
      </c>
      <c r="B82" t="s">
        <v>135</v>
      </c>
      <c r="C82" t="s">
        <v>51</v>
      </c>
      <c r="D82" t="s">
        <v>21</v>
      </c>
      <c r="E82">
        <v>315000</v>
      </c>
      <c r="F82">
        <v>524.13</v>
      </c>
      <c r="G82" t="s">
        <v>283</v>
      </c>
      <c r="H82" t="s">
        <v>284</v>
      </c>
      <c r="I82">
        <v>1</v>
      </c>
      <c r="J82">
        <v>0</v>
      </c>
      <c r="K82" t="s">
        <v>17</v>
      </c>
    </row>
    <row r="83" spans="1:11" x14ac:dyDescent="0.2">
      <c r="A83" t="s">
        <v>285</v>
      </c>
      <c r="B83" t="s">
        <v>31</v>
      </c>
      <c r="C83" t="s">
        <v>20</v>
      </c>
      <c r="D83" t="s">
        <v>21</v>
      </c>
      <c r="E83">
        <v>1421000</v>
      </c>
      <c r="F83">
        <v>2364.39</v>
      </c>
      <c r="G83" t="s">
        <v>286</v>
      </c>
      <c r="H83" t="s">
        <v>287</v>
      </c>
      <c r="I83">
        <v>1</v>
      </c>
      <c r="J83">
        <v>0</v>
      </c>
      <c r="K83" t="s">
        <v>17</v>
      </c>
    </row>
    <row r="84" spans="1:11" x14ac:dyDescent="0.2">
      <c r="A84" t="s">
        <v>288</v>
      </c>
      <c r="B84" t="s">
        <v>12</v>
      </c>
      <c r="C84" t="s">
        <v>26</v>
      </c>
      <c r="D84" t="s">
        <v>27</v>
      </c>
      <c r="E84">
        <v>185000</v>
      </c>
      <c r="F84">
        <v>307.82</v>
      </c>
      <c r="G84" t="s">
        <v>289</v>
      </c>
      <c r="H84" t="s">
        <v>290</v>
      </c>
      <c r="I84">
        <v>1</v>
      </c>
      <c r="J84">
        <v>0</v>
      </c>
      <c r="K84" t="s">
        <v>17</v>
      </c>
    </row>
    <row r="85" spans="1:11" x14ac:dyDescent="0.2">
      <c r="A85" t="s">
        <v>291</v>
      </c>
      <c r="B85" t="s">
        <v>98</v>
      </c>
      <c r="C85" t="s">
        <v>102</v>
      </c>
      <c r="D85" t="s">
        <v>14</v>
      </c>
      <c r="E85">
        <v>1628000</v>
      </c>
      <c r="F85">
        <v>538.36</v>
      </c>
      <c r="G85" t="s">
        <v>292</v>
      </c>
      <c r="H85" t="s">
        <v>293</v>
      </c>
      <c r="I85">
        <v>1</v>
      </c>
      <c r="J85">
        <v>0</v>
      </c>
      <c r="K85" t="s">
        <v>17</v>
      </c>
    </row>
    <row r="86" spans="1:11" x14ac:dyDescent="0.2">
      <c r="A86" t="s">
        <v>294</v>
      </c>
      <c r="B86" t="s">
        <v>59</v>
      </c>
      <c r="C86" t="s">
        <v>51</v>
      </c>
      <c r="D86" t="s">
        <v>21</v>
      </c>
      <c r="E86">
        <v>964000</v>
      </c>
      <c r="F86">
        <v>1603.99</v>
      </c>
      <c r="G86" t="s">
        <v>295</v>
      </c>
      <c r="H86" t="s">
        <v>296</v>
      </c>
      <c r="I86">
        <v>1</v>
      </c>
      <c r="J86">
        <v>0</v>
      </c>
      <c r="K86" t="s">
        <v>17</v>
      </c>
    </row>
    <row r="87" spans="1:11" x14ac:dyDescent="0.2">
      <c r="A87" t="s">
        <v>297</v>
      </c>
      <c r="B87" t="s">
        <v>67</v>
      </c>
      <c r="C87" t="s">
        <v>42</v>
      </c>
      <c r="D87" t="s">
        <v>27</v>
      </c>
      <c r="E87">
        <v>187000</v>
      </c>
      <c r="F87">
        <v>311.14999999999998</v>
      </c>
      <c r="G87" t="s">
        <v>298</v>
      </c>
      <c r="H87" t="s">
        <v>299</v>
      </c>
      <c r="I87">
        <v>1</v>
      </c>
      <c r="J87">
        <v>0</v>
      </c>
      <c r="K87" t="s">
        <v>17</v>
      </c>
    </row>
    <row r="88" spans="1:11" x14ac:dyDescent="0.2">
      <c r="A88" t="s">
        <v>300</v>
      </c>
      <c r="B88" t="s">
        <v>31</v>
      </c>
      <c r="C88" t="s">
        <v>51</v>
      </c>
      <c r="D88" t="s">
        <v>21</v>
      </c>
      <c r="E88">
        <v>526000</v>
      </c>
      <c r="F88">
        <v>875.21</v>
      </c>
      <c r="G88" t="s">
        <v>301</v>
      </c>
      <c r="H88" t="s">
        <v>302</v>
      </c>
      <c r="I88">
        <v>1</v>
      </c>
      <c r="J88">
        <v>0</v>
      </c>
      <c r="K88" t="s">
        <v>17</v>
      </c>
    </row>
    <row r="89" spans="1:11" x14ac:dyDescent="0.2">
      <c r="A89" t="s">
        <v>303</v>
      </c>
      <c r="B89" t="s">
        <v>98</v>
      </c>
      <c r="C89" t="s">
        <v>13</v>
      </c>
      <c r="D89" t="s">
        <v>14</v>
      </c>
      <c r="E89">
        <v>1432000</v>
      </c>
      <c r="F89">
        <v>473.54</v>
      </c>
      <c r="G89" t="s">
        <v>304</v>
      </c>
      <c r="H89" t="s">
        <v>305</v>
      </c>
      <c r="I89">
        <v>1</v>
      </c>
      <c r="J89">
        <v>0</v>
      </c>
      <c r="K89" t="s">
        <v>17</v>
      </c>
    </row>
    <row r="90" spans="1:11" x14ac:dyDescent="0.2">
      <c r="A90" t="s">
        <v>306</v>
      </c>
      <c r="B90" t="s">
        <v>63</v>
      </c>
      <c r="C90" t="s">
        <v>42</v>
      </c>
      <c r="D90" t="s">
        <v>27</v>
      </c>
      <c r="E90">
        <v>412000</v>
      </c>
      <c r="F90">
        <v>685.52</v>
      </c>
      <c r="G90" t="s">
        <v>307</v>
      </c>
      <c r="H90" t="s">
        <v>308</v>
      </c>
      <c r="I90">
        <v>1</v>
      </c>
      <c r="J90">
        <v>0</v>
      </c>
      <c r="K90" t="s">
        <v>17</v>
      </c>
    </row>
    <row r="91" spans="1:11" x14ac:dyDescent="0.2">
      <c r="A91" t="s">
        <v>309</v>
      </c>
      <c r="B91" t="s">
        <v>19</v>
      </c>
      <c r="C91" t="s">
        <v>102</v>
      </c>
      <c r="D91" t="s">
        <v>14</v>
      </c>
      <c r="E91">
        <v>9113000</v>
      </c>
      <c r="F91">
        <v>3013.56</v>
      </c>
      <c r="G91" t="s">
        <v>310</v>
      </c>
      <c r="H91" t="s">
        <v>311</v>
      </c>
      <c r="I91">
        <v>1</v>
      </c>
      <c r="J91">
        <v>0</v>
      </c>
      <c r="K91" t="s">
        <v>17</v>
      </c>
    </row>
    <row r="92" spans="1:11" x14ac:dyDescent="0.2">
      <c r="A92" t="s">
        <v>312</v>
      </c>
      <c r="B92" t="s">
        <v>91</v>
      </c>
      <c r="C92" t="s">
        <v>42</v>
      </c>
      <c r="D92" t="s">
        <v>27</v>
      </c>
      <c r="E92">
        <v>144000</v>
      </c>
      <c r="F92">
        <v>239.6</v>
      </c>
      <c r="G92" t="s">
        <v>313</v>
      </c>
      <c r="H92" t="s">
        <v>314</v>
      </c>
      <c r="I92">
        <v>1</v>
      </c>
      <c r="J92">
        <v>0</v>
      </c>
      <c r="K92" t="s">
        <v>17</v>
      </c>
    </row>
    <row r="93" spans="1:11" x14ac:dyDescent="0.2">
      <c r="A93" t="s">
        <v>315</v>
      </c>
      <c r="B93" t="s">
        <v>12</v>
      </c>
      <c r="C93" t="s">
        <v>20</v>
      </c>
      <c r="D93" t="s">
        <v>21</v>
      </c>
      <c r="E93">
        <v>253000</v>
      </c>
      <c r="F93">
        <v>420.97</v>
      </c>
      <c r="G93" t="s">
        <v>316</v>
      </c>
      <c r="H93" t="s">
        <v>317</v>
      </c>
      <c r="I93">
        <v>1</v>
      </c>
      <c r="J93">
        <v>0</v>
      </c>
      <c r="K93" t="s">
        <v>17</v>
      </c>
    </row>
    <row r="94" spans="1:11" x14ac:dyDescent="0.2">
      <c r="A94" t="s">
        <v>318</v>
      </c>
      <c r="B94" t="s">
        <v>31</v>
      </c>
      <c r="C94" t="s">
        <v>42</v>
      </c>
      <c r="D94" t="s">
        <v>27</v>
      </c>
      <c r="E94">
        <v>41000</v>
      </c>
      <c r="F94">
        <v>68.22</v>
      </c>
      <c r="G94" t="s">
        <v>319</v>
      </c>
      <c r="H94" t="s">
        <v>320</v>
      </c>
      <c r="I94">
        <v>1</v>
      </c>
      <c r="J94">
        <v>-4.99</v>
      </c>
      <c r="K94" t="s">
        <v>17</v>
      </c>
    </row>
    <row r="95" spans="1:11" x14ac:dyDescent="0.2">
      <c r="A95" t="s">
        <v>321</v>
      </c>
      <c r="B95" t="s">
        <v>240</v>
      </c>
      <c r="C95" t="s">
        <v>26</v>
      </c>
      <c r="D95" t="s">
        <v>27</v>
      </c>
      <c r="E95">
        <v>322000</v>
      </c>
      <c r="F95">
        <v>535.77</v>
      </c>
      <c r="G95" t="s">
        <v>322</v>
      </c>
      <c r="H95" t="s">
        <v>323</v>
      </c>
      <c r="I95">
        <v>1</v>
      </c>
      <c r="J95">
        <v>0</v>
      </c>
      <c r="K95" t="s">
        <v>17</v>
      </c>
    </row>
    <row r="96" spans="1:11" x14ac:dyDescent="0.2">
      <c r="A96" t="s">
        <v>324</v>
      </c>
      <c r="B96" t="s">
        <v>77</v>
      </c>
      <c r="C96" t="s">
        <v>20</v>
      </c>
      <c r="D96" t="s">
        <v>21</v>
      </c>
      <c r="E96">
        <v>130000</v>
      </c>
      <c r="F96">
        <v>216.31</v>
      </c>
      <c r="G96" t="s">
        <v>325</v>
      </c>
      <c r="H96" t="s">
        <v>326</v>
      </c>
      <c r="I96">
        <v>1</v>
      </c>
      <c r="J96">
        <v>0</v>
      </c>
      <c r="K96" t="s">
        <v>17</v>
      </c>
    </row>
    <row r="97" spans="1:11" x14ac:dyDescent="0.2">
      <c r="A97" t="s">
        <v>327</v>
      </c>
      <c r="B97" t="s">
        <v>67</v>
      </c>
      <c r="C97" t="s">
        <v>102</v>
      </c>
      <c r="D97" t="s">
        <v>14</v>
      </c>
      <c r="E97">
        <v>346000</v>
      </c>
      <c r="F97">
        <v>114.42</v>
      </c>
      <c r="G97" t="s">
        <v>328</v>
      </c>
      <c r="H97" t="s">
        <v>329</v>
      </c>
      <c r="I97">
        <v>1</v>
      </c>
      <c r="J97">
        <v>0</v>
      </c>
      <c r="K97" t="s">
        <v>17</v>
      </c>
    </row>
    <row r="98" spans="1:11" x14ac:dyDescent="0.2">
      <c r="A98" t="s">
        <v>330</v>
      </c>
      <c r="B98" t="s">
        <v>91</v>
      </c>
      <c r="C98" t="s">
        <v>26</v>
      </c>
      <c r="D98" t="s">
        <v>27</v>
      </c>
      <c r="E98">
        <v>64000</v>
      </c>
      <c r="F98">
        <v>106.49</v>
      </c>
      <c r="G98" t="s">
        <v>331</v>
      </c>
      <c r="H98" t="s">
        <v>332</v>
      </c>
      <c r="I98">
        <v>1</v>
      </c>
      <c r="J98">
        <v>0</v>
      </c>
      <c r="K98" t="s">
        <v>17</v>
      </c>
    </row>
    <row r="99" spans="1:11" x14ac:dyDescent="0.2">
      <c r="A99" t="s">
        <v>333</v>
      </c>
      <c r="B99" t="s">
        <v>240</v>
      </c>
      <c r="C99" t="s">
        <v>26</v>
      </c>
      <c r="D99" t="s">
        <v>27</v>
      </c>
      <c r="E99">
        <v>217000</v>
      </c>
      <c r="F99">
        <v>361.06</v>
      </c>
      <c r="G99" t="s">
        <v>334</v>
      </c>
      <c r="H99" t="s">
        <v>335</v>
      </c>
      <c r="I99">
        <v>1</v>
      </c>
      <c r="J99">
        <v>0</v>
      </c>
      <c r="K99" t="s">
        <v>17</v>
      </c>
    </row>
    <row r="100" spans="1:11" x14ac:dyDescent="0.2">
      <c r="A100" t="s">
        <v>336</v>
      </c>
      <c r="B100" t="s">
        <v>77</v>
      </c>
      <c r="C100" t="s">
        <v>42</v>
      </c>
      <c r="D100" t="s">
        <v>27</v>
      </c>
      <c r="E100">
        <v>213000</v>
      </c>
      <c r="F100">
        <v>354.41</v>
      </c>
      <c r="G100" t="s">
        <v>337</v>
      </c>
      <c r="H100" t="s">
        <v>338</v>
      </c>
      <c r="I100">
        <v>1</v>
      </c>
      <c r="J100">
        <v>0</v>
      </c>
      <c r="K100" t="s">
        <v>17</v>
      </c>
    </row>
    <row r="101" spans="1:11" x14ac:dyDescent="0.2">
      <c r="A101" t="s">
        <v>339</v>
      </c>
      <c r="B101" t="s">
        <v>31</v>
      </c>
      <c r="C101" t="s">
        <v>26</v>
      </c>
      <c r="D101" t="s">
        <v>27</v>
      </c>
      <c r="E101">
        <v>634000</v>
      </c>
      <c r="F101">
        <v>1054.9100000000001</v>
      </c>
      <c r="G101" t="s">
        <v>340</v>
      </c>
      <c r="H101" t="s">
        <v>341</v>
      </c>
      <c r="I101">
        <v>1</v>
      </c>
      <c r="J101">
        <v>0</v>
      </c>
      <c r="K101" t="s">
        <v>17</v>
      </c>
    </row>
    <row r="102" spans="1:11" x14ac:dyDescent="0.2">
      <c r="A102" t="s">
        <v>342</v>
      </c>
      <c r="B102" t="s">
        <v>55</v>
      </c>
      <c r="C102" t="s">
        <v>20</v>
      </c>
      <c r="D102" t="s">
        <v>21</v>
      </c>
      <c r="E102">
        <v>735000</v>
      </c>
      <c r="F102">
        <v>1222.96</v>
      </c>
      <c r="G102" t="s">
        <v>343</v>
      </c>
      <c r="H102" t="s">
        <v>344</v>
      </c>
      <c r="I102">
        <v>1</v>
      </c>
      <c r="J102">
        <v>0</v>
      </c>
      <c r="K102" t="s">
        <v>17</v>
      </c>
    </row>
    <row r="103" spans="1:11" x14ac:dyDescent="0.2">
      <c r="A103" t="s">
        <v>345</v>
      </c>
      <c r="B103" t="s">
        <v>143</v>
      </c>
      <c r="C103" t="s">
        <v>42</v>
      </c>
      <c r="D103" t="s">
        <v>27</v>
      </c>
      <c r="E103">
        <v>549000</v>
      </c>
      <c r="F103">
        <v>913.48</v>
      </c>
      <c r="G103" t="s">
        <v>346</v>
      </c>
      <c r="H103" t="s">
        <v>347</v>
      </c>
      <c r="I103">
        <v>1</v>
      </c>
      <c r="J103">
        <v>0</v>
      </c>
      <c r="K103" t="s">
        <v>17</v>
      </c>
    </row>
    <row r="104" spans="1:11" x14ac:dyDescent="0.2">
      <c r="A104" t="s">
        <v>348</v>
      </c>
      <c r="B104" t="s">
        <v>87</v>
      </c>
      <c r="C104" t="s">
        <v>13</v>
      </c>
      <c r="D104" t="s">
        <v>14</v>
      </c>
      <c r="E104">
        <v>750000</v>
      </c>
      <c r="F104">
        <v>248.02</v>
      </c>
      <c r="G104" t="s">
        <v>349</v>
      </c>
      <c r="H104" t="s">
        <v>350</v>
      </c>
      <c r="I104">
        <v>1</v>
      </c>
      <c r="J104">
        <v>0</v>
      </c>
      <c r="K104" t="s">
        <v>17</v>
      </c>
    </row>
    <row r="105" spans="1:11" x14ac:dyDescent="0.2">
      <c r="A105" t="s">
        <v>351</v>
      </c>
      <c r="B105" t="s">
        <v>31</v>
      </c>
      <c r="C105" t="s">
        <v>51</v>
      </c>
      <c r="D105" t="s">
        <v>21</v>
      </c>
      <c r="E105">
        <v>621000</v>
      </c>
      <c r="F105">
        <v>1033.28</v>
      </c>
      <c r="G105" t="s">
        <v>352</v>
      </c>
      <c r="H105" t="s">
        <v>353</v>
      </c>
      <c r="I105">
        <v>1</v>
      </c>
      <c r="J105">
        <v>0</v>
      </c>
      <c r="K105" t="s">
        <v>17</v>
      </c>
    </row>
    <row r="106" spans="1:11" x14ac:dyDescent="0.2">
      <c r="A106" t="s">
        <v>354</v>
      </c>
      <c r="B106" t="s">
        <v>98</v>
      </c>
      <c r="C106" t="s">
        <v>26</v>
      </c>
      <c r="D106" t="s">
        <v>27</v>
      </c>
      <c r="E106">
        <v>352000</v>
      </c>
      <c r="F106">
        <v>585.69000000000005</v>
      </c>
      <c r="G106" t="s">
        <v>355</v>
      </c>
      <c r="H106" t="s">
        <v>356</v>
      </c>
      <c r="I106">
        <v>1</v>
      </c>
      <c r="J106">
        <v>0</v>
      </c>
      <c r="K106" t="s">
        <v>17</v>
      </c>
    </row>
    <row r="107" spans="1:11" x14ac:dyDescent="0.2">
      <c r="A107" t="s">
        <v>357</v>
      </c>
      <c r="B107" t="s">
        <v>135</v>
      </c>
      <c r="C107" t="s">
        <v>20</v>
      </c>
      <c r="D107" t="s">
        <v>21</v>
      </c>
      <c r="E107">
        <v>856000</v>
      </c>
      <c r="F107">
        <v>1424.29</v>
      </c>
      <c r="G107" t="s">
        <v>358</v>
      </c>
      <c r="H107" t="s">
        <v>359</v>
      </c>
      <c r="I107">
        <v>1</v>
      </c>
      <c r="J107">
        <v>0</v>
      </c>
      <c r="K107" t="s">
        <v>17</v>
      </c>
    </row>
    <row r="108" spans="1:11" x14ac:dyDescent="0.2">
      <c r="A108" t="s">
        <v>360</v>
      </c>
      <c r="B108" t="s">
        <v>139</v>
      </c>
      <c r="C108" t="s">
        <v>26</v>
      </c>
      <c r="D108" t="s">
        <v>27</v>
      </c>
      <c r="E108">
        <v>467000</v>
      </c>
      <c r="F108">
        <v>777.04</v>
      </c>
      <c r="G108" t="s">
        <v>361</v>
      </c>
      <c r="H108" t="s">
        <v>362</v>
      </c>
      <c r="I108">
        <v>1</v>
      </c>
      <c r="J108">
        <v>0</v>
      </c>
      <c r="K108" t="s">
        <v>17</v>
      </c>
    </row>
    <row r="109" spans="1:11" x14ac:dyDescent="0.2">
      <c r="A109" t="s">
        <v>363</v>
      </c>
      <c r="B109" t="s">
        <v>98</v>
      </c>
      <c r="C109" t="s">
        <v>51</v>
      </c>
      <c r="D109" t="s">
        <v>21</v>
      </c>
      <c r="E109">
        <v>785000</v>
      </c>
      <c r="F109">
        <v>1306.1600000000001</v>
      </c>
      <c r="G109" t="s">
        <v>364</v>
      </c>
      <c r="H109" t="s">
        <v>365</v>
      </c>
      <c r="I109">
        <v>1</v>
      </c>
      <c r="J109">
        <v>0</v>
      </c>
      <c r="K109" t="s">
        <v>17</v>
      </c>
    </row>
    <row r="110" spans="1:11" x14ac:dyDescent="0.2">
      <c r="A110" t="s">
        <v>366</v>
      </c>
      <c r="B110" t="s">
        <v>135</v>
      </c>
      <c r="C110" t="s">
        <v>102</v>
      </c>
      <c r="D110" t="s">
        <v>14</v>
      </c>
      <c r="E110">
        <v>1625000</v>
      </c>
      <c r="F110">
        <v>537.37</v>
      </c>
      <c r="G110" t="s">
        <v>367</v>
      </c>
      <c r="H110" t="s">
        <v>368</v>
      </c>
      <c r="I110">
        <v>1</v>
      </c>
      <c r="J110">
        <v>0</v>
      </c>
      <c r="K110" t="s">
        <v>17</v>
      </c>
    </row>
    <row r="111" spans="1:11" x14ac:dyDescent="0.2">
      <c r="A111" t="s">
        <v>369</v>
      </c>
      <c r="B111" t="s">
        <v>19</v>
      </c>
      <c r="C111" t="s">
        <v>51</v>
      </c>
      <c r="D111" t="s">
        <v>21</v>
      </c>
      <c r="E111">
        <v>991000</v>
      </c>
      <c r="F111">
        <v>1648.92</v>
      </c>
      <c r="G111" t="s">
        <v>370</v>
      </c>
      <c r="H111" t="s">
        <v>371</v>
      </c>
      <c r="I111">
        <v>1</v>
      </c>
      <c r="J111">
        <v>0</v>
      </c>
      <c r="K111" t="s">
        <v>17</v>
      </c>
    </row>
    <row r="112" spans="1:11" x14ac:dyDescent="0.2">
      <c r="A112" t="s">
        <v>372</v>
      </c>
      <c r="B112" t="s">
        <v>67</v>
      </c>
      <c r="C112" t="s">
        <v>26</v>
      </c>
      <c r="D112" t="s">
        <v>27</v>
      </c>
      <c r="E112">
        <v>1101000</v>
      </c>
      <c r="F112">
        <v>1831.95</v>
      </c>
      <c r="G112" t="s">
        <v>373</v>
      </c>
      <c r="H112" t="s">
        <v>374</v>
      </c>
      <c r="I112">
        <v>1</v>
      </c>
      <c r="J112">
        <v>0</v>
      </c>
      <c r="K112" t="s">
        <v>17</v>
      </c>
    </row>
    <row r="113" spans="1:11" x14ac:dyDescent="0.2">
      <c r="A113" t="s">
        <v>375</v>
      </c>
      <c r="B113" t="s">
        <v>240</v>
      </c>
      <c r="C113" t="s">
        <v>13</v>
      </c>
      <c r="D113" t="s">
        <v>14</v>
      </c>
      <c r="E113">
        <v>546000</v>
      </c>
      <c r="F113">
        <v>180.56</v>
      </c>
      <c r="I113">
        <v>0</v>
      </c>
      <c r="J113">
        <v>0</v>
      </c>
      <c r="K113" t="s">
        <v>376</v>
      </c>
    </row>
    <row r="114" spans="1:11" x14ac:dyDescent="0.2">
      <c r="A114" t="s">
        <v>377</v>
      </c>
      <c r="B114" t="s">
        <v>87</v>
      </c>
      <c r="C114" t="s">
        <v>26</v>
      </c>
      <c r="D114" t="s">
        <v>27</v>
      </c>
      <c r="E114">
        <v>615000</v>
      </c>
      <c r="F114">
        <v>1023.29</v>
      </c>
      <c r="G114" t="s">
        <v>378</v>
      </c>
      <c r="H114" t="s">
        <v>379</v>
      </c>
      <c r="I114">
        <v>1</v>
      </c>
      <c r="J114">
        <v>0</v>
      </c>
      <c r="K114" t="s">
        <v>17</v>
      </c>
    </row>
    <row r="115" spans="1:11" x14ac:dyDescent="0.2">
      <c r="A115" t="s">
        <v>380</v>
      </c>
      <c r="B115" t="s">
        <v>91</v>
      </c>
      <c r="C115" t="s">
        <v>51</v>
      </c>
      <c r="D115" t="s">
        <v>21</v>
      </c>
      <c r="E115">
        <v>419000</v>
      </c>
      <c r="F115">
        <v>697.17</v>
      </c>
      <c r="G115" t="s">
        <v>381</v>
      </c>
      <c r="H115" t="s">
        <v>382</v>
      </c>
      <c r="I115">
        <v>1</v>
      </c>
      <c r="J115">
        <v>0</v>
      </c>
      <c r="K115" t="s">
        <v>17</v>
      </c>
    </row>
    <row r="116" spans="1:11" x14ac:dyDescent="0.2">
      <c r="A116" t="s">
        <v>383</v>
      </c>
      <c r="B116" t="s">
        <v>35</v>
      </c>
      <c r="C116" t="s">
        <v>13</v>
      </c>
      <c r="D116" t="s">
        <v>14</v>
      </c>
      <c r="E116">
        <v>2751000</v>
      </c>
      <c r="F116">
        <v>909.72</v>
      </c>
      <c r="G116" t="s">
        <v>384</v>
      </c>
      <c r="H116" t="s">
        <v>385</v>
      </c>
      <c r="I116">
        <v>1</v>
      </c>
      <c r="J116">
        <v>0</v>
      </c>
      <c r="K116" t="s">
        <v>17</v>
      </c>
    </row>
    <row r="117" spans="1:11" x14ac:dyDescent="0.2">
      <c r="A117" t="s">
        <v>386</v>
      </c>
      <c r="B117" t="s">
        <v>91</v>
      </c>
      <c r="C117" t="s">
        <v>42</v>
      </c>
      <c r="D117" t="s">
        <v>27</v>
      </c>
      <c r="E117">
        <v>1051000</v>
      </c>
      <c r="F117">
        <v>1748.75</v>
      </c>
      <c r="G117" t="s">
        <v>387</v>
      </c>
      <c r="H117" t="s">
        <v>388</v>
      </c>
      <c r="I117">
        <v>1</v>
      </c>
      <c r="J117">
        <v>0</v>
      </c>
      <c r="K117" t="s">
        <v>17</v>
      </c>
    </row>
    <row r="118" spans="1:11" x14ac:dyDescent="0.2">
      <c r="A118" t="s">
        <v>389</v>
      </c>
      <c r="B118" t="s">
        <v>19</v>
      </c>
      <c r="C118" t="s">
        <v>51</v>
      </c>
      <c r="D118" t="s">
        <v>21</v>
      </c>
      <c r="E118">
        <v>968000</v>
      </c>
      <c r="F118">
        <v>1610.65</v>
      </c>
      <c r="G118" t="s">
        <v>390</v>
      </c>
      <c r="H118" t="s">
        <v>391</v>
      </c>
      <c r="I118">
        <v>1</v>
      </c>
      <c r="J118">
        <v>0</v>
      </c>
      <c r="K118" t="s">
        <v>17</v>
      </c>
    </row>
    <row r="119" spans="1:11" x14ac:dyDescent="0.2">
      <c r="A119" t="s">
        <v>392</v>
      </c>
      <c r="B119" t="s">
        <v>12</v>
      </c>
      <c r="C119" t="s">
        <v>13</v>
      </c>
      <c r="D119" t="s">
        <v>14</v>
      </c>
      <c r="E119">
        <v>5254000</v>
      </c>
      <c r="F119">
        <v>1737.43</v>
      </c>
      <c r="G119" t="s">
        <v>393</v>
      </c>
      <c r="H119" t="s">
        <v>394</v>
      </c>
      <c r="I119">
        <v>1</v>
      </c>
      <c r="J119">
        <v>0</v>
      </c>
      <c r="K119" t="s">
        <v>17</v>
      </c>
    </row>
    <row r="120" spans="1:11" x14ac:dyDescent="0.2">
      <c r="A120" t="s">
        <v>395</v>
      </c>
      <c r="B120" t="s">
        <v>87</v>
      </c>
      <c r="C120" t="s">
        <v>42</v>
      </c>
      <c r="D120" t="s">
        <v>27</v>
      </c>
      <c r="E120">
        <v>572000</v>
      </c>
      <c r="F120">
        <v>951.75</v>
      </c>
      <c r="G120" t="s">
        <v>396</v>
      </c>
      <c r="H120" t="s">
        <v>397</v>
      </c>
      <c r="I120">
        <v>1</v>
      </c>
      <c r="J120">
        <v>0</v>
      </c>
      <c r="K120" t="s">
        <v>17</v>
      </c>
    </row>
    <row r="121" spans="1:11" x14ac:dyDescent="0.2">
      <c r="A121" t="s">
        <v>398</v>
      </c>
      <c r="B121" t="s">
        <v>63</v>
      </c>
      <c r="C121" t="s">
        <v>42</v>
      </c>
      <c r="D121" t="s">
        <v>27</v>
      </c>
      <c r="E121">
        <v>810000</v>
      </c>
      <c r="F121">
        <v>1347.75</v>
      </c>
      <c r="G121" t="s">
        <v>399</v>
      </c>
      <c r="H121" t="s">
        <v>400</v>
      </c>
      <c r="I121">
        <v>1</v>
      </c>
      <c r="J121">
        <v>0</v>
      </c>
      <c r="K121" t="s">
        <v>17</v>
      </c>
    </row>
    <row r="122" spans="1:11" x14ac:dyDescent="0.2">
      <c r="A122" t="s">
        <v>401</v>
      </c>
      <c r="B122" t="s">
        <v>50</v>
      </c>
      <c r="C122" t="s">
        <v>51</v>
      </c>
      <c r="D122" t="s">
        <v>21</v>
      </c>
      <c r="E122">
        <v>1738000</v>
      </c>
      <c r="F122">
        <v>2891.85</v>
      </c>
      <c r="G122" t="s">
        <v>402</v>
      </c>
      <c r="H122" t="s">
        <v>403</v>
      </c>
      <c r="I122">
        <v>1</v>
      </c>
      <c r="J122">
        <v>0</v>
      </c>
      <c r="K122" t="s">
        <v>17</v>
      </c>
    </row>
    <row r="123" spans="1:11" x14ac:dyDescent="0.2">
      <c r="A123" t="s">
        <v>404</v>
      </c>
      <c r="B123" t="s">
        <v>63</v>
      </c>
      <c r="C123" t="s">
        <v>102</v>
      </c>
      <c r="D123" t="s">
        <v>14</v>
      </c>
      <c r="E123">
        <v>1116000</v>
      </c>
      <c r="F123">
        <v>369.05</v>
      </c>
      <c r="G123" t="s">
        <v>405</v>
      </c>
      <c r="H123" t="s">
        <v>406</v>
      </c>
      <c r="I123">
        <v>1</v>
      </c>
      <c r="J123">
        <v>0</v>
      </c>
      <c r="K123" t="s">
        <v>17</v>
      </c>
    </row>
    <row r="124" spans="1:11" x14ac:dyDescent="0.2">
      <c r="A124" t="s">
        <v>407</v>
      </c>
      <c r="B124" t="s">
        <v>31</v>
      </c>
      <c r="C124" t="s">
        <v>102</v>
      </c>
      <c r="D124" t="s">
        <v>14</v>
      </c>
      <c r="E124">
        <v>3794000</v>
      </c>
      <c r="F124">
        <v>1254.6300000000001</v>
      </c>
      <c r="G124" t="s">
        <v>408</v>
      </c>
      <c r="H124" t="s">
        <v>409</v>
      </c>
      <c r="I124">
        <v>1</v>
      </c>
      <c r="J124">
        <v>0</v>
      </c>
      <c r="K124" t="s">
        <v>17</v>
      </c>
    </row>
    <row r="125" spans="1:11" x14ac:dyDescent="0.2">
      <c r="A125" t="s">
        <v>410</v>
      </c>
      <c r="B125" t="s">
        <v>35</v>
      </c>
      <c r="C125" t="s">
        <v>102</v>
      </c>
      <c r="D125" t="s">
        <v>14</v>
      </c>
      <c r="E125">
        <v>3638000</v>
      </c>
      <c r="F125">
        <v>1203.04</v>
      </c>
      <c r="G125" t="s">
        <v>411</v>
      </c>
      <c r="H125" t="s">
        <v>412</v>
      </c>
      <c r="I125">
        <v>1</v>
      </c>
      <c r="J125">
        <v>0</v>
      </c>
      <c r="K125" t="s">
        <v>17</v>
      </c>
    </row>
    <row r="126" spans="1:11" x14ac:dyDescent="0.2">
      <c r="A126" t="s">
        <v>413</v>
      </c>
      <c r="B126" t="s">
        <v>135</v>
      </c>
      <c r="C126" t="s">
        <v>20</v>
      </c>
      <c r="D126" t="s">
        <v>21</v>
      </c>
      <c r="E126">
        <v>301000</v>
      </c>
      <c r="F126">
        <v>500.83</v>
      </c>
      <c r="G126" t="s">
        <v>414</v>
      </c>
      <c r="H126" t="s">
        <v>415</v>
      </c>
      <c r="I126">
        <v>1</v>
      </c>
      <c r="J126">
        <v>0</v>
      </c>
      <c r="K126" t="s">
        <v>17</v>
      </c>
    </row>
    <row r="127" spans="1:11" x14ac:dyDescent="0.2">
      <c r="A127" t="s">
        <v>416</v>
      </c>
      <c r="B127" t="s">
        <v>67</v>
      </c>
      <c r="C127" t="s">
        <v>102</v>
      </c>
      <c r="D127" t="s">
        <v>14</v>
      </c>
      <c r="E127">
        <v>3600000</v>
      </c>
      <c r="F127">
        <v>1190.48</v>
      </c>
      <c r="G127" t="s">
        <v>417</v>
      </c>
      <c r="H127" t="s">
        <v>418</v>
      </c>
      <c r="I127">
        <v>1</v>
      </c>
      <c r="J127">
        <v>0</v>
      </c>
      <c r="K127" t="s">
        <v>17</v>
      </c>
    </row>
    <row r="128" spans="1:11" x14ac:dyDescent="0.2">
      <c r="A128" t="s">
        <v>419</v>
      </c>
      <c r="B128" t="s">
        <v>106</v>
      </c>
      <c r="C128" t="s">
        <v>102</v>
      </c>
      <c r="D128" t="s">
        <v>14</v>
      </c>
      <c r="E128">
        <v>3632000</v>
      </c>
      <c r="F128">
        <v>1201.06</v>
      </c>
      <c r="G128" t="s">
        <v>420</v>
      </c>
      <c r="H128" t="s">
        <v>421</v>
      </c>
      <c r="I128">
        <v>1</v>
      </c>
      <c r="J128">
        <v>0</v>
      </c>
      <c r="K128" t="s">
        <v>17</v>
      </c>
    </row>
    <row r="129" spans="1:11" x14ac:dyDescent="0.2">
      <c r="A129" t="s">
        <v>422</v>
      </c>
      <c r="B129" t="s">
        <v>35</v>
      </c>
      <c r="C129" t="s">
        <v>42</v>
      </c>
      <c r="D129" t="s">
        <v>27</v>
      </c>
      <c r="E129">
        <v>242000</v>
      </c>
      <c r="F129">
        <v>402.66</v>
      </c>
      <c r="G129" t="s">
        <v>423</v>
      </c>
      <c r="H129" t="s">
        <v>424</v>
      </c>
      <c r="I129">
        <v>1</v>
      </c>
      <c r="J129">
        <v>0</v>
      </c>
      <c r="K129" t="s">
        <v>17</v>
      </c>
    </row>
    <row r="130" spans="1:11" x14ac:dyDescent="0.2">
      <c r="A130" t="s">
        <v>425</v>
      </c>
      <c r="B130" t="s">
        <v>143</v>
      </c>
      <c r="C130" t="s">
        <v>102</v>
      </c>
      <c r="D130" t="s">
        <v>14</v>
      </c>
      <c r="E130">
        <v>2039000</v>
      </c>
      <c r="F130">
        <v>674.27</v>
      </c>
      <c r="G130" t="s">
        <v>426</v>
      </c>
      <c r="H130" t="s">
        <v>427</v>
      </c>
      <c r="I130">
        <v>1</v>
      </c>
      <c r="J130">
        <v>0</v>
      </c>
      <c r="K130" t="s">
        <v>17</v>
      </c>
    </row>
    <row r="131" spans="1:11" x14ac:dyDescent="0.2">
      <c r="A131" t="s">
        <v>428</v>
      </c>
      <c r="B131" t="s">
        <v>12</v>
      </c>
      <c r="C131" t="s">
        <v>20</v>
      </c>
      <c r="D131" t="s">
        <v>21</v>
      </c>
      <c r="E131">
        <v>118000</v>
      </c>
      <c r="F131">
        <v>196.34</v>
      </c>
      <c r="G131" t="s">
        <v>429</v>
      </c>
      <c r="H131" t="s">
        <v>430</v>
      </c>
      <c r="I131">
        <v>1</v>
      </c>
      <c r="J131">
        <v>0</v>
      </c>
      <c r="K131" t="s">
        <v>17</v>
      </c>
    </row>
    <row r="132" spans="1:11" x14ac:dyDescent="0.2">
      <c r="A132" t="s">
        <v>431</v>
      </c>
      <c r="B132" t="s">
        <v>12</v>
      </c>
      <c r="C132" t="s">
        <v>13</v>
      </c>
      <c r="D132" t="s">
        <v>14</v>
      </c>
      <c r="E132">
        <v>1247000</v>
      </c>
      <c r="F132">
        <v>412.37</v>
      </c>
      <c r="G132" t="s">
        <v>432</v>
      </c>
      <c r="H132" t="s">
        <v>433</v>
      </c>
      <c r="I132">
        <v>1</v>
      </c>
      <c r="J132">
        <v>0</v>
      </c>
      <c r="K132" t="s">
        <v>17</v>
      </c>
    </row>
    <row r="133" spans="1:11" x14ac:dyDescent="0.2">
      <c r="A133" t="s">
        <v>434</v>
      </c>
      <c r="B133" t="s">
        <v>87</v>
      </c>
      <c r="C133" t="s">
        <v>13</v>
      </c>
      <c r="D133" t="s">
        <v>14</v>
      </c>
      <c r="E133">
        <v>1818000</v>
      </c>
      <c r="F133">
        <v>601.19000000000005</v>
      </c>
      <c r="G133" t="s">
        <v>435</v>
      </c>
      <c r="H133" t="s">
        <v>436</v>
      </c>
      <c r="I133">
        <v>1</v>
      </c>
      <c r="J133">
        <v>0</v>
      </c>
      <c r="K133" t="s">
        <v>17</v>
      </c>
    </row>
    <row r="134" spans="1:11" x14ac:dyDescent="0.2">
      <c r="A134" t="s">
        <v>437</v>
      </c>
      <c r="B134" t="s">
        <v>106</v>
      </c>
      <c r="C134" t="s">
        <v>102</v>
      </c>
      <c r="D134" t="s">
        <v>14</v>
      </c>
      <c r="E134">
        <v>2979000</v>
      </c>
      <c r="F134">
        <v>985.12</v>
      </c>
      <c r="G134" t="s">
        <v>438</v>
      </c>
      <c r="H134" t="s">
        <v>439</v>
      </c>
      <c r="I134">
        <v>1</v>
      </c>
      <c r="J134">
        <v>0</v>
      </c>
      <c r="K134" t="s">
        <v>17</v>
      </c>
    </row>
    <row r="135" spans="1:11" x14ac:dyDescent="0.2">
      <c r="A135" t="s">
        <v>440</v>
      </c>
      <c r="B135" t="s">
        <v>91</v>
      </c>
      <c r="C135" t="s">
        <v>13</v>
      </c>
      <c r="D135" t="s">
        <v>14</v>
      </c>
      <c r="E135">
        <v>602000</v>
      </c>
      <c r="F135">
        <v>199.07</v>
      </c>
      <c r="G135" t="s">
        <v>441</v>
      </c>
      <c r="H135" t="s">
        <v>442</v>
      </c>
      <c r="I135">
        <v>1</v>
      </c>
      <c r="J135">
        <v>0</v>
      </c>
      <c r="K135" t="s">
        <v>17</v>
      </c>
    </row>
    <row r="136" spans="1:11" x14ac:dyDescent="0.2">
      <c r="A136" t="s">
        <v>443</v>
      </c>
      <c r="B136" t="s">
        <v>139</v>
      </c>
      <c r="C136" t="s">
        <v>42</v>
      </c>
      <c r="D136" t="s">
        <v>27</v>
      </c>
      <c r="E136">
        <v>674000</v>
      </c>
      <c r="F136">
        <v>1121.46</v>
      </c>
      <c r="G136" t="s">
        <v>444</v>
      </c>
      <c r="H136" t="s">
        <v>445</v>
      </c>
      <c r="I136">
        <v>1</v>
      </c>
      <c r="J136">
        <v>0</v>
      </c>
      <c r="K136" t="s">
        <v>17</v>
      </c>
    </row>
    <row r="137" spans="1:11" x14ac:dyDescent="0.2">
      <c r="A137" t="s">
        <v>446</v>
      </c>
      <c r="B137" t="s">
        <v>143</v>
      </c>
      <c r="C137" t="s">
        <v>26</v>
      </c>
      <c r="D137" t="s">
        <v>27</v>
      </c>
      <c r="E137">
        <v>585000</v>
      </c>
      <c r="F137">
        <v>973.38</v>
      </c>
      <c r="G137" t="s">
        <v>447</v>
      </c>
      <c r="H137" t="s">
        <v>448</v>
      </c>
      <c r="I137">
        <v>1</v>
      </c>
      <c r="J137">
        <v>0</v>
      </c>
      <c r="K137" t="s">
        <v>17</v>
      </c>
    </row>
    <row r="138" spans="1:11" x14ac:dyDescent="0.2">
      <c r="A138" t="s">
        <v>449</v>
      </c>
      <c r="B138" t="s">
        <v>55</v>
      </c>
      <c r="C138" t="s">
        <v>102</v>
      </c>
      <c r="D138" t="s">
        <v>14</v>
      </c>
      <c r="E138">
        <v>1372000</v>
      </c>
      <c r="F138">
        <v>453.7</v>
      </c>
      <c r="G138" t="s">
        <v>450</v>
      </c>
      <c r="H138" t="s">
        <v>451</v>
      </c>
      <c r="I138">
        <v>1</v>
      </c>
      <c r="J138">
        <v>0</v>
      </c>
      <c r="K138" t="s">
        <v>17</v>
      </c>
    </row>
    <row r="139" spans="1:11" x14ac:dyDescent="0.2">
      <c r="A139" t="s">
        <v>452</v>
      </c>
      <c r="B139" t="s">
        <v>135</v>
      </c>
      <c r="C139" t="s">
        <v>20</v>
      </c>
      <c r="D139" t="s">
        <v>21</v>
      </c>
      <c r="E139">
        <v>213000</v>
      </c>
      <c r="F139">
        <v>354.41</v>
      </c>
      <c r="G139" t="s">
        <v>453</v>
      </c>
      <c r="H139" t="s">
        <v>454</v>
      </c>
      <c r="I139">
        <v>1</v>
      </c>
      <c r="J139">
        <v>0</v>
      </c>
      <c r="K139" t="s">
        <v>17</v>
      </c>
    </row>
    <row r="140" spans="1:11" x14ac:dyDescent="0.2">
      <c r="A140" t="s">
        <v>455</v>
      </c>
      <c r="B140" t="s">
        <v>12</v>
      </c>
      <c r="C140" t="s">
        <v>42</v>
      </c>
      <c r="D140" t="s">
        <v>27</v>
      </c>
      <c r="E140">
        <v>608000</v>
      </c>
      <c r="F140">
        <v>1011.65</v>
      </c>
      <c r="G140" t="s">
        <v>456</v>
      </c>
      <c r="H140" t="s">
        <v>457</v>
      </c>
      <c r="I140">
        <v>1</v>
      </c>
      <c r="J140">
        <v>0</v>
      </c>
      <c r="K140" t="s">
        <v>17</v>
      </c>
    </row>
    <row r="141" spans="1:11" x14ac:dyDescent="0.2">
      <c r="A141" t="s">
        <v>458</v>
      </c>
      <c r="B141" t="s">
        <v>135</v>
      </c>
      <c r="C141" t="s">
        <v>51</v>
      </c>
      <c r="D141" t="s">
        <v>21</v>
      </c>
      <c r="E141">
        <v>360000</v>
      </c>
      <c r="F141">
        <v>599</v>
      </c>
      <c r="G141" t="s">
        <v>459</v>
      </c>
      <c r="H141" t="s">
        <v>460</v>
      </c>
      <c r="I141">
        <v>1</v>
      </c>
      <c r="J141">
        <v>0</v>
      </c>
      <c r="K141" t="s">
        <v>17</v>
      </c>
    </row>
    <row r="142" spans="1:11" x14ac:dyDescent="0.2">
      <c r="A142" t="s">
        <v>461</v>
      </c>
      <c r="B142" t="s">
        <v>50</v>
      </c>
      <c r="C142" t="s">
        <v>13</v>
      </c>
      <c r="D142" t="s">
        <v>14</v>
      </c>
      <c r="E142">
        <v>3775000</v>
      </c>
      <c r="F142">
        <v>1248.3499999999999</v>
      </c>
      <c r="G142" t="s">
        <v>462</v>
      </c>
      <c r="H142" t="s">
        <v>463</v>
      </c>
      <c r="I142">
        <v>1</v>
      </c>
      <c r="J142">
        <v>0</v>
      </c>
      <c r="K142" t="s">
        <v>17</v>
      </c>
    </row>
    <row r="143" spans="1:11" x14ac:dyDescent="0.2">
      <c r="A143" t="s">
        <v>464</v>
      </c>
      <c r="B143" t="s">
        <v>55</v>
      </c>
      <c r="C143" t="s">
        <v>20</v>
      </c>
      <c r="D143" t="s">
        <v>21</v>
      </c>
      <c r="E143">
        <v>251000</v>
      </c>
      <c r="F143">
        <v>417.64</v>
      </c>
      <c r="G143" t="s">
        <v>465</v>
      </c>
      <c r="H143" t="s">
        <v>466</v>
      </c>
      <c r="I143">
        <v>1</v>
      </c>
      <c r="J143">
        <v>0</v>
      </c>
      <c r="K143" t="s">
        <v>17</v>
      </c>
    </row>
    <row r="144" spans="1:11" x14ac:dyDescent="0.2">
      <c r="A144" t="s">
        <v>467</v>
      </c>
      <c r="B144" t="s">
        <v>91</v>
      </c>
      <c r="C144" t="s">
        <v>102</v>
      </c>
      <c r="D144" t="s">
        <v>14</v>
      </c>
      <c r="E144">
        <v>1761000</v>
      </c>
      <c r="F144">
        <v>582.34</v>
      </c>
      <c r="G144" t="s">
        <v>468</v>
      </c>
      <c r="H144" t="s">
        <v>469</v>
      </c>
      <c r="I144">
        <v>1</v>
      </c>
      <c r="J144">
        <v>0</v>
      </c>
      <c r="K144" t="s">
        <v>17</v>
      </c>
    </row>
    <row r="145" spans="1:11" x14ac:dyDescent="0.2">
      <c r="A145" t="s">
        <v>470</v>
      </c>
      <c r="B145" t="s">
        <v>63</v>
      </c>
      <c r="C145" t="s">
        <v>42</v>
      </c>
      <c r="D145" t="s">
        <v>27</v>
      </c>
      <c r="E145">
        <v>763000</v>
      </c>
      <c r="F145">
        <v>1269.55</v>
      </c>
      <c r="G145" t="s">
        <v>471</v>
      </c>
      <c r="H145" t="s">
        <v>472</v>
      </c>
      <c r="I145">
        <v>1</v>
      </c>
      <c r="J145">
        <v>0</v>
      </c>
      <c r="K145" t="s">
        <v>17</v>
      </c>
    </row>
    <row r="146" spans="1:11" x14ac:dyDescent="0.2">
      <c r="A146" t="s">
        <v>473</v>
      </c>
      <c r="B146" t="s">
        <v>67</v>
      </c>
      <c r="C146" t="s">
        <v>26</v>
      </c>
      <c r="D146" t="s">
        <v>27</v>
      </c>
      <c r="E146">
        <v>434000</v>
      </c>
      <c r="F146">
        <v>722.13</v>
      </c>
      <c r="G146" t="s">
        <v>474</v>
      </c>
      <c r="H146" t="s">
        <v>475</v>
      </c>
      <c r="I146">
        <v>1</v>
      </c>
      <c r="J146">
        <v>0</v>
      </c>
      <c r="K146" t="s">
        <v>17</v>
      </c>
    </row>
    <row r="147" spans="1:11" x14ac:dyDescent="0.2">
      <c r="A147" t="s">
        <v>476</v>
      </c>
      <c r="B147" t="s">
        <v>50</v>
      </c>
      <c r="C147" t="s">
        <v>51</v>
      </c>
      <c r="D147" t="s">
        <v>21</v>
      </c>
      <c r="E147">
        <v>244000</v>
      </c>
      <c r="F147">
        <v>405.99</v>
      </c>
      <c r="G147" t="s">
        <v>477</v>
      </c>
      <c r="H147" t="s">
        <v>478</v>
      </c>
      <c r="I147">
        <v>1</v>
      </c>
      <c r="J147">
        <v>0</v>
      </c>
      <c r="K147" t="s">
        <v>17</v>
      </c>
    </row>
    <row r="148" spans="1:11" x14ac:dyDescent="0.2">
      <c r="A148" t="s">
        <v>479</v>
      </c>
      <c r="B148" t="s">
        <v>12</v>
      </c>
      <c r="C148" t="s">
        <v>20</v>
      </c>
      <c r="D148" t="s">
        <v>21</v>
      </c>
      <c r="E148">
        <v>2795000</v>
      </c>
      <c r="F148">
        <v>4650.58</v>
      </c>
      <c r="G148" t="s">
        <v>480</v>
      </c>
      <c r="H148" t="s">
        <v>481</v>
      </c>
      <c r="I148">
        <v>1</v>
      </c>
      <c r="J148">
        <v>0</v>
      </c>
      <c r="K148" t="s">
        <v>17</v>
      </c>
    </row>
    <row r="149" spans="1:11" x14ac:dyDescent="0.2">
      <c r="A149" t="s">
        <v>482</v>
      </c>
      <c r="B149" t="s">
        <v>63</v>
      </c>
      <c r="C149" t="s">
        <v>42</v>
      </c>
      <c r="D149" t="s">
        <v>27</v>
      </c>
      <c r="E149">
        <v>149000</v>
      </c>
      <c r="F149">
        <v>247.92</v>
      </c>
      <c r="G149" t="s">
        <v>483</v>
      </c>
      <c r="H149" t="s">
        <v>484</v>
      </c>
      <c r="I149">
        <v>1</v>
      </c>
      <c r="J149">
        <v>0</v>
      </c>
      <c r="K149" t="s">
        <v>17</v>
      </c>
    </row>
    <row r="150" spans="1:11" x14ac:dyDescent="0.2">
      <c r="A150" t="s">
        <v>485</v>
      </c>
      <c r="B150" t="s">
        <v>139</v>
      </c>
      <c r="C150" t="s">
        <v>51</v>
      </c>
      <c r="D150" t="s">
        <v>21</v>
      </c>
      <c r="E150">
        <v>327000</v>
      </c>
      <c r="F150">
        <v>544.09</v>
      </c>
      <c r="G150" t="s">
        <v>486</v>
      </c>
      <c r="H150" t="s">
        <v>487</v>
      </c>
      <c r="I150">
        <v>1</v>
      </c>
      <c r="J150">
        <v>0</v>
      </c>
      <c r="K150" t="s">
        <v>17</v>
      </c>
    </row>
    <row r="151" spans="1:11" x14ac:dyDescent="0.2">
      <c r="A151" t="s">
        <v>488</v>
      </c>
      <c r="B151" t="s">
        <v>19</v>
      </c>
      <c r="C151" t="s">
        <v>51</v>
      </c>
      <c r="D151" t="s">
        <v>21</v>
      </c>
      <c r="E151">
        <v>1675000</v>
      </c>
      <c r="F151">
        <v>2787.02</v>
      </c>
      <c r="G151" t="s">
        <v>489</v>
      </c>
      <c r="H151" t="s">
        <v>490</v>
      </c>
      <c r="I151">
        <v>1</v>
      </c>
      <c r="J151">
        <v>0</v>
      </c>
      <c r="K151" t="s">
        <v>17</v>
      </c>
    </row>
    <row r="152" spans="1:11" x14ac:dyDescent="0.2">
      <c r="A152" t="s">
        <v>491</v>
      </c>
      <c r="B152" t="s">
        <v>87</v>
      </c>
      <c r="C152" t="s">
        <v>26</v>
      </c>
      <c r="D152" t="s">
        <v>27</v>
      </c>
      <c r="E152">
        <v>621000</v>
      </c>
      <c r="F152">
        <v>1033.28</v>
      </c>
      <c r="G152" t="s">
        <v>492</v>
      </c>
      <c r="H152" t="s">
        <v>493</v>
      </c>
      <c r="I152">
        <v>1</v>
      </c>
      <c r="J152">
        <v>0</v>
      </c>
      <c r="K152" t="s">
        <v>17</v>
      </c>
    </row>
    <row r="153" spans="1:11" x14ac:dyDescent="0.2">
      <c r="A153" t="s">
        <v>494</v>
      </c>
      <c r="B153" t="s">
        <v>12</v>
      </c>
      <c r="C153" t="s">
        <v>102</v>
      </c>
      <c r="D153" t="s">
        <v>14</v>
      </c>
      <c r="E153">
        <v>753000</v>
      </c>
      <c r="F153">
        <v>249.01</v>
      </c>
      <c r="G153" t="s">
        <v>495</v>
      </c>
      <c r="H153" t="s">
        <v>496</v>
      </c>
      <c r="I153">
        <v>1</v>
      </c>
      <c r="J153">
        <v>0</v>
      </c>
      <c r="K153" t="s">
        <v>17</v>
      </c>
    </row>
    <row r="154" spans="1:11" x14ac:dyDescent="0.2">
      <c r="A154" t="s">
        <v>497</v>
      </c>
      <c r="B154" t="s">
        <v>87</v>
      </c>
      <c r="C154" t="s">
        <v>42</v>
      </c>
      <c r="D154" t="s">
        <v>27</v>
      </c>
      <c r="E154">
        <v>492000</v>
      </c>
      <c r="F154">
        <v>818.64</v>
      </c>
      <c r="G154" t="s">
        <v>498</v>
      </c>
      <c r="H154" t="s">
        <v>499</v>
      </c>
      <c r="I154">
        <v>1</v>
      </c>
      <c r="J154">
        <v>0</v>
      </c>
      <c r="K154" t="s">
        <v>17</v>
      </c>
    </row>
    <row r="155" spans="1:11" x14ac:dyDescent="0.2">
      <c r="A155" t="s">
        <v>500</v>
      </c>
      <c r="B155" t="s">
        <v>240</v>
      </c>
      <c r="C155" t="s">
        <v>20</v>
      </c>
      <c r="D155" t="s">
        <v>21</v>
      </c>
      <c r="E155">
        <v>127000</v>
      </c>
      <c r="F155">
        <v>211.31</v>
      </c>
      <c r="G155" t="s">
        <v>501</v>
      </c>
      <c r="H155" t="s">
        <v>502</v>
      </c>
      <c r="I155">
        <v>1</v>
      </c>
      <c r="J155">
        <v>0</v>
      </c>
      <c r="K155" t="s">
        <v>17</v>
      </c>
    </row>
    <row r="156" spans="1:11" x14ac:dyDescent="0.2">
      <c r="A156" t="s">
        <v>503</v>
      </c>
      <c r="B156" t="s">
        <v>50</v>
      </c>
      <c r="C156" t="s">
        <v>26</v>
      </c>
      <c r="D156" t="s">
        <v>27</v>
      </c>
      <c r="E156">
        <v>338000</v>
      </c>
      <c r="F156">
        <v>562.4</v>
      </c>
      <c r="G156" t="s">
        <v>504</v>
      </c>
      <c r="H156" t="s">
        <v>505</v>
      </c>
      <c r="I156">
        <v>1</v>
      </c>
      <c r="J156">
        <v>-1.66</v>
      </c>
      <c r="K156" t="s">
        <v>17</v>
      </c>
    </row>
    <row r="157" spans="1:11" x14ac:dyDescent="0.2">
      <c r="A157" t="s">
        <v>506</v>
      </c>
      <c r="B157" t="s">
        <v>31</v>
      </c>
      <c r="C157" t="s">
        <v>102</v>
      </c>
      <c r="D157" t="s">
        <v>14</v>
      </c>
      <c r="E157">
        <v>1521000</v>
      </c>
      <c r="F157">
        <v>502.98</v>
      </c>
      <c r="G157" t="s">
        <v>507</v>
      </c>
      <c r="H157" t="s">
        <v>508</v>
      </c>
      <c r="I157">
        <v>1</v>
      </c>
      <c r="J157">
        <v>0</v>
      </c>
      <c r="K157" t="s">
        <v>17</v>
      </c>
    </row>
    <row r="158" spans="1:11" x14ac:dyDescent="0.2">
      <c r="A158" t="s">
        <v>509</v>
      </c>
      <c r="B158" t="s">
        <v>135</v>
      </c>
      <c r="C158" t="s">
        <v>51</v>
      </c>
      <c r="D158" t="s">
        <v>21</v>
      </c>
      <c r="E158">
        <v>313000</v>
      </c>
      <c r="F158">
        <v>520.79999999999995</v>
      </c>
      <c r="G158" t="s">
        <v>510</v>
      </c>
      <c r="H158" t="s">
        <v>511</v>
      </c>
      <c r="I158">
        <v>1</v>
      </c>
      <c r="J158">
        <v>0</v>
      </c>
      <c r="K158" t="s">
        <v>17</v>
      </c>
    </row>
    <row r="159" spans="1:11" x14ac:dyDescent="0.2">
      <c r="A159" t="s">
        <v>512</v>
      </c>
      <c r="B159" t="s">
        <v>67</v>
      </c>
      <c r="C159" t="s">
        <v>26</v>
      </c>
      <c r="D159" t="s">
        <v>27</v>
      </c>
      <c r="E159">
        <v>866000</v>
      </c>
      <c r="F159">
        <v>1440.93</v>
      </c>
      <c r="G159" t="s">
        <v>513</v>
      </c>
      <c r="H159" t="s">
        <v>514</v>
      </c>
      <c r="I159">
        <v>1</v>
      </c>
      <c r="J159">
        <v>0</v>
      </c>
      <c r="K159" t="s">
        <v>17</v>
      </c>
    </row>
    <row r="160" spans="1:11" x14ac:dyDescent="0.2">
      <c r="A160" t="s">
        <v>515</v>
      </c>
      <c r="B160" t="s">
        <v>55</v>
      </c>
      <c r="C160" t="s">
        <v>42</v>
      </c>
      <c r="D160" t="s">
        <v>27</v>
      </c>
      <c r="E160">
        <v>211000</v>
      </c>
      <c r="F160">
        <v>351.08</v>
      </c>
      <c r="G160" t="s">
        <v>516</v>
      </c>
      <c r="H160" t="s">
        <v>517</v>
      </c>
      <c r="I160">
        <v>1</v>
      </c>
      <c r="J160">
        <v>0</v>
      </c>
      <c r="K160" t="s">
        <v>17</v>
      </c>
    </row>
    <row r="161" spans="1:11" x14ac:dyDescent="0.2">
      <c r="A161" t="s">
        <v>518</v>
      </c>
      <c r="B161" t="s">
        <v>63</v>
      </c>
      <c r="C161" t="s">
        <v>20</v>
      </c>
      <c r="D161" t="s">
        <v>21</v>
      </c>
      <c r="E161">
        <v>525000</v>
      </c>
      <c r="F161">
        <v>873.54</v>
      </c>
      <c r="G161" t="s">
        <v>519</v>
      </c>
      <c r="H161" t="s">
        <v>520</v>
      </c>
      <c r="I161">
        <v>1</v>
      </c>
      <c r="J161">
        <v>0</v>
      </c>
      <c r="K161" t="s">
        <v>17</v>
      </c>
    </row>
    <row r="162" spans="1:11" x14ac:dyDescent="0.2">
      <c r="A162" t="s">
        <v>521</v>
      </c>
      <c r="B162" t="s">
        <v>12</v>
      </c>
      <c r="C162" t="s">
        <v>102</v>
      </c>
      <c r="D162" t="s">
        <v>14</v>
      </c>
      <c r="E162">
        <v>1740000</v>
      </c>
      <c r="F162">
        <v>575.4</v>
      </c>
      <c r="G162" t="s">
        <v>522</v>
      </c>
      <c r="H162" t="s">
        <v>523</v>
      </c>
      <c r="I162">
        <v>1</v>
      </c>
      <c r="J162">
        <v>0</v>
      </c>
      <c r="K162" t="s">
        <v>17</v>
      </c>
    </row>
    <row r="163" spans="1:11" x14ac:dyDescent="0.2">
      <c r="A163" t="s">
        <v>524</v>
      </c>
      <c r="B163" t="s">
        <v>98</v>
      </c>
      <c r="C163" t="s">
        <v>102</v>
      </c>
      <c r="D163" t="s">
        <v>14</v>
      </c>
      <c r="E163">
        <v>1615000</v>
      </c>
      <c r="F163">
        <v>534.05999999999995</v>
      </c>
      <c r="G163" t="s">
        <v>525</v>
      </c>
      <c r="H163" t="s">
        <v>526</v>
      </c>
      <c r="I163">
        <v>1</v>
      </c>
      <c r="J163">
        <v>0</v>
      </c>
      <c r="K163" t="s">
        <v>17</v>
      </c>
    </row>
    <row r="164" spans="1:11" x14ac:dyDescent="0.2">
      <c r="A164" t="s">
        <v>527</v>
      </c>
      <c r="B164" t="s">
        <v>143</v>
      </c>
      <c r="C164" t="s">
        <v>26</v>
      </c>
      <c r="D164" t="s">
        <v>27</v>
      </c>
      <c r="E164">
        <v>252000</v>
      </c>
      <c r="F164">
        <v>419.3</v>
      </c>
      <c r="G164" t="s">
        <v>528</v>
      </c>
      <c r="H164" t="s">
        <v>529</v>
      </c>
      <c r="I164">
        <v>1</v>
      </c>
      <c r="J164">
        <v>0</v>
      </c>
      <c r="K164" t="s">
        <v>17</v>
      </c>
    </row>
    <row r="165" spans="1:11" x14ac:dyDescent="0.2">
      <c r="A165" t="s">
        <v>530</v>
      </c>
      <c r="B165" t="s">
        <v>143</v>
      </c>
      <c r="C165" t="s">
        <v>51</v>
      </c>
      <c r="D165" t="s">
        <v>21</v>
      </c>
      <c r="E165">
        <v>265000</v>
      </c>
      <c r="F165">
        <v>440.93</v>
      </c>
      <c r="G165" t="s">
        <v>531</v>
      </c>
      <c r="H165" t="s">
        <v>532</v>
      </c>
      <c r="I165">
        <v>1</v>
      </c>
      <c r="J165">
        <v>-19.97</v>
      </c>
      <c r="K165" t="s">
        <v>17</v>
      </c>
    </row>
    <row r="166" spans="1:11" x14ac:dyDescent="0.2">
      <c r="A166" t="s">
        <v>533</v>
      </c>
      <c r="B166" t="s">
        <v>128</v>
      </c>
      <c r="C166" t="s">
        <v>13</v>
      </c>
      <c r="D166" t="s">
        <v>14</v>
      </c>
      <c r="E166">
        <v>5668000</v>
      </c>
      <c r="F166">
        <v>1874.34</v>
      </c>
      <c r="G166" t="s">
        <v>534</v>
      </c>
      <c r="H166" t="s">
        <v>535</v>
      </c>
      <c r="I166">
        <v>1</v>
      </c>
      <c r="J166">
        <v>0</v>
      </c>
      <c r="K166" t="s">
        <v>17</v>
      </c>
    </row>
    <row r="167" spans="1:11" x14ac:dyDescent="0.2">
      <c r="A167" t="s">
        <v>536</v>
      </c>
      <c r="B167" t="s">
        <v>128</v>
      </c>
      <c r="C167" t="s">
        <v>51</v>
      </c>
      <c r="D167" t="s">
        <v>21</v>
      </c>
      <c r="E167">
        <v>631000</v>
      </c>
      <c r="F167">
        <v>1049.92</v>
      </c>
      <c r="G167" t="s">
        <v>537</v>
      </c>
      <c r="H167" t="s">
        <v>538</v>
      </c>
      <c r="I167">
        <v>1</v>
      </c>
      <c r="J167">
        <v>-9.98</v>
      </c>
      <c r="K167" t="s">
        <v>17</v>
      </c>
    </row>
    <row r="168" spans="1:11" x14ac:dyDescent="0.2">
      <c r="A168" t="s">
        <v>539</v>
      </c>
      <c r="B168" t="s">
        <v>135</v>
      </c>
      <c r="C168" t="s">
        <v>51</v>
      </c>
      <c r="D168" t="s">
        <v>21</v>
      </c>
      <c r="E168">
        <v>533000</v>
      </c>
      <c r="F168">
        <v>886.86</v>
      </c>
      <c r="G168" t="s">
        <v>540</v>
      </c>
      <c r="H168" t="s">
        <v>541</v>
      </c>
      <c r="I168">
        <v>1</v>
      </c>
      <c r="J168">
        <v>0</v>
      </c>
      <c r="K168" t="s">
        <v>17</v>
      </c>
    </row>
    <row r="169" spans="1:11" x14ac:dyDescent="0.2">
      <c r="A169" t="s">
        <v>542</v>
      </c>
      <c r="B169" t="s">
        <v>139</v>
      </c>
      <c r="C169" t="s">
        <v>20</v>
      </c>
      <c r="D169" t="s">
        <v>21</v>
      </c>
      <c r="E169">
        <v>660000</v>
      </c>
      <c r="F169">
        <v>1098.17</v>
      </c>
      <c r="G169" t="s">
        <v>543</v>
      </c>
      <c r="H169" t="s">
        <v>544</v>
      </c>
      <c r="I169">
        <v>1</v>
      </c>
      <c r="J169">
        <v>0</v>
      </c>
      <c r="K169" t="s">
        <v>17</v>
      </c>
    </row>
    <row r="170" spans="1:11" x14ac:dyDescent="0.2">
      <c r="A170" t="s">
        <v>545</v>
      </c>
      <c r="B170" t="s">
        <v>25</v>
      </c>
      <c r="C170" t="s">
        <v>102</v>
      </c>
      <c r="D170" t="s">
        <v>14</v>
      </c>
      <c r="E170">
        <v>2926000</v>
      </c>
      <c r="F170">
        <v>967.59</v>
      </c>
      <c r="G170" t="s">
        <v>546</v>
      </c>
      <c r="H170" t="s">
        <v>547</v>
      </c>
      <c r="I170">
        <v>1</v>
      </c>
      <c r="J170">
        <v>0</v>
      </c>
      <c r="K170" t="s">
        <v>17</v>
      </c>
    </row>
    <row r="171" spans="1:11" x14ac:dyDescent="0.2">
      <c r="A171" t="s">
        <v>548</v>
      </c>
      <c r="B171" t="s">
        <v>139</v>
      </c>
      <c r="C171" t="s">
        <v>51</v>
      </c>
      <c r="D171" t="s">
        <v>21</v>
      </c>
      <c r="E171">
        <v>647000</v>
      </c>
      <c r="F171">
        <v>1076.54</v>
      </c>
      <c r="G171" t="s">
        <v>549</v>
      </c>
      <c r="H171" t="s">
        <v>550</v>
      </c>
      <c r="I171">
        <v>1</v>
      </c>
      <c r="J171">
        <v>0</v>
      </c>
      <c r="K171" t="s">
        <v>17</v>
      </c>
    </row>
    <row r="172" spans="1:11" x14ac:dyDescent="0.2">
      <c r="A172" t="s">
        <v>551</v>
      </c>
      <c r="B172" t="s">
        <v>63</v>
      </c>
      <c r="C172" t="s">
        <v>20</v>
      </c>
      <c r="D172" t="s">
        <v>21</v>
      </c>
      <c r="E172">
        <v>644000</v>
      </c>
      <c r="F172">
        <v>1071.55</v>
      </c>
      <c r="G172" t="s">
        <v>552</v>
      </c>
      <c r="H172" t="s">
        <v>553</v>
      </c>
      <c r="I172">
        <v>1</v>
      </c>
      <c r="J172">
        <v>0</v>
      </c>
      <c r="K172" t="s">
        <v>17</v>
      </c>
    </row>
    <row r="173" spans="1:11" x14ac:dyDescent="0.2">
      <c r="A173" t="s">
        <v>554</v>
      </c>
      <c r="B173" t="s">
        <v>12</v>
      </c>
      <c r="C173" t="s">
        <v>51</v>
      </c>
      <c r="D173" t="s">
        <v>21</v>
      </c>
      <c r="E173">
        <v>494000</v>
      </c>
      <c r="F173">
        <v>821.96</v>
      </c>
      <c r="G173" t="s">
        <v>555</v>
      </c>
      <c r="H173" t="s">
        <v>556</v>
      </c>
      <c r="I173">
        <v>1</v>
      </c>
      <c r="J173">
        <v>0</v>
      </c>
      <c r="K173" t="s">
        <v>17</v>
      </c>
    </row>
    <row r="174" spans="1:11" x14ac:dyDescent="0.2">
      <c r="A174" t="s">
        <v>557</v>
      </c>
      <c r="B174" t="s">
        <v>240</v>
      </c>
      <c r="C174" t="s">
        <v>42</v>
      </c>
      <c r="D174" t="s">
        <v>27</v>
      </c>
      <c r="E174">
        <v>239000</v>
      </c>
      <c r="F174">
        <v>397.67</v>
      </c>
      <c r="G174" t="s">
        <v>558</v>
      </c>
      <c r="H174" t="s">
        <v>559</v>
      </c>
      <c r="I174">
        <v>1</v>
      </c>
      <c r="J174">
        <v>0</v>
      </c>
      <c r="K174" t="s">
        <v>17</v>
      </c>
    </row>
    <row r="175" spans="1:11" x14ac:dyDescent="0.2">
      <c r="A175" t="s">
        <v>560</v>
      </c>
      <c r="B175" t="s">
        <v>128</v>
      </c>
      <c r="C175" t="s">
        <v>13</v>
      </c>
      <c r="D175" t="s">
        <v>14</v>
      </c>
      <c r="E175">
        <v>742000</v>
      </c>
      <c r="F175">
        <v>245.37</v>
      </c>
      <c r="G175" t="s">
        <v>561</v>
      </c>
      <c r="H175" t="s">
        <v>562</v>
      </c>
      <c r="I175">
        <v>1</v>
      </c>
      <c r="J175">
        <v>0</v>
      </c>
      <c r="K175" t="s">
        <v>17</v>
      </c>
    </row>
    <row r="176" spans="1:11" x14ac:dyDescent="0.2">
      <c r="A176" t="s">
        <v>563</v>
      </c>
      <c r="B176" t="s">
        <v>12</v>
      </c>
      <c r="C176" t="s">
        <v>20</v>
      </c>
      <c r="D176" t="s">
        <v>21</v>
      </c>
      <c r="E176">
        <v>542000</v>
      </c>
      <c r="F176">
        <v>901.83</v>
      </c>
      <c r="G176" t="s">
        <v>564</v>
      </c>
      <c r="H176" t="s">
        <v>565</v>
      </c>
      <c r="I176">
        <v>1</v>
      </c>
      <c r="J176">
        <v>0</v>
      </c>
      <c r="K176" t="s">
        <v>17</v>
      </c>
    </row>
    <row r="177" spans="1:11" x14ac:dyDescent="0.2">
      <c r="A177" t="s">
        <v>566</v>
      </c>
      <c r="B177" t="s">
        <v>143</v>
      </c>
      <c r="C177" t="s">
        <v>102</v>
      </c>
      <c r="D177" t="s">
        <v>14</v>
      </c>
      <c r="E177">
        <v>2213000</v>
      </c>
      <c r="F177">
        <v>731.81</v>
      </c>
      <c r="G177" t="s">
        <v>567</v>
      </c>
      <c r="H177" t="s">
        <v>568</v>
      </c>
      <c r="I177">
        <v>1</v>
      </c>
      <c r="J177">
        <v>0</v>
      </c>
      <c r="K177" t="s">
        <v>17</v>
      </c>
    </row>
    <row r="178" spans="1:11" x14ac:dyDescent="0.2">
      <c r="A178" t="s">
        <v>569</v>
      </c>
      <c r="B178" t="s">
        <v>67</v>
      </c>
      <c r="C178" t="s">
        <v>26</v>
      </c>
      <c r="D178" t="s">
        <v>27</v>
      </c>
      <c r="E178">
        <v>189000</v>
      </c>
      <c r="F178">
        <v>314.48</v>
      </c>
      <c r="G178" t="s">
        <v>570</v>
      </c>
      <c r="H178" t="s">
        <v>571</v>
      </c>
      <c r="I178">
        <v>1</v>
      </c>
      <c r="J178">
        <v>0</v>
      </c>
      <c r="K178" t="s">
        <v>17</v>
      </c>
    </row>
    <row r="179" spans="1:11" x14ac:dyDescent="0.2">
      <c r="A179" t="s">
        <v>572</v>
      </c>
      <c r="B179" t="s">
        <v>67</v>
      </c>
      <c r="C179" t="s">
        <v>51</v>
      </c>
      <c r="D179" t="s">
        <v>21</v>
      </c>
      <c r="E179">
        <v>1028000</v>
      </c>
      <c r="F179">
        <v>1710.48</v>
      </c>
      <c r="G179" t="s">
        <v>573</v>
      </c>
      <c r="H179" t="s">
        <v>574</v>
      </c>
      <c r="I179">
        <v>1</v>
      </c>
      <c r="J179">
        <v>0</v>
      </c>
      <c r="K179" t="s">
        <v>17</v>
      </c>
    </row>
    <row r="180" spans="1:11" x14ac:dyDescent="0.2">
      <c r="A180" t="s">
        <v>575</v>
      </c>
      <c r="B180" t="s">
        <v>98</v>
      </c>
      <c r="C180" t="s">
        <v>20</v>
      </c>
      <c r="D180" t="s">
        <v>21</v>
      </c>
      <c r="E180">
        <v>728000</v>
      </c>
      <c r="F180">
        <v>1211.31</v>
      </c>
      <c r="G180" t="s">
        <v>576</v>
      </c>
      <c r="H180" t="s">
        <v>577</v>
      </c>
      <c r="I180">
        <v>1</v>
      </c>
      <c r="J180">
        <v>0</v>
      </c>
      <c r="K180" t="s">
        <v>17</v>
      </c>
    </row>
    <row r="181" spans="1:11" x14ac:dyDescent="0.2">
      <c r="A181" t="s">
        <v>578</v>
      </c>
      <c r="B181" t="s">
        <v>31</v>
      </c>
      <c r="C181" t="s">
        <v>102</v>
      </c>
      <c r="D181" t="s">
        <v>14</v>
      </c>
      <c r="E181">
        <v>727000</v>
      </c>
      <c r="F181">
        <v>240.41</v>
      </c>
      <c r="G181" t="s">
        <v>579</v>
      </c>
      <c r="H181" t="s">
        <v>580</v>
      </c>
      <c r="I181">
        <v>1</v>
      </c>
      <c r="J181">
        <v>0</v>
      </c>
      <c r="K181" t="s">
        <v>17</v>
      </c>
    </row>
    <row r="182" spans="1:11" x14ac:dyDescent="0.2">
      <c r="A182" t="s">
        <v>581</v>
      </c>
      <c r="B182" t="s">
        <v>35</v>
      </c>
      <c r="C182" t="s">
        <v>20</v>
      </c>
      <c r="D182" t="s">
        <v>21</v>
      </c>
      <c r="E182">
        <v>342000</v>
      </c>
      <c r="F182">
        <v>569.04999999999995</v>
      </c>
      <c r="G182" t="s">
        <v>582</v>
      </c>
      <c r="H182" t="s">
        <v>583</v>
      </c>
      <c r="I182">
        <v>1</v>
      </c>
      <c r="J182">
        <v>0</v>
      </c>
      <c r="K182" t="s">
        <v>17</v>
      </c>
    </row>
    <row r="183" spans="1:11" x14ac:dyDescent="0.2">
      <c r="A183" t="s">
        <v>584</v>
      </c>
      <c r="B183" t="s">
        <v>91</v>
      </c>
      <c r="C183" t="s">
        <v>13</v>
      </c>
      <c r="D183" t="s">
        <v>14</v>
      </c>
      <c r="E183">
        <v>4948000</v>
      </c>
      <c r="F183">
        <v>1636.24</v>
      </c>
      <c r="G183" t="s">
        <v>585</v>
      </c>
      <c r="H183" t="s">
        <v>586</v>
      </c>
      <c r="I183">
        <v>1</v>
      </c>
      <c r="J183">
        <v>0</v>
      </c>
      <c r="K183" t="s">
        <v>17</v>
      </c>
    </row>
    <row r="184" spans="1:11" x14ac:dyDescent="0.2">
      <c r="A184" t="s">
        <v>587</v>
      </c>
      <c r="B184" t="s">
        <v>19</v>
      </c>
      <c r="C184" t="s">
        <v>102</v>
      </c>
      <c r="D184" t="s">
        <v>14</v>
      </c>
      <c r="E184">
        <v>9833000</v>
      </c>
      <c r="F184">
        <v>3251.65</v>
      </c>
      <c r="G184" t="s">
        <v>588</v>
      </c>
      <c r="H184" t="s">
        <v>589</v>
      </c>
      <c r="I184">
        <v>1</v>
      </c>
      <c r="J184">
        <v>0</v>
      </c>
      <c r="K184" t="s">
        <v>17</v>
      </c>
    </row>
    <row r="185" spans="1:11" x14ac:dyDescent="0.2">
      <c r="A185" t="s">
        <v>590</v>
      </c>
      <c r="B185" t="s">
        <v>59</v>
      </c>
      <c r="C185" t="s">
        <v>102</v>
      </c>
      <c r="D185" t="s">
        <v>14</v>
      </c>
      <c r="E185">
        <v>1245000</v>
      </c>
      <c r="F185">
        <v>411.71</v>
      </c>
      <c r="G185" t="s">
        <v>591</v>
      </c>
      <c r="H185" t="s">
        <v>592</v>
      </c>
      <c r="I185">
        <v>1</v>
      </c>
      <c r="J185">
        <v>0</v>
      </c>
      <c r="K185" t="s">
        <v>17</v>
      </c>
    </row>
    <row r="186" spans="1:11" x14ac:dyDescent="0.2">
      <c r="A186" t="s">
        <v>593</v>
      </c>
      <c r="B186" t="s">
        <v>19</v>
      </c>
      <c r="C186" t="s">
        <v>42</v>
      </c>
      <c r="D186" t="s">
        <v>27</v>
      </c>
      <c r="E186">
        <v>890000</v>
      </c>
      <c r="F186">
        <v>1480.87</v>
      </c>
      <c r="G186" t="s">
        <v>594</v>
      </c>
      <c r="H186" t="s">
        <v>595</v>
      </c>
      <c r="I186">
        <v>1</v>
      </c>
      <c r="J186">
        <v>0</v>
      </c>
      <c r="K186" t="s">
        <v>17</v>
      </c>
    </row>
    <row r="187" spans="1:11" x14ac:dyDescent="0.2">
      <c r="A187" t="s">
        <v>596</v>
      </c>
      <c r="B187" t="s">
        <v>143</v>
      </c>
      <c r="C187" t="s">
        <v>13</v>
      </c>
      <c r="D187" t="s">
        <v>14</v>
      </c>
      <c r="E187">
        <v>1123000</v>
      </c>
      <c r="F187">
        <v>371.36</v>
      </c>
      <c r="G187" t="s">
        <v>597</v>
      </c>
      <c r="H187" t="s">
        <v>598</v>
      </c>
      <c r="I187">
        <v>1</v>
      </c>
      <c r="J187">
        <v>0</v>
      </c>
      <c r="K187" t="s">
        <v>17</v>
      </c>
    </row>
    <row r="188" spans="1:11" x14ac:dyDescent="0.2">
      <c r="A188" t="s">
        <v>599</v>
      </c>
      <c r="B188" t="s">
        <v>50</v>
      </c>
      <c r="C188" t="s">
        <v>51</v>
      </c>
      <c r="D188" t="s">
        <v>21</v>
      </c>
      <c r="E188">
        <v>428000</v>
      </c>
      <c r="F188">
        <v>712.15</v>
      </c>
      <c r="G188" t="s">
        <v>600</v>
      </c>
      <c r="H188" t="s">
        <v>601</v>
      </c>
      <c r="I188">
        <v>1</v>
      </c>
      <c r="J188">
        <v>0</v>
      </c>
      <c r="K188" t="s">
        <v>17</v>
      </c>
    </row>
    <row r="189" spans="1:11" x14ac:dyDescent="0.2">
      <c r="A189" t="s">
        <v>602</v>
      </c>
      <c r="B189" t="s">
        <v>59</v>
      </c>
      <c r="C189" t="s">
        <v>51</v>
      </c>
      <c r="D189" t="s">
        <v>21</v>
      </c>
      <c r="E189">
        <v>286000</v>
      </c>
      <c r="F189">
        <v>475.87</v>
      </c>
      <c r="G189" t="s">
        <v>603</v>
      </c>
      <c r="H189" t="s">
        <v>604</v>
      </c>
      <c r="I189">
        <v>1</v>
      </c>
      <c r="J189">
        <v>0</v>
      </c>
      <c r="K189" t="s">
        <v>17</v>
      </c>
    </row>
    <row r="190" spans="1:11" x14ac:dyDescent="0.2">
      <c r="A190" t="s">
        <v>605</v>
      </c>
      <c r="B190" t="s">
        <v>19</v>
      </c>
      <c r="C190" t="s">
        <v>26</v>
      </c>
      <c r="D190" t="s">
        <v>27</v>
      </c>
      <c r="E190">
        <v>286000</v>
      </c>
      <c r="F190">
        <v>475.87</v>
      </c>
      <c r="G190" t="s">
        <v>606</v>
      </c>
      <c r="H190" t="s">
        <v>607</v>
      </c>
      <c r="I190">
        <v>1</v>
      </c>
      <c r="J190">
        <v>0</v>
      </c>
      <c r="K190" t="s">
        <v>17</v>
      </c>
    </row>
    <row r="191" spans="1:11" x14ac:dyDescent="0.2">
      <c r="A191" t="s">
        <v>608</v>
      </c>
      <c r="B191" t="s">
        <v>91</v>
      </c>
      <c r="C191" t="s">
        <v>13</v>
      </c>
      <c r="D191" t="s">
        <v>14</v>
      </c>
      <c r="E191">
        <v>2017000</v>
      </c>
      <c r="F191">
        <v>667</v>
      </c>
      <c r="G191" t="s">
        <v>609</v>
      </c>
      <c r="H191" t="s">
        <v>610</v>
      </c>
      <c r="I191">
        <v>1</v>
      </c>
      <c r="J191">
        <v>0</v>
      </c>
      <c r="K191" t="s">
        <v>17</v>
      </c>
    </row>
    <row r="192" spans="1:11" x14ac:dyDescent="0.2">
      <c r="A192" t="s">
        <v>611</v>
      </c>
      <c r="B192" t="s">
        <v>25</v>
      </c>
      <c r="C192" t="s">
        <v>26</v>
      </c>
      <c r="D192" t="s">
        <v>27</v>
      </c>
      <c r="E192">
        <v>1721000</v>
      </c>
      <c r="F192">
        <v>2863.56</v>
      </c>
      <c r="G192" t="s">
        <v>612</v>
      </c>
      <c r="H192" t="s">
        <v>613</v>
      </c>
      <c r="I192">
        <v>1</v>
      </c>
      <c r="J192">
        <v>0</v>
      </c>
      <c r="K192" t="s">
        <v>17</v>
      </c>
    </row>
    <row r="193" spans="1:11" x14ac:dyDescent="0.2">
      <c r="A193" t="s">
        <v>614</v>
      </c>
      <c r="B193" t="s">
        <v>25</v>
      </c>
      <c r="C193" t="s">
        <v>42</v>
      </c>
      <c r="D193" t="s">
        <v>27</v>
      </c>
      <c r="E193">
        <v>364000</v>
      </c>
      <c r="F193">
        <v>605.66</v>
      </c>
      <c r="G193" t="s">
        <v>615</v>
      </c>
      <c r="H193" t="s">
        <v>616</v>
      </c>
      <c r="I193">
        <v>1</v>
      </c>
      <c r="J193">
        <v>0</v>
      </c>
      <c r="K193" t="s">
        <v>17</v>
      </c>
    </row>
    <row r="194" spans="1:11" x14ac:dyDescent="0.2">
      <c r="A194" t="s">
        <v>617</v>
      </c>
      <c r="B194" t="s">
        <v>59</v>
      </c>
      <c r="C194" t="s">
        <v>42</v>
      </c>
      <c r="D194" t="s">
        <v>27</v>
      </c>
      <c r="E194">
        <v>719000</v>
      </c>
      <c r="F194">
        <v>1196.3399999999999</v>
      </c>
      <c r="G194" t="s">
        <v>618</v>
      </c>
      <c r="H194" t="s">
        <v>619</v>
      </c>
      <c r="I194">
        <v>1</v>
      </c>
      <c r="J194">
        <v>0</v>
      </c>
      <c r="K194" t="s">
        <v>17</v>
      </c>
    </row>
    <row r="195" spans="1:11" x14ac:dyDescent="0.2">
      <c r="A195" t="s">
        <v>620</v>
      </c>
      <c r="B195" t="s">
        <v>77</v>
      </c>
      <c r="C195" t="s">
        <v>102</v>
      </c>
      <c r="D195" t="s">
        <v>14</v>
      </c>
      <c r="E195">
        <v>593000</v>
      </c>
      <c r="F195">
        <v>196.1</v>
      </c>
      <c r="G195" t="s">
        <v>621</v>
      </c>
      <c r="H195" t="s">
        <v>622</v>
      </c>
      <c r="I195">
        <v>1</v>
      </c>
      <c r="J195">
        <v>0</v>
      </c>
      <c r="K195" t="s">
        <v>17</v>
      </c>
    </row>
    <row r="196" spans="1:11" x14ac:dyDescent="0.2">
      <c r="A196" t="s">
        <v>623</v>
      </c>
      <c r="B196" t="s">
        <v>98</v>
      </c>
      <c r="C196" t="s">
        <v>102</v>
      </c>
      <c r="D196" t="s">
        <v>14</v>
      </c>
      <c r="E196">
        <v>9867000</v>
      </c>
      <c r="F196">
        <v>3262.9</v>
      </c>
      <c r="G196" t="s">
        <v>624</v>
      </c>
      <c r="H196" t="s">
        <v>625</v>
      </c>
      <c r="I196">
        <v>1</v>
      </c>
      <c r="J196">
        <v>0</v>
      </c>
      <c r="K196" t="s">
        <v>17</v>
      </c>
    </row>
    <row r="197" spans="1:11" x14ac:dyDescent="0.2">
      <c r="A197" t="s">
        <v>626</v>
      </c>
      <c r="B197" t="s">
        <v>12</v>
      </c>
      <c r="C197" t="s">
        <v>102</v>
      </c>
      <c r="D197" t="s">
        <v>14</v>
      </c>
      <c r="E197">
        <v>1475000</v>
      </c>
      <c r="F197">
        <v>487.76</v>
      </c>
      <c r="G197" t="s">
        <v>627</v>
      </c>
      <c r="H197" t="s">
        <v>628</v>
      </c>
      <c r="I197">
        <v>1</v>
      </c>
      <c r="J197">
        <v>0</v>
      </c>
      <c r="K197" t="s">
        <v>17</v>
      </c>
    </row>
    <row r="198" spans="1:11" x14ac:dyDescent="0.2">
      <c r="A198" t="s">
        <v>629</v>
      </c>
      <c r="B198" t="s">
        <v>12</v>
      </c>
      <c r="C198" t="s">
        <v>26</v>
      </c>
      <c r="D198" t="s">
        <v>27</v>
      </c>
      <c r="E198">
        <v>182000</v>
      </c>
      <c r="F198">
        <v>302.83</v>
      </c>
      <c r="G198" t="s">
        <v>630</v>
      </c>
      <c r="H198" t="s">
        <v>631</v>
      </c>
      <c r="I198">
        <v>1</v>
      </c>
      <c r="J198">
        <v>0</v>
      </c>
      <c r="K198" t="s">
        <v>17</v>
      </c>
    </row>
    <row r="199" spans="1:11" x14ac:dyDescent="0.2">
      <c r="A199" t="s">
        <v>632</v>
      </c>
      <c r="B199" t="s">
        <v>50</v>
      </c>
      <c r="C199" t="s">
        <v>51</v>
      </c>
      <c r="D199" t="s">
        <v>21</v>
      </c>
      <c r="E199">
        <v>216000</v>
      </c>
      <c r="F199">
        <v>359.4</v>
      </c>
      <c r="G199" t="s">
        <v>633</v>
      </c>
      <c r="H199" t="s">
        <v>634</v>
      </c>
      <c r="I199">
        <v>1</v>
      </c>
      <c r="J199">
        <v>0</v>
      </c>
      <c r="K199" t="s">
        <v>17</v>
      </c>
    </row>
    <row r="200" spans="1:11" x14ac:dyDescent="0.2">
      <c r="A200" t="s">
        <v>635</v>
      </c>
      <c r="B200" t="s">
        <v>19</v>
      </c>
      <c r="C200" t="s">
        <v>102</v>
      </c>
      <c r="D200" t="s">
        <v>14</v>
      </c>
      <c r="E200">
        <v>362000</v>
      </c>
      <c r="F200">
        <v>119.71</v>
      </c>
      <c r="G200" t="s">
        <v>636</v>
      </c>
      <c r="H200" t="s">
        <v>637</v>
      </c>
      <c r="I200">
        <v>1</v>
      </c>
      <c r="J200">
        <v>0</v>
      </c>
      <c r="K200" t="s">
        <v>17</v>
      </c>
    </row>
    <row r="201" spans="1:11" x14ac:dyDescent="0.2">
      <c r="A201" t="s">
        <v>638</v>
      </c>
      <c r="B201" t="s">
        <v>106</v>
      </c>
      <c r="C201" t="s">
        <v>102</v>
      </c>
      <c r="D201" t="s">
        <v>14</v>
      </c>
      <c r="E201">
        <v>1941000</v>
      </c>
      <c r="F201">
        <v>641.87</v>
      </c>
      <c r="G201" t="s">
        <v>639</v>
      </c>
      <c r="H201" t="s">
        <v>640</v>
      </c>
      <c r="I201">
        <v>1</v>
      </c>
      <c r="J201">
        <v>0</v>
      </c>
      <c r="K201" t="s">
        <v>17</v>
      </c>
    </row>
    <row r="202" spans="1:11" x14ac:dyDescent="0.2">
      <c r="A202" t="s">
        <v>641</v>
      </c>
      <c r="B202" t="s">
        <v>63</v>
      </c>
      <c r="C202" t="s">
        <v>51</v>
      </c>
      <c r="D202" t="s">
        <v>21</v>
      </c>
      <c r="E202">
        <v>336000</v>
      </c>
      <c r="F202">
        <v>559.07000000000005</v>
      </c>
      <c r="G202" t="s">
        <v>642</v>
      </c>
      <c r="H202" t="s">
        <v>643</v>
      </c>
      <c r="I202">
        <v>1</v>
      </c>
      <c r="J202">
        <v>14.98</v>
      </c>
      <c r="K202" t="s">
        <v>17</v>
      </c>
    </row>
    <row r="203" spans="1:11" x14ac:dyDescent="0.2">
      <c r="A203" t="s">
        <v>644</v>
      </c>
      <c r="B203" t="s">
        <v>12</v>
      </c>
      <c r="C203" t="s">
        <v>42</v>
      </c>
      <c r="D203" t="s">
        <v>27</v>
      </c>
      <c r="E203">
        <v>743000</v>
      </c>
      <c r="F203">
        <v>1236.27</v>
      </c>
      <c r="G203" t="s">
        <v>645</v>
      </c>
      <c r="H203" t="s">
        <v>646</v>
      </c>
      <c r="I203">
        <v>1</v>
      </c>
      <c r="J203">
        <v>0</v>
      </c>
      <c r="K203" t="s">
        <v>17</v>
      </c>
    </row>
    <row r="204" spans="1:11" x14ac:dyDescent="0.2">
      <c r="A204" t="s">
        <v>647</v>
      </c>
      <c r="B204" t="s">
        <v>50</v>
      </c>
      <c r="C204" t="s">
        <v>51</v>
      </c>
      <c r="D204" t="s">
        <v>21</v>
      </c>
      <c r="E204">
        <v>184000</v>
      </c>
      <c r="F204">
        <v>306.16000000000003</v>
      </c>
      <c r="G204" t="s">
        <v>648</v>
      </c>
      <c r="H204" t="s">
        <v>649</v>
      </c>
      <c r="I204">
        <v>1</v>
      </c>
      <c r="J204">
        <v>0</v>
      </c>
      <c r="K204" t="s">
        <v>17</v>
      </c>
    </row>
    <row r="205" spans="1:11" x14ac:dyDescent="0.2">
      <c r="A205" t="s">
        <v>650</v>
      </c>
      <c r="B205" t="s">
        <v>55</v>
      </c>
      <c r="C205" t="s">
        <v>51</v>
      </c>
      <c r="D205" t="s">
        <v>21</v>
      </c>
      <c r="E205">
        <v>915000</v>
      </c>
      <c r="F205">
        <v>1522.46</v>
      </c>
      <c r="G205" t="s">
        <v>651</v>
      </c>
      <c r="H205" t="s">
        <v>652</v>
      </c>
      <c r="I205">
        <v>1</v>
      </c>
      <c r="J205">
        <v>0</v>
      </c>
      <c r="K205" t="s">
        <v>17</v>
      </c>
    </row>
    <row r="206" spans="1:11" x14ac:dyDescent="0.2">
      <c r="A206" t="s">
        <v>653</v>
      </c>
      <c r="B206" t="s">
        <v>35</v>
      </c>
      <c r="C206" t="s">
        <v>51</v>
      </c>
      <c r="D206" t="s">
        <v>21</v>
      </c>
      <c r="E206">
        <v>342000</v>
      </c>
      <c r="F206">
        <v>569.04999999999995</v>
      </c>
      <c r="G206" t="s">
        <v>654</v>
      </c>
      <c r="H206" t="s">
        <v>655</v>
      </c>
      <c r="I206">
        <v>1</v>
      </c>
      <c r="J206">
        <v>0</v>
      </c>
      <c r="K206" t="s">
        <v>17</v>
      </c>
    </row>
    <row r="207" spans="1:11" x14ac:dyDescent="0.2">
      <c r="A207" t="s">
        <v>656</v>
      </c>
      <c r="B207" t="s">
        <v>59</v>
      </c>
      <c r="C207" t="s">
        <v>102</v>
      </c>
      <c r="D207" t="s">
        <v>14</v>
      </c>
      <c r="E207">
        <v>2497000</v>
      </c>
      <c r="F207">
        <v>825.73</v>
      </c>
      <c r="I207">
        <v>0</v>
      </c>
      <c r="J207">
        <v>0</v>
      </c>
      <c r="K207" t="s">
        <v>376</v>
      </c>
    </row>
    <row r="208" spans="1:11" x14ac:dyDescent="0.2">
      <c r="A208" t="s">
        <v>657</v>
      </c>
      <c r="B208" t="s">
        <v>77</v>
      </c>
      <c r="C208" t="s">
        <v>13</v>
      </c>
      <c r="D208" t="s">
        <v>14</v>
      </c>
      <c r="E208">
        <v>1413000</v>
      </c>
      <c r="F208">
        <v>467.26</v>
      </c>
      <c r="G208" t="s">
        <v>658</v>
      </c>
      <c r="H208" t="s">
        <v>659</v>
      </c>
      <c r="I208">
        <v>1</v>
      </c>
      <c r="J208">
        <v>0</v>
      </c>
      <c r="K208" t="s">
        <v>17</v>
      </c>
    </row>
    <row r="209" spans="1:11" x14ac:dyDescent="0.2">
      <c r="A209" t="s">
        <v>660</v>
      </c>
      <c r="B209" t="s">
        <v>139</v>
      </c>
      <c r="C209" t="s">
        <v>26</v>
      </c>
      <c r="D209" t="s">
        <v>27</v>
      </c>
      <c r="E209">
        <v>455000</v>
      </c>
      <c r="F209">
        <v>757.07</v>
      </c>
      <c r="G209" t="s">
        <v>661</v>
      </c>
      <c r="H209" t="s">
        <v>662</v>
      </c>
      <c r="I209">
        <v>1</v>
      </c>
      <c r="J209">
        <v>0</v>
      </c>
      <c r="K209" t="s">
        <v>17</v>
      </c>
    </row>
    <row r="210" spans="1:11" x14ac:dyDescent="0.2">
      <c r="A210" t="s">
        <v>663</v>
      </c>
      <c r="B210" t="s">
        <v>50</v>
      </c>
      <c r="C210" t="s">
        <v>13</v>
      </c>
      <c r="D210" t="s">
        <v>14</v>
      </c>
      <c r="E210">
        <v>916000</v>
      </c>
      <c r="F210">
        <v>302.91000000000003</v>
      </c>
      <c r="G210" t="s">
        <v>664</v>
      </c>
      <c r="H210" t="s">
        <v>665</v>
      </c>
      <c r="I210">
        <v>1</v>
      </c>
      <c r="J210">
        <v>0</v>
      </c>
      <c r="K210" t="s">
        <v>17</v>
      </c>
    </row>
    <row r="211" spans="1:11" x14ac:dyDescent="0.2">
      <c r="A211" t="s">
        <v>666</v>
      </c>
      <c r="B211" t="s">
        <v>25</v>
      </c>
      <c r="C211" t="s">
        <v>42</v>
      </c>
      <c r="D211" t="s">
        <v>27</v>
      </c>
      <c r="E211">
        <v>595000</v>
      </c>
      <c r="F211">
        <v>990.02</v>
      </c>
      <c r="G211" t="s">
        <v>667</v>
      </c>
      <c r="H211" t="s">
        <v>668</v>
      </c>
      <c r="I211">
        <v>1</v>
      </c>
      <c r="J211">
        <v>0</v>
      </c>
      <c r="K211" t="s">
        <v>17</v>
      </c>
    </row>
    <row r="212" spans="1:11" x14ac:dyDescent="0.2">
      <c r="A212" t="s">
        <v>669</v>
      </c>
      <c r="B212" t="s">
        <v>55</v>
      </c>
      <c r="C212" t="s">
        <v>13</v>
      </c>
      <c r="D212" t="s">
        <v>14</v>
      </c>
      <c r="E212">
        <v>1697000</v>
      </c>
      <c r="F212">
        <v>561.17999999999995</v>
      </c>
      <c r="G212" t="s">
        <v>670</v>
      </c>
      <c r="H212" t="s">
        <v>671</v>
      </c>
      <c r="I212">
        <v>1</v>
      </c>
      <c r="J212">
        <v>0</v>
      </c>
      <c r="K212" t="s">
        <v>17</v>
      </c>
    </row>
    <row r="213" spans="1:11" x14ac:dyDescent="0.2">
      <c r="A213" t="s">
        <v>672</v>
      </c>
      <c r="B213" t="s">
        <v>12</v>
      </c>
      <c r="C213" t="s">
        <v>13</v>
      </c>
      <c r="D213" t="s">
        <v>14</v>
      </c>
      <c r="E213">
        <v>6837000</v>
      </c>
      <c r="F213">
        <v>2260.91</v>
      </c>
      <c r="G213" t="s">
        <v>673</v>
      </c>
      <c r="H213" t="s">
        <v>674</v>
      </c>
      <c r="I213">
        <v>1</v>
      </c>
      <c r="J213">
        <v>0</v>
      </c>
      <c r="K213" t="s">
        <v>17</v>
      </c>
    </row>
    <row r="214" spans="1:11" x14ac:dyDescent="0.2">
      <c r="A214" t="s">
        <v>675</v>
      </c>
      <c r="B214" t="s">
        <v>35</v>
      </c>
      <c r="C214" t="s">
        <v>26</v>
      </c>
      <c r="D214" t="s">
        <v>27</v>
      </c>
      <c r="E214">
        <v>339000</v>
      </c>
      <c r="F214">
        <v>564.05999999999995</v>
      </c>
      <c r="G214" t="s">
        <v>676</v>
      </c>
      <c r="H214" t="s">
        <v>677</v>
      </c>
      <c r="I214">
        <v>1</v>
      </c>
      <c r="J214">
        <v>0</v>
      </c>
      <c r="K214" t="s">
        <v>17</v>
      </c>
    </row>
    <row r="215" spans="1:11" x14ac:dyDescent="0.2">
      <c r="A215" t="s">
        <v>678</v>
      </c>
      <c r="B215" t="s">
        <v>98</v>
      </c>
      <c r="C215" t="s">
        <v>102</v>
      </c>
      <c r="D215" t="s">
        <v>14</v>
      </c>
      <c r="E215">
        <v>890000</v>
      </c>
      <c r="F215">
        <v>294.31</v>
      </c>
      <c r="G215" t="s">
        <v>679</v>
      </c>
      <c r="H215" t="s">
        <v>680</v>
      </c>
      <c r="I215">
        <v>1</v>
      </c>
      <c r="J215">
        <v>0</v>
      </c>
      <c r="K215" t="s">
        <v>17</v>
      </c>
    </row>
    <row r="216" spans="1:11" x14ac:dyDescent="0.2">
      <c r="A216" t="s">
        <v>681</v>
      </c>
      <c r="B216" t="s">
        <v>67</v>
      </c>
      <c r="C216" t="s">
        <v>51</v>
      </c>
      <c r="D216" t="s">
        <v>21</v>
      </c>
      <c r="E216">
        <v>894000</v>
      </c>
      <c r="F216">
        <v>1487.52</v>
      </c>
      <c r="G216" t="s">
        <v>682</v>
      </c>
      <c r="H216" t="s">
        <v>683</v>
      </c>
      <c r="I216">
        <v>1</v>
      </c>
      <c r="J216">
        <v>0</v>
      </c>
      <c r="K216" t="s">
        <v>17</v>
      </c>
    </row>
    <row r="217" spans="1:11" x14ac:dyDescent="0.2">
      <c r="A217" t="s">
        <v>684</v>
      </c>
      <c r="B217" t="s">
        <v>139</v>
      </c>
      <c r="C217" t="s">
        <v>13</v>
      </c>
      <c r="D217" t="s">
        <v>14</v>
      </c>
      <c r="E217">
        <v>642000</v>
      </c>
      <c r="F217">
        <v>212.3</v>
      </c>
      <c r="G217" t="s">
        <v>685</v>
      </c>
      <c r="H217" t="s">
        <v>686</v>
      </c>
      <c r="I217">
        <v>1</v>
      </c>
      <c r="J217">
        <v>0</v>
      </c>
      <c r="K217" t="s">
        <v>17</v>
      </c>
    </row>
    <row r="218" spans="1:11" x14ac:dyDescent="0.2">
      <c r="A218" t="s">
        <v>687</v>
      </c>
      <c r="B218" t="s">
        <v>98</v>
      </c>
      <c r="C218" t="s">
        <v>26</v>
      </c>
      <c r="D218" t="s">
        <v>27</v>
      </c>
      <c r="E218">
        <v>440000</v>
      </c>
      <c r="F218">
        <v>732.11</v>
      </c>
      <c r="G218" t="s">
        <v>688</v>
      </c>
      <c r="H218" t="s">
        <v>689</v>
      </c>
      <c r="I218">
        <v>1</v>
      </c>
      <c r="J218">
        <v>0</v>
      </c>
      <c r="K218" t="s">
        <v>17</v>
      </c>
    </row>
    <row r="219" spans="1:11" x14ac:dyDescent="0.2">
      <c r="A219" t="s">
        <v>690</v>
      </c>
      <c r="B219" t="s">
        <v>91</v>
      </c>
      <c r="C219" t="s">
        <v>13</v>
      </c>
      <c r="D219" t="s">
        <v>14</v>
      </c>
      <c r="E219">
        <v>1756000</v>
      </c>
      <c r="F219">
        <v>580.69000000000005</v>
      </c>
      <c r="G219" t="s">
        <v>691</v>
      </c>
      <c r="H219" t="s">
        <v>692</v>
      </c>
      <c r="I219">
        <v>1</v>
      </c>
      <c r="J219">
        <v>0</v>
      </c>
      <c r="K219" t="s">
        <v>17</v>
      </c>
    </row>
    <row r="220" spans="1:11" x14ac:dyDescent="0.2">
      <c r="A220" t="s">
        <v>693</v>
      </c>
      <c r="B220" t="s">
        <v>35</v>
      </c>
      <c r="C220" t="s">
        <v>20</v>
      </c>
      <c r="D220" t="s">
        <v>21</v>
      </c>
      <c r="E220">
        <v>480000</v>
      </c>
      <c r="F220">
        <v>798.67</v>
      </c>
      <c r="G220" t="s">
        <v>694</v>
      </c>
      <c r="H220" t="s">
        <v>695</v>
      </c>
      <c r="I220">
        <v>1</v>
      </c>
      <c r="J220">
        <v>0</v>
      </c>
      <c r="K220" t="s">
        <v>17</v>
      </c>
    </row>
    <row r="221" spans="1:11" x14ac:dyDescent="0.2">
      <c r="A221" t="s">
        <v>696</v>
      </c>
      <c r="B221" t="s">
        <v>55</v>
      </c>
      <c r="C221" t="s">
        <v>102</v>
      </c>
      <c r="D221" t="s">
        <v>14</v>
      </c>
      <c r="E221">
        <v>55641600</v>
      </c>
      <c r="F221">
        <v>18400</v>
      </c>
      <c r="G221" t="s">
        <v>697</v>
      </c>
      <c r="I221">
        <v>0</v>
      </c>
      <c r="J221">
        <v>0</v>
      </c>
      <c r="K221" t="s">
        <v>698</v>
      </c>
    </row>
    <row r="222" spans="1:11" x14ac:dyDescent="0.2">
      <c r="A222" t="s">
        <v>699</v>
      </c>
      <c r="B222" t="s">
        <v>139</v>
      </c>
      <c r="C222" t="s">
        <v>13</v>
      </c>
      <c r="D222" t="s">
        <v>14</v>
      </c>
      <c r="E222">
        <v>3339000</v>
      </c>
      <c r="F222">
        <v>1104.17</v>
      </c>
      <c r="G222" t="s">
        <v>700</v>
      </c>
      <c r="H222" t="s">
        <v>701</v>
      </c>
      <c r="I222">
        <v>1</v>
      </c>
      <c r="J222">
        <v>0</v>
      </c>
      <c r="K222" t="s">
        <v>17</v>
      </c>
    </row>
    <row r="223" spans="1:11" x14ac:dyDescent="0.2">
      <c r="A223" t="s">
        <v>702</v>
      </c>
      <c r="B223" t="s">
        <v>50</v>
      </c>
      <c r="C223" t="s">
        <v>26</v>
      </c>
      <c r="D223" t="s">
        <v>27</v>
      </c>
      <c r="E223">
        <v>730000</v>
      </c>
      <c r="F223">
        <v>1214.6400000000001</v>
      </c>
      <c r="G223" t="s">
        <v>703</v>
      </c>
      <c r="H223" t="s">
        <v>704</v>
      </c>
      <c r="I223">
        <v>1</v>
      </c>
      <c r="J223">
        <v>0</v>
      </c>
      <c r="K223" t="s">
        <v>17</v>
      </c>
    </row>
    <row r="224" spans="1:11" x14ac:dyDescent="0.2">
      <c r="A224" t="s">
        <v>705</v>
      </c>
      <c r="B224" t="s">
        <v>63</v>
      </c>
      <c r="C224" t="s">
        <v>51</v>
      </c>
      <c r="D224" t="s">
        <v>21</v>
      </c>
      <c r="E224">
        <v>162000</v>
      </c>
      <c r="F224">
        <v>269.55</v>
      </c>
      <c r="G224" t="s">
        <v>706</v>
      </c>
      <c r="H224" t="s">
        <v>707</v>
      </c>
      <c r="I224">
        <v>1</v>
      </c>
      <c r="J224">
        <v>0</v>
      </c>
      <c r="K224" t="s">
        <v>17</v>
      </c>
    </row>
    <row r="225" spans="1:11" x14ac:dyDescent="0.2">
      <c r="A225" t="s">
        <v>708</v>
      </c>
      <c r="B225" t="s">
        <v>50</v>
      </c>
      <c r="C225" t="s">
        <v>102</v>
      </c>
      <c r="D225" t="s">
        <v>14</v>
      </c>
      <c r="E225">
        <v>2305000</v>
      </c>
      <c r="F225">
        <v>762.24</v>
      </c>
      <c r="G225" t="s">
        <v>709</v>
      </c>
      <c r="H225" t="s">
        <v>710</v>
      </c>
      <c r="I225">
        <v>1</v>
      </c>
      <c r="J225">
        <v>0</v>
      </c>
      <c r="K225" t="s">
        <v>17</v>
      </c>
    </row>
    <row r="226" spans="1:11" x14ac:dyDescent="0.2">
      <c r="A226" t="s">
        <v>711</v>
      </c>
      <c r="B226" t="s">
        <v>91</v>
      </c>
      <c r="C226" t="s">
        <v>42</v>
      </c>
      <c r="D226" t="s">
        <v>27</v>
      </c>
      <c r="E226">
        <v>466000</v>
      </c>
      <c r="F226">
        <v>775.37</v>
      </c>
      <c r="G226" t="s">
        <v>712</v>
      </c>
      <c r="H226" t="s">
        <v>713</v>
      </c>
      <c r="I226">
        <v>1</v>
      </c>
      <c r="J226">
        <v>0</v>
      </c>
      <c r="K226" t="s">
        <v>17</v>
      </c>
    </row>
    <row r="227" spans="1:11" x14ac:dyDescent="0.2">
      <c r="A227" t="s">
        <v>714</v>
      </c>
      <c r="B227" t="s">
        <v>128</v>
      </c>
      <c r="C227" t="s">
        <v>102</v>
      </c>
      <c r="D227" t="s">
        <v>14</v>
      </c>
      <c r="E227">
        <v>7704000</v>
      </c>
      <c r="F227">
        <v>2547.62</v>
      </c>
      <c r="G227" t="s">
        <v>715</v>
      </c>
      <c r="H227" t="s">
        <v>716</v>
      </c>
      <c r="I227">
        <v>1</v>
      </c>
      <c r="J227">
        <v>0</v>
      </c>
      <c r="K227" t="s">
        <v>17</v>
      </c>
    </row>
    <row r="228" spans="1:11" x14ac:dyDescent="0.2">
      <c r="A228" t="s">
        <v>717</v>
      </c>
      <c r="B228" t="s">
        <v>91</v>
      </c>
      <c r="C228" t="s">
        <v>102</v>
      </c>
      <c r="D228" t="s">
        <v>14</v>
      </c>
      <c r="E228">
        <v>1463000</v>
      </c>
      <c r="F228">
        <v>483.8</v>
      </c>
      <c r="G228" t="s">
        <v>718</v>
      </c>
      <c r="H228" t="s">
        <v>719</v>
      </c>
      <c r="I228">
        <v>1</v>
      </c>
      <c r="J228">
        <v>-13.23</v>
      </c>
      <c r="K228" t="s">
        <v>17</v>
      </c>
    </row>
    <row r="229" spans="1:11" x14ac:dyDescent="0.2">
      <c r="A229" t="s">
        <v>720</v>
      </c>
      <c r="B229" t="s">
        <v>135</v>
      </c>
      <c r="C229" t="s">
        <v>42</v>
      </c>
      <c r="D229" t="s">
        <v>27</v>
      </c>
      <c r="E229">
        <v>114000</v>
      </c>
      <c r="F229">
        <v>189.68</v>
      </c>
      <c r="G229" t="s">
        <v>721</v>
      </c>
      <c r="H229" t="s">
        <v>722</v>
      </c>
      <c r="I229">
        <v>1</v>
      </c>
      <c r="J229">
        <v>0</v>
      </c>
      <c r="K229" t="s">
        <v>17</v>
      </c>
    </row>
    <row r="230" spans="1:11" x14ac:dyDescent="0.2">
      <c r="A230" t="s">
        <v>723</v>
      </c>
      <c r="B230" t="s">
        <v>98</v>
      </c>
      <c r="C230" t="s">
        <v>51</v>
      </c>
      <c r="D230" t="s">
        <v>21</v>
      </c>
      <c r="E230">
        <v>680000</v>
      </c>
      <c r="F230">
        <v>1131.45</v>
      </c>
      <c r="G230" t="s">
        <v>724</v>
      </c>
      <c r="H230" t="s">
        <v>725</v>
      </c>
      <c r="I230">
        <v>1</v>
      </c>
      <c r="J230">
        <v>0</v>
      </c>
      <c r="K230" t="s">
        <v>17</v>
      </c>
    </row>
    <row r="231" spans="1:11" x14ac:dyDescent="0.2">
      <c r="A231" t="s">
        <v>726</v>
      </c>
      <c r="B231" t="s">
        <v>128</v>
      </c>
      <c r="C231" t="s">
        <v>20</v>
      </c>
      <c r="D231" t="s">
        <v>21</v>
      </c>
      <c r="E231">
        <v>234000</v>
      </c>
      <c r="F231">
        <v>389.35</v>
      </c>
      <c r="G231" t="s">
        <v>727</v>
      </c>
      <c r="H231" t="s">
        <v>728</v>
      </c>
      <c r="I231">
        <v>1</v>
      </c>
      <c r="J231">
        <v>0</v>
      </c>
      <c r="K231" t="s">
        <v>17</v>
      </c>
    </row>
    <row r="232" spans="1:11" x14ac:dyDescent="0.2">
      <c r="A232" t="s">
        <v>729</v>
      </c>
      <c r="B232" t="s">
        <v>55</v>
      </c>
      <c r="C232" t="s">
        <v>51</v>
      </c>
      <c r="D232" t="s">
        <v>21</v>
      </c>
      <c r="E232">
        <v>366000</v>
      </c>
      <c r="F232">
        <v>608.99</v>
      </c>
      <c r="G232" t="s">
        <v>730</v>
      </c>
      <c r="H232" t="s">
        <v>731</v>
      </c>
      <c r="I232">
        <v>1</v>
      </c>
      <c r="J232">
        <v>0</v>
      </c>
      <c r="K232" t="s">
        <v>17</v>
      </c>
    </row>
    <row r="233" spans="1:11" x14ac:dyDescent="0.2">
      <c r="A233" t="s">
        <v>732</v>
      </c>
      <c r="B233" t="s">
        <v>35</v>
      </c>
      <c r="C233" t="s">
        <v>20</v>
      </c>
      <c r="D233" t="s">
        <v>21</v>
      </c>
      <c r="E233">
        <v>402000</v>
      </c>
      <c r="F233">
        <v>668.89</v>
      </c>
      <c r="G233" t="s">
        <v>733</v>
      </c>
      <c r="H233" t="s">
        <v>734</v>
      </c>
      <c r="I233">
        <v>1</v>
      </c>
      <c r="J233">
        <v>0</v>
      </c>
      <c r="K233" t="s">
        <v>17</v>
      </c>
    </row>
    <row r="234" spans="1:11" x14ac:dyDescent="0.2">
      <c r="A234" t="s">
        <v>735</v>
      </c>
      <c r="B234" t="s">
        <v>91</v>
      </c>
      <c r="C234" t="s">
        <v>13</v>
      </c>
      <c r="D234" t="s">
        <v>14</v>
      </c>
      <c r="E234">
        <v>3925000</v>
      </c>
      <c r="F234">
        <v>1297.95</v>
      </c>
      <c r="G234" t="s">
        <v>736</v>
      </c>
      <c r="H234" t="s">
        <v>737</v>
      </c>
      <c r="I234">
        <v>1</v>
      </c>
      <c r="J234">
        <v>0</v>
      </c>
      <c r="K234" t="s">
        <v>17</v>
      </c>
    </row>
    <row r="235" spans="1:11" x14ac:dyDescent="0.2">
      <c r="A235" t="s">
        <v>738</v>
      </c>
      <c r="B235" t="s">
        <v>50</v>
      </c>
      <c r="C235" t="s">
        <v>26</v>
      </c>
      <c r="D235" t="s">
        <v>27</v>
      </c>
      <c r="E235">
        <v>141000</v>
      </c>
      <c r="F235">
        <v>234.61</v>
      </c>
      <c r="G235" t="s">
        <v>739</v>
      </c>
      <c r="H235" t="s">
        <v>740</v>
      </c>
      <c r="I235">
        <v>1</v>
      </c>
      <c r="J235">
        <v>0</v>
      </c>
      <c r="K235" t="s">
        <v>17</v>
      </c>
    </row>
    <row r="236" spans="1:11" x14ac:dyDescent="0.2">
      <c r="A236" t="s">
        <v>741</v>
      </c>
      <c r="B236" t="s">
        <v>12</v>
      </c>
      <c r="C236" t="s">
        <v>13</v>
      </c>
      <c r="D236" t="s">
        <v>14</v>
      </c>
      <c r="E236">
        <v>4443000</v>
      </c>
      <c r="F236">
        <v>1469.25</v>
      </c>
      <c r="G236" t="s">
        <v>742</v>
      </c>
      <c r="H236" t="s">
        <v>743</v>
      </c>
      <c r="I236">
        <v>1</v>
      </c>
      <c r="J236">
        <v>0</v>
      </c>
      <c r="K236" t="s">
        <v>17</v>
      </c>
    </row>
    <row r="237" spans="1:11" x14ac:dyDescent="0.2">
      <c r="A237" t="s">
        <v>744</v>
      </c>
      <c r="B237" t="s">
        <v>77</v>
      </c>
      <c r="C237" t="s">
        <v>13</v>
      </c>
      <c r="D237" t="s">
        <v>14</v>
      </c>
      <c r="E237">
        <v>997000</v>
      </c>
      <c r="F237">
        <v>329.7</v>
      </c>
      <c r="G237" t="s">
        <v>745</v>
      </c>
      <c r="H237" t="s">
        <v>746</v>
      </c>
      <c r="I237">
        <v>1</v>
      </c>
      <c r="J237">
        <v>19.510000000000002</v>
      </c>
      <c r="K237" t="s">
        <v>17</v>
      </c>
    </row>
    <row r="238" spans="1:11" x14ac:dyDescent="0.2">
      <c r="A238" t="s">
        <v>747</v>
      </c>
      <c r="B238" t="s">
        <v>139</v>
      </c>
      <c r="C238" t="s">
        <v>42</v>
      </c>
      <c r="D238" t="s">
        <v>27</v>
      </c>
      <c r="E238">
        <v>291000</v>
      </c>
      <c r="F238">
        <v>484.19</v>
      </c>
      <c r="G238" t="s">
        <v>748</v>
      </c>
      <c r="H238" t="s">
        <v>749</v>
      </c>
      <c r="I238">
        <v>1</v>
      </c>
      <c r="J238">
        <v>0</v>
      </c>
      <c r="K238" t="s">
        <v>17</v>
      </c>
    </row>
    <row r="239" spans="1:11" x14ac:dyDescent="0.2">
      <c r="A239" t="s">
        <v>750</v>
      </c>
      <c r="B239" t="s">
        <v>50</v>
      </c>
      <c r="C239" t="s">
        <v>102</v>
      </c>
      <c r="D239" t="s">
        <v>14</v>
      </c>
      <c r="E239">
        <v>477000</v>
      </c>
      <c r="F239">
        <v>157.74</v>
      </c>
      <c r="G239" t="s">
        <v>751</v>
      </c>
      <c r="H239" t="s">
        <v>752</v>
      </c>
      <c r="I239">
        <v>1</v>
      </c>
      <c r="J239">
        <v>0</v>
      </c>
      <c r="K239" t="s">
        <v>17</v>
      </c>
    </row>
    <row r="240" spans="1:11" x14ac:dyDescent="0.2">
      <c r="A240" t="s">
        <v>753</v>
      </c>
      <c r="B240" t="s">
        <v>63</v>
      </c>
      <c r="C240" t="s">
        <v>51</v>
      </c>
      <c r="D240" t="s">
        <v>21</v>
      </c>
      <c r="E240">
        <v>367000</v>
      </c>
      <c r="F240">
        <v>610.65</v>
      </c>
      <c r="G240" t="s">
        <v>754</v>
      </c>
      <c r="H240" t="s">
        <v>755</v>
      </c>
      <c r="I240">
        <v>1</v>
      </c>
      <c r="J240">
        <v>0</v>
      </c>
      <c r="K240" t="s">
        <v>17</v>
      </c>
    </row>
    <row r="241" spans="1:11" x14ac:dyDescent="0.2">
      <c r="A241" t="s">
        <v>756</v>
      </c>
      <c r="B241" t="s">
        <v>55</v>
      </c>
      <c r="C241" t="s">
        <v>20</v>
      </c>
      <c r="D241" t="s">
        <v>21</v>
      </c>
      <c r="E241">
        <v>555000</v>
      </c>
      <c r="F241">
        <v>923.46</v>
      </c>
      <c r="G241" t="s">
        <v>757</v>
      </c>
      <c r="H241" t="s">
        <v>758</v>
      </c>
      <c r="I241">
        <v>1</v>
      </c>
      <c r="J241">
        <v>0</v>
      </c>
      <c r="K241" t="s">
        <v>17</v>
      </c>
    </row>
    <row r="242" spans="1:11" x14ac:dyDescent="0.2">
      <c r="A242" t="s">
        <v>759</v>
      </c>
      <c r="B242" t="s">
        <v>77</v>
      </c>
      <c r="C242" t="s">
        <v>102</v>
      </c>
      <c r="D242" t="s">
        <v>14</v>
      </c>
      <c r="E242">
        <v>524000</v>
      </c>
      <c r="F242">
        <v>173.28</v>
      </c>
      <c r="G242" t="s">
        <v>760</v>
      </c>
      <c r="H242" t="s">
        <v>761</v>
      </c>
      <c r="I242">
        <v>1</v>
      </c>
      <c r="J242">
        <v>0</v>
      </c>
      <c r="K242" t="s">
        <v>17</v>
      </c>
    </row>
    <row r="243" spans="1:11" x14ac:dyDescent="0.2">
      <c r="A243" t="s">
        <v>762</v>
      </c>
      <c r="B243" t="s">
        <v>25</v>
      </c>
      <c r="C243" t="s">
        <v>13</v>
      </c>
      <c r="D243" t="s">
        <v>14</v>
      </c>
      <c r="E243">
        <v>2390000</v>
      </c>
      <c r="F243">
        <v>790.34</v>
      </c>
      <c r="G243" t="s">
        <v>763</v>
      </c>
      <c r="H243" t="s">
        <v>764</v>
      </c>
      <c r="I243">
        <v>1</v>
      </c>
      <c r="J243">
        <v>0</v>
      </c>
      <c r="K243" t="s">
        <v>17</v>
      </c>
    </row>
    <row r="244" spans="1:11" x14ac:dyDescent="0.2">
      <c r="A244" t="s">
        <v>765</v>
      </c>
      <c r="B244" t="s">
        <v>128</v>
      </c>
      <c r="C244" t="s">
        <v>26</v>
      </c>
      <c r="D244" t="s">
        <v>27</v>
      </c>
      <c r="E244">
        <v>1635000</v>
      </c>
      <c r="F244">
        <v>2720.47</v>
      </c>
      <c r="G244" t="s">
        <v>766</v>
      </c>
      <c r="H244" t="s">
        <v>767</v>
      </c>
      <c r="I244">
        <v>1</v>
      </c>
      <c r="J244">
        <v>0</v>
      </c>
      <c r="K244" t="s">
        <v>17</v>
      </c>
    </row>
    <row r="245" spans="1:11" x14ac:dyDescent="0.2">
      <c r="A245" t="s">
        <v>768</v>
      </c>
      <c r="B245" t="s">
        <v>91</v>
      </c>
      <c r="C245" t="s">
        <v>102</v>
      </c>
      <c r="D245" t="s">
        <v>14</v>
      </c>
      <c r="E245">
        <v>6017000</v>
      </c>
      <c r="F245">
        <v>1989.75</v>
      </c>
      <c r="G245" t="s">
        <v>769</v>
      </c>
      <c r="H245" t="s">
        <v>770</v>
      </c>
      <c r="I245">
        <v>1</v>
      </c>
      <c r="J245">
        <v>0</v>
      </c>
      <c r="K245" t="s">
        <v>17</v>
      </c>
    </row>
    <row r="246" spans="1:11" x14ac:dyDescent="0.2">
      <c r="A246" t="s">
        <v>771</v>
      </c>
      <c r="B246" t="s">
        <v>77</v>
      </c>
      <c r="C246" t="s">
        <v>20</v>
      </c>
      <c r="D246" t="s">
        <v>21</v>
      </c>
      <c r="E246">
        <v>1582000</v>
      </c>
      <c r="F246">
        <v>2632.28</v>
      </c>
      <c r="G246" t="s">
        <v>772</v>
      </c>
      <c r="H246" t="s">
        <v>773</v>
      </c>
      <c r="I246">
        <v>1</v>
      </c>
      <c r="J246">
        <v>0</v>
      </c>
      <c r="K246" t="s">
        <v>17</v>
      </c>
    </row>
    <row r="247" spans="1:11" x14ac:dyDescent="0.2">
      <c r="A247" t="s">
        <v>774</v>
      </c>
      <c r="B247" t="s">
        <v>55</v>
      </c>
      <c r="C247" t="s">
        <v>20</v>
      </c>
      <c r="D247" t="s">
        <v>21</v>
      </c>
      <c r="E247">
        <v>143000</v>
      </c>
      <c r="F247">
        <v>237.94</v>
      </c>
      <c r="G247" t="s">
        <v>775</v>
      </c>
      <c r="H247" t="s">
        <v>776</v>
      </c>
      <c r="I247">
        <v>1</v>
      </c>
      <c r="J247">
        <v>0</v>
      </c>
      <c r="K247" t="s">
        <v>17</v>
      </c>
    </row>
    <row r="248" spans="1:11" x14ac:dyDescent="0.2">
      <c r="A248" t="s">
        <v>777</v>
      </c>
      <c r="B248" t="s">
        <v>59</v>
      </c>
      <c r="C248" t="s">
        <v>26</v>
      </c>
      <c r="D248" t="s">
        <v>27</v>
      </c>
      <c r="E248">
        <v>354000</v>
      </c>
      <c r="F248">
        <v>589.02</v>
      </c>
      <c r="G248" t="s">
        <v>778</v>
      </c>
      <c r="H248" t="s">
        <v>779</v>
      </c>
      <c r="I248">
        <v>1</v>
      </c>
      <c r="J248">
        <v>0</v>
      </c>
      <c r="K248" t="s">
        <v>17</v>
      </c>
    </row>
    <row r="249" spans="1:11" x14ac:dyDescent="0.2">
      <c r="A249" t="s">
        <v>780</v>
      </c>
      <c r="B249" t="s">
        <v>55</v>
      </c>
      <c r="C249" t="s">
        <v>42</v>
      </c>
      <c r="D249" t="s">
        <v>27</v>
      </c>
      <c r="E249">
        <v>675000</v>
      </c>
      <c r="F249">
        <v>1123.1300000000001</v>
      </c>
      <c r="G249" t="s">
        <v>781</v>
      </c>
      <c r="H249" t="s">
        <v>782</v>
      </c>
      <c r="I249">
        <v>1</v>
      </c>
      <c r="J249">
        <v>0</v>
      </c>
      <c r="K249" t="s">
        <v>17</v>
      </c>
    </row>
    <row r="250" spans="1:11" x14ac:dyDescent="0.2">
      <c r="A250" t="s">
        <v>783</v>
      </c>
      <c r="B250" t="s">
        <v>50</v>
      </c>
      <c r="C250" t="s">
        <v>102</v>
      </c>
      <c r="D250" t="s">
        <v>14</v>
      </c>
      <c r="E250">
        <v>649000</v>
      </c>
      <c r="F250">
        <v>214.62</v>
      </c>
      <c r="G250" t="s">
        <v>784</v>
      </c>
      <c r="H250" t="s">
        <v>785</v>
      </c>
      <c r="I250">
        <v>1</v>
      </c>
      <c r="J250">
        <v>0</v>
      </c>
      <c r="K250" t="s">
        <v>17</v>
      </c>
    </row>
    <row r="251" spans="1:11" x14ac:dyDescent="0.2">
      <c r="A251" t="s">
        <v>786</v>
      </c>
      <c r="B251" t="s">
        <v>25</v>
      </c>
      <c r="C251" t="s">
        <v>102</v>
      </c>
      <c r="D251" t="s">
        <v>14</v>
      </c>
      <c r="E251">
        <v>1355000</v>
      </c>
      <c r="F251">
        <v>448.08</v>
      </c>
      <c r="G251" t="s">
        <v>787</v>
      </c>
      <c r="H251" t="s">
        <v>788</v>
      </c>
      <c r="I251">
        <v>1</v>
      </c>
      <c r="J251">
        <v>0</v>
      </c>
      <c r="K251" t="s">
        <v>17</v>
      </c>
    </row>
    <row r="252" spans="1:11" x14ac:dyDescent="0.2">
      <c r="A252" t="s">
        <v>789</v>
      </c>
      <c r="B252" t="s">
        <v>139</v>
      </c>
      <c r="C252" t="s">
        <v>13</v>
      </c>
      <c r="D252" t="s">
        <v>14</v>
      </c>
      <c r="E252">
        <v>4230000</v>
      </c>
      <c r="F252">
        <v>1398.81</v>
      </c>
      <c r="G252" t="s">
        <v>790</v>
      </c>
      <c r="H252" t="s">
        <v>791</v>
      </c>
      <c r="I252">
        <v>1</v>
      </c>
      <c r="J252">
        <v>0</v>
      </c>
      <c r="K252" t="s">
        <v>17</v>
      </c>
    </row>
    <row r="253" spans="1:11" x14ac:dyDescent="0.2">
      <c r="A253" t="s">
        <v>792</v>
      </c>
      <c r="B253" t="s">
        <v>35</v>
      </c>
      <c r="C253" t="s">
        <v>42</v>
      </c>
      <c r="D253" t="s">
        <v>27</v>
      </c>
      <c r="E253">
        <v>376000</v>
      </c>
      <c r="F253">
        <v>625.62</v>
      </c>
      <c r="G253" t="s">
        <v>793</v>
      </c>
      <c r="H253" t="s">
        <v>794</v>
      </c>
      <c r="I253">
        <v>1</v>
      </c>
      <c r="J253">
        <v>0</v>
      </c>
      <c r="K253" t="s">
        <v>17</v>
      </c>
    </row>
    <row r="254" spans="1:11" x14ac:dyDescent="0.2">
      <c r="A254" t="s">
        <v>795</v>
      </c>
      <c r="B254" t="s">
        <v>135</v>
      </c>
      <c r="C254" t="s">
        <v>51</v>
      </c>
      <c r="D254" t="s">
        <v>21</v>
      </c>
      <c r="E254">
        <v>611000</v>
      </c>
      <c r="F254">
        <v>1016.64</v>
      </c>
      <c r="G254" t="s">
        <v>796</v>
      </c>
      <c r="H254" t="s">
        <v>797</v>
      </c>
      <c r="I254">
        <v>1</v>
      </c>
      <c r="J254">
        <v>0</v>
      </c>
      <c r="K254" t="s">
        <v>17</v>
      </c>
    </row>
    <row r="255" spans="1:11" x14ac:dyDescent="0.2">
      <c r="A255" t="s">
        <v>798</v>
      </c>
      <c r="B255" t="s">
        <v>98</v>
      </c>
      <c r="C255" t="s">
        <v>42</v>
      </c>
      <c r="D255" t="s">
        <v>27</v>
      </c>
      <c r="E255">
        <v>274000</v>
      </c>
      <c r="F255">
        <v>455.91</v>
      </c>
      <c r="G255" t="s">
        <v>799</v>
      </c>
      <c r="H255" t="s">
        <v>800</v>
      </c>
      <c r="I255">
        <v>1</v>
      </c>
      <c r="J255">
        <v>0</v>
      </c>
      <c r="K255" t="s">
        <v>17</v>
      </c>
    </row>
    <row r="256" spans="1:11" x14ac:dyDescent="0.2">
      <c r="A256" t="s">
        <v>801</v>
      </c>
      <c r="B256" t="s">
        <v>35</v>
      </c>
      <c r="C256" t="s">
        <v>51</v>
      </c>
      <c r="D256" t="s">
        <v>21</v>
      </c>
      <c r="E256">
        <v>208000</v>
      </c>
      <c r="F256">
        <v>346.09</v>
      </c>
      <c r="G256" t="s">
        <v>802</v>
      </c>
      <c r="H256" t="s">
        <v>803</v>
      </c>
      <c r="I256">
        <v>1</v>
      </c>
      <c r="J256">
        <v>0</v>
      </c>
      <c r="K256" t="s">
        <v>17</v>
      </c>
    </row>
    <row r="257" spans="1:11" x14ac:dyDescent="0.2">
      <c r="A257" t="s">
        <v>804</v>
      </c>
      <c r="B257" t="s">
        <v>98</v>
      </c>
      <c r="C257" t="s">
        <v>102</v>
      </c>
      <c r="D257" t="s">
        <v>14</v>
      </c>
      <c r="E257">
        <v>1251000</v>
      </c>
      <c r="F257">
        <v>413.69</v>
      </c>
      <c r="G257" t="s">
        <v>805</v>
      </c>
      <c r="H257" t="s">
        <v>806</v>
      </c>
      <c r="I257">
        <v>1</v>
      </c>
      <c r="J257">
        <v>0</v>
      </c>
      <c r="K257" t="s">
        <v>17</v>
      </c>
    </row>
    <row r="258" spans="1:11" x14ac:dyDescent="0.2">
      <c r="A258" t="s">
        <v>807</v>
      </c>
      <c r="B258" t="s">
        <v>135</v>
      </c>
      <c r="C258" t="s">
        <v>26</v>
      </c>
      <c r="D258" t="s">
        <v>27</v>
      </c>
      <c r="E258">
        <v>168000</v>
      </c>
      <c r="F258">
        <v>279.52999999999997</v>
      </c>
      <c r="G258" t="s">
        <v>808</v>
      </c>
      <c r="H258" t="s">
        <v>809</v>
      </c>
      <c r="I258">
        <v>1</v>
      </c>
      <c r="J258">
        <v>0</v>
      </c>
      <c r="K258" t="s">
        <v>17</v>
      </c>
    </row>
    <row r="259" spans="1:11" x14ac:dyDescent="0.2">
      <c r="A259" t="s">
        <v>810</v>
      </c>
      <c r="B259" t="s">
        <v>67</v>
      </c>
      <c r="C259" t="s">
        <v>102</v>
      </c>
      <c r="D259" t="s">
        <v>14</v>
      </c>
      <c r="E259">
        <v>1471000</v>
      </c>
      <c r="F259">
        <v>486.44</v>
      </c>
      <c r="G259" t="s">
        <v>811</v>
      </c>
      <c r="H259" t="s">
        <v>812</v>
      </c>
      <c r="I259">
        <v>1</v>
      </c>
      <c r="J259">
        <v>0</v>
      </c>
      <c r="K259" t="s">
        <v>17</v>
      </c>
    </row>
    <row r="260" spans="1:11" x14ac:dyDescent="0.2">
      <c r="A260" t="s">
        <v>813</v>
      </c>
      <c r="B260" t="s">
        <v>91</v>
      </c>
      <c r="C260" t="s">
        <v>51</v>
      </c>
      <c r="D260" t="s">
        <v>21</v>
      </c>
      <c r="E260">
        <v>728000</v>
      </c>
      <c r="F260">
        <v>1211.31</v>
      </c>
      <c r="G260" t="s">
        <v>814</v>
      </c>
      <c r="H260" t="s">
        <v>815</v>
      </c>
      <c r="I260">
        <v>1</v>
      </c>
      <c r="J260">
        <v>0</v>
      </c>
      <c r="K260" t="s">
        <v>17</v>
      </c>
    </row>
    <row r="261" spans="1:11" x14ac:dyDescent="0.2">
      <c r="A261" t="s">
        <v>816</v>
      </c>
      <c r="B261" t="s">
        <v>67</v>
      </c>
      <c r="C261" t="s">
        <v>26</v>
      </c>
      <c r="D261" t="s">
        <v>27</v>
      </c>
      <c r="E261">
        <v>536000</v>
      </c>
      <c r="F261">
        <v>891.85</v>
      </c>
      <c r="G261" t="s">
        <v>817</v>
      </c>
      <c r="H261" t="s">
        <v>818</v>
      </c>
      <c r="I261">
        <v>1</v>
      </c>
      <c r="J261">
        <v>0</v>
      </c>
      <c r="K261" t="s">
        <v>17</v>
      </c>
    </row>
    <row r="262" spans="1:11" x14ac:dyDescent="0.2">
      <c r="A262" t="s">
        <v>819</v>
      </c>
      <c r="B262" t="s">
        <v>98</v>
      </c>
      <c r="C262" t="s">
        <v>42</v>
      </c>
      <c r="D262" t="s">
        <v>27</v>
      </c>
      <c r="E262">
        <v>251000</v>
      </c>
      <c r="F262">
        <v>417.64</v>
      </c>
      <c r="G262" t="s">
        <v>820</v>
      </c>
      <c r="H262" t="s">
        <v>821</v>
      </c>
      <c r="I262">
        <v>1</v>
      </c>
      <c r="J262">
        <v>0</v>
      </c>
      <c r="K262" t="s">
        <v>17</v>
      </c>
    </row>
    <row r="263" spans="1:11" x14ac:dyDescent="0.2">
      <c r="A263" t="s">
        <v>822</v>
      </c>
      <c r="B263" t="s">
        <v>55</v>
      </c>
      <c r="C263" t="s">
        <v>102</v>
      </c>
      <c r="D263" t="s">
        <v>14</v>
      </c>
      <c r="E263">
        <v>1533000</v>
      </c>
      <c r="F263">
        <v>506.94</v>
      </c>
      <c r="G263" t="s">
        <v>823</v>
      </c>
      <c r="H263" t="s">
        <v>824</v>
      </c>
      <c r="I263">
        <v>1</v>
      </c>
      <c r="J263">
        <v>0</v>
      </c>
      <c r="K263" t="s">
        <v>17</v>
      </c>
    </row>
    <row r="264" spans="1:11" x14ac:dyDescent="0.2">
      <c r="A264" t="s">
        <v>825</v>
      </c>
      <c r="B264" t="s">
        <v>106</v>
      </c>
      <c r="C264" t="s">
        <v>13</v>
      </c>
      <c r="D264" t="s">
        <v>14</v>
      </c>
      <c r="E264">
        <v>2104000</v>
      </c>
      <c r="F264">
        <v>695.77</v>
      </c>
      <c r="G264" t="s">
        <v>826</v>
      </c>
      <c r="H264" t="s">
        <v>827</v>
      </c>
      <c r="I264">
        <v>1</v>
      </c>
      <c r="J264">
        <v>0</v>
      </c>
      <c r="K264" t="s">
        <v>17</v>
      </c>
    </row>
    <row r="265" spans="1:11" x14ac:dyDescent="0.2">
      <c r="A265" t="s">
        <v>828</v>
      </c>
      <c r="B265" t="s">
        <v>135</v>
      </c>
      <c r="C265" t="s">
        <v>13</v>
      </c>
      <c r="D265" t="s">
        <v>14</v>
      </c>
      <c r="E265">
        <v>1319000</v>
      </c>
      <c r="F265">
        <v>436.18</v>
      </c>
      <c r="G265" t="s">
        <v>829</v>
      </c>
      <c r="H265" t="s">
        <v>830</v>
      </c>
      <c r="I265">
        <v>1</v>
      </c>
      <c r="J265">
        <v>0</v>
      </c>
      <c r="K265" t="s">
        <v>17</v>
      </c>
    </row>
    <row r="266" spans="1:11" x14ac:dyDescent="0.2">
      <c r="A266" t="s">
        <v>831</v>
      </c>
      <c r="B266" t="s">
        <v>87</v>
      </c>
      <c r="C266" t="s">
        <v>20</v>
      </c>
      <c r="D266" t="s">
        <v>21</v>
      </c>
      <c r="E266">
        <v>182000</v>
      </c>
      <c r="F266">
        <v>302.83</v>
      </c>
      <c r="G266" t="s">
        <v>832</v>
      </c>
      <c r="H266" t="s">
        <v>833</v>
      </c>
      <c r="I266">
        <v>1</v>
      </c>
      <c r="J266">
        <v>0</v>
      </c>
      <c r="K266" t="s">
        <v>17</v>
      </c>
    </row>
    <row r="267" spans="1:11" x14ac:dyDescent="0.2">
      <c r="A267" t="s">
        <v>834</v>
      </c>
      <c r="B267" t="s">
        <v>55</v>
      </c>
      <c r="C267" t="s">
        <v>102</v>
      </c>
      <c r="D267" t="s">
        <v>14</v>
      </c>
      <c r="E267">
        <v>720000</v>
      </c>
      <c r="F267">
        <v>238.1</v>
      </c>
      <c r="G267" t="s">
        <v>835</v>
      </c>
      <c r="H267" t="s">
        <v>836</v>
      </c>
      <c r="I267">
        <v>1</v>
      </c>
      <c r="J267">
        <v>0</v>
      </c>
      <c r="K267" t="s">
        <v>17</v>
      </c>
    </row>
    <row r="268" spans="1:11" x14ac:dyDescent="0.2">
      <c r="A268" t="s">
        <v>837</v>
      </c>
      <c r="B268" t="s">
        <v>106</v>
      </c>
      <c r="C268" t="s">
        <v>20</v>
      </c>
      <c r="D268" t="s">
        <v>21</v>
      </c>
      <c r="E268">
        <v>181000</v>
      </c>
      <c r="F268">
        <v>301.16000000000003</v>
      </c>
      <c r="G268" t="s">
        <v>838</v>
      </c>
      <c r="H268" t="s">
        <v>839</v>
      </c>
      <c r="I268">
        <v>1</v>
      </c>
      <c r="J268">
        <v>0</v>
      </c>
      <c r="K268" t="s">
        <v>17</v>
      </c>
    </row>
    <row r="269" spans="1:11" x14ac:dyDescent="0.2">
      <c r="A269" t="s">
        <v>840</v>
      </c>
      <c r="B269" t="s">
        <v>31</v>
      </c>
      <c r="C269" t="s">
        <v>42</v>
      </c>
      <c r="D269" t="s">
        <v>27</v>
      </c>
      <c r="E269">
        <v>1338000</v>
      </c>
      <c r="F269">
        <v>2226.29</v>
      </c>
      <c r="G269" t="s">
        <v>841</v>
      </c>
      <c r="H269" t="s">
        <v>842</v>
      </c>
      <c r="I269">
        <v>1</v>
      </c>
      <c r="J269">
        <v>0</v>
      </c>
      <c r="K269" t="s">
        <v>17</v>
      </c>
    </row>
    <row r="270" spans="1:11" x14ac:dyDescent="0.2">
      <c r="A270" t="s">
        <v>843</v>
      </c>
      <c r="B270" t="s">
        <v>35</v>
      </c>
      <c r="C270" t="s">
        <v>20</v>
      </c>
      <c r="D270" t="s">
        <v>21</v>
      </c>
      <c r="E270">
        <v>341000</v>
      </c>
      <c r="F270">
        <v>567.39</v>
      </c>
      <c r="G270" t="s">
        <v>844</v>
      </c>
      <c r="H270" t="s">
        <v>845</v>
      </c>
      <c r="I270">
        <v>1</v>
      </c>
      <c r="J270">
        <v>0</v>
      </c>
      <c r="K270" t="s">
        <v>17</v>
      </c>
    </row>
    <row r="271" spans="1:11" x14ac:dyDescent="0.2">
      <c r="A271" t="s">
        <v>846</v>
      </c>
      <c r="B271" t="s">
        <v>63</v>
      </c>
      <c r="C271" t="s">
        <v>102</v>
      </c>
      <c r="D271" t="s">
        <v>14</v>
      </c>
      <c r="E271">
        <v>2366000</v>
      </c>
      <c r="F271">
        <v>782.41</v>
      </c>
      <c r="G271" t="s">
        <v>847</v>
      </c>
      <c r="H271" t="s">
        <v>848</v>
      </c>
      <c r="I271">
        <v>1</v>
      </c>
      <c r="J271">
        <v>0</v>
      </c>
      <c r="K271" t="s">
        <v>17</v>
      </c>
    </row>
    <row r="272" spans="1:11" x14ac:dyDescent="0.2">
      <c r="A272" t="s">
        <v>849</v>
      </c>
      <c r="B272" t="s">
        <v>139</v>
      </c>
      <c r="C272" t="s">
        <v>42</v>
      </c>
      <c r="D272" t="s">
        <v>27</v>
      </c>
      <c r="E272">
        <v>1070000</v>
      </c>
      <c r="F272">
        <v>1780.37</v>
      </c>
      <c r="G272" t="s">
        <v>850</v>
      </c>
      <c r="H272" t="s">
        <v>851</v>
      </c>
      <c r="I272">
        <v>1</v>
      </c>
      <c r="J272">
        <v>0</v>
      </c>
      <c r="K272" t="s">
        <v>17</v>
      </c>
    </row>
    <row r="273" spans="1:11" x14ac:dyDescent="0.2">
      <c r="A273" t="s">
        <v>852</v>
      </c>
      <c r="B273" t="s">
        <v>55</v>
      </c>
      <c r="C273" t="s">
        <v>20</v>
      </c>
      <c r="D273" t="s">
        <v>21</v>
      </c>
      <c r="E273">
        <v>1022000</v>
      </c>
      <c r="F273">
        <v>1700.5</v>
      </c>
      <c r="G273" t="s">
        <v>853</v>
      </c>
      <c r="H273" t="s">
        <v>854</v>
      </c>
      <c r="I273">
        <v>1</v>
      </c>
      <c r="J273">
        <v>0</v>
      </c>
      <c r="K273" t="s">
        <v>17</v>
      </c>
    </row>
    <row r="274" spans="1:11" x14ac:dyDescent="0.2">
      <c r="A274" t="s">
        <v>855</v>
      </c>
      <c r="B274" t="s">
        <v>31</v>
      </c>
      <c r="C274" t="s">
        <v>26</v>
      </c>
      <c r="D274" t="s">
        <v>27</v>
      </c>
      <c r="E274">
        <v>571000</v>
      </c>
      <c r="F274">
        <v>950.08</v>
      </c>
      <c r="G274" t="s">
        <v>856</v>
      </c>
      <c r="H274" t="s">
        <v>857</v>
      </c>
      <c r="I274">
        <v>1</v>
      </c>
      <c r="J274">
        <v>0</v>
      </c>
      <c r="K274" t="s">
        <v>17</v>
      </c>
    </row>
    <row r="275" spans="1:11" x14ac:dyDescent="0.2">
      <c r="A275" t="s">
        <v>858</v>
      </c>
      <c r="B275" t="s">
        <v>135</v>
      </c>
      <c r="C275" t="s">
        <v>26</v>
      </c>
      <c r="D275" t="s">
        <v>27</v>
      </c>
      <c r="E275">
        <v>289000</v>
      </c>
      <c r="F275">
        <v>480.87</v>
      </c>
      <c r="G275" t="s">
        <v>859</v>
      </c>
      <c r="H275" t="s">
        <v>860</v>
      </c>
      <c r="I275">
        <v>1</v>
      </c>
      <c r="J275">
        <v>0</v>
      </c>
      <c r="K275" t="s">
        <v>17</v>
      </c>
    </row>
    <row r="276" spans="1:11" x14ac:dyDescent="0.2">
      <c r="A276" t="s">
        <v>861</v>
      </c>
      <c r="B276" t="s">
        <v>59</v>
      </c>
      <c r="C276" t="s">
        <v>42</v>
      </c>
      <c r="D276" t="s">
        <v>27</v>
      </c>
      <c r="E276">
        <v>1523000</v>
      </c>
      <c r="F276">
        <v>2534.11</v>
      </c>
      <c r="G276" t="s">
        <v>862</v>
      </c>
      <c r="H276" t="s">
        <v>863</v>
      </c>
      <c r="I276">
        <v>1</v>
      </c>
      <c r="J276">
        <v>0</v>
      </c>
      <c r="K276" t="s">
        <v>17</v>
      </c>
    </row>
    <row r="277" spans="1:11" x14ac:dyDescent="0.2">
      <c r="A277" t="s">
        <v>864</v>
      </c>
      <c r="B277" t="s">
        <v>67</v>
      </c>
      <c r="C277" t="s">
        <v>13</v>
      </c>
      <c r="D277" t="s">
        <v>14</v>
      </c>
      <c r="E277">
        <v>2101000</v>
      </c>
      <c r="F277">
        <v>694.78</v>
      </c>
      <c r="G277" t="s">
        <v>865</v>
      </c>
      <c r="H277" t="s">
        <v>866</v>
      </c>
      <c r="I277">
        <v>1</v>
      </c>
      <c r="J277">
        <v>0</v>
      </c>
      <c r="K277" t="s">
        <v>17</v>
      </c>
    </row>
    <row r="278" spans="1:11" x14ac:dyDescent="0.2">
      <c r="A278" t="s">
        <v>867</v>
      </c>
      <c r="B278" t="s">
        <v>55</v>
      </c>
      <c r="C278" t="s">
        <v>102</v>
      </c>
      <c r="D278" t="s">
        <v>14</v>
      </c>
      <c r="E278">
        <v>3254000</v>
      </c>
      <c r="F278">
        <v>1076.06</v>
      </c>
      <c r="G278" t="s">
        <v>868</v>
      </c>
      <c r="H278" t="s">
        <v>869</v>
      </c>
      <c r="I278">
        <v>1</v>
      </c>
      <c r="J278">
        <v>0</v>
      </c>
      <c r="K278" t="s">
        <v>17</v>
      </c>
    </row>
    <row r="279" spans="1:11" x14ac:dyDescent="0.2">
      <c r="A279" t="s">
        <v>870</v>
      </c>
      <c r="B279" t="s">
        <v>135</v>
      </c>
      <c r="C279" t="s">
        <v>42</v>
      </c>
      <c r="D279" t="s">
        <v>27</v>
      </c>
      <c r="E279">
        <v>366000</v>
      </c>
      <c r="F279">
        <v>608.99</v>
      </c>
      <c r="G279" t="s">
        <v>871</v>
      </c>
      <c r="H279" t="s">
        <v>872</v>
      </c>
      <c r="I279">
        <v>1</v>
      </c>
      <c r="J279">
        <v>0</v>
      </c>
      <c r="K279" t="s">
        <v>17</v>
      </c>
    </row>
    <row r="280" spans="1:11" x14ac:dyDescent="0.2">
      <c r="A280" t="s">
        <v>873</v>
      </c>
      <c r="B280" t="s">
        <v>135</v>
      </c>
      <c r="C280" t="s">
        <v>13</v>
      </c>
      <c r="D280" t="s">
        <v>14</v>
      </c>
      <c r="E280">
        <v>854000</v>
      </c>
      <c r="F280">
        <v>282.41000000000003</v>
      </c>
      <c r="G280" t="s">
        <v>874</v>
      </c>
      <c r="H280" t="s">
        <v>875</v>
      </c>
      <c r="I280">
        <v>1</v>
      </c>
      <c r="J280">
        <v>0</v>
      </c>
      <c r="K280" t="s">
        <v>17</v>
      </c>
    </row>
    <row r="281" spans="1:11" x14ac:dyDescent="0.2">
      <c r="A281" t="s">
        <v>876</v>
      </c>
      <c r="B281" t="s">
        <v>31</v>
      </c>
      <c r="C281" t="s">
        <v>51</v>
      </c>
      <c r="D281" t="s">
        <v>21</v>
      </c>
      <c r="E281">
        <v>513000</v>
      </c>
      <c r="F281">
        <v>853.58</v>
      </c>
      <c r="G281" t="s">
        <v>877</v>
      </c>
      <c r="H281" t="s">
        <v>878</v>
      </c>
      <c r="I281">
        <v>1</v>
      </c>
      <c r="J281">
        <v>0</v>
      </c>
      <c r="K281" t="s">
        <v>17</v>
      </c>
    </row>
    <row r="282" spans="1:11" x14ac:dyDescent="0.2">
      <c r="A282" t="s">
        <v>879</v>
      </c>
      <c r="B282" t="s">
        <v>139</v>
      </c>
      <c r="C282" t="s">
        <v>42</v>
      </c>
      <c r="D282" t="s">
        <v>27</v>
      </c>
      <c r="E282">
        <v>2047000</v>
      </c>
      <c r="F282">
        <v>3405.99</v>
      </c>
      <c r="G282" t="s">
        <v>880</v>
      </c>
      <c r="H282" t="s">
        <v>881</v>
      </c>
      <c r="I282">
        <v>1</v>
      </c>
      <c r="J282">
        <v>0</v>
      </c>
      <c r="K282" t="s">
        <v>17</v>
      </c>
    </row>
    <row r="283" spans="1:11" x14ac:dyDescent="0.2">
      <c r="A283" t="s">
        <v>882</v>
      </c>
      <c r="B283" t="s">
        <v>143</v>
      </c>
      <c r="C283" t="s">
        <v>102</v>
      </c>
      <c r="D283" t="s">
        <v>14</v>
      </c>
      <c r="E283">
        <v>3284000</v>
      </c>
      <c r="F283">
        <v>1085.98</v>
      </c>
      <c r="G283" t="s">
        <v>883</v>
      </c>
      <c r="H283" t="s">
        <v>884</v>
      </c>
      <c r="I283">
        <v>1</v>
      </c>
      <c r="J283">
        <v>0</v>
      </c>
      <c r="K283" t="s">
        <v>17</v>
      </c>
    </row>
    <row r="284" spans="1:11" x14ac:dyDescent="0.2">
      <c r="A284" t="s">
        <v>885</v>
      </c>
      <c r="B284" t="s">
        <v>50</v>
      </c>
      <c r="C284" t="s">
        <v>102</v>
      </c>
      <c r="D284" t="s">
        <v>14</v>
      </c>
      <c r="E284">
        <v>3246000</v>
      </c>
      <c r="F284">
        <v>1073.4100000000001</v>
      </c>
      <c r="I284">
        <v>0</v>
      </c>
      <c r="J284">
        <v>0</v>
      </c>
      <c r="K284" t="s">
        <v>376</v>
      </c>
    </row>
    <row r="285" spans="1:11" x14ac:dyDescent="0.2">
      <c r="A285" t="s">
        <v>886</v>
      </c>
      <c r="B285" t="s">
        <v>91</v>
      </c>
      <c r="C285" t="s">
        <v>26</v>
      </c>
      <c r="D285" t="s">
        <v>27</v>
      </c>
      <c r="E285">
        <v>407000</v>
      </c>
      <c r="F285">
        <v>677.2</v>
      </c>
      <c r="G285" t="s">
        <v>887</v>
      </c>
      <c r="H285" t="s">
        <v>888</v>
      </c>
      <c r="I285">
        <v>1</v>
      </c>
      <c r="J285">
        <v>0</v>
      </c>
      <c r="K285" t="s">
        <v>17</v>
      </c>
    </row>
    <row r="286" spans="1:11" x14ac:dyDescent="0.2">
      <c r="A286" t="s">
        <v>889</v>
      </c>
      <c r="B286" t="s">
        <v>106</v>
      </c>
      <c r="C286" t="s">
        <v>20</v>
      </c>
      <c r="D286" t="s">
        <v>21</v>
      </c>
      <c r="E286">
        <v>932000</v>
      </c>
      <c r="F286">
        <v>1550.75</v>
      </c>
      <c r="G286" t="s">
        <v>890</v>
      </c>
      <c r="H286" t="s">
        <v>891</v>
      </c>
      <c r="I286">
        <v>1</v>
      </c>
      <c r="J286">
        <v>0</v>
      </c>
      <c r="K286" t="s">
        <v>17</v>
      </c>
    </row>
    <row r="287" spans="1:11" x14ac:dyDescent="0.2">
      <c r="A287" t="s">
        <v>892</v>
      </c>
      <c r="B287" t="s">
        <v>77</v>
      </c>
      <c r="C287" t="s">
        <v>42</v>
      </c>
      <c r="D287" t="s">
        <v>27</v>
      </c>
      <c r="E287">
        <v>136000</v>
      </c>
      <c r="F287">
        <v>226.29</v>
      </c>
      <c r="G287" t="s">
        <v>893</v>
      </c>
      <c r="H287" t="s">
        <v>894</v>
      </c>
      <c r="I287">
        <v>1</v>
      </c>
      <c r="J287">
        <v>0</v>
      </c>
      <c r="K287" t="s">
        <v>17</v>
      </c>
    </row>
    <row r="288" spans="1:11" x14ac:dyDescent="0.2">
      <c r="A288" t="s">
        <v>895</v>
      </c>
      <c r="B288" t="s">
        <v>139</v>
      </c>
      <c r="C288" t="s">
        <v>51</v>
      </c>
      <c r="D288" t="s">
        <v>21</v>
      </c>
      <c r="E288">
        <v>470000</v>
      </c>
      <c r="F288">
        <v>782.03</v>
      </c>
      <c r="G288" t="s">
        <v>896</v>
      </c>
      <c r="H288" t="s">
        <v>897</v>
      </c>
      <c r="I288">
        <v>1</v>
      </c>
      <c r="J288">
        <v>0</v>
      </c>
      <c r="K288" t="s">
        <v>17</v>
      </c>
    </row>
    <row r="289" spans="1:11" x14ac:dyDescent="0.2">
      <c r="A289" t="s">
        <v>898</v>
      </c>
      <c r="B289" t="s">
        <v>106</v>
      </c>
      <c r="C289" t="s">
        <v>13</v>
      </c>
      <c r="D289" t="s">
        <v>14</v>
      </c>
      <c r="E289">
        <v>3202000</v>
      </c>
      <c r="F289">
        <v>1058.8599999999999</v>
      </c>
      <c r="G289" t="s">
        <v>899</v>
      </c>
      <c r="H289" t="s">
        <v>900</v>
      </c>
      <c r="I289">
        <v>1</v>
      </c>
      <c r="J289">
        <v>0</v>
      </c>
      <c r="K289" t="s">
        <v>17</v>
      </c>
    </row>
    <row r="290" spans="1:11" x14ac:dyDescent="0.2">
      <c r="A290" t="s">
        <v>901</v>
      </c>
      <c r="B290" t="s">
        <v>19</v>
      </c>
      <c r="C290" t="s">
        <v>51</v>
      </c>
      <c r="D290" t="s">
        <v>21</v>
      </c>
      <c r="E290">
        <v>862000</v>
      </c>
      <c r="F290">
        <v>1434.28</v>
      </c>
      <c r="G290" t="s">
        <v>902</v>
      </c>
      <c r="H290" t="s">
        <v>903</v>
      </c>
      <c r="I290">
        <v>1</v>
      </c>
      <c r="J290">
        <v>0</v>
      </c>
      <c r="K290" t="s">
        <v>17</v>
      </c>
    </row>
    <row r="291" spans="1:11" x14ac:dyDescent="0.2">
      <c r="A291" t="s">
        <v>904</v>
      </c>
      <c r="B291" t="s">
        <v>91</v>
      </c>
      <c r="C291" t="s">
        <v>42</v>
      </c>
      <c r="D291" t="s">
        <v>27</v>
      </c>
      <c r="E291">
        <v>1024000</v>
      </c>
      <c r="F291">
        <v>1703.83</v>
      </c>
      <c r="G291" t="s">
        <v>905</v>
      </c>
      <c r="H291" t="s">
        <v>906</v>
      </c>
      <c r="I291">
        <v>1</v>
      </c>
      <c r="J291">
        <v>0</v>
      </c>
      <c r="K291" t="s">
        <v>17</v>
      </c>
    </row>
    <row r="292" spans="1:11" x14ac:dyDescent="0.2">
      <c r="A292" t="s">
        <v>907</v>
      </c>
      <c r="B292" t="s">
        <v>91</v>
      </c>
      <c r="C292" t="s">
        <v>13</v>
      </c>
      <c r="D292" t="s">
        <v>14</v>
      </c>
      <c r="E292">
        <v>2481000</v>
      </c>
      <c r="F292">
        <v>820.44</v>
      </c>
      <c r="G292" t="s">
        <v>908</v>
      </c>
      <c r="H292" t="s">
        <v>909</v>
      </c>
      <c r="I292">
        <v>1</v>
      </c>
      <c r="J292">
        <v>0</v>
      </c>
      <c r="K292" t="s">
        <v>17</v>
      </c>
    </row>
    <row r="293" spans="1:11" x14ac:dyDescent="0.2">
      <c r="A293" t="s">
        <v>910</v>
      </c>
      <c r="B293" t="s">
        <v>77</v>
      </c>
      <c r="C293" t="s">
        <v>26</v>
      </c>
      <c r="D293" t="s">
        <v>27</v>
      </c>
      <c r="E293">
        <v>485000</v>
      </c>
      <c r="F293">
        <v>806.99</v>
      </c>
      <c r="G293" t="s">
        <v>911</v>
      </c>
      <c r="H293" t="s">
        <v>912</v>
      </c>
      <c r="I293">
        <v>1</v>
      </c>
      <c r="J293">
        <v>0</v>
      </c>
      <c r="K293" t="s">
        <v>17</v>
      </c>
    </row>
    <row r="294" spans="1:11" x14ac:dyDescent="0.2">
      <c r="A294" t="s">
        <v>913</v>
      </c>
      <c r="B294" t="s">
        <v>59</v>
      </c>
      <c r="C294" t="s">
        <v>13</v>
      </c>
      <c r="D294" t="s">
        <v>14</v>
      </c>
      <c r="E294">
        <v>2876000</v>
      </c>
      <c r="F294">
        <v>951.06</v>
      </c>
      <c r="G294" t="s">
        <v>914</v>
      </c>
      <c r="H294" t="s">
        <v>915</v>
      </c>
      <c r="I294">
        <v>1</v>
      </c>
      <c r="J294">
        <v>0</v>
      </c>
      <c r="K294" t="s">
        <v>17</v>
      </c>
    </row>
    <row r="295" spans="1:11" x14ac:dyDescent="0.2">
      <c r="A295" t="s">
        <v>916</v>
      </c>
      <c r="B295" t="s">
        <v>59</v>
      </c>
      <c r="C295" t="s">
        <v>20</v>
      </c>
      <c r="D295" t="s">
        <v>21</v>
      </c>
      <c r="E295">
        <v>483000</v>
      </c>
      <c r="F295">
        <v>803.66</v>
      </c>
      <c r="G295" t="s">
        <v>917</v>
      </c>
      <c r="H295" t="s">
        <v>918</v>
      </c>
      <c r="I295">
        <v>1</v>
      </c>
      <c r="J295">
        <v>0</v>
      </c>
      <c r="K295" t="s">
        <v>17</v>
      </c>
    </row>
    <row r="296" spans="1:11" x14ac:dyDescent="0.2">
      <c r="A296" t="s">
        <v>919</v>
      </c>
      <c r="B296" t="s">
        <v>59</v>
      </c>
      <c r="C296" t="s">
        <v>20</v>
      </c>
      <c r="D296" t="s">
        <v>21</v>
      </c>
      <c r="E296">
        <v>177000</v>
      </c>
      <c r="F296">
        <v>294.51</v>
      </c>
      <c r="G296" t="s">
        <v>920</v>
      </c>
      <c r="H296" t="s">
        <v>921</v>
      </c>
      <c r="I296">
        <v>1</v>
      </c>
      <c r="J296">
        <v>0</v>
      </c>
      <c r="K296" t="s">
        <v>17</v>
      </c>
    </row>
    <row r="297" spans="1:11" x14ac:dyDescent="0.2">
      <c r="A297" t="s">
        <v>922</v>
      </c>
      <c r="B297" t="s">
        <v>98</v>
      </c>
      <c r="C297" t="s">
        <v>13</v>
      </c>
      <c r="D297" t="s">
        <v>14</v>
      </c>
      <c r="E297">
        <v>2059000</v>
      </c>
      <c r="F297">
        <v>680.89</v>
      </c>
      <c r="G297" t="s">
        <v>923</v>
      </c>
      <c r="H297" t="s">
        <v>924</v>
      </c>
      <c r="I297">
        <v>1</v>
      </c>
      <c r="J297">
        <v>0</v>
      </c>
      <c r="K297" t="s">
        <v>17</v>
      </c>
    </row>
    <row r="298" spans="1:11" x14ac:dyDescent="0.2">
      <c r="A298" t="s">
        <v>925</v>
      </c>
      <c r="B298" t="s">
        <v>50</v>
      </c>
      <c r="C298" t="s">
        <v>26</v>
      </c>
      <c r="D298" t="s">
        <v>27</v>
      </c>
      <c r="E298">
        <v>700000</v>
      </c>
      <c r="F298">
        <v>1164.73</v>
      </c>
      <c r="G298" t="s">
        <v>926</v>
      </c>
      <c r="H298" t="s">
        <v>927</v>
      </c>
      <c r="I298">
        <v>1</v>
      </c>
      <c r="J298">
        <v>0</v>
      </c>
      <c r="K298" t="s">
        <v>17</v>
      </c>
    </row>
    <row r="299" spans="1:11" x14ac:dyDescent="0.2">
      <c r="A299" t="s">
        <v>928</v>
      </c>
      <c r="B299" t="s">
        <v>35</v>
      </c>
      <c r="C299" t="s">
        <v>102</v>
      </c>
      <c r="D299" t="s">
        <v>14</v>
      </c>
      <c r="E299">
        <v>1564000</v>
      </c>
      <c r="F299">
        <v>517.20000000000005</v>
      </c>
      <c r="G299" t="s">
        <v>929</v>
      </c>
      <c r="H299" t="s">
        <v>930</v>
      </c>
      <c r="I299">
        <v>1</v>
      </c>
      <c r="J299">
        <v>0</v>
      </c>
      <c r="K299" t="s">
        <v>17</v>
      </c>
    </row>
    <row r="300" spans="1:11" x14ac:dyDescent="0.2">
      <c r="A300" t="s">
        <v>931</v>
      </c>
      <c r="B300" t="s">
        <v>63</v>
      </c>
      <c r="C300" t="s">
        <v>26</v>
      </c>
      <c r="D300" t="s">
        <v>27</v>
      </c>
      <c r="E300">
        <v>474000</v>
      </c>
      <c r="F300">
        <v>788.69</v>
      </c>
      <c r="G300" t="s">
        <v>932</v>
      </c>
      <c r="H300" t="s">
        <v>933</v>
      </c>
      <c r="I300">
        <v>1</v>
      </c>
      <c r="J300">
        <v>0</v>
      </c>
      <c r="K300" t="s">
        <v>17</v>
      </c>
    </row>
    <row r="301" spans="1:11" x14ac:dyDescent="0.2">
      <c r="A301" t="s">
        <v>934</v>
      </c>
      <c r="B301" t="s">
        <v>98</v>
      </c>
      <c r="C301" t="s">
        <v>20</v>
      </c>
      <c r="D301" t="s">
        <v>21</v>
      </c>
      <c r="E301">
        <v>1285000</v>
      </c>
      <c r="F301">
        <v>2138.1</v>
      </c>
      <c r="G301" t="s">
        <v>935</v>
      </c>
      <c r="H301" t="s">
        <v>936</v>
      </c>
      <c r="I301">
        <v>1</v>
      </c>
      <c r="J301">
        <v>0</v>
      </c>
      <c r="K301" t="s">
        <v>17</v>
      </c>
    </row>
    <row r="302" spans="1:11" x14ac:dyDescent="0.2">
      <c r="A302" t="s">
        <v>937</v>
      </c>
      <c r="B302" t="s">
        <v>59</v>
      </c>
      <c r="C302" t="s">
        <v>42</v>
      </c>
      <c r="D302" t="s">
        <v>27</v>
      </c>
      <c r="E302">
        <v>358000</v>
      </c>
      <c r="F302">
        <v>595.66999999999996</v>
      </c>
      <c r="G302" t="s">
        <v>938</v>
      </c>
      <c r="H302" t="s">
        <v>939</v>
      </c>
      <c r="I302">
        <v>1</v>
      </c>
      <c r="J302">
        <v>0</v>
      </c>
      <c r="K302" t="s">
        <v>17</v>
      </c>
    </row>
    <row r="303" spans="1:11" x14ac:dyDescent="0.2">
      <c r="A303" t="s">
        <v>940</v>
      </c>
      <c r="B303" t="s">
        <v>106</v>
      </c>
      <c r="C303" t="s">
        <v>102</v>
      </c>
      <c r="D303" t="s">
        <v>14</v>
      </c>
      <c r="E303">
        <v>582000</v>
      </c>
      <c r="F303">
        <v>192.46</v>
      </c>
      <c r="G303" t="s">
        <v>941</v>
      </c>
      <c r="H303" t="s">
        <v>942</v>
      </c>
      <c r="I303">
        <v>1</v>
      </c>
      <c r="J303">
        <v>0</v>
      </c>
      <c r="K303" t="s">
        <v>17</v>
      </c>
    </row>
    <row r="304" spans="1:11" x14ac:dyDescent="0.2">
      <c r="A304" t="s">
        <v>943</v>
      </c>
      <c r="B304" t="s">
        <v>128</v>
      </c>
      <c r="C304" t="s">
        <v>13</v>
      </c>
      <c r="D304" t="s">
        <v>14</v>
      </c>
      <c r="E304">
        <v>1427000</v>
      </c>
      <c r="F304">
        <v>471.89</v>
      </c>
      <c r="G304" t="s">
        <v>944</v>
      </c>
      <c r="H304" t="s">
        <v>945</v>
      </c>
      <c r="I304">
        <v>1</v>
      </c>
      <c r="J304">
        <v>0</v>
      </c>
      <c r="K304" t="s">
        <v>17</v>
      </c>
    </row>
    <row r="305" spans="1:11" x14ac:dyDescent="0.2">
      <c r="A305" t="s">
        <v>946</v>
      </c>
      <c r="B305" t="s">
        <v>35</v>
      </c>
      <c r="C305" t="s">
        <v>13</v>
      </c>
      <c r="D305" t="s">
        <v>14</v>
      </c>
      <c r="E305">
        <v>6055000</v>
      </c>
      <c r="F305">
        <v>2002.31</v>
      </c>
      <c r="G305" t="s">
        <v>947</v>
      </c>
      <c r="H305" t="s">
        <v>948</v>
      </c>
      <c r="I305">
        <v>1</v>
      </c>
      <c r="J305">
        <v>0</v>
      </c>
      <c r="K305" t="s">
        <v>17</v>
      </c>
    </row>
    <row r="306" spans="1:11" x14ac:dyDescent="0.2">
      <c r="A306" t="s">
        <v>949</v>
      </c>
      <c r="B306" t="s">
        <v>139</v>
      </c>
      <c r="C306" t="s">
        <v>102</v>
      </c>
      <c r="D306" t="s">
        <v>14</v>
      </c>
      <c r="E306">
        <v>3879000</v>
      </c>
      <c r="F306">
        <v>1282.74</v>
      </c>
      <c r="G306" t="s">
        <v>950</v>
      </c>
      <c r="H306" t="s">
        <v>951</v>
      </c>
      <c r="I306">
        <v>1</v>
      </c>
      <c r="J306">
        <v>0</v>
      </c>
      <c r="K306" t="s">
        <v>17</v>
      </c>
    </row>
    <row r="307" spans="1:11" x14ac:dyDescent="0.2">
      <c r="A307" t="s">
        <v>952</v>
      </c>
      <c r="B307" t="s">
        <v>139</v>
      </c>
      <c r="C307" t="s">
        <v>102</v>
      </c>
      <c r="D307" t="s">
        <v>14</v>
      </c>
      <c r="E307">
        <v>1950000</v>
      </c>
      <c r="F307">
        <v>644.84</v>
      </c>
      <c r="G307" t="s">
        <v>953</v>
      </c>
      <c r="H307" t="s">
        <v>954</v>
      </c>
      <c r="I307">
        <v>1</v>
      </c>
      <c r="J307">
        <v>44.97</v>
      </c>
      <c r="K307" t="s">
        <v>45</v>
      </c>
    </row>
    <row r="308" spans="1:11" x14ac:dyDescent="0.2">
      <c r="A308" t="s">
        <v>955</v>
      </c>
      <c r="B308" t="s">
        <v>31</v>
      </c>
      <c r="C308" t="s">
        <v>102</v>
      </c>
      <c r="D308" t="s">
        <v>14</v>
      </c>
      <c r="E308">
        <v>2041000</v>
      </c>
      <c r="F308">
        <v>674.93</v>
      </c>
      <c r="G308" t="s">
        <v>956</v>
      </c>
      <c r="H308" t="s">
        <v>957</v>
      </c>
      <c r="I308">
        <v>1</v>
      </c>
      <c r="J308">
        <v>0</v>
      </c>
      <c r="K308" t="s">
        <v>17</v>
      </c>
    </row>
    <row r="309" spans="1:11" x14ac:dyDescent="0.2">
      <c r="A309" t="s">
        <v>958</v>
      </c>
      <c r="B309" t="s">
        <v>143</v>
      </c>
      <c r="C309" t="s">
        <v>51</v>
      </c>
      <c r="D309" t="s">
        <v>21</v>
      </c>
      <c r="E309">
        <v>922000</v>
      </c>
      <c r="F309">
        <v>1534.11</v>
      </c>
      <c r="G309" t="s">
        <v>959</v>
      </c>
      <c r="H309" t="s">
        <v>960</v>
      </c>
      <c r="I309">
        <v>1</v>
      </c>
      <c r="J309">
        <v>0</v>
      </c>
      <c r="K309" t="s">
        <v>17</v>
      </c>
    </row>
    <row r="310" spans="1:11" x14ac:dyDescent="0.2">
      <c r="A310" t="s">
        <v>961</v>
      </c>
      <c r="B310" t="s">
        <v>135</v>
      </c>
      <c r="C310" t="s">
        <v>102</v>
      </c>
      <c r="D310" t="s">
        <v>14</v>
      </c>
      <c r="E310">
        <v>2854000</v>
      </c>
      <c r="F310">
        <v>943.78</v>
      </c>
      <c r="G310" t="s">
        <v>962</v>
      </c>
      <c r="H310" t="s">
        <v>963</v>
      </c>
      <c r="I310">
        <v>1</v>
      </c>
      <c r="J310">
        <v>0</v>
      </c>
      <c r="K310" t="s">
        <v>17</v>
      </c>
    </row>
    <row r="311" spans="1:11" x14ac:dyDescent="0.2">
      <c r="A311" t="s">
        <v>964</v>
      </c>
      <c r="B311" t="s">
        <v>98</v>
      </c>
      <c r="C311" t="s">
        <v>102</v>
      </c>
      <c r="D311" t="s">
        <v>14</v>
      </c>
      <c r="E311">
        <v>2034000</v>
      </c>
      <c r="F311">
        <v>672.62</v>
      </c>
      <c r="G311" t="s">
        <v>965</v>
      </c>
      <c r="H311" t="s">
        <v>966</v>
      </c>
      <c r="I311">
        <v>1</v>
      </c>
      <c r="J311">
        <v>0</v>
      </c>
      <c r="K311" t="s">
        <v>17</v>
      </c>
    </row>
    <row r="312" spans="1:11" x14ac:dyDescent="0.2">
      <c r="A312" t="s">
        <v>967</v>
      </c>
      <c r="B312" t="s">
        <v>98</v>
      </c>
      <c r="C312" t="s">
        <v>51</v>
      </c>
      <c r="D312" t="s">
        <v>21</v>
      </c>
      <c r="E312">
        <v>371000</v>
      </c>
      <c r="F312">
        <v>617.29999999999995</v>
      </c>
      <c r="G312" t="s">
        <v>968</v>
      </c>
      <c r="H312" t="s">
        <v>969</v>
      </c>
      <c r="I312">
        <v>1</v>
      </c>
      <c r="J312">
        <v>0</v>
      </c>
      <c r="K312" t="s">
        <v>17</v>
      </c>
    </row>
    <row r="313" spans="1:11" x14ac:dyDescent="0.2">
      <c r="A313" t="s">
        <v>970</v>
      </c>
      <c r="B313" t="s">
        <v>31</v>
      </c>
      <c r="C313" t="s">
        <v>102</v>
      </c>
      <c r="D313" t="s">
        <v>14</v>
      </c>
      <c r="E313">
        <v>2533000</v>
      </c>
      <c r="F313">
        <v>837.63</v>
      </c>
      <c r="G313" t="s">
        <v>971</v>
      </c>
      <c r="H313" t="s">
        <v>972</v>
      </c>
      <c r="I313">
        <v>1</v>
      </c>
      <c r="J313">
        <v>0</v>
      </c>
      <c r="K313" t="s">
        <v>17</v>
      </c>
    </row>
    <row r="314" spans="1:11" x14ac:dyDescent="0.2">
      <c r="A314" t="s">
        <v>973</v>
      </c>
      <c r="B314" t="s">
        <v>87</v>
      </c>
      <c r="C314" t="s">
        <v>13</v>
      </c>
      <c r="D314" t="s">
        <v>14</v>
      </c>
      <c r="E314">
        <v>3363000</v>
      </c>
      <c r="F314">
        <v>1112.0999999999999</v>
      </c>
      <c r="G314" t="s">
        <v>974</v>
      </c>
      <c r="H314" t="s">
        <v>975</v>
      </c>
      <c r="I314">
        <v>1</v>
      </c>
      <c r="J314">
        <v>0</v>
      </c>
      <c r="K314" t="s">
        <v>17</v>
      </c>
    </row>
    <row r="315" spans="1:11" x14ac:dyDescent="0.2">
      <c r="A315" t="s">
        <v>976</v>
      </c>
      <c r="B315" t="s">
        <v>77</v>
      </c>
      <c r="C315" t="s">
        <v>42</v>
      </c>
      <c r="D315" t="s">
        <v>27</v>
      </c>
      <c r="E315">
        <v>484000</v>
      </c>
      <c r="F315">
        <v>805.32</v>
      </c>
      <c r="G315" t="s">
        <v>977</v>
      </c>
      <c r="H315" t="s">
        <v>978</v>
      </c>
      <c r="I315">
        <v>1</v>
      </c>
      <c r="J315">
        <v>0</v>
      </c>
      <c r="K315" t="s">
        <v>17</v>
      </c>
    </row>
    <row r="316" spans="1:11" x14ac:dyDescent="0.2">
      <c r="A316" t="s">
        <v>979</v>
      </c>
      <c r="B316" t="s">
        <v>55</v>
      </c>
      <c r="C316" t="s">
        <v>102</v>
      </c>
      <c r="D316" t="s">
        <v>14</v>
      </c>
      <c r="E316">
        <v>3540000</v>
      </c>
      <c r="F316">
        <v>1170.6300000000001</v>
      </c>
      <c r="G316" t="s">
        <v>980</v>
      </c>
      <c r="H316" t="s">
        <v>981</v>
      </c>
      <c r="I316">
        <v>1</v>
      </c>
      <c r="J316">
        <v>0</v>
      </c>
      <c r="K316" t="s">
        <v>17</v>
      </c>
    </row>
    <row r="317" spans="1:11" x14ac:dyDescent="0.2">
      <c r="A317" t="s">
        <v>982</v>
      </c>
      <c r="B317" t="s">
        <v>12</v>
      </c>
      <c r="C317" t="s">
        <v>51</v>
      </c>
      <c r="D317" t="s">
        <v>21</v>
      </c>
      <c r="E317">
        <v>277000</v>
      </c>
      <c r="F317">
        <v>460.9</v>
      </c>
      <c r="G317" t="s">
        <v>983</v>
      </c>
      <c r="H317" t="s">
        <v>984</v>
      </c>
      <c r="I317">
        <v>1</v>
      </c>
      <c r="J317">
        <v>0</v>
      </c>
      <c r="K317" t="s">
        <v>17</v>
      </c>
    </row>
    <row r="318" spans="1:11" x14ac:dyDescent="0.2">
      <c r="A318" t="s">
        <v>985</v>
      </c>
      <c r="B318" t="s">
        <v>143</v>
      </c>
      <c r="C318" t="s">
        <v>20</v>
      </c>
      <c r="D318" t="s">
        <v>21</v>
      </c>
      <c r="E318">
        <v>206000</v>
      </c>
      <c r="F318">
        <v>342.76</v>
      </c>
      <c r="G318" t="s">
        <v>986</v>
      </c>
      <c r="H318" t="s">
        <v>987</v>
      </c>
      <c r="I318">
        <v>1</v>
      </c>
      <c r="J318">
        <v>0</v>
      </c>
      <c r="K318" t="s">
        <v>17</v>
      </c>
    </row>
    <row r="319" spans="1:11" x14ac:dyDescent="0.2">
      <c r="A319" t="s">
        <v>988</v>
      </c>
      <c r="B319" t="s">
        <v>55</v>
      </c>
      <c r="C319" t="s">
        <v>26</v>
      </c>
      <c r="D319" t="s">
        <v>27</v>
      </c>
      <c r="E319">
        <v>78000</v>
      </c>
      <c r="F319">
        <v>129.78</v>
      </c>
      <c r="G319" t="s">
        <v>989</v>
      </c>
      <c r="H319" t="s">
        <v>990</v>
      </c>
      <c r="I319">
        <v>1</v>
      </c>
      <c r="J319">
        <v>0</v>
      </c>
      <c r="K319" t="s">
        <v>17</v>
      </c>
    </row>
    <row r="320" spans="1:11" x14ac:dyDescent="0.2">
      <c r="A320" t="s">
        <v>991</v>
      </c>
      <c r="B320" t="s">
        <v>19</v>
      </c>
      <c r="C320" t="s">
        <v>26</v>
      </c>
      <c r="D320" t="s">
        <v>27</v>
      </c>
      <c r="E320">
        <v>1061000</v>
      </c>
      <c r="F320">
        <v>1765.39</v>
      </c>
      <c r="G320" t="s">
        <v>992</v>
      </c>
      <c r="H320" t="s">
        <v>993</v>
      </c>
      <c r="I320">
        <v>1</v>
      </c>
      <c r="J320">
        <v>0</v>
      </c>
      <c r="K320" t="s">
        <v>17</v>
      </c>
    </row>
    <row r="321" spans="1:11" x14ac:dyDescent="0.2">
      <c r="A321" t="s">
        <v>994</v>
      </c>
      <c r="B321" t="s">
        <v>67</v>
      </c>
      <c r="C321" t="s">
        <v>13</v>
      </c>
      <c r="D321" t="s">
        <v>14</v>
      </c>
      <c r="E321">
        <v>3563000</v>
      </c>
      <c r="F321">
        <v>1178.24</v>
      </c>
      <c r="G321" t="s">
        <v>995</v>
      </c>
      <c r="H321" t="s">
        <v>996</v>
      </c>
      <c r="I321">
        <v>1</v>
      </c>
      <c r="J321">
        <v>0</v>
      </c>
      <c r="K321" t="s">
        <v>17</v>
      </c>
    </row>
    <row r="322" spans="1:11" x14ac:dyDescent="0.2">
      <c r="A322" t="s">
        <v>997</v>
      </c>
      <c r="B322" t="s">
        <v>59</v>
      </c>
      <c r="C322" t="s">
        <v>20</v>
      </c>
      <c r="D322" t="s">
        <v>21</v>
      </c>
      <c r="E322">
        <v>633000</v>
      </c>
      <c r="F322">
        <v>1053.24</v>
      </c>
      <c r="G322" t="s">
        <v>998</v>
      </c>
      <c r="H322" t="s">
        <v>999</v>
      </c>
      <c r="I322">
        <v>1</v>
      </c>
      <c r="J322">
        <v>-56.57</v>
      </c>
      <c r="K322" t="s">
        <v>45</v>
      </c>
    </row>
    <row r="323" spans="1:11" x14ac:dyDescent="0.2">
      <c r="A323" t="s">
        <v>1000</v>
      </c>
      <c r="B323" t="s">
        <v>240</v>
      </c>
      <c r="C323" t="s">
        <v>20</v>
      </c>
      <c r="D323" t="s">
        <v>21</v>
      </c>
      <c r="E323">
        <v>275000</v>
      </c>
      <c r="F323">
        <v>457.57</v>
      </c>
      <c r="G323" t="s">
        <v>1001</v>
      </c>
      <c r="H323" t="s">
        <v>1002</v>
      </c>
      <c r="I323">
        <v>1</v>
      </c>
      <c r="J323">
        <v>0</v>
      </c>
      <c r="K323" t="s">
        <v>17</v>
      </c>
    </row>
    <row r="324" spans="1:11" x14ac:dyDescent="0.2">
      <c r="A324" t="s">
        <v>1003</v>
      </c>
      <c r="B324" t="s">
        <v>106</v>
      </c>
      <c r="C324" t="s">
        <v>26</v>
      </c>
      <c r="D324" t="s">
        <v>27</v>
      </c>
      <c r="E324">
        <v>591000</v>
      </c>
      <c r="F324">
        <v>983.36</v>
      </c>
      <c r="G324" t="s">
        <v>1004</v>
      </c>
      <c r="H324" t="s">
        <v>1005</v>
      </c>
      <c r="I324">
        <v>1</v>
      </c>
      <c r="J324">
        <v>0</v>
      </c>
      <c r="K324" t="s">
        <v>17</v>
      </c>
    </row>
    <row r="325" spans="1:11" x14ac:dyDescent="0.2">
      <c r="A325" t="s">
        <v>1006</v>
      </c>
      <c r="B325" t="s">
        <v>25</v>
      </c>
      <c r="C325" t="s">
        <v>20</v>
      </c>
      <c r="D325" t="s">
        <v>21</v>
      </c>
      <c r="E325">
        <v>580000</v>
      </c>
      <c r="F325">
        <v>965.06</v>
      </c>
      <c r="G325" t="s">
        <v>1007</v>
      </c>
      <c r="H325" t="s">
        <v>1008</v>
      </c>
      <c r="I325">
        <v>1</v>
      </c>
      <c r="J325">
        <v>0</v>
      </c>
      <c r="K325" t="s">
        <v>17</v>
      </c>
    </row>
    <row r="326" spans="1:11" x14ac:dyDescent="0.2">
      <c r="A326" t="s">
        <v>1009</v>
      </c>
      <c r="B326" t="s">
        <v>106</v>
      </c>
      <c r="C326" t="s">
        <v>13</v>
      </c>
      <c r="D326" t="s">
        <v>14</v>
      </c>
      <c r="E326">
        <v>1359000</v>
      </c>
      <c r="F326">
        <v>449.4</v>
      </c>
      <c r="G326" t="s">
        <v>1010</v>
      </c>
      <c r="H326" t="s">
        <v>1011</v>
      </c>
      <c r="I326">
        <v>1</v>
      </c>
      <c r="J326">
        <v>0</v>
      </c>
      <c r="K326" t="s">
        <v>17</v>
      </c>
    </row>
    <row r="327" spans="1:11" x14ac:dyDescent="0.2">
      <c r="A327" t="s">
        <v>1012</v>
      </c>
      <c r="B327" t="s">
        <v>87</v>
      </c>
      <c r="C327" t="s">
        <v>13</v>
      </c>
      <c r="D327" t="s">
        <v>14</v>
      </c>
      <c r="E327">
        <v>508000</v>
      </c>
      <c r="F327">
        <v>167.99</v>
      </c>
      <c r="G327" t="s">
        <v>1013</v>
      </c>
      <c r="H327" t="s">
        <v>1014</v>
      </c>
      <c r="I327">
        <v>1</v>
      </c>
      <c r="J327">
        <v>0</v>
      </c>
      <c r="K327" t="s">
        <v>17</v>
      </c>
    </row>
    <row r="328" spans="1:11" x14ac:dyDescent="0.2">
      <c r="A328" t="s">
        <v>1015</v>
      </c>
      <c r="B328" t="s">
        <v>55</v>
      </c>
      <c r="C328" t="s">
        <v>102</v>
      </c>
      <c r="D328" t="s">
        <v>14</v>
      </c>
      <c r="E328">
        <v>1706000</v>
      </c>
      <c r="F328">
        <v>564.15</v>
      </c>
      <c r="G328" t="s">
        <v>1016</v>
      </c>
      <c r="H328" t="s">
        <v>1017</v>
      </c>
      <c r="I328">
        <v>1</v>
      </c>
      <c r="J328">
        <v>0</v>
      </c>
      <c r="K328" t="s">
        <v>17</v>
      </c>
    </row>
    <row r="329" spans="1:11" x14ac:dyDescent="0.2">
      <c r="A329" t="s">
        <v>1018</v>
      </c>
      <c r="B329" t="s">
        <v>67</v>
      </c>
      <c r="C329" t="s">
        <v>20</v>
      </c>
      <c r="D329" t="s">
        <v>21</v>
      </c>
      <c r="E329">
        <v>223000</v>
      </c>
      <c r="F329">
        <v>371.05</v>
      </c>
      <c r="G329" t="s">
        <v>1019</v>
      </c>
      <c r="H329" t="s">
        <v>1020</v>
      </c>
      <c r="I329">
        <v>1</v>
      </c>
      <c r="J329">
        <v>0</v>
      </c>
      <c r="K329" t="s">
        <v>17</v>
      </c>
    </row>
    <row r="330" spans="1:11" x14ac:dyDescent="0.2">
      <c r="A330" t="s">
        <v>1021</v>
      </c>
      <c r="B330" t="s">
        <v>67</v>
      </c>
      <c r="C330" t="s">
        <v>26</v>
      </c>
      <c r="D330" t="s">
        <v>27</v>
      </c>
      <c r="E330">
        <v>382000</v>
      </c>
      <c r="F330">
        <v>635.61</v>
      </c>
      <c r="G330" t="s">
        <v>1022</v>
      </c>
      <c r="H330" t="s">
        <v>1023</v>
      </c>
      <c r="I330">
        <v>1</v>
      </c>
      <c r="J330">
        <v>0</v>
      </c>
      <c r="K330" t="s">
        <v>17</v>
      </c>
    </row>
    <row r="331" spans="1:11" x14ac:dyDescent="0.2">
      <c r="A331" t="s">
        <v>1024</v>
      </c>
      <c r="B331" t="s">
        <v>98</v>
      </c>
      <c r="C331" t="s">
        <v>13</v>
      </c>
      <c r="D331" t="s">
        <v>14</v>
      </c>
      <c r="E331">
        <v>4104000</v>
      </c>
      <c r="F331">
        <v>1357.14</v>
      </c>
      <c r="G331" t="s">
        <v>1025</v>
      </c>
      <c r="H331" t="s">
        <v>1026</v>
      </c>
      <c r="I331">
        <v>1</v>
      </c>
      <c r="J331">
        <v>0</v>
      </c>
      <c r="K331" t="s">
        <v>17</v>
      </c>
    </row>
    <row r="332" spans="1:11" x14ac:dyDescent="0.2">
      <c r="A332" t="s">
        <v>1027</v>
      </c>
      <c r="B332" t="s">
        <v>77</v>
      </c>
      <c r="C332" t="s">
        <v>102</v>
      </c>
      <c r="D332" t="s">
        <v>14</v>
      </c>
      <c r="E332">
        <v>672000</v>
      </c>
      <c r="F332">
        <v>222.22</v>
      </c>
      <c r="G332" t="s">
        <v>1028</v>
      </c>
      <c r="H332" t="s">
        <v>1029</v>
      </c>
      <c r="I332">
        <v>1</v>
      </c>
      <c r="J332">
        <v>0</v>
      </c>
      <c r="K332" t="s">
        <v>17</v>
      </c>
    </row>
    <row r="333" spans="1:11" x14ac:dyDescent="0.2">
      <c r="A333" t="s">
        <v>1030</v>
      </c>
      <c r="B333" t="s">
        <v>135</v>
      </c>
      <c r="C333" t="s">
        <v>13</v>
      </c>
      <c r="D333" t="s">
        <v>14</v>
      </c>
      <c r="E333">
        <v>2060000</v>
      </c>
      <c r="F333">
        <v>681.22</v>
      </c>
      <c r="G333" t="s">
        <v>1031</v>
      </c>
      <c r="H333" t="s">
        <v>1032</v>
      </c>
      <c r="I333">
        <v>1</v>
      </c>
      <c r="J333">
        <v>0</v>
      </c>
      <c r="K333" t="s">
        <v>17</v>
      </c>
    </row>
    <row r="334" spans="1:11" x14ac:dyDescent="0.2">
      <c r="A334" t="s">
        <v>1033</v>
      </c>
      <c r="B334" t="s">
        <v>77</v>
      </c>
      <c r="C334" t="s">
        <v>51</v>
      </c>
      <c r="D334" t="s">
        <v>21</v>
      </c>
      <c r="E334">
        <v>255000</v>
      </c>
      <c r="F334">
        <v>424.29</v>
      </c>
      <c r="G334" t="s">
        <v>1034</v>
      </c>
      <c r="H334" t="s">
        <v>1035</v>
      </c>
      <c r="I334">
        <v>1</v>
      </c>
      <c r="J334">
        <v>0</v>
      </c>
      <c r="K334" t="s">
        <v>17</v>
      </c>
    </row>
    <row r="335" spans="1:11" x14ac:dyDescent="0.2">
      <c r="A335" t="s">
        <v>1036</v>
      </c>
      <c r="B335" t="s">
        <v>67</v>
      </c>
      <c r="C335" t="s">
        <v>51</v>
      </c>
      <c r="D335" t="s">
        <v>21</v>
      </c>
      <c r="E335">
        <v>884000</v>
      </c>
      <c r="F335">
        <v>1470.88</v>
      </c>
      <c r="G335" t="s">
        <v>1037</v>
      </c>
      <c r="H335" t="s">
        <v>1038</v>
      </c>
      <c r="I335">
        <v>1</v>
      </c>
      <c r="J335">
        <v>0</v>
      </c>
      <c r="K335" t="s">
        <v>17</v>
      </c>
    </row>
    <row r="336" spans="1:11" x14ac:dyDescent="0.2">
      <c r="A336" t="s">
        <v>1039</v>
      </c>
      <c r="B336" t="s">
        <v>87</v>
      </c>
      <c r="C336" t="s">
        <v>26</v>
      </c>
      <c r="D336" t="s">
        <v>27</v>
      </c>
      <c r="E336">
        <v>278000</v>
      </c>
      <c r="F336">
        <v>462.56</v>
      </c>
      <c r="G336" t="s">
        <v>1040</v>
      </c>
      <c r="H336" t="s">
        <v>1041</v>
      </c>
      <c r="I336">
        <v>1</v>
      </c>
      <c r="J336">
        <v>0</v>
      </c>
      <c r="K336" t="s">
        <v>17</v>
      </c>
    </row>
    <row r="337" spans="1:11" x14ac:dyDescent="0.2">
      <c r="A337" t="s">
        <v>1042</v>
      </c>
      <c r="B337" t="s">
        <v>106</v>
      </c>
      <c r="C337" t="s">
        <v>13</v>
      </c>
      <c r="D337" t="s">
        <v>14</v>
      </c>
      <c r="E337">
        <v>3216000</v>
      </c>
      <c r="F337">
        <v>1063.49</v>
      </c>
      <c r="G337" t="s">
        <v>1043</v>
      </c>
      <c r="H337" t="s">
        <v>1044</v>
      </c>
      <c r="I337">
        <v>1</v>
      </c>
      <c r="J337">
        <v>0</v>
      </c>
      <c r="K337" t="s">
        <v>17</v>
      </c>
    </row>
    <row r="338" spans="1:11" x14ac:dyDescent="0.2">
      <c r="A338" t="s">
        <v>1045</v>
      </c>
      <c r="B338" t="s">
        <v>31</v>
      </c>
      <c r="C338" t="s">
        <v>26</v>
      </c>
      <c r="D338" t="s">
        <v>27</v>
      </c>
      <c r="E338">
        <v>432000</v>
      </c>
      <c r="F338">
        <v>718.8</v>
      </c>
      <c r="G338" t="s">
        <v>1046</v>
      </c>
      <c r="H338" t="s">
        <v>1047</v>
      </c>
      <c r="I338">
        <v>1</v>
      </c>
      <c r="J338">
        <v>-38.270000000000003</v>
      </c>
      <c r="K338" t="s">
        <v>45</v>
      </c>
    </row>
    <row r="339" spans="1:11" x14ac:dyDescent="0.2">
      <c r="A339" t="s">
        <v>1048</v>
      </c>
      <c r="B339" t="s">
        <v>55</v>
      </c>
      <c r="C339" t="s">
        <v>13</v>
      </c>
      <c r="D339" t="s">
        <v>14</v>
      </c>
      <c r="E339">
        <v>795000</v>
      </c>
      <c r="F339">
        <v>262.89999999999998</v>
      </c>
      <c r="G339" t="s">
        <v>1049</v>
      </c>
      <c r="H339" t="s">
        <v>1050</v>
      </c>
      <c r="I339">
        <v>1</v>
      </c>
      <c r="J339">
        <v>0</v>
      </c>
      <c r="K339" t="s">
        <v>17</v>
      </c>
    </row>
    <row r="340" spans="1:11" x14ac:dyDescent="0.2">
      <c r="A340" t="s">
        <v>1051</v>
      </c>
      <c r="B340" t="s">
        <v>12</v>
      </c>
      <c r="C340" t="s">
        <v>42</v>
      </c>
      <c r="D340" t="s">
        <v>27</v>
      </c>
      <c r="E340">
        <v>478000</v>
      </c>
      <c r="F340">
        <v>795.34</v>
      </c>
      <c r="G340" t="s">
        <v>1052</v>
      </c>
      <c r="H340" t="s">
        <v>1053</v>
      </c>
      <c r="I340">
        <v>1</v>
      </c>
      <c r="J340">
        <v>0</v>
      </c>
      <c r="K340" t="s">
        <v>17</v>
      </c>
    </row>
    <row r="341" spans="1:11" x14ac:dyDescent="0.2">
      <c r="A341" t="s">
        <v>1054</v>
      </c>
      <c r="B341" t="s">
        <v>98</v>
      </c>
      <c r="C341" t="s">
        <v>20</v>
      </c>
      <c r="D341" t="s">
        <v>21</v>
      </c>
      <c r="E341">
        <v>334000</v>
      </c>
      <c r="F341">
        <v>555.74</v>
      </c>
      <c r="G341" t="s">
        <v>1055</v>
      </c>
      <c r="H341" t="s">
        <v>1056</v>
      </c>
      <c r="I341">
        <v>1</v>
      </c>
      <c r="J341">
        <v>0</v>
      </c>
      <c r="K341" t="s">
        <v>17</v>
      </c>
    </row>
    <row r="342" spans="1:11" x14ac:dyDescent="0.2">
      <c r="A342" t="s">
        <v>1057</v>
      </c>
      <c r="B342" t="s">
        <v>106</v>
      </c>
      <c r="C342" t="s">
        <v>42</v>
      </c>
      <c r="D342" t="s">
        <v>27</v>
      </c>
      <c r="E342">
        <v>303000</v>
      </c>
      <c r="F342">
        <v>504.16</v>
      </c>
      <c r="G342" t="s">
        <v>1058</v>
      </c>
      <c r="H342" t="s">
        <v>1059</v>
      </c>
      <c r="I342">
        <v>1</v>
      </c>
      <c r="J342">
        <v>0</v>
      </c>
      <c r="K342" t="s">
        <v>17</v>
      </c>
    </row>
    <row r="343" spans="1:11" x14ac:dyDescent="0.2">
      <c r="A343" t="s">
        <v>1060</v>
      </c>
      <c r="B343" t="s">
        <v>98</v>
      </c>
      <c r="C343" t="s">
        <v>102</v>
      </c>
      <c r="D343" t="s">
        <v>14</v>
      </c>
      <c r="E343">
        <v>1034000</v>
      </c>
      <c r="F343">
        <v>341.93</v>
      </c>
      <c r="G343" t="s">
        <v>1061</v>
      </c>
      <c r="H343" t="s">
        <v>1062</v>
      </c>
      <c r="I343">
        <v>1</v>
      </c>
      <c r="J343">
        <v>0</v>
      </c>
      <c r="K343" t="s">
        <v>17</v>
      </c>
    </row>
    <row r="344" spans="1:11" x14ac:dyDescent="0.2">
      <c r="A344" t="s">
        <v>1063</v>
      </c>
      <c r="B344" t="s">
        <v>63</v>
      </c>
      <c r="C344" t="s">
        <v>42</v>
      </c>
      <c r="D344" t="s">
        <v>27</v>
      </c>
      <c r="E344">
        <v>532000</v>
      </c>
      <c r="F344">
        <v>885.19</v>
      </c>
      <c r="G344" t="s">
        <v>1064</v>
      </c>
      <c r="H344" t="s">
        <v>1065</v>
      </c>
      <c r="I344">
        <v>1</v>
      </c>
      <c r="J344">
        <v>0</v>
      </c>
      <c r="K344" t="s">
        <v>17</v>
      </c>
    </row>
    <row r="345" spans="1:11" x14ac:dyDescent="0.2">
      <c r="A345" t="s">
        <v>1066</v>
      </c>
      <c r="B345" t="s">
        <v>63</v>
      </c>
      <c r="C345" t="s">
        <v>102</v>
      </c>
      <c r="D345" t="s">
        <v>14</v>
      </c>
      <c r="E345">
        <v>1122000</v>
      </c>
      <c r="F345">
        <v>371.03</v>
      </c>
      <c r="G345" t="s">
        <v>1067</v>
      </c>
      <c r="H345" t="s">
        <v>1068</v>
      </c>
      <c r="I345">
        <v>1</v>
      </c>
      <c r="J345">
        <v>0</v>
      </c>
      <c r="K345" t="s">
        <v>17</v>
      </c>
    </row>
    <row r="346" spans="1:11" x14ac:dyDescent="0.2">
      <c r="A346" t="s">
        <v>1069</v>
      </c>
      <c r="B346" t="s">
        <v>240</v>
      </c>
      <c r="C346" t="s">
        <v>102</v>
      </c>
      <c r="D346" t="s">
        <v>14</v>
      </c>
      <c r="E346">
        <v>1517000</v>
      </c>
      <c r="F346">
        <v>501.65</v>
      </c>
      <c r="G346" t="s">
        <v>1070</v>
      </c>
      <c r="H346" t="s">
        <v>1071</v>
      </c>
      <c r="I346">
        <v>1</v>
      </c>
      <c r="J346">
        <v>0</v>
      </c>
      <c r="K346" t="s">
        <v>17</v>
      </c>
    </row>
    <row r="347" spans="1:11" x14ac:dyDescent="0.2">
      <c r="A347" t="s">
        <v>1072</v>
      </c>
      <c r="B347" t="s">
        <v>67</v>
      </c>
      <c r="C347" t="s">
        <v>42</v>
      </c>
      <c r="D347" t="s">
        <v>27</v>
      </c>
      <c r="E347">
        <v>2053000</v>
      </c>
      <c r="F347">
        <v>3415.97</v>
      </c>
      <c r="G347" t="s">
        <v>1073</v>
      </c>
      <c r="H347" t="s">
        <v>1074</v>
      </c>
      <c r="I347">
        <v>2</v>
      </c>
      <c r="J347">
        <v>0</v>
      </c>
      <c r="K347" t="s">
        <v>1075</v>
      </c>
    </row>
    <row r="348" spans="1:11" x14ac:dyDescent="0.2">
      <c r="A348" t="s">
        <v>1076</v>
      </c>
      <c r="B348" t="s">
        <v>63</v>
      </c>
      <c r="C348" t="s">
        <v>102</v>
      </c>
      <c r="D348" t="s">
        <v>14</v>
      </c>
      <c r="E348">
        <v>1240000</v>
      </c>
      <c r="F348">
        <v>410.05</v>
      </c>
      <c r="G348" t="s">
        <v>1077</v>
      </c>
      <c r="H348" t="s">
        <v>1078</v>
      </c>
      <c r="I348">
        <v>1</v>
      </c>
      <c r="J348">
        <v>0</v>
      </c>
      <c r="K348" t="s">
        <v>17</v>
      </c>
    </row>
    <row r="349" spans="1:11" x14ac:dyDescent="0.2">
      <c r="A349" t="s">
        <v>1079</v>
      </c>
      <c r="B349" t="s">
        <v>12</v>
      </c>
      <c r="C349" t="s">
        <v>20</v>
      </c>
      <c r="D349" t="s">
        <v>21</v>
      </c>
      <c r="E349">
        <v>616000</v>
      </c>
      <c r="F349">
        <v>1024.96</v>
      </c>
      <c r="G349" t="s">
        <v>1080</v>
      </c>
      <c r="H349" t="s">
        <v>1081</v>
      </c>
      <c r="I349">
        <v>1</v>
      </c>
      <c r="J349">
        <v>0</v>
      </c>
      <c r="K349" t="s">
        <v>17</v>
      </c>
    </row>
    <row r="350" spans="1:11" x14ac:dyDescent="0.2">
      <c r="A350" t="s">
        <v>1082</v>
      </c>
      <c r="B350" t="s">
        <v>59</v>
      </c>
      <c r="C350" t="s">
        <v>26</v>
      </c>
      <c r="D350" t="s">
        <v>27</v>
      </c>
      <c r="E350">
        <v>433000</v>
      </c>
      <c r="F350">
        <v>720.47</v>
      </c>
      <c r="G350" t="s">
        <v>1083</v>
      </c>
      <c r="H350" t="s">
        <v>1084</v>
      </c>
      <c r="I350">
        <v>1</v>
      </c>
      <c r="J350">
        <v>0</v>
      </c>
      <c r="K350" t="s">
        <v>17</v>
      </c>
    </row>
    <row r="351" spans="1:11" x14ac:dyDescent="0.2">
      <c r="A351" t="s">
        <v>1085</v>
      </c>
      <c r="B351" t="s">
        <v>77</v>
      </c>
      <c r="C351" t="s">
        <v>42</v>
      </c>
      <c r="D351" t="s">
        <v>27</v>
      </c>
      <c r="E351">
        <v>320000</v>
      </c>
      <c r="F351">
        <v>532.45000000000005</v>
      </c>
      <c r="G351" t="s">
        <v>1086</v>
      </c>
      <c r="H351" t="s">
        <v>1087</v>
      </c>
      <c r="I351">
        <v>1</v>
      </c>
      <c r="J351">
        <v>0</v>
      </c>
      <c r="K351" t="s">
        <v>17</v>
      </c>
    </row>
    <row r="352" spans="1:11" x14ac:dyDescent="0.2">
      <c r="A352" t="s">
        <v>1088</v>
      </c>
      <c r="B352" t="s">
        <v>91</v>
      </c>
      <c r="C352" t="s">
        <v>51</v>
      </c>
      <c r="D352" t="s">
        <v>21</v>
      </c>
      <c r="E352">
        <v>635000</v>
      </c>
      <c r="F352">
        <v>1056.57</v>
      </c>
      <c r="G352" t="s">
        <v>1089</v>
      </c>
      <c r="H352" t="s">
        <v>1090</v>
      </c>
      <c r="I352">
        <v>1</v>
      </c>
      <c r="J352">
        <v>0</v>
      </c>
      <c r="K352" t="s">
        <v>17</v>
      </c>
    </row>
    <row r="353" spans="1:11" x14ac:dyDescent="0.2">
      <c r="A353" t="s">
        <v>1091</v>
      </c>
      <c r="B353" t="s">
        <v>139</v>
      </c>
      <c r="C353" t="s">
        <v>102</v>
      </c>
      <c r="D353" t="s">
        <v>14</v>
      </c>
      <c r="E353">
        <v>4064000</v>
      </c>
      <c r="F353">
        <v>1343.92</v>
      </c>
      <c r="I353">
        <v>0</v>
      </c>
      <c r="J353">
        <v>0</v>
      </c>
      <c r="K353" t="s">
        <v>376</v>
      </c>
    </row>
    <row r="354" spans="1:11" x14ac:dyDescent="0.2">
      <c r="A354" t="s">
        <v>1092</v>
      </c>
      <c r="B354" t="s">
        <v>31</v>
      </c>
      <c r="C354" t="s">
        <v>20</v>
      </c>
      <c r="D354" t="s">
        <v>21</v>
      </c>
      <c r="E354">
        <v>918000</v>
      </c>
      <c r="F354">
        <v>1527.45</v>
      </c>
      <c r="G354" t="s">
        <v>1093</v>
      </c>
      <c r="H354" t="s">
        <v>1094</v>
      </c>
      <c r="I354">
        <v>1</v>
      </c>
      <c r="J354">
        <v>0</v>
      </c>
      <c r="K354" t="s">
        <v>17</v>
      </c>
    </row>
    <row r="355" spans="1:11" x14ac:dyDescent="0.2">
      <c r="A355" t="s">
        <v>1095</v>
      </c>
      <c r="B355" t="s">
        <v>77</v>
      </c>
      <c r="C355" t="s">
        <v>42</v>
      </c>
      <c r="D355" t="s">
        <v>27</v>
      </c>
      <c r="E355">
        <v>177000</v>
      </c>
      <c r="F355">
        <v>294.51</v>
      </c>
      <c r="G355" t="s">
        <v>1096</v>
      </c>
      <c r="H355" t="s">
        <v>1097</v>
      </c>
      <c r="I355">
        <v>1</v>
      </c>
      <c r="J355">
        <v>0</v>
      </c>
      <c r="K355" t="s">
        <v>17</v>
      </c>
    </row>
    <row r="356" spans="1:11" x14ac:dyDescent="0.2">
      <c r="A356" t="s">
        <v>1098</v>
      </c>
      <c r="B356" t="s">
        <v>240</v>
      </c>
      <c r="C356" t="s">
        <v>13</v>
      </c>
      <c r="D356" t="s">
        <v>14</v>
      </c>
      <c r="E356">
        <v>3185000</v>
      </c>
      <c r="F356">
        <v>1053.24</v>
      </c>
      <c r="G356" t="s">
        <v>1099</v>
      </c>
      <c r="H356" t="s">
        <v>1100</v>
      </c>
      <c r="I356">
        <v>1</v>
      </c>
      <c r="J356">
        <v>0</v>
      </c>
      <c r="K356" t="s">
        <v>17</v>
      </c>
    </row>
    <row r="357" spans="1:11" x14ac:dyDescent="0.2">
      <c r="A357" t="s">
        <v>1101</v>
      </c>
      <c r="B357" t="s">
        <v>59</v>
      </c>
      <c r="C357" t="s">
        <v>26</v>
      </c>
      <c r="D357" t="s">
        <v>27</v>
      </c>
      <c r="E357">
        <v>1099000</v>
      </c>
      <c r="F357">
        <v>1828.62</v>
      </c>
      <c r="G357" t="s">
        <v>1102</v>
      </c>
      <c r="H357" t="s">
        <v>1103</v>
      </c>
      <c r="I357">
        <v>1</v>
      </c>
      <c r="J357">
        <v>0</v>
      </c>
      <c r="K357" t="s">
        <v>17</v>
      </c>
    </row>
    <row r="358" spans="1:11" x14ac:dyDescent="0.2">
      <c r="A358" t="s">
        <v>1104</v>
      </c>
      <c r="B358" t="s">
        <v>59</v>
      </c>
      <c r="C358" t="s">
        <v>42</v>
      </c>
      <c r="D358" t="s">
        <v>27</v>
      </c>
      <c r="E358">
        <v>520000</v>
      </c>
      <c r="F358">
        <v>865.22</v>
      </c>
      <c r="G358" t="s">
        <v>1105</v>
      </c>
      <c r="H358" t="s">
        <v>1106</v>
      </c>
      <c r="I358">
        <v>1</v>
      </c>
      <c r="J358">
        <v>0</v>
      </c>
      <c r="K358" t="s">
        <v>17</v>
      </c>
    </row>
    <row r="359" spans="1:11" x14ac:dyDescent="0.2">
      <c r="A359" t="s">
        <v>1107</v>
      </c>
      <c r="B359" t="s">
        <v>240</v>
      </c>
      <c r="C359" t="s">
        <v>51</v>
      </c>
      <c r="D359" t="s">
        <v>21</v>
      </c>
      <c r="E359">
        <v>369000</v>
      </c>
      <c r="F359">
        <v>613.98</v>
      </c>
      <c r="G359" t="s">
        <v>1108</v>
      </c>
      <c r="H359" t="s">
        <v>1109</v>
      </c>
      <c r="I359">
        <v>1</v>
      </c>
      <c r="J359">
        <v>0</v>
      </c>
      <c r="K359" t="s">
        <v>17</v>
      </c>
    </row>
    <row r="360" spans="1:11" x14ac:dyDescent="0.2">
      <c r="A360" t="s">
        <v>1110</v>
      </c>
      <c r="B360" t="s">
        <v>50</v>
      </c>
      <c r="C360" t="s">
        <v>102</v>
      </c>
      <c r="D360" t="s">
        <v>14</v>
      </c>
      <c r="E360">
        <v>1023000</v>
      </c>
      <c r="F360">
        <v>338.29</v>
      </c>
      <c r="G360" t="s">
        <v>1111</v>
      </c>
      <c r="H360" t="s">
        <v>1112</v>
      </c>
      <c r="I360">
        <v>1</v>
      </c>
      <c r="J360">
        <v>0</v>
      </c>
      <c r="K360" t="s">
        <v>17</v>
      </c>
    </row>
    <row r="361" spans="1:11" x14ac:dyDescent="0.2">
      <c r="A361" t="s">
        <v>1113</v>
      </c>
      <c r="B361" t="s">
        <v>98</v>
      </c>
      <c r="C361" t="s">
        <v>102</v>
      </c>
      <c r="D361" t="s">
        <v>14</v>
      </c>
      <c r="E361">
        <v>822000</v>
      </c>
      <c r="F361">
        <v>271.83</v>
      </c>
      <c r="G361" t="s">
        <v>1114</v>
      </c>
      <c r="H361" t="s">
        <v>1115</v>
      </c>
      <c r="I361">
        <v>1</v>
      </c>
      <c r="J361">
        <v>0</v>
      </c>
      <c r="K361" t="s">
        <v>17</v>
      </c>
    </row>
    <row r="362" spans="1:11" x14ac:dyDescent="0.2">
      <c r="A362" t="s">
        <v>1116</v>
      </c>
      <c r="B362" t="s">
        <v>25</v>
      </c>
      <c r="C362" t="s">
        <v>13</v>
      </c>
      <c r="D362" t="s">
        <v>14</v>
      </c>
      <c r="E362">
        <v>19406000</v>
      </c>
      <c r="F362">
        <v>6417.33</v>
      </c>
      <c r="G362" t="s">
        <v>1117</v>
      </c>
      <c r="H362" t="s">
        <v>1118</v>
      </c>
      <c r="I362">
        <v>1</v>
      </c>
      <c r="J362">
        <v>0</v>
      </c>
      <c r="K362" t="s">
        <v>17</v>
      </c>
    </row>
    <row r="363" spans="1:11" x14ac:dyDescent="0.2">
      <c r="A363" t="s">
        <v>1119</v>
      </c>
      <c r="B363" t="s">
        <v>106</v>
      </c>
      <c r="C363" t="s">
        <v>42</v>
      </c>
      <c r="D363" t="s">
        <v>27</v>
      </c>
      <c r="E363">
        <v>80000</v>
      </c>
      <c r="F363">
        <v>133.11000000000001</v>
      </c>
      <c r="G363" t="s">
        <v>1120</v>
      </c>
      <c r="H363" t="s">
        <v>1121</v>
      </c>
      <c r="I363">
        <v>1</v>
      </c>
      <c r="J363">
        <v>0</v>
      </c>
      <c r="K363" t="s">
        <v>17</v>
      </c>
    </row>
    <row r="364" spans="1:11" x14ac:dyDescent="0.2">
      <c r="A364" t="s">
        <v>1122</v>
      </c>
      <c r="B364" t="s">
        <v>12</v>
      </c>
      <c r="C364" t="s">
        <v>102</v>
      </c>
      <c r="D364" t="s">
        <v>14</v>
      </c>
      <c r="E364">
        <v>2070000</v>
      </c>
      <c r="F364">
        <v>684.52</v>
      </c>
      <c r="G364" t="s">
        <v>1123</v>
      </c>
      <c r="H364" t="s">
        <v>1124</v>
      </c>
      <c r="I364">
        <v>1</v>
      </c>
      <c r="J364">
        <v>0</v>
      </c>
      <c r="K364" t="s">
        <v>17</v>
      </c>
    </row>
    <row r="365" spans="1:11" x14ac:dyDescent="0.2">
      <c r="A365" t="s">
        <v>1125</v>
      </c>
      <c r="B365" t="s">
        <v>59</v>
      </c>
      <c r="C365" t="s">
        <v>102</v>
      </c>
      <c r="D365" t="s">
        <v>14</v>
      </c>
      <c r="E365">
        <v>4562000</v>
      </c>
      <c r="F365">
        <v>1508.6</v>
      </c>
      <c r="G365" t="s">
        <v>1126</v>
      </c>
      <c r="H365" t="s">
        <v>1127</v>
      </c>
      <c r="I365">
        <v>1</v>
      </c>
      <c r="J365">
        <v>0</v>
      </c>
      <c r="K365" t="s">
        <v>17</v>
      </c>
    </row>
    <row r="366" spans="1:11" x14ac:dyDescent="0.2">
      <c r="A366" t="s">
        <v>1128</v>
      </c>
      <c r="B366" t="s">
        <v>77</v>
      </c>
      <c r="C366" t="s">
        <v>26</v>
      </c>
      <c r="D366" t="s">
        <v>27</v>
      </c>
      <c r="E366">
        <v>283000</v>
      </c>
      <c r="F366">
        <v>470.88</v>
      </c>
      <c r="G366" t="s">
        <v>1129</v>
      </c>
      <c r="H366" t="s">
        <v>1130</v>
      </c>
      <c r="I366">
        <v>1</v>
      </c>
      <c r="J366">
        <v>0</v>
      </c>
      <c r="K366" t="s">
        <v>17</v>
      </c>
    </row>
    <row r="367" spans="1:11" x14ac:dyDescent="0.2">
      <c r="A367" t="s">
        <v>1131</v>
      </c>
      <c r="B367" t="s">
        <v>143</v>
      </c>
      <c r="C367" t="s">
        <v>42</v>
      </c>
      <c r="D367" t="s">
        <v>27</v>
      </c>
      <c r="E367">
        <v>502000</v>
      </c>
      <c r="F367">
        <v>835.27</v>
      </c>
      <c r="G367" t="s">
        <v>1132</v>
      </c>
      <c r="H367" t="s">
        <v>1133</v>
      </c>
      <c r="I367">
        <v>1</v>
      </c>
      <c r="J367">
        <v>0</v>
      </c>
      <c r="K367" t="s">
        <v>17</v>
      </c>
    </row>
    <row r="368" spans="1:11" x14ac:dyDescent="0.2">
      <c r="A368" t="s">
        <v>1134</v>
      </c>
      <c r="B368" t="s">
        <v>55</v>
      </c>
      <c r="C368" t="s">
        <v>13</v>
      </c>
      <c r="D368" t="s">
        <v>14</v>
      </c>
      <c r="E368">
        <v>16346000</v>
      </c>
      <c r="F368">
        <v>5405.42</v>
      </c>
      <c r="G368" t="s">
        <v>1135</v>
      </c>
      <c r="H368" t="s">
        <v>1136</v>
      </c>
      <c r="I368">
        <v>1</v>
      </c>
      <c r="J368">
        <v>0</v>
      </c>
      <c r="K368" t="s">
        <v>17</v>
      </c>
    </row>
    <row r="369" spans="1:11" x14ac:dyDescent="0.2">
      <c r="A369" t="s">
        <v>1137</v>
      </c>
      <c r="B369" t="s">
        <v>19</v>
      </c>
      <c r="C369" t="s">
        <v>102</v>
      </c>
      <c r="D369" t="s">
        <v>14</v>
      </c>
      <c r="E369">
        <v>9959000</v>
      </c>
      <c r="F369">
        <v>3293.32</v>
      </c>
      <c r="G369" t="s">
        <v>1138</v>
      </c>
      <c r="H369" t="s">
        <v>1139</v>
      </c>
      <c r="I369">
        <v>1</v>
      </c>
      <c r="J369">
        <v>0</v>
      </c>
      <c r="K369" t="s">
        <v>17</v>
      </c>
    </row>
    <row r="370" spans="1:11" x14ac:dyDescent="0.2">
      <c r="A370" t="s">
        <v>1140</v>
      </c>
      <c r="B370" t="s">
        <v>59</v>
      </c>
      <c r="C370" t="s">
        <v>42</v>
      </c>
      <c r="D370" t="s">
        <v>27</v>
      </c>
      <c r="E370">
        <v>803000</v>
      </c>
      <c r="F370">
        <v>1336.11</v>
      </c>
      <c r="G370" t="s">
        <v>1141</v>
      </c>
      <c r="H370" t="s">
        <v>1142</v>
      </c>
      <c r="I370">
        <v>1</v>
      </c>
      <c r="J370">
        <v>0</v>
      </c>
      <c r="K370" t="s">
        <v>17</v>
      </c>
    </row>
    <row r="371" spans="1:11" x14ac:dyDescent="0.2">
      <c r="A371" t="s">
        <v>1143</v>
      </c>
      <c r="B371" t="s">
        <v>31</v>
      </c>
      <c r="C371" t="s">
        <v>13</v>
      </c>
      <c r="D371" t="s">
        <v>14</v>
      </c>
      <c r="E371">
        <v>4838000</v>
      </c>
      <c r="F371">
        <v>1599.87</v>
      </c>
      <c r="G371" t="s">
        <v>1144</v>
      </c>
      <c r="H371" t="s">
        <v>1145</v>
      </c>
      <c r="I371">
        <v>1</v>
      </c>
      <c r="J371">
        <v>0</v>
      </c>
      <c r="K371" t="s">
        <v>17</v>
      </c>
    </row>
    <row r="372" spans="1:11" x14ac:dyDescent="0.2">
      <c r="A372" t="s">
        <v>1146</v>
      </c>
      <c r="B372" t="s">
        <v>63</v>
      </c>
      <c r="C372" t="s">
        <v>26</v>
      </c>
      <c r="D372" t="s">
        <v>27</v>
      </c>
      <c r="E372">
        <v>562000</v>
      </c>
      <c r="F372">
        <v>935.11</v>
      </c>
      <c r="G372" t="s">
        <v>1147</v>
      </c>
      <c r="H372" t="s">
        <v>1148</v>
      </c>
      <c r="I372">
        <v>1</v>
      </c>
      <c r="J372">
        <v>0</v>
      </c>
      <c r="K372" t="s">
        <v>17</v>
      </c>
    </row>
    <row r="373" spans="1:11" x14ac:dyDescent="0.2">
      <c r="A373" t="s">
        <v>1149</v>
      </c>
      <c r="B373" t="s">
        <v>55</v>
      </c>
      <c r="C373" t="s">
        <v>102</v>
      </c>
      <c r="D373" t="s">
        <v>14</v>
      </c>
      <c r="E373">
        <v>1866000</v>
      </c>
      <c r="F373">
        <v>617.05999999999995</v>
      </c>
      <c r="G373" t="s">
        <v>1150</v>
      </c>
      <c r="H373" t="s">
        <v>1151</v>
      </c>
      <c r="I373">
        <v>1</v>
      </c>
      <c r="J373">
        <v>0</v>
      </c>
      <c r="K373" t="s">
        <v>17</v>
      </c>
    </row>
    <row r="374" spans="1:11" x14ac:dyDescent="0.2">
      <c r="A374" t="s">
        <v>1152</v>
      </c>
      <c r="B374" t="s">
        <v>25</v>
      </c>
      <c r="C374" t="s">
        <v>51</v>
      </c>
      <c r="D374" t="s">
        <v>21</v>
      </c>
      <c r="E374">
        <v>124000</v>
      </c>
      <c r="F374">
        <v>206.32</v>
      </c>
      <c r="G374" t="s">
        <v>1153</v>
      </c>
      <c r="H374" t="s">
        <v>1154</v>
      </c>
      <c r="I374">
        <v>1</v>
      </c>
      <c r="J374">
        <v>0</v>
      </c>
      <c r="K374" t="s">
        <v>17</v>
      </c>
    </row>
    <row r="375" spans="1:11" x14ac:dyDescent="0.2">
      <c r="A375" t="s">
        <v>1155</v>
      </c>
      <c r="B375" t="s">
        <v>67</v>
      </c>
      <c r="C375" t="s">
        <v>102</v>
      </c>
      <c r="D375" t="s">
        <v>14</v>
      </c>
      <c r="E375">
        <v>812000</v>
      </c>
      <c r="F375">
        <v>268.52</v>
      </c>
      <c r="G375" t="s">
        <v>1156</v>
      </c>
      <c r="H375" t="s">
        <v>1157</v>
      </c>
      <c r="I375">
        <v>1</v>
      </c>
      <c r="J375">
        <v>0</v>
      </c>
      <c r="K375" t="s">
        <v>17</v>
      </c>
    </row>
    <row r="376" spans="1:11" x14ac:dyDescent="0.2">
      <c r="A376" t="s">
        <v>1158</v>
      </c>
      <c r="B376" t="s">
        <v>128</v>
      </c>
      <c r="C376" t="s">
        <v>42</v>
      </c>
      <c r="D376" t="s">
        <v>27</v>
      </c>
      <c r="E376">
        <v>824000</v>
      </c>
      <c r="F376">
        <v>1371.05</v>
      </c>
      <c r="G376" t="s">
        <v>1159</v>
      </c>
      <c r="H376" t="s">
        <v>1160</v>
      </c>
      <c r="I376">
        <v>1</v>
      </c>
      <c r="J376">
        <v>0</v>
      </c>
      <c r="K376" t="s">
        <v>17</v>
      </c>
    </row>
    <row r="377" spans="1:11" x14ac:dyDescent="0.2">
      <c r="A377" t="s">
        <v>1161</v>
      </c>
      <c r="B377" t="s">
        <v>135</v>
      </c>
      <c r="C377" t="s">
        <v>26</v>
      </c>
      <c r="D377" t="s">
        <v>27</v>
      </c>
      <c r="E377">
        <v>362000</v>
      </c>
      <c r="F377">
        <v>602.33000000000004</v>
      </c>
      <c r="G377" t="s">
        <v>1162</v>
      </c>
      <c r="H377" t="s">
        <v>1163</v>
      </c>
      <c r="I377">
        <v>1</v>
      </c>
      <c r="J377">
        <v>0</v>
      </c>
      <c r="K377" t="s">
        <v>17</v>
      </c>
    </row>
    <row r="378" spans="1:11" x14ac:dyDescent="0.2">
      <c r="A378" t="s">
        <v>1164</v>
      </c>
      <c r="B378" t="s">
        <v>128</v>
      </c>
      <c r="C378" t="s">
        <v>13</v>
      </c>
      <c r="D378" t="s">
        <v>14</v>
      </c>
      <c r="E378">
        <v>1834000</v>
      </c>
      <c r="F378">
        <v>606.48</v>
      </c>
      <c r="G378" t="s">
        <v>1165</v>
      </c>
      <c r="H378" t="s">
        <v>1166</v>
      </c>
      <c r="I378">
        <v>1</v>
      </c>
      <c r="J378">
        <v>0</v>
      </c>
      <c r="K378" t="s">
        <v>17</v>
      </c>
    </row>
    <row r="379" spans="1:11" x14ac:dyDescent="0.2">
      <c r="A379" t="s">
        <v>1167</v>
      </c>
      <c r="B379" t="s">
        <v>35</v>
      </c>
      <c r="C379" t="s">
        <v>51</v>
      </c>
      <c r="D379" t="s">
        <v>21</v>
      </c>
      <c r="E379">
        <v>229000</v>
      </c>
      <c r="F379">
        <v>381.03</v>
      </c>
      <c r="G379" t="s">
        <v>1168</v>
      </c>
      <c r="H379" t="s">
        <v>1169</v>
      </c>
      <c r="I379">
        <v>1</v>
      </c>
      <c r="J379">
        <v>0</v>
      </c>
      <c r="K379" t="s">
        <v>17</v>
      </c>
    </row>
    <row r="380" spans="1:11" x14ac:dyDescent="0.2">
      <c r="A380" t="s">
        <v>1170</v>
      </c>
      <c r="B380" t="s">
        <v>50</v>
      </c>
      <c r="C380" t="s">
        <v>102</v>
      </c>
      <c r="D380" t="s">
        <v>14</v>
      </c>
      <c r="E380">
        <v>1307000</v>
      </c>
      <c r="F380">
        <v>432.21</v>
      </c>
      <c r="G380" t="s">
        <v>1171</v>
      </c>
      <c r="H380" t="s">
        <v>1172</v>
      </c>
      <c r="I380">
        <v>1</v>
      </c>
      <c r="J380">
        <v>0</v>
      </c>
      <c r="K380" t="s">
        <v>17</v>
      </c>
    </row>
    <row r="381" spans="1:11" x14ac:dyDescent="0.2">
      <c r="A381" t="s">
        <v>1173</v>
      </c>
      <c r="B381" t="s">
        <v>143</v>
      </c>
      <c r="C381" t="s">
        <v>20</v>
      </c>
      <c r="D381" t="s">
        <v>21</v>
      </c>
      <c r="E381">
        <v>374000</v>
      </c>
      <c r="F381">
        <v>622.29999999999995</v>
      </c>
      <c r="G381" t="s">
        <v>1174</v>
      </c>
      <c r="H381" t="s">
        <v>1175</v>
      </c>
      <c r="I381">
        <v>1</v>
      </c>
      <c r="J381">
        <v>0</v>
      </c>
      <c r="K381" t="s">
        <v>17</v>
      </c>
    </row>
    <row r="382" spans="1:11" x14ac:dyDescent="0.2">
      <c r="A382" t="s">
        <v>1176</v>
      </c>
      <c r="B382" t="s">
        <v>135</v>
      </c>
      <c r="C382" t="s">
        <v>13</v>
      </c>
      <c r="D382" t="s">
        <v>14</v>
      </c>
      <c r="E382">
        <v>2438000</v>
      </c>
      <c r="F382">
        <v>806.22</v>
      </c>
      <c r="G382" t="s">
        <v>1177</v>
      </c>
      <c r="H382" t="s">
        <v>1178</v>
      </c>
      <c r="I382">
        <v>1</v>
      </c>
      <c r="J382">
        <v>0</v>
      </c>
      <c r="K382" t="s">
        <v>17</v>
      </c>
    </row>
    <row r="383" spans="1:11" x14ac:dyDescent="0.2">
      <c r="A383" t="s">
        <v>1179</v>
      </c>
      <c r="B383" t="s">
        <v>77</v>
      </c>
      <c r="C383" t="s">
        <v>102</v>
      </c>
      <c r="D383" t="s">
        <v>14</v>
      </c>
      <c r="E383">
        <v>1301000</v>
      </c>
      <c r="F383">
        <v>430.22</v>
      </c>
      <c r="G383" t="s">
        <v>1180</v>
      </c>
      <c r="H383" t="s">
        <v>1181</v>
      </c>
      <c r="I383">
        <v>1</v>
      </c>
      <c r="J383">
        <v>0</v>
      </c>
      <c r="K383" t="s">
        <v>17</v>
      </c>
    </row>
    <row r="384" spans="1:11" x14ac:dyDescent="0.2">
      <c r="A384" t="s">
        <v>1182</v>
      </c>
      <c r="B384" t="s">
        <v>143</v>
      </c>
      <c r="C384" t="s">
        <v>51</v>
      </c>
      <c r="D384" t="s">
        <v>21</v>
      </c>
      <c r="E384">
        <v>335000</v>
      </c>
      <c r="F384">
        <v>557.4</v>
      </c>
      <c r="G384" t="s">
        <v>1183</v>
      </c>
      <c r="H384" t="s">
        <v>1184</v>
      </c>
      <c r="I384">
        <v>1</v>
      </c>
      <c r="J384">
        <v>0</v>
      </c>
      <c r="K384" t="s">
        <v>17</v>
      </c>
    </row>
    <row r="385" spans="1:11" x14ac:dyDescent="0.2">
      <c r="A385" t="s">
        <v>1185</v>
      </c>
      <c r="B385" t="s">
        <v>98</v>
      </c>
      <c r="C385" t="s">
        <v>26</v>
      </c>
      <c r="D385" t="s">
        <v>27</v>
      </c>
      <c r="E385">
        <v>798000</v>
      </c>
      <c r="F385">
        <v>1327.79</v>
      </c>
      <c r="G385" t="s">
        <v>1186</v>
      </c>
      <c r="H385" t="s">
        <v>1187</v>
      </c>
      <c r="I385">
        <v>1</v>
      </c>
      <c r="J385">
        <v>0</v>
      </c>
      <c r="K385" t="s">
        <v>17</v>
      </c>
    </row>
    <row r="386" spans="1:11" x14ac:dyDescent="0.2">
      <c r="A386" t="s">
        <v>1188</v>
      </c>
      <c r="B386" t="s">
        <v>31</v>
      </c>
      <c r="C386" t="s">
        <v>102</v>
      </c>
      <c r="D386" t="s">
        <v>14</v>
      </c>
      <c r="E386">
        <v>4475000</v>
      </c>
      <c r="F386">
        <v>1479.83</v>
      </c>
      <c r="G386" t="s">
        <v>1189</v>
      </c>
      <c r="H386" t="s">
        <v>1190</v>
      </c>
      <c r="I386">
        <v>1</v>
      </c>
      <c r="J386">
        <v>0</v>
      </c>
      <c r="K386" t="s">
        <v>17</v>
      </c>
    </row>
    <row r="387" spans="1:11" x14ac:dyDescent="0.2">
      <c r="A387" t="s">
        <v>1191</v>
      </c>
      <c r="B387" t="s">
        <v>67</v>
      </c>
      <c r="C387" t="s">
        <v>13</v>
      </c>
      <c r="D387" t="s">
        <v>14</v>
      </c>
      <c r="E387">
        <v>1828000</v>
      </c>
      <c r="F387">
        <v>604.5</v>
      </c>
      <c r="G387" t="s">
        <v>1192</v>
      </c>
      <c r="H387" t="s">
        <v>1193</v>
      </c>
      <c r="I387">
        <v>1</v>
      </c>
      <c r="J387">
        <v>0</v>
      </c>
      <c r="K387" t="s">
        <v>17</v>
      </c>
    </row>
    <row r="388" spans="1:11" x14ac:dyDescent="0.2">
      <c r="A388" t="s">
        <v>1194</v>
      </c>
      <c r="B388" t="s">
        <v>50</v>
      </c>
      <c r="C388" t="s">
        <v>20</v>
      </c>
      <c r="D388" t="s">
        <v>21</v>
      </c>
      <c r="E388">
        <v>1088000</v>
      </c>
      <c r="F388">
        <v>1810.32</v>
      </c>
      <c r="G388" t="s">
        <v>1195</v>
      </c>
      <c r="H388" t="s">
        <v>1196</v>
      </c>
      <c r="I388">
        <v>1</v>
      </c>
      <c r="J388">
        <v>0</v>
      </c>
      <c r="K388" t="s">
        <v>17</v>
      </c>
    </row>
    <row r="389" spans="1:11" x14ac:dyDescent="0.2">
      <c r="A389" t="s">
        <v>1197</v>
      </c>
      <c r="B389" t="s">
        <v>77</v>
      </c>
      <c r="C389" t="s">
        <v>102</v>
      </c>
      <c r="D389" t="s">
        <v>14</v>
      </c>
      <c r="E389">
        <v>924000</v>
      </c>
      <c r="F389">
        <v>305.56</v>
      </c>
      <c r="G389" t="s">
        <v>1198</v>
      </c>
      <c r="H389" t="s">
        <v>1199</v>
      </c>
      <c r="I389">
        <v>1</v>
      </c>
      <c r="J389">
        <v>0</v>
      </c>
      <c r="K389" t="s">
        <v>17</v>
      </c>
    </row>
    <row r="390" spans="1:11" x14ac:dyDescent="0.2">
      <c r="A390" t="s">
        <v>1200</v>
      </c>
      <c r="B390" t="s">
        <v>98</v>
      </c>
      <c r="C390" t="s">
        <v>42</v>
      </c>
      <c r="D390" t="s">
        <v>27</v>
      </c>
      <c r="E390">
        <v>437000</v>
      </c>
      <c r="F390">
        <v>727.12</v>
      </c>
      <c r="G390" t="s">
        <v>1201</v>
      </c>
      <c r="H390" t="s">
        <v>1202</v>
      </c>
      <c r="I390">
        <v>1</v>
      </c>
      <c r="J390">
        <v>0</v>
      </c>
      <c r="K390" t="s">
        <v>17</v>
      </c>
    </row>
    <row r="391" spans="1:11" x14ac:dyDescent="0.2">
      <c r="A391" t="s">
        <v>1203</v>
      </c>
      <c r="B391" t="s">
        <v>67</v>
      </c>
      <c r="C391" t="s">
        <v>26</v>
      </c>
      <c r="D391" t="s">
        <v>27</v>
      </c>
      <c r="E391">
        <v>625000</v>
      </c>
      <c r="F391">
        <v>1039.93</v>
      </c>
      <c r="G391" t="s">
        <v>1204</v>
      </c>
      <c r="H391" t="s">
        <v>1205</v>
      </c>
      <c r="I391">
        <v>1</v>
      </c>
      <c r="J391">
        <v>0</v>
      </c>
      <c r="K391" t="s">
        <v>17</v>
      </c>
    </row>
    <row r="392" spans="1:11" x14ac:dyDescent="0.2">
      <c r="A392" t="s">
        <v>1206</v>
      </c>
      <c r="B392" t="s">
        <v>59</v>
      </c>
      <c r="C392" t="s">
        <v>26</v>
      </c>
      <c r="D392" t="s">
        <v>27</v>
      </c>
      <c r="E392">
        <v>310000</v>
      </c>
      <c r="F392">
        <v>515.80999999999995</v>
      </c>
      <c r="G392" t="s">
        <v>1207</v>
      </c>
      <c r="H392" t="s">
        <v>1208</v>
      </c>
      <c r="I392">
        <v>1</v>
      </c>
      <c r="J392">
        <v>0</v>
      </c>
      <c r="K392" t="s">
        <v>17</v>
      </c>
    </row>
    <row r="393" spans="1:11" x14ac:dyDescent="0.2">
      <c r="A393" t="s">
        <v>1209</v>
      </c>
      <c r="B393" t="s">
        <v>25</v>
      </c>
      <c r="C393" t="s">
        <v>13</v>
      </c>
      <c r="D393" t="s">
        <v>14</v>
      </c>
      <c r="E393">
        <v>867000</v>
      </c>
      <c r="F393">
        <v>286.70999999999998</v>
      </c>
      <c r="G393" t="s">
        <v>1210</v>
      </c>
      <c r="H393" t="s">
        <v>1211</v>
      </c>
      <c r="I393">
        <v>1</v>
      </c>
      <c r="J393">
        <v>0</v>
      </c>
      <c r="K393" t="s">
        <v>17</v>
      </c>
    </row>
    <row r="394" spans="1:11" x14ac:dyDescent="0.2">
      <c r="A394" t="s">
        <v>1212</v>
      </c>
      <c r="B394" t="s">
        <v>12</v>
      </c>
      <c r="C394" t="s">
        <v>26</v>
      </c>
      <c r="D394" t="s">
        <v>27</v>
      </c>
      <c r="E394">
        <v>381000</v>
      </c>
      <c r="F394">
        <v>633.94000000000005</v>
      </c>
      <c r="G394" t="s">
        <v>1213</v>
      </c>
      <c r="H394" t="s">
        <v>1214</v>
      </c>
      <c r="I394">
        <v>1</v>
      </c>
      <c r="J394">
        <v>0</v>
      </c>
      <c r="K394" t="s">
        <v>17</v>
      </c>
    </row>
    <row r="395" spans="1:11" x14ac:dyDescent="0.2">
      <c r="A395" t="s">
        <v>1215</v>
      </c>
      <c r="B395" t="s">
        <v>59</v>
      </c>
      <c r="C395" t="s">
        <v>42</v>
      </c>
      <c r="D395" t="s">
        <v>27</v>
      </c>
      <c r="E395">
        <v>165000</v>
      </c>
      <c r="F395">
        <v>274.54000000000002</v>
      </c>
      <c r="G395" t="s">
        <v>1216</v>
      </c>
      <c r="H395" t="s">
        <v>1217</v>
      </c>
      <c r="I395">
        <v>1</v>
      </c>
      <c r="J395">
        <v>0</v>
      </c>
      <c r="K395" t="s">
        <v>17</v>
      </c>
    </row>
    <row r="396" spans="1:11" x14ac:dyDescent="0.2">
      <c r="A396" t="s">
        <v>1218</v>
      </c>
      <c r="B396" t="s">
        <v>98</v>
      </c>
      <c r="C396" t="s">
        <v>26</v>
      </c>
      <c r="D396" t="s">
        <v>27</v>
      </c>
      <c r="E396">
        <v>828000</v>
      </c>
      <c r="F396">
        <v>1377.7</v>
      </c>
      <c r="G396" t="s">
        <v>1219</v>
      </c>
      <c r="H396" t="s">
        <v>1220</v>
      </c>
      <c r="I396">
        <v>2</v>
      </c>
      <c r="J396">
        <v>0</v>
      </c>
      <c r="K396" t="s">
        <v>1075</v>
      </c>
    </row>
    <row r="397" spans="1:11" x14ac:dyDescent="0.2">
      <c r="A397" t="s">
        <v>1221</v>
      </c>
      <c r="B397" t="s">
        <v>135</v>
      </c>
      <c r="C397" t="s">
        <v>42</v>
      </c>
      <c r="D397" t="s">
        <v>27</v>
      </c>
      <c r="E397">
        <v>3672000</v>
      </c>
      <c r="F397">
        <v>6109.82</v>
      </c>
      <c r="G397" t="s">
        <v>1222</v>
      </c>
      <c r="H397" t="s">
        <v>1223</v>
      </c>
      <c r="I397">
        <v>1</v>
      </c>
      <c r="J397">
        <v>0</v>
      </c>
      <c r="K397" t="s">
        <v>17</v>
      </c>
    </row>
    <row r="398" spans="1:11" x14ac:dyDescent="0.2">
      <c r="A398" t="s">
        <v>1224</v>
      </c>
      <c r="B398" t="s">
        <v>59</v>
      </c>
      <c r="C398" t="s">
        <v>102</v>
      </c>
      <c r="D398" t="s">
        <v>14</v>
      </c>
      <c r="E398">
        <v>1920000</v>
      </c>
      <c r="F398">
        <v>634.91999999999996</v>
      </c>
      <c r="G398" t="s">
        <v>1225</v>
      </c>
      <c r="H398" t="s">
        <v>1226</v>
      </c>
      <c r="I398">
        <v>1</v>
      </c>
      <c r="J398">
        <v>0</v>
      </c>
      <c r="K398" t="s">
        <v>17</v>
      </c>
    </row>
    <row r="399" spans="1:11" x14ac:dyDescent="0.2">
      <c r="A399" t="s">
        <v>1227</v>
      </c>
      <c r="B399" t="s">
        <v>63</v>
      </c>
      <c r="C399" t="s">
        <v>51</v>
      </c>
      <c r="D399" t="s">
        <v>21</v>
      </c>
      <c r="E399">
        <v>636000</v>
      </c>
      <c r="F399">
        <v>1058.24</v>
      </c>
      <c r="G399" t="s">
        <v>1228</v>
      </c>
      <c r="H399" t="s">
        <v>1229</v>
      </c>
      <c r="I399">
        <v>1</v>
      </c>
      <c r="J399">
        <v>0</v>
      </c>
      <c r="K399" t="s">
        <v>17</v>
      </c>
    </row>
    <row r="400" spans="1:11" x14ac:dyDescent="0.2">
      <c r="A400" t="s">
        <v>1230</v>
      </c>
      <c r="B400" t="s">
        <v>50</v>
      </c>
      <c r="C400" t="s">
        <v>20</v>
      </c>
      <c r="D400" t="s">
        <v>21</v>
      </c>
      <c r="E400">
        <v>1824000</v>
      </c>
      <c r="F400">
        <v>3034.94</v>
      </c>
      <c r="G400" t="s">
        <v>1231</v>
      </c>
      <c r="H400" t="s">
        <v>1232</v>
      </c>
      <c r="I400">
        <v>1</v>
      </c>
      <c r="J400">
        <v>0</v>
      </c>
      <c r="K400" t="s">
        <v>17</v>
      </c>
    </row>
    <row r="401" spans="1:11" x14ac:dyDescent="0.2">
      <c r="A401" t="s">
        <v>1233</v>
      </c>
      <c r="B401" t="s">
        <v>91</v>
      </c>
      <c r="C401" t="s">
        <v>26</v>
      </c>
      <c r="D401" t="s">
        <v>27</v>
      </c>
      <c r="E401">
        <v>45000</v>
      </c>
      <c r="F401">
        <v>74.88</v>
      </c>
      <c r="G401" t="s">
        <v>1234</v>
      </c>
      <c r="H401" t="s">
        <v>1235</v>
      </c>
      <c r="I401">
        <v>1</v>
      </c>
      <c r="J401">
        <v>3.33</v>
      </c>
      <c r="K401" t="s">
        <v>17</v>
      </c>
    </row>
    <row r="402" spans="1:11" x14ac:dyDescent="0.2">
      <c r="A402" t="s">
        <v>1236</v>
      </c>
      <c r="B402" t="s">
        <v>31</v>
      </c>
      <c r="C402" t="s">
        <v>42</v>
      </c>
      <c r="D402" t="s">
        <v>27</v>
      </c>
      <c r="E402">
        <v>340000</v>
      </c>
      <c r="F402">
        <v>565.72</v>
      </c>
      <c r="G402" t="s">
        <v>1237</v>
      </c>
      <c r="H402" t="s">
        <v>1238</v>
      </c>
      <c r="I402">
        <v>1</v>
      </c>
      <c r="J402">
        <v>0</v>
      </c>
      <c r="K402" t="s">
        <v>17</v>
      </c>
    </row>
    <row r="403" spans="1:11" x14ac:dyDescent="0.2">
      <c r="A403" t="s">
        <v>1239</v>
      </c>
      <c r="B403" t="s">
        <v>67</v>
      </c>
      <c r="C403" t="s">
        <v>42</v>
      </c>
      <c r="D403" t="s">
        <v>27</v>
      </c>
      <c r="E403">
        <v>688000</v>
      </c>
      <c r="F403">
        <v>1144.76</v>
      </c>
      <c r="G403" t="s">
        <v>1240</v>
      </c>
      <c r="H403" t="s">
        <v>1241</v>
      </c>
      <c r="I403">
        <v>1</v>
      </c>
      <c r="J403">
        <v>0</v>
      </c>
      <c r="K403" t="s">
        <v>17</v>
      </c>
    </row>
    <row r="404" spans="1:11" x14ac:dyDescent="0.2">
      <c r="A404" t="s">
        <v>1242</v>
      </c>
      <c r="B404" t="s">
        <v>50</v>
      </c>
      <c r="C404" t="s">
        <v>13</v>
      </c>
      <c r="D404" t="s">
        <v>14</v>
      </c>
      <c r="E404">
        <v>295000</v>
      </c>
      <c r="F404">
        <v>97.55</v>
      </c>
      <c r="G404" t="s">
        <v>1243</v>
      </c>
      <c r="H404" t="s">
        <v>1244</v>
      </c>
      <c r="I404">
        <v>1</v>
      </c>
      <c r="J404">
        <v>0</v>
      </c>
      <c r="K404" t="s">
        <v>17</v>
      </c>
    </row>
    <row r="405" spans="1:11" x14ac:dyDescent="0.2">
      <c r="A405" t="s">
        <v>1245</v>
      </c>
      <c r="B405" t="s">
        <v>106</v>
      </c>
      <c r="C405" t="s">
        <v>102</v>
      </c>
      <c r="D405" t="s">
        <v>14</v>
      </c>
      <c r="E405">
        <v>2517000</v>
      </c>
      <c r="F405">
        <v>832.34</v>
      </c>
      <c r="G405" t="s">
        <v>1246</v>
      </c>
      <c r="H405" t="s">
        <v>1247</v>
      </c>
      <c r="I405">
        <v>1</v>
      </c>
      <c r="J405">
        <v>0</v>
      </c>
      <c r="K405" t="s">
        <v>17</v>
      </c>
    </row>
    <row r="406" spans="1:11" x14ac:dyDescent="0.2">
      <c r="A406" t="s">
        <v>1248</v>
      </c>
      <c r="B406" t="s">
        <v>139</v>
      </c>
      <c r="C406" t="s">
        <v>42</v>
      </c>
      <c r="D406" t="s">
        <v>27</v>
      </c>
      <c r="E406">
        <v>528000</v>
      </c>
      <c r="F406">
        <v>878.54</v>
      </c>
      <c r="G406" t="s">
        <v>1249</v>
      </c>
      <c r="H406" t="s">
        <v>1250</v>
      </c>
      <c r="I406">
        <v>1</v>
      </c>
      <c r="J406">
        <v>0</v>
      </c>
      <c r="K406" t="s">
        <v>17</v>
      </c>
    </row>
    <row r="407" spans="1:11" x14ac:dyDescent="0.2">
      <c r="A407" t="s">
        <v>1251</v>
      </c>
      <c r="B407" t="s">
        <v>135</v>
      </c>
      <c r="C407" t="s">
        <v>42</v>
      </c>
      <c r="D407" t="s">
        <v>27</v>
      </c>
      <c r="E407">
        <v>188000</v>
      </c>
      <c r="F407">
        <v>312.81</v>
      </c>
      <c r="G407" t="s">
        <v>1252</v>
      </c>
      <c r="H407" t="s">
        <v>1253</v>
      </c>
      <c r="I407">
        <v>1</v>
      </c>
      <c r="J407">
        <v>0</v>
      </c>
      <c r="K407" t="s">
        <v>17</v>
      </c>
    </row>
    <row r="408" spans="1:11" x14ac:dyDescent="0.2">
      <c r="A408" t="s">
        <v>1254</v>
      </c>
      <c r="B408" t="s">
        <v>19</v>
      </c>
      <c r="C408" t="s">
        <v>20</v>
      </c>
      <c r="D408" t="s">
        <v>21</v>
      </c>
      <c r="E408">
        <v>305000</v>
      </c>
      <c r="F408">
        <v>507.49</v>
      </c>
      <c r="G408" t="s">
        <v>1255</v>
      </c>
      <c r="H408" t="s">
        <v>1256</v>
      </c>
      <c r="I408">
        <v>1</v>
      </c>
      <c r="J408">
        <v>0</v>
      </c>
      <c r="K408" t="s">
        <v>17</v>
      </c>
    </row>
    <row r="409" spans="1:11" x14ac:dyDescent="0.2">
      <c r="A409" t="s">
        <v>1257</v>
      </c>
      <c r="B409" t="s">
        <v>67</v>
      </c>
      <c r="C409" t="s">
        <v>42</v>
      </c>
      <c r="D409" t="s">
        <v>27</v>
      </c>
      <c r="E409">
        <v>608000</v>
      </c>
      <c r="F409">
        <v>1011.65</v>
      </c>
      <c r="G409" t="s">
        <v>1258</v>
      </c>
      <c r="H409" t="s">
        <v>1259</v>
      </c>
      <c r="I409">
        <v>1</v>
      </c>
      <c r="J409">
        <v>0</v>
      </c>
      <c r="K409" t="s">
        <v>17</v>
      </c>
    </row>
    <row r="410" spans="1:11" x14ac:dyDescent="0.2">
      <c r="A410" t="s">
        <v>1260</v>
      </c>
      <c r="B410" t="s">
        <v>63</v>
      </c>
      <c r="C410" t="s">
        <v>42</v>
      </c>
      <c r="D410" t="s">
        <v>27</v>
      </c>
      <c r="E410">
        <v>412000</v>
      </c>
      <c r="F410">
        <v>685.52</v>
      </c>
      <c r="G410" t="s">
        <v>1261</v>
      </c>
      <c r="H410" t="s">
        <v>1262</v>
      </c>
      <c r="I410">
        <v>1</v>
      </c>
      <c r="J410">
        <v>0</v>
      </c>
      <c r="K410" t="s">
        <v>17</v>
      </c>
    </row>
    <row r="411" spans="1:11" x14ac:dyDescent="0.2">
      <c r="A411" t="s">
        <v>1263</v>
      </c>
      <c r="B411" t="s">
        <v>63</v>
      </c>
      <c r="C411" t="s">
        <v>13</v>
      </c>
      <c r="D411" t="s">
        <v>14</v>
      </c>
      <c r="E411">
        <v>1604000</v>
      </c>
      <c r="F411">
        <v>530.41999999999996</v>
      </c>
      <c r="G411" t="s">
        <v>1264</v>
      </c>
      <c r="H411" t="s">
        <v>1265</v>
      </c>
      <c r="I411">
        <v>1</v>
      </c>
      <c r="J411">
        <v>0</v>
      </c>
      <c r="K411" t="s">
        <v>17</v>
      </c>
    </row>
    <row r="412" spans="1:11" x14ac:dyDescent="0.2">
      <c r="A412" t="s">
        <v>1266</v>
      </c>
      <c r="B412" t="s">
        <v>35</v>
      </c>
      <c r="C412" t="s">
        <v>13</v>
      </c>
      <c r="D412" t="s">
        <v>14</v>
      </c>
      <c r="E412">
        <v>3636000</v>
      </c>
      <c r="F412">
        <v>1202.3800000000001</v>
      </c>
      <c r="G412" t="s">
        <v>1267</v>
      </c>
      <c r="H412" t="s">
        <v>1268</v>
      </c>
      <c r="I412">
        <v>1</v>
      </c>
      <c r="J412">
        <v>0</v>
      </c>
      <c r="K412" t="s">
        <v>17</v>
      </c>
    </row>
    <row r="413" spans="1:11" x14ac:dyDescent="0.2">
      <c r="A413" t="s">
        <v>1269</v>
      </c>
      <c r="B413" t="s">
        <v>87</v>
      </c>
      <c r="C413" t="s">
        <v>26</v>
      </c>
      <c r="D413" t="s">
        <v>27</v>
      </c>
      <c r="E413">
        <v>2004000</v>
      </c>
      <c r="F413">
        <v>3334.44</v>
      </c>
      <c r="G413" t="s">
        <v>1270</v>
      </c>
      <c r="H413" t="s">
        <v>1271</v>
      </c>
      <c r="I413">
        <v>1</v>
      </c>
      <c r="J413">
        <v>0</v>
      </c>
      <c r="K413" t="s">
        <v>17</v>
      </c>
    </row>
    <row r="414" spans="1:11" x14ac:dyDescent="0.2">
      <c r="A414" t="s">
        <v>1272</v>
      </c>
      <c r="B414" t="s">
        <v>55</v>
      </c>
      <c r="C414" t="s">
        <v>102</v>
      </c>
      <c r="D414" t="s">
        <v>14</v>
      </c>
      <c r="E414">
        <v>2344000</v>
      </c>
      <c r="F414">
        <v>775.13</v>
      </c>
      <c r="G414" t="s">
        <v>1273</v>
      </c>
      <c r="H414" t="s">
        <v>1274</v>
      </c>
      <c r="I414">
        <v>1</v>
      </c>
      <c r="J414">
        <v>0</v>
      </c>
      <c r="K414" t="s">
        <v>17</v>
      </c>
    </row>
    <row r="415" spans="1:11" x14ac:dyDescent="0.2">
      <c r="A415" t="s">
        <v>1275</v>
      </c>
      <c r="B415" t="s">
        <v>35</v>
      </c>
      <c r="C415" t="s">
        <v>13</v>
      </c>
      <c r="D415" t="s">
        <v>14</v>
      </c>
      <c r="E415">
        <v>1911000</v>
      </c>
      <c r="F415">
        <v>631.94000000000005</v>
      </c>
      <c r="G415" t="s">
        <v>1276</v>
      </c>
      <c r="H415" t="s">
        <v>1277</v>
      </c>
      <c r="I415">
        <v>1</v>
      </c>
      <c r="J415">
        <v>0</v>
      </c>
      <c r="K415" t="s">
        <v>17</v>
      </c>
    </row>
    <row r="416" spans="1:11" x14ac:dyDescent="0.2">
      <c r="A416" t="s">
        <v>1278</v>
      </c>
      <c r="B416" t="s">
        <v>35</v>
      </c>
      <c r="C416" t="s">
        <v>26</v>
      </c>
      <c r="D416" t="s">
        <v>27</v>
      </c>
      <c r="E416">
        <v>177000</v>
      </c>
      <c r="F416">
        <v>294.51</v>
      </c>
      <c r="G416" t="s">
        <v>1279</v>
      </c>
      <c r="H416" t="s">
        <v>1280</v>
      </c>
      <c r="I416">
        <v>1</v>
      </c>
      <c r="J416">
        <v>0</v>
      </c>
      <c r="K416" t="s">
        <v>17</v>
      </c>
    </row>
    <row r="417" spans="1:11" x14ac:dyDescent="0.2">
      <c r="A417" t="s">
        <v>1281</v>
      </c>
      <c r="B417" t="s">
        <v>55</v>
      </c>
      <c r="C417" t="s">
        <v>13</v>
      </c>
      <c r="D417" t="s">
        <v>14</v>
      </c>
      <c r="E417">
        <v>1451000</v>
      </c>
      <c r="F417">
        <v>479.83</v>
      </c>
      <c r="G417" t="s">
        <v>1282</v>
      </c>
      <c r="H417" t="s">
        <v>1283</v>
      </c>
      <c r="I417">
        <v>1</v>
      </c>
      <c r="J417">
        <v>0</v>
      </c>
      <c r="K417" t="s">
        <v>17</v>
      </c>
    </row>
    <row r="418" spans="1:11" x14ac:dyDescent="0.2">
      <c r="A418" t="s">
        <v>1284</v>
      </c>
      <c r="B418" t="s">
        <v>98</v>
      </c>
      <c r="C418" t="s">
        <v>20</v>
      </c>
      <c r="D418" t="s">
        <v>21</v>
      </c>
      <c r="E418">
        <v>292000</v>
      </c>
      <c r="F418">
        <v>485.86</v>
      </c>
      <c r="G418" t="s">
        <v>1285</v>
      </c>
      <c r="H418" t="s">
        <v>1286</v>
      </c>
      <c r="I418">
        <v>1</v>
      </c>
      <c r="J418">
        <v>0</v>
      </c>
      <c r="K418" t="s">
        <v>17</v>
      </c>
    </row>
    <row r="419" spans="1:11" x14ac:dyDescent="0.2">
      <c r="A419" t="s">
        <v>1287</v>
      </c>
      <c r="B419" t="s">
        <v>128</v>
      </c>
      <c r="C419" t="s">
        <v>20</v>
      </c>
      <c r="D419" t="s">
        <v>21</v>
      </c>
      <c r="E419">
        <v>317000</v>
      </c>
      <c r="F419">
        <v>527.45000000000005</v>
      </c>
      <c r="G419" t="s">
        <v>1288</v>
      </c>
      <c r="H419" t="s">
        <v>1289</v>
      </c>
      <c r="I419">
        <v>1</v>
      </c>
      <c r="J419">
        <v>0</v>
      </c>
      <c r="K419" t="s">
        <v>17</v>
      </c>
    </row>
    <row r="420" spans="1:11" x14ac:dyDescent="0.2">
      <c r="A420" t="s">
        <v>1290</v>
      </c>
      <c r="B420" t="s">
        <v>91</v>
      </c>
      <c r="C420" t="s">
        <v>51</v>
      </c>
      <c r="D420" t="s">
        <v>21</v>
      </c>
      <c r="E420">
        <v>161000</v>
      </c>
      <c r="F420">
        <v>267.89</v>
      </c>
      <c r="G420" t="s">
        <v>1291</v>
      </c>
      <c r="H420" t="s">
        <v>1292</v>
      </c>
      <c r="I420">
        <v>1</v>
      </c>
      <c r="J420">
        <v>0</v>
      </c>
      <c r="K420" t="s">
        <v>17</v>
      </c>
    </row>
    <row r="421" spans="1:11" x14ac:dyDescent="0.2">
      <c r="A421" t="s">
        <v>1293</v>
      </c>
      <c r="B421" t="s">
        <v>12</v>
      </c>
      <c r="C421" t="s">
        <v>26</v>
      </c>
      <c r="D421" t="s">
        <v>27</v>
      </c>
      <c r="E421">
        <v>397000</v>
      </c>
      <c r="F421">
        <v>660.57</v>
      </c>
      <c r="G421" t="s">
        <v>1294</v>
      </c>
      <c r="H421" t="s">
        <v>1295</v>
      </c>
      <c r="I421">
        <v>1</v>
      </c>
      <c r="J421">
        <v>0</v>
      </c>
      <c r="K421" t="s">
        <v>17</v>
      </c>
    </row>
    <row r="422" spans="1:11" x14ac:dyDescent="0.2">
      <c r="A422" t="s">
        <v>1296</v>
      </c>
      <c r="B422" t="s">
        <v>12</v>
      </c>
      <c r="C422" t="s">
        <v>51</v>
      </c>
      <c r="D422" t="s">
        <v>21</v>
      </c>
      <c r="E422">
        <v>781000</v>
      </c>
      <c r="F422">
        <v>1299.5</v>
      </c>
      <c r="G422" t="s">
        <v>1297</v>
      </c>
      <c r="H422" t="s">
        <v>1298</v>
      </c>
      <c r="I422">
        <v>1</v>
      </c>
      <c r="J422">
        <v>0</v>
      </c>
      <c r="K422" t="s">
        <v>17</v>
      </c>
    </row>
    <row r="423" spans="1:11" x14ac:dyDescent="0.2">
      <c r="A423" t="s">
        <v>1299</v>
      </c>
      <c r="B423" t="s">
        <v>91</v>
      </c>
      <c r="C423" t="s">
        <v>13</v>
      </c>
      <c r="D423" t="s">
        <v>14</v>
      </c>
      <c r="E423">
        <v>605000</v>
      </c>
      <c r="F423">
        <v>200.07</v>
      </c>
      <c r="G423" t="s">
        <v>1300</v>
      </c>
      <c r="H423" t="s">
        <v>1301</v>
      </c>
      <c r="I423">
        <v>1</v>
      </c>
      <c r="J423">
        <v>0</v>
      </c>
      <c r="K423" t="s">
        <v>17</v>
      </c>
    </row>
    <row r="424" spans="1:11" x14ac:dyDescent="0.2">
      <c r="A424" t="s">
        <v>1302</v>
      </c>
      <c r="B424" t="s">
        <v>240</v>
      </c>
      <c r="C424" t="s">
        <v>13</v>
      </c>
      <c r="D424" t="s">
        <v>14</v>
      </c>
      <c r="E424">
        <v>2559000</v>
      </c>
      <c r="F424">
        <v>846.23</v>
      </c>
      <c r="G424" t="s">
        <v>1303</v>
      </c>
      <c r="H424" t="s">
        <v>1304</v>
      </c>
      <c r="I424">
        <v>1</v>
      </c>
      <c r="J424">
        <v>0</v>
      </c>
      <c r="K424" t="s">
        <v>17</v>
      </c>
    </row>
    <row r="425" spans="1:11" x14ac:dyDescent="0.2">
      <c r="A425" t="s">
        <v>1305</v>
      </c>
      <c r="B425" t="s">
        <v>240</v>
      </c>
      <c r="C425" t="s">
        <v>20</v>
      </c>
      <c r="D425" t="s">
        <v>21</v>
      </c>
      <c r="E425">
        <v>556000</v>
      </c>
      <c r="F425">
        <v>925.12</v>
      </c>
      <c r="G425" t="s">
        <v>1306</v>
      </c>
      <c r="H425" t="s">
        <v>1307</v>
      </c>
      <c r="I425">
        <v>1</v>
      </c>
      <c r="J425">
        <v>0</v>
      </c>
      <c r="K425" t="s">
        <v>17</v>
      </c>
    </row>
    <row r="426" spans="1:11" x14ac:dyDescent="0.2">
      <c r="A426" t="s">
        <v>1308</v>
      </c>
      <c r="B426" t="s">
        <v>91</v>
      </c>
      <c r="C426" t="s">
        <v>13</v>
      </c>
      <c r="D426" t="s">
        <v>14</v>
      </c>
      <c r="E426">
        <v>4840000</v>
      </c>
      <c r="F426">
        <v>1600.53</v>
      </c>
      <c r="G426" t="s">
        <v>1309</v>
      </c>
      <c r="H426" t="s">
        <v>1310</v>
      </c>
      <c r="I426">
        <v>1</v>
      </c>
      <c r="J426">
        <v>0</v>
      </c>
      <c r="K426" t="s">
        <v>17</v>
      </c>
    </row>
    <row r="427" spans="1:11" x14ac:dyDescent="0.2">
      <c r="A427" t="s">
        <v>1311</v>
      </c>
      <c r="B427" t="s">
        <v>106</v>
      </c>
      <c r="C427" t="s">
        <v>20</v>
      </c>
      <c r="D427" t="s">
        <v>21</v>
      </c>
      <c r="E427">
        <v>254000</v>
      </c>
      <c r="F427">
        <v>422.63</v>
      </c>
      <c r="G427" t="s">
        <v>1312</v>
      </c>
      <c r="H427" t="s">
        <v>1313</v>
      </c>
      <c r="I427">
        <v>1</v>
      </c>
      <c r="J427">
        <v>0</v>
      </c>
      <c r="K427" t="s">
        <v>17</v>
      </c>
    </row>
    <row r="428" spans="1:11" x14ac:dyDescent="0.2">
      <c r="A428" t="s">
        <v>1314</v>
      </c>
      <c r="B428" t="s">
        <v>128</v>
      </c>
      <c r="C428" t="s">
        <v>20</v>
      </c>
      <c r="D428" t="s">
        <v>21</v>
      </c>
      <c r="E428">
        <v>324000</v>
      </c>
      <c r="F428">
        <v>539.1</v>
      </c>
      <c r="G428" t="s">
        <v>1315</v>
      </c>
      <c r="H428" t="s">
        <v>1316</v>
      </c>
      <c r="I428">
        <v>1</v>
      </c>
      <c r="J428">
        <v>0</v>
      </c>
      <c r="K428" t="s">
        <v>17</v>
      </c>
    </row>
    <row r="429" spans="1:11" x14ac:dyDescent="0.2">
      <c r="A429" t="s">
        <v>1317</v>
      </c>
      <c r="B429" t="s">
        <v>91</v>
      </c>
      <c r="C429" t="s">
        <v>51</v>
      </c>
      <c r="D429" t="s">
        <v>21</v>
      </c>
      <c r="E429">
        <v>154000</v>
      </c>
      <c r="F429">
        <v>256.24</v>
      </c>
      <c r="G429" t="s">
        <v>1318</v>
      </c>
      <c r="H429" t="s">
        <v>1319</v>
      </c>
      <c r="I429">
        <v>1</v>
      </c>
      <c r="J429">
        <v>0</v>
      </c>
      <c r="K429" t="s">
        <v>17</v>
      </c>
    </row>
    <row r="430" spans="1:11" x14ac:dyDescent="0.2">
      <c r="A430" t="s">
        <v>1320</v>
      </c>
      <c r="B430" t="s">
        <v>67</v>
      </c>
      <c r="C430" t="s">
        <v>20</v>
      </c>
      <c r="D430" t="s">
        <v>21</v>
      </c>
      <c r="E430">
        <v>356000</v>
      </c>
      <c r="F430">
        <v>592.35</v>
      </c>
      <c r="G430" t="s">
        <v>1321</v>
      </c>
      <c r="H430" t="s">
        <v>1322</v>
      </c>
      <c r="I430">
        <v>1</v>
      </c>
      <c r="J430">
        <v>0</v>
      </c>
      <c r="K430" t="s">
        <v>17</v>
      </c>
    </row>
    <row r="431" spans="1:11" x14ac:dyDescent="0.2">
      <c r="A431" t="s">
        <v>1323</v>
      </c>
      <c r="B431" t="s">
        <v>12</v>
      </c>
      <c r="C431" t="s">
        <v>13</v>
      </c>
      <c r="D431" t="s">
        <v>14</v>
      </c>
      <c r="E431">
        <v>2363000</v>
      </c>
      <c r="F431">
        <v>781.42</v>
      </c>
      <c r="G431" t="s">
        <v>1324</v>
      </c>
      <c r="H431" t="s">
        <v>1325</v>
      </c>
      <c r="I431">
        <v>1</v>
      </c>
      <c r="J431">
        <v>0</v>
      </c>
      <c r="K431" t="s">
        <v>17</v>
      </c>
    </row>
    <row r="432" spans="1:11" x14ac:dyDescent="0.2">
      <c r="A432" t="s">
        <v>1326</v>
      </c>
      <c r="B432" t="s">
        <v>128</v>
      </c>
      <c r="C432" t="s">
        <v>13</v>
      </c>
      <c r="D432" t="s">
        <v>14</v>
      </c>
      <c r="E432">
        <v>8055000</v>
      </c>
      <c r="F432">
        <v>2663.69</v>
      </c>
      <c r="G432" t="s">
        <v>1327</v>
      </c>
      <c r="H432" t="s">
        <v>1328</v>
      </c>
      <c r="I432">
        <v>1</v>
      </c>
      <c r="J432">
        <v>0</v>
      </c>
      <c r="K432" t="s">
        <v>17</v>
      </c>
    </row>
    <row r="433" spans="1:11" x14ac:dyDescent="0.2">
      <c r="A433" t="s">
        <v>1329</v>
      </c>
      <c r="B433" t="s">
        <v>31</v>
      </c>
      <c r="C433" t="s">
        <v>51</v>
      </c>
      <c r="D433" t="s">
        <v>21</v>
      </c>
      <c r="E433">
        <v>937000</v>
      </c>
      <c r="F433">
        <v>1559.07</v>
      </c>
      <c r="G433" t="s">
        <v>1330</v>
      </c>
      <c r="H433" t="s">
        <v>1331</v>
      </c>
      <c r="I433">
        <v>1</v>
      </c>
      <c r="J433">
        <v>0</v>
      </c>
      <c r="K433" t="s">
        <v>17</v>
      </c>
    </row>
    <row r="434" spans="1:11" x14ac:dyDescent="0.2">
      <c r="A434" t="s">
        <v>1332</v>
      </c>
      <c r="B434" t="s">
        <v>19</v>
      </c>
      <c r="C434" t="s">
        <v>26</v>
      </c>
      <c r="D434" t="s">
        <v>27</v>
      </c>
      <c r="E434">
        <v>463000</v>
      </c>
      <c r="F434">
        <v>770.38</v>
      </c>
      <c r="G434" t="s">
        <v>1333</v>
      </c>
      <c r="H434" t="s">
        <v>1334</v>
      </c>
      <c r="I434">
        <v>1</v>
      </c>
      <c r="J434">
        <v>0</v>
      </c>
      <c r="K434" t="s">
        <v>17</v>
      </c>
    </row>
    <row r="435" spans="1:11" x14ac:dyDescent="0.2">
      <c r="A435" t="s">
        <v>1335</v>
      </c>
      <c r="B435" t="s">
        <v>98</v>
      </c>
      <c r="C435" t="s">
        <v>51</v>
      </c>
      <c r="D435" t="s">
        <v>21</v>
      </c>
      <c r="E435">
        <v>540000</v>
      </c>
      <c r="F435">
        <v>898.5</v>
      </c>
      <c r="G435" t="s">
        <v>1336</v>
      </c>
      <c r="H435" t="s">
        <v>1337</v>
      </c>
      <c r="I435">
        <v>1</v>
      </c>
      <c r="J435">
        <v>66.56</v>
      </c>
      <c r="K435" t="s">
        <v>45</v>
      </c>
    </row>
    <row r="436" spans="1:11" x14ac:dyDescent="0.2">
      <c r="A436" t="s">
        <v>1338</v>
      </c>
      <c r="B436" t="s">
        <v>35</v>
      </c>
      <c r="C436" t="s">
        <v>26</v>
      </c>
      <c r="D436" t="s">
        <v>27</v>
      </c>
      <c r="E436">
        <v>586000</v>
      </c>
      <c r="F436">
        <v>975.04</v>
      </c>
      <c r="G436" t="s">
        <v>1339</v>
      </c>
      <c r="H436" t="s">
        <v>1340</v>
      </c>
      <c r="I436">
        <v>1</v>
      </c>
      <c r="J436">
        <v>0</v>
      </c>
      <c r="K436" t="s">
        <v>17</v>
      </c>
    </row>
    <row r="437" spans="1:11" x14ac:dyDescent="0.2">
      <c r="A437" t="s">
        <v>1341</v>
      </c>
      <c r="B437" t="s">
        <v>35</v>
      </c>
      <c r="C437" t="s">
        <v>42</v>
      </c>
      <c r="D437" t="s">
        <v>27</v>
      </c>
      <c r="E437">
        <v>432000</v>
      </c>
      <c r="F437">
        <v>718.8</v>
      </c>
      <c r="G437" t="s">
        <v>1342</v>
      </c>
      <c r="H437" t="s">
        <v>1343</v>
      </c>
      <c r="I437">
        <v>1</v>
      </c>
      <c r="J437">
        <v>0</v>
      </c>
      <c r="K437" t="s">
        <v>17</v>
      </c>
    </row>
    <row r="438" spans="1:11" x14ac:dyDescent="0.2">
      <c r="A438" t="s">
        <v>1344</v>
      </c>
      <c r="B438" t="s">
        <v>135</v>
      </c>
      <c r="C438" t="s">
        <v>42</v>
      </c>
      <c r="D438" t="s">
        <v>27</v>
      </c>
      <c r="E438">
        <v>1089000</v>
      </c>
      <c r="F438">
        <v>1811.98</v>
      </c>
      <c r="G438" t="s">
        <v>1345</v>
      </c>
      <c r="H438" t="s">
        <v>1346</v>
      </c>
      <c r="I438">
        <v>1</v>
      </c>
      <c r="J438">
        <v>0</v>
      </c>
      <c r="K438" t="s">
        <v>17</v>
      </c>
    </row>
    <row r="439" spans="1:11" x14ac:dyDescent="0.2">
      <c r="A439" t="s">
        <v>1347</v>
      </c>
      <c r="B439" t="s">
        <v>12</v>
      </c>
      <c r="C439" t="s">
        <v>20</v>
      </c>
      <c r="D439" t="s">
        <v>21</v>
      </c>
      <c r="E439">
        <v>645000</v>
      </c>
      <c r="F439">
        <v>1073.21</v>
      </c>
      <c r="G439" t="s">
        <v>1348</v>
      </c>
      <c r="H439" t="s">
        <v>1349</v>
      </c>
      <c r="I439">
        <v>1</v>
      </c>
      <c r="J439">
        <v>0</v>
      </c>
      <c r="K439" t="s">
        <v>17</v>
      </c>
    </row>
    <row r="440" spans="1:11" x14ac:dyDescent="0.2">
      <c r="A440" t="s">
        <v>1350</v>
      </c>
      <c r="B440" t="s">
        <v>77</v>
      </c>
      <c r="C440" t="s">
        <v>20</v>
      </c>
      <c r="D440" t="s">
        <v>21</v>
      </c>
      <c r="E440">
        <v>437000</v>
      </c>
      <c r="F440">
        <v>727.12</v>
      </c>
      <c r="G440" t="s">
        <v>1351</v>
      </c>
      <c r="H440" t="s">
        <v>1352</v>
      </c>
      <c r="I440">
        <v>1</v>
      </c>
      <c r="J440">
        <v>0</v>
      </c>
      <c r="K440" t="s">
        <v>17</v>
      </c>
    </row>
    <row r="441" spans="1:11" x14ac:dyDescent="0.2">
      <c r="A441" t="s">
        <v>1353</v>
      </c>
      <c r="B441" t="s">
        <v>128</v>
      </c>
      <c r="C441" t="s">
        <v>102</v>
      </c>
      <c r="D441" t="s">
        <v>14</v>
      </c>
      <c r="E441">
        <v>1369000</v>
      </c>
      <c r="F441">
        <v>452.71</v>
      </c>
      <c r="G441" t="s">
        <v>1354</v>
      </c>
      <c r="H441" t="s">
        <v>1355</v>
      </c>
      <c r="I441">
        <v>1</v>
      </c>
      <c r="J441">
        <v>0</v>
      </c>
      <c r="K441" t="s">
        <v>17</v>
      </c>
    </row>
    <row r="442" spans="1:11" x14ac:dyDescent="0.2">
      <c r="A442" t="s">
        <v>1356</v>
      </c>
      <c r="B442" t="s">
        <v>135</v>
      </c>
      <c r="C442" t="s">
        <v>13</v>
      </c>
      <c r="D442" t="s">
        <v>14</v>
      </c>
      <c r="E442">
        <v>2147000</v>
      </c>
      <c r="F442">
        <v>709.99</v>
      </c>
      <c r="G442" t="s">
        <v>1357</v>
      </c>
      <c r="H442" t="s">
        <v>1358</v>
      </c>
      <c r="I442">
        <v>1</v>
      </c>
      <c r="J442">
        <v>0</v>
      </c>
      <c r="K442" t="s">
        <v>17</v>
      </c>
    </row>
    <row r="443" spans="1:11" x14ac:dyDescent="0.2">
      <c r="A443" t="s">
        <v>1359</v>
      </c>
      <c r="B443" t="s">
        <v>67</v>
      </c>
      <c r="C443" t="s">
        <v>26</v>
      </c>
      <c r="D443" t="s">
        <v>27</v>
      </c>
      <c r="E443">
        <v>536000</v>
      </c>
      <c r="F443">
        <v>891.85</v>
      </c>
      <c r="G443" t="s">
        <v>1360</v>
      </c>
      <c r="H443" t="s">
        <v>1361</v>
      </c>
      <c r="I443">
        <v>1</v>
      </c>
      <c r="J443">
        <v>0</v>
      </c>
      <c r="K443" t="s">
        <v>17</v>
      </c>
    </row>
    <row r="444" spans="1:11" x14ac:dyDescent="0.2">
      <c r="A444" t="s">
        <v>1362</v>
      </c>
      <c r="B444" t="s">
        <v>135</v>
      </c>
      <c r="C444" t="s">
        <v>13</v>
      </c>
      <c r="D444" t="s">
        <v>14</v>
      </c>
      <c r="E444">
        <v>1298000</v>
      </c>
      <c r="F444">
        <v>429.23</v>
      </c>
      <c r="G444" t="s">
        <v>1363</v>
      </c>
      <c r="H444" t="s">
        <v>1364</v>
      </c>
      <c r="I444">
        <v>1</v>
      </c>
      <c r="J444">
        <v>0</v>
      </c>
      <c r="K444" t="s">
        <v>17</v>
      </c>
    </row>
    <row r="445" spans="1:11" x14ac:dyDescent="0.2">
      <c r="A445" t="s">
        <v>1365</v>
      </c>
      <c r="B445" t="s">
        <v>106</v>
      </c>
      <c r="C445" t="s">
        <v>42</v>
      </c>
      <c r="D445" t="s">
        <v>27</v>
      </c>
      <c r="E445">
        <v>416000</v>
      </c>
      <c r="F445">
        <v>692.18</v>
      </c>
      <c r="G445" t="s">
        <v>1366</v>
      </c>
      <c r="H445" t="s">
        <v>1367</v>
      </c>
      <c r="I445">
        <v>1</v>
      </c>
      <c r="J445">
        <v>0</v>
      </c>
      <c r="K445" t="s">
        <v>17</v>
      </c>
    </row>
    <row r="446" spans="1:11" x14ac:dyDescent="0.2">
      <c r="A446" t="s">
        <v>1368</v>
      </c>
      <c r="B446" t="s">
        <v>87</v>
      </c>
      <c r="C446" t="s">
        <v>26</v>
      </c>
      <c r="D446" t="s">
        <v>27</v>
      </c>
      <c r="E446">
        <v>996000</v>
      </c>
      <c r="F446">
        <v>1657.24</v>
      </c>
      <c r="G446" t="s">
        <v>1369</v>
      </c>
      <c r="H446" t="s">
        <v>1370</v>
      </c>
      <c r="I446">
        <v>1</v>
      </c>
      <c r="J446">
        <v>0</v>
      </c>
      <c r="K446" t="s">
        <v>17</v>
      </c>
    </row>
    <row r="447" spans="1:11" x14ac:dyDescent="0.2">
      <c r="A447" t="s">
        <v>1371</v>
      </c>
      <c r="B447" t="s">
        <v>59</v>
      </c>
      <c r="C447" t="s">
        <v>20</v>
      </c>
      <c r="D447" t="s">
        <v>21</v>
      </c>
      <c r="E447">
        <v>264000</v>
      </c>
      <c r="F447">
        <v>439.27</v>
      </c>
      <c r="G447" t="s">
        <v>1372</v>
      </c>
      <c r="H447" t="s">
        <v>1373</v>
      </c>
      <c r="I447">
        <v>1</v>
      </c>
      <c r="J447">
        <v>0</v>
      </c>
      <c r="K447" t="s">
        <v>17</v>
      </c>
    </row>
    <row r="448" spans="1:11" x14ac:dyDescent="0.2">
      <c r="A448" t="s">
        <v>1374</v>
      </c>
      <c r="B448" t="s">
        <v>50</v>
      </c>
      <c r="C448" t="s">
        <v>13</v>
      </c>
      <c r="D448" t="s">
        <v>14</v>
      </c>
      <c r="E448">
        <v>2861000</v>
      </c>
      <c r="F448">
        <v>946.1</v>
      </c>
      <c r="G448" t="s">
        <v>1375</v>
      </c>
      <c r="H448" t="s">
        <v>1376</v>
      </c>
      <c r="I448">
        <v>1</v>
      </c>
      <c r="J448">
        <v>0</v>
      </c>
      <c r="K448" t="s">
        <v>17</v>
      </c>
    </row>
    <row r="449" spans="1:11" x14ac:dyDescent="0.2">
      <c r="A449" t="s">
        <v>1377</v>
      </c>
      <c r="B449" t="s">
        <v>31</v>
      </c>
      <c r="C449" t="s">
        <v>102</v>
      </c>
      <c r="D449" t="s">
        <v>14</v>
      </c>
      <c r="E449">
        <v>1019000</v>
      </c>
      <c r="F449">
        <v>336.97</v>
      </c>
      <c r="G449" t="s">
        <v>1378</v>
      </c>
      <c r="H449" t="s">
        <v>1379</v>
      </c>
      <c r="I449">
        <v>1</v>
      </c>
      <c r="J449">
        <v>0</v>
      </c>
      <c r="K449" t="s">
        <v>17</v>
      </c>
    </row>
    <row r="450" spans="1:11" x14ac:dyDescent="0.2">
      <c r="A450" t="s">
        <v>1380</v>
      </c>
      <c r="B450" t="s">
        <v>91</v>
      </c>
      <c r="C450" t="s">
        <v>42</v>
      </c>
      <c r="D450" t="s">
        <v>27</v>
      </c>
      <c r="E450">
        <v>331000</v>
      </c>
      <c r="F450">
        <v>550.75</v>
      </c>
      <c r="G450" t="s">
        <v>1381</v>
      </c>
      <c r="H450" t="s">
        <v>1382</v>
      </c>
      <c r="I450">
        <v>1</v>
      </c>
      <c r="J450">
        <v>0</v>
      </c>
      <c r="K450" t="s">
        <v>17</v>
      </c>
    </row>
    <row r="451" spans="1:11" x14ac:dyDescent="0.2">
      <c r="A451" t="s">
        <v>1383</v>
      </c>
      <c r="B451" t="s">
        <v>19</v>
      </c>
      <c r="C451" t="s">
        <v>102</v>
      </c>
      <c r="D451" t="s">
        <v>14</v>
      </c>
      <c r="E451">
        <v>1654000</v>
      </c>
      <c r="F451">
        <v>546.96</v>
      </c>
      <c r="G451" t="s">
        <v>1384</v>
      </c>
      <c r="H451" t="s">
        <v>1385</v>
      </c>
      <c r="I451">
        <v>1</v>
      </c>
      <c r="J451">
        <v>0</v>
      </c>
      <c r="K451" t="s">
        <v>17</v>
      </c>
    </row>
    <row r="452" spans="1:11" x14ac:dyDescent="0.2">
      <c r="A452" t="s">
        <v>1386</v>
      </c>
      <c r="B452" t="s">
        <v>77</v>
      </c>
      <c r="C452" t="s">
        <v>102</v>
      </c>
      <c r="D452" t="s">
        <v>14</v>
      </c>
      <c r="E452">
        <v>2185000</v>
      </c>
      <c r="F452">
        <v>722.55</v>
      </c>
      <c r="G452" t="s">
        <v>1387</v>
      </c>
      <c r="H452" t="s">
        <v>1388</v>
      </c>
      <c r="I452">
        <v>1</v>
      </c>
      <c r="J452">
        <v>0</v>
      </c>
      <c r="K452" t="s">
        <v>17</v>
      </c>
    </row>
    <row r="453" spans="1:11" x14ac:dyDescent="0.2">
      <c r="A453" t="s">
        <v>1389</v>
      </c>
      <c r="B453" t="s">
        <v>25</v>
      </c>
      <c r="C453" t="s">
        <v>26</v>
      </c>
      <c r="D453" t="s">
        <v>27</v>
      </c>
      <c r="E453">
        <v>387000</v>
      </c>
      <c r="F453">
        <v>643.92999999999995</v>
      </c>
      <c r="G453" t="s">
        <v>1390</v>
      </c>
      <c r="H453" t="s">
        <v>1391</v>
      </c>
      <c r="I453">
        <v>1</v>
      </c>
      <c r="J453">
        <v>0</v>
      </c>
      <c r="K453" t="s">
        <v>17</v>
      </c>
    </row>
    <row r="454" spans="1:11" x14ac:dyDescent="0.2">
      <c r="A454" t="s">
        <v>1392</v>
      </c>
      <c r="B454" t="s">
        <v>91</v>
      </c>
      <c r="C454" t="s">
        <v>26</v>
      </c>
      <c r="D454" t="s">
        <v>27</v>
      </c>
      <c r="E454">
        <v>258000</v>
      </c>
      <c r="F454">
        <v>429.28</v>
      </c>
      <c r="G454" t="s">
        <v>1393</v>
      </c>
      <c r="H454" t="s">
        <v>1394</v>
      </c>
      <c r="I454">
        <v>1</v>
      </c>
      <c r="J454">
        <v>0</v>
      </c>
      <c r="K454" t="s">
        <v>17</v>
      </c>
    </row>
    <row r="455" spans="1:11" x14ac:dyDescent="0.2">
      <c r="A455" t="s">
        <v>1395</v>
      </c>
      <c r="B455" t="s">
        <v>31</v>
      </c>
      <c r="C455" t="s">
        <v>42</v>
      </c>
      <c r="D455" t="s">
        <v>27</v>
      </c>
      <c r="E455">
        <v>1001000</v>
      </c>
      <c r="F455">
        <v>1665.56</v>
      </c>
      <c r="G455" t="s">
        <v>1396</v>
      </c>
      <c r="H455" t="s">
        <v>1397</v>
      </c>
      <c r="I455">
        <v>1</v>
      </c>
      <c r="J455">
        <v>0</v>
      </c>
      <c r="K455" t="s">
        <v>17</v>
      </c>
    </row>
    <row r="456" spans="1:11" x14ac:dyDescent="0.2">
      <c r="A456" t="s">
        <v>1398</v>
      </c>
      <c r="B456" t="s">
        <v>91</v>
      </c>
      <c r="C456" t="s">
        <v>26</v>
      </c>
      <c r="D456" t="s">
        <v>27</v>
      </c>
      <c r="E456">
        <v>233000</v>
      </c>
      <c r="F456">
        <v>387.69</v>
      </c>
      <c r="G456" t="s">
        <v>1399</v>
      </c>
      <c r="H456" t="s">
        <v>1400</v>
      </c>
      <c r="I456">
        <v>1</v>
      </c>
      <c r="J456">
        <v>0</v>
      </c>
      <c r="K456" t="s">
        <v>17</v>
      </c>
    </row>
    <row r="457" spans="1:11" x14ac:dyDescent="0.2">
      <c r="A457" t="s">
        <v>1401</v>
      </c>
      <c r="B457" t="s">
        <v>55</v>
      </c>
      <c r="C457" t="s">
        <v>42</v>
      </c>
      <c r="D457" t="s">
        <v>27</v>
      </c>
      <c r="E457">
        <v>90000</v>
      </c>
      <c r="F457">
        <v>149.75</v>
      </c>
      <c r="G457" t="s">
        <v>1402</v>
      </c>
      <c r="H457" t="s">
        <v>1403</v>
      </c>
      <c r="I457">
        <v>1</v>
      </c>
      <c r="J457">
        <v>0</v>
      </c>
      <c r="K457" t="s">
        <v>17</v>
      </c>
    </row>
    <row r="458" spans="1:11" x14ac:dyDescent="0.2">
      <c r="A458" t="s">
        <v>1404</v>
      </c>
      <c r="B458" t="s">
        <v>135</v>
      </c>
      <c r="C458" t="s">
        <v>42</v>
      </c>
      <c r="D458" t="s">
        <v>27</v>
      </c>
      <c r="E458">
        <v>259000</v>
      </c>
      <c r="F458">
        <v>430.95</v>
      </c>
      <c r="G458" t="s">
        <v>1405</v>
      </c>
      <c r="H458" t="s">
        <v>1406</v>
      </c>
      <c r="I458">
        <v>1</v>
      </c>
      <c r="J458">
        <v>0</v>
      </c>
      <c r="K458" t="s">
        <v>17</v>
      </c>
    </row>
    <row r="459" spans="1:11" x14ac:dyDescent="0.2">
      <c r="A459" t="s">
        <v>1407</v>
      </c>
      <c r="B459" t="s">
        <v>63</v>
      </c>
      <c r="C459" t="s">
        <v>13</v>
      </c>
      <c r="D459" t="s">
        <v>14</v>
      </c>
      <c r="E459">
        <v>821000</v>
      </c>
      <c r="F459">
        <v>271.49</v>
      </c>
      <c r="G459" t="s">
        <v>1408</v>
      </c>
      <c r="H459" t="s">
        <v>1409</v>
      </c>
      <c r="I459">
        <v>1</v>
      </c>
      <c r="J459">
        <v>0</v>
      </c>
      <c r="K459" t="s">
        <v>17</v>
      </c>
    </row>
    <row r="460" spans="1:11" x14ac:dyDescent="0.2">
      <c r="A460" t="s">
        <v>1410</v>
      </c>
      <c r="B460" t="s">
        <v>31</v>
      </c>
      <c r="C460" t="s">
        <v>102</v>
      </c>
      <c r="D460" t="s">
        <v>14</v>
      </c>
      <c r="E460">
        <v>1033000</v>
      </c>
      <c r="F460">
        <v>341.6</v>
      </c>
      <c r="G460" t="s">
        <v>1411</v>
      </c>
      <c r="H460" t="s">
        <v>1412</v>
      </c>
      <c r="I460">
        <v>1</v>
      </c>
      <c r="J460">
        <v>0</v>
      </c>
      <c r="K460" t="s">
        <v>17</v>
      </c>
    </row>
    <row r="461" spans="1:11" x14ac:dyDescent="0.2">
      <c r="A461" t="s">
        <v>1413</v>
      </c>
      <c r="B461" t="s">
        <v>31</v>
      </c>
      <c r="C461" t="s">
        <v>42</v>
      </c>
      <c r="D461" t="s">
        <v>27</v>
      </c>
      <c r="E461">
        <v>1183000</v>
      </c>
      <c r="F461">
        <v>1968.39</v>
      </c>
      <c r="G461" t="s">
        <v>1414</v>
      </c>
      <c r="H461" t="s">
        <v>1415</v>
      </c>
      <c r="I461">
        <v>1</v>
      </c>
      <c r="J461">
        <v>0</v>
      </c>
      <c r="K461" t="s">
        <v>17</v>
      </c>
    </row>
    <row r="462" spans="1:11" x14ac:dyDescent="0.2">
      <c r="A462" t="s">
        <v>1416</v>
      </c>
      <c r="B462" t="s">
        <v>67</v>
      </c>
      <c r="C462" t="s">
        <v>13</v>
      </c>
      <c r="D462" t="s">
        <v>14</v>
      </c>
      <c r="E462">
        <v>6132000</v>
      </c>
      <c r="F462">
        <v>2027.78</v>
      </c>
      <c r="G462" t="s">
        <v>1417</v>
      </c>
      <c r="H462" t="s">
        <v>1418</v>
      </c>
      <c r="I462">
        <v>1</v>
      </c>
      <c r="J462">
        <v>0</v>
      </c>
      <c r="K462" t="s">
        <v>17</v>
      </c>
    </row>
    <row r="463" spans="1:11" x14ac:dyDescent="0.2">
      <c r="A463" t="s">
        <v>1419</v>
      </c>
      <c r="B463" t="s">
        <v>67</v>
      </c>
      <c r="C463" t="s">
        <v>13</v>
      </c>
      <c r="D463" t="s">
        <v>14</v>
      </c>
      <c r="E463">
        <v>9313000</v>
      </c>
      <c r="F463">
        <v>3079.7</v>
      </c>
      <c r="G463" t="s">
        <v>1420</v>
      </c>
      <c r="H463" t="s">
        <v>1421</v>
      </c>
      <c r="I463">
        <v>1</v>
      </c>
      <c r="J463">
        <v>0</v>
      </c>
      <c r="K463" t="s">
        <v>17</v>
      </c>
    </row>
    <row r="464" spans="1:11" x14ac:dyDescent="0.2">
      <c r="A464" t="s">
        <v>1422</v>
      </c>
      <c r="B464" t="s">
        <v>77</v>
      </c>
      <c r="C464" t="s">
        <v>26</v>
      </c>
      <c r="D464" t="s">
        <v>27</v>
      </c>
      <c r="E464">
        <v>365000</v>
      </c>
      <c r="F464">
        <v>607.32000000000005</v>
      </c>
      <c r="G464" t="s">
        <v>1423</v>
      </c>
      <c r="H464" t="s">
        <v>1424</v>
      </c>
      <c r="I464">
        <v>1</v>
      </c>
      <c r="J464">
        <v>0</v>
      </c>
      <c r="K464" t="s">
        <v>17</v>
      </c>
    </row>
    <row r="465" spans="1:11" x14ac:dyDescent="0.2">
      <c r="A465" t="s">
        <v>1425</v>
      </c>
      <c r="B465" t="s">
        <v>12</v>
      </c>
      <c r="C465" t="s">
        <v>102</v>
      </c>
      <c r="D465" t="s">
        <v>14</v>
      </c>
      <c r="E465">
        <v>976000</v>
      </c>
      <c r="F465">
        <v>322.75</v>
      </c>
      <c r="G465" t="s">
        <v>1426</v>
      </c>
      <c r="H465" t="s">
        <v>1427</v>
      </c>
      <c r="I465">
        <v>1</v>
      </c>
      <c r="J465">
        <v>0</v>
      </c>
      <c r="K465" t="s">
        <v>17</v>
      </c>
    </row>
    <row r="466" spans="1:11" x14ac:dyDescent="0.2">
      <c r="A466" t="s">
        <v>1428</v>
      </c>
      <c r="B466" t="s">
        <v>139</v>
      </c>
      <c r="C466" t="s">
        <v>102</v>
      </c>
      <c r="D466" t="s">
        <v>14</v>
      </c>
      <c r="E466">
        <v>2581000</v>
      </c>
      <c r="F466">
        <v>853.51</v>
      </c>
      <c r="G466" t="s">
        <v>1429</v>
      </c>
      <c r="H466" t="s">
        <v>1430</v>
      </c>
      <c r="I466">
        <v>1</v>
      </c>
      <c r="J466">
        <v>0</v>
      </c>
      <c r="K466" t="s">
        <v>17</v>
      </c>
    </row>
    <row r="467" spans="1:11" x14ac:dyDescent="0.2">
      <c r="A467" t="s">
        <v>1431</v>
      </c>
      <c r="B467" t="s">
        <v>77</v>
      </c>
      <c r="C467" t="s">
        <v>13</v>
      </c>
      <c r="D467" t="s">
        <v>14</v>
      </c>
      <c r="E467">
        <v>6357000</v>
      </c>
      <c r="F467">
        <v>2102.1799999999998</v>
      </c>
      <c r="G467" t="s">
        <v>1432</v>
      </c>
      <c r="H467" t="s">
        <v>1433</v>
      </c>
      <c r="I467">
        <v>1</v>
      </c>
      <c r="J467">
        <v>0</v>
      </c>
      <c r="K467" t="s">
        <v>17</v>
      </c>
    </row>
    <row r="468" spans="1:11" x14ac:dyDescent="0.2">
      <c r="A468" t="s">
        <v>1434</v>
      </c>
      <c r="B468" t="s">
        <v>87</v>
      </c>
      <c r="C468" t="s">
        <v>42</v>
      </c>
      <c r="D468" t="s">
        <v>27</v>
      </c>
      <c r="E468">
        <v>712000</v>
      </c>
      <c r="F468">
        <v>1184.69</v>
      </c>
      <c r="G468" t="s">
        <v>1435</v>
      </c>
      <c r="H468" t="s">
        <v>1436</v>
      </c>
      <c r="I468">
        <v>1</v>
      </c>
      <c r="J468">
        <v>0</v>
      </c>
      <c r="K468" t="s">
        <v>17</v>
      </c>
    </row>
    <row r="469" spans="1:11" x14ac:dyDescent="0.2">
      <c r="A469" t="s">
        <v>1437</v>
      </c>
      <c r="B469" t="s">
        <v>106</v>
      </c>
      <c r="C469" t="s">
        <v>42</v>
      </c>
      <c r="D469" t="s">
        <v>27</v>
      </c>
      <c r="E469">
        <v>449000</v>
      </c>
      <c r="F469">
        <v>747.09</v>
      </c>
      <c r="G469" t="s">
        <v>1438</v>
      </c>
      <c r="H469" t="s">
        <v>1439</v>
      </c>
      <c r="I469">
        <v>1</v>
      </c>
      <c r="J469">
        <v>0</v>
      </c>
      <c r="K469" t="s">
        <v>17</v>
      </c>
    </row>
    <row r="470" spans="1:11" x14ac:dyDescent="0.2">
      <c r="A470" t="s">
        <v>1440</v>
      </c>
      <c r="B470" t="s">
        <v>128</v>
      </c>
      <c r="C470" t="s">
        <v>26</v>
      </c>
      <c r="D470" t="s">
        <v>27</v>
      </c>
      <c r="E470">
        <v>304000</v>
      </c>
      <c r="F470">
        <v>505.82</v>
      </c>
      <c r="G470" t="s">
        <v>1441</v>
      </c>
      <c r="H470" t="s">
        <v>1442</v>
      </c>
      <c r="I470">
        <v>1</v>
      </c>
      <c r="J470">
        <v>0</v>
      </c>
      <c r="K470" t="s">
        <v>17</v>
      </c>
    </row>
    <row r="471" spans="1:11" x14ac:dyDescent="0.2">
      <c r="A471" t="s">
        <v>1443</v>
      </c>
      <c r="B471" t="s">
        <v>63</v>
      </c>
      <c r="C471" t="s">
        <v>102</v>
      </c>
      <c r="D471" t="s">
        <v>14</v>
      </c>
      <c r="E471">
        <v>3106000</v>
      </c>
      <c r="F471">
        <v>1027.1199999999999</v>
      </c>
      <c r="G471" t="s">
        <v>1444</v>
      </c>
      <c r="H471" t="s">
        <v>1445</v>
      </c>
      <c r="I471">
        <v>1</v>
      </c>
      <c r="J471">
        <v>0</v>
      </c>
      <c r="K471" t="s">
        <v>17</v>
      </c>
    </row>
    <row r="472" spans="1:11" x14ac:dyDescent="0.2">
      <c r="A472" t="s">
        <v>1446</v>
      </c>
      <c r="B472" t="s">
        <v>143</v>
      </c>
      <c r="C472" t="s">
        <v>51</v>
      </c>
      <c r="D472" t="s">
        <v>21</v>
      </c>
      <c r="E472">
        <v>461000</v>
      </c>
      <c r="F472">
        <v>767.05</v>
      </c>
      <c r="G472" t="s">
        <v>1447</v>
      </c>
      <c r="H472" t="s">
        <v>1448</v>
      </c>
      <c r="I472">
        <v>1</v>
      </c>
      <c r="J472">
        <v>0</v>
      </c>
      <c r="K472" t="s">
        <v>17</v>
      </c>
    </row>
    <row r="473" spans="1:11" x14ac:dyDescent="0.2">
      <c r="A473" t="s">
        <v>1449</v>
      </c>
      <c r="B473" t="s">
        <v>106</v>
      </c>
      <c r="C473" t="s">
        <v>102</v>
      </c>
      <c r="D473" t="s">
        <v>14</v>
      </c>
      <c r="E473">
        <v>1778000</v>
      </c>
      <c r="F473">
        <v>587.96</v>
      </c>
      <c r="G473" t="s">
        <v>1450</v>
      </c>
      <c r="H473" t="s">
        <v>1451</v>
      </c>
      <c r="I473">
        <v>1</v>
      </c>
      <c r="J473">
        <v>0</v>
      </c>
      <c r="K473" t="s">
        <v>17</v>
      </c>
    </row>
    <row r="474" spans="1:11" x14ac:dyDescent="0.2">
      <c r="A474" t="s">
        <v>1452</v>
      </c>
      <c r="B474" t="s">
        <v>63</v>
      </c>
      <c r="C474" t="s">
        <v>51</v>
      </c>
      <c r="D474" t="s">
        <v>21</v>
      </c>
      <c r="E474">
        <v>512000</v>
      </c>
      <c r="F474">
        <v>851.91</v>
      </c>
      <c r="G474" t="s">
        <v>1453</v>
      </c>
      <c r="H474" t="s">
        <v>1454</v>
      </c>
      <c r="I474">
        <v>1</v>
      </c>
      <c r="J474">
        <v>0</v>
      </c>
      <c r="K474" t="s">
        <v>17</v>
      </c>
    </row>
    <row r="475" spans="1:11" x14ac:dyDescent="0.2">
      <c r="A475" t="s">
        <v>1455</v>
      </c>
      <c r="B475" t="s">
        <v>19</v>
      </c>
      <c r="C475" t="s">
        <v>42</v>
      </c>
      <c r="D475" t="s">
        <v>27</v>
      </c>
      <c r="E475">
        <v>64000</v>
      </c>
      <c r="F475">
        <v>106.49</v>
      </c>
      <c r="G475" t="s">
        <v>1456</v>
      </c>
      <c r="H475" t="s">
        <v>1457</v>
      </c>
      <c r="I475">
        <v>1</v>
      </c>
      <c r="J475">
        <v>0</v>
      </c>
      <c r="K475" t="s">
        <v>17</v>
      </c>
    </row>
    <row r="476" spans="1:11" x14ac:dyDescent="0.2">
      <c r="A476" t="s">
        <v>1458</v>
      </c>
      <c r="B476" t="s">
        <v>50</v>
      </c>
      <c r="C476" t="s">
        <v>20</v>
      </c>
      <c r="D476" t="s">
        <v>21</v>
      </c>
      <c r="E476">
        <v>1571000</v>
      </c>
      <c r="F476">
        <v>2613.98</v>
      </c>
      <c r="G476" t="s">
        <v>1459</v>
      </c>
      <c r="H476" t="s">
        <v>1460</v>
      </c>
      <c r="I476">
        <v>1</v>
      </c>
      <c r="J476">
        <v>0</v>
      </c>
      <c r="K476" t="s">
        <v>17</v>
      </c>
    </row>
    <row r="477" spans="1:11" x14ac:dyDescent="0.2">
      <c r="A477" t="s">
        <v>1461</v>
      </c>
      <c r="B477" t="s">
        <v>240</v>
      </c>
      <c r="C477" t="s">
        <v>102</v>
      </c>
      <c r="D477" t="s">
        <v>14</v>
      </c>
      <c r="E477">
        <v>912000</v>
      </c>
      <c r="F477">
        <v>301.58999999999997</v>
      </c>
      <c r="G477" t="s">
        <v>1462</v>
      </c>
      <c r="H477" t="s">
        <v>1463</v>
      </c>
      <c r="I477">
        <v>1</v>
      </c>
      <c r="J477">
        <v>0</v>
      </c>
      <c r="K477" t="s">
        <v>17</v>
      </c>
    </row>
    <row r="478" spans="1:11" x14ac:dyDescent="0.2">
      <c r="A478" t="s">
        <v>1464</v>
      </c>
      <c r="B478" t="s">
        <v>91</v>
      </c>
      <c r="C478" t="s">
        <v>42</v>
      </c>
      <c r="D478" t="s">
        <v>27</v>
      </c>
      <c r="E478">
        <v>92000</v>
      </c>
      <c r="F478">
        <v>153.08000000000001</v>
      </c>
      <c r="G478" t="s">
        <v>1465</v>
      </c>
      <c r="H478" t="s">
        <v>1466</v>
      </c>
      <c r="I478">
        <v>1</v>
      </c>
      <c r="J478">
        <v>9.98</v>
      </c>
      <c r="K478" t="s">
        <v>17</v>
      </c>
    </row>
    <row r="479" spans="1:11" x14ac:dyDescent="0.2">
      <c r="A479" t="s">
        <v>1467</v>
      </c>
      <c r="B479" t="s">
        <v>139</v>
      </c>
      <c r="C479" t="s">
        <v>42</v>
      </c>
      <c r="D479" t="s">
        <v>27</v>
      </c>
      <c r="E479">
        <v>441000</v>
      </c>
      <c r="F479">
        <v>733.78</v>
      </c>
      <c r="G479" t="s">
        <v>1468</v>
      </c>
      <c r="H479" t="s">
        <v>1469</v>
      </c>
      <c r="I479">
        <v>1</v>
      </c>
      <c r="J479">
        <v>0</v>
      </c>
      <c r="K479" t="s">
        <v>17</v>
      </c>
    </row>
    <row r="480" spans="1:11" x14ac:dyDescent="0.2">
      <c r="A480" t="s">
        <v>1470</v>
      </c>
      <c r="B480" t="s">
        <v>35</v>
      </c>
      <c r="C480" t="s">
        <v>51</v>
      </c>
      <c r="D480" t="s">
        <v>21</v>
      </c>
      <c r="E480">
        <v>1886000</v>
      </c>
      <c r="F480">
        <v>3138.1</v>
      </c>
      <c r="G480" t="s">
        <v>1471</v>
      </c>
      <c r="H480" t="s">
        <v>1472</v>
      </c>
      <c r="I480">
        <v>1</v>
      </c>
      <c r="J480">
        <v>0</v>
      </c>
      <c r="K480" t="s">
        <v>17</v>
      </c>
    </row>
    <row r="481" spans="1:11" x14ac:dyDescent="0.2">
      <c r="A481" t="s">
        <v>1473</v>
      </c>
      <c r="B481" t="s">
        <v>143</v>
      </c>
      <c r="C481" t="s">
        <v>51</v>
      </c>
      <c r="D481" t="s">
        <v>21</v>
      </c>
      <c r="E481">
        <v>891000</v>
      </c>
      <c r="F481">
        <v>1482.53</v>
      </c>
      <c r="G481" t="s">
        <v>1474</v>
      </c>
      <c r="H481" t="s">
        <v>1475</v>
      </c>
      <c r="I481">
        <v>1</v>
      </c>
      <c r="J481">
        <v>0</v>
      </c>
      <c r="K481" t="s">
        <v>17</v>
      </c>
    </row>
    <row r="482" spans="1:11" x14ac:dyDescent="0.2">
      <c r="A482" t="s">
        <v>1476</v>
      </c>
      <c r="B482" t="s">
        <v>135</v>
      </c>
      <c r="C482" t="s">
        <v>51</v>
      </c>
      <c r="D482" t="s">
        <v>21</v>
      </c>
      <c r="E482">
        <v>1392000</v>
      </c>
      <c r="F482">
        <v>2316.14</v>
      </c>
      <c r="G482" t="s">
        <v>1477</v>
      </c>
      <c r="H482" t="s">
        <v>1478</v>
      </c>
      <c r="I482">
        <v>1</v>
      </c>
      <c r="J482">
        <v>0</v>
      </c>
      <c r="K482" t="s">
        <v>17</v>
      </c>
    </row>
    <row r="483" spans="1:11" x14ac:dyDescent="0.2">
      <c r="A483" t="s">
        <v>1479</v>
      </c>
      <c r="B483" t="s">
        <v>240</v>
      </c>
      <c r="C483" t="s">
        <v>20</v>
      </c>
      <c r="D483" t="s">
        <v>21</v>
      </c>
      <c r="E483">
        <v>487000</v>
      </c>
      <c r="F483">
        <v>810.32</v>
      </c>
      <c r="G483" t="s">
        <v>1480</v>
      </c>
      <c r="H483" t="s">
        <v>1481</v>
      </c>
      <c r="I483">
        <v>1</v>
      </c>
      <c r="J483">
        <v>0</v>
      </c>
      <c r="K483" t="s">
        <v>17</v>
      </c>
    </row>
    <row r="484" spans="1:11" x14ac:dyDescent="0.2">
      <c r="A484" t="s">
        <v>1482</v>
      </c>
      <c r="B484" t="s">
        <v>63</v>
      </c>
      <c r="C484" t="s">
        <v>26</v>
      </c>
      <c r="D484" t="s">
        <v>27</v>
      </c>
      <c r="E484">
        <v>116000</v>
      </c>
      <c r="F484">
        <v>193.01</v>
      </c>
      <c r="G484" t="s">
        <v>1483</v>
      </c>
      <c r="H484" t="s">
        <v>1484</v>
      </c>
      <c r="I484">
        <v>1</v>
      </c>
      <c r="J484">
        <v>0</v>
      </c>
      <c r="K484" t="s">
        <v>17</v>
      </c>
    </row>
    <row r="485" spans="1:11" x14ac:dyDescent="0.2">
      <c r="A485" t="s">
        <v>1485</v>
      </c>
      <c r="B485" t="s">
        <v>106</v>
      </c>
      <c r="C485" t="s">
        <v>13</v>
      </c>
      <c r="D485" t="s">
        <v>14</v>
      </c>
      <c r="E485">
        <v>1292000</v>
      </c>
      <c r="F485">
        <v>427.25</v>
      </c>
      <c r="I485">
        <v>0</v>
      </c>
      <c r="J485">
        <v>0</v>
      </c>
      <c r="K485" t="s">
        <v>376</v>
      </c>
    </row>
    <row r="486" spans="1:11" x14ac:dyDescent="0.2">
      <c r="A486" t="s">
        <v>1486</v>
      </c>
      <c r="B486" t="s">
        <v>12</v>
      </c>
      <c r="C486" t="s">
        <v>42</v>
      </c>
      <c r="D486" t="s">
        <v>27</v>
      </c>
      <c r="E486">
        <v>636000</v>
      </c>
      <c r="F486">
        <v>1058.24</v>
      </c>
      <c r="G486" t="s">
        <v>1487</v>
      </c>
      <c r="H486" t="s">
        <v>1488</v>
      </c>
      <c r="I486">
        <v>1</v>
      </c>
      <c r="J486">
        <v>0</v>
      </c>
      <c r="K486" t="s">
        <v>17</v>
      </c>
    </row>
    <row r="487" spans="1:11" x14ac:dyDescent="0.2">
      <c r="A487" t="s">
        <v>1489</v>
      </c>
      <c r="B487" t="s">
        <v>240</v>
      </c>
      <c r="C487" t="s">
        <v>102</v>
      </c>
      <c r="D487" t="s">
        <v>14</v>
      </c>
      <c r="E487">
        <v>2103000</v>
      </c>
      <c r="F487">
        <v>695.44</v>
      </c>
      <c r="G487" t="s">
        <v>1490</v>
      </c>
      <c r="H487" t="s">
        <v>1491</v>
      </c>
      <c r="I487">
        <v>1</v>
      </c>
      <c r="J487">
        <v>0</v>
      </c>
      <c r="K487" t="s">
        <v>17</v>
      </c>
    </row>
    <row r="488" spans="1:11" x14ac:dyDescent="0.2">
      <c r="A488" t="s">
        <v>1492</v>
      </c>
      <c r="B488" t="s">
        <v>87</v>
      </c>
      <c r="C488" t="s">
        <v>51</v>
      </c>
      <c r="D488" t="s">
        <v>21</v>
      </c>
      <c r="E488">
        <v>1842000</v>
      </c>
      <c r="F488">
        <v>3064.89</v>
      </c>
      <c r="G488" t="s">
        <v>1493</v>
      </c>
      <c r="H488" t="s">
        <v>1494</v>
      </c>
      <c r="I488">
        <v>1</v>
      </c>
      <c r="J488">
        <v>0</v>
      </c>
      <c r="K488" t="s">
        <v>17</v>
      </c>
    </row>
    <row r="489" spans="1:11" x14ac:dyDescent="0.2">
      <c r="A489" t="s">
        <v>1495</v>
      </c>
      <c r="B489" t="s">
        <v>59</v>
      </c>
      <c r="C489" t="s">
        <v>20</v>
      </c>
      <c r="D489" t="s">
        <v>21</v>
      </c>
      <c r="E489">
        <v>663000</v>
      </c>
      <c r="F489">
        <v>1103.1600000000001</v>
      </c>
      <c r="G489" t="s">
        <v>1496</v>
      </c>
      <c r="H489" t="s">
        <v>1497</v>
      </c>
      <c r="I489">
        <v>1</v>
      </c>
      <c r="J489">
        <v>0</v>
      </c>
      <c r="K489" t="s">
        <v>17</v>
      </c>
    </row>
    <row r="490" spans="1:11" x14ac:dyDescent="0.2">
      <c r="A490" t="s">
        <v>1498</v>
      </c>
      <c r="B490" t="s">
        <v>128</v>
      </c>
      <c r="C490" t="s">
        <v>51</v>
      </c>
      <c r="D490" t="s">
        <v>21</v>
      </c>
      <c r="E490">
        <v>162000</v>
      </c>
      <c r="F490">
        <v>269.55</v>
      </c>
      <c r="G490" t="s">
        <v>1499</v>
      </c>
      <c r="H490" t="s">
        <v>1500</v>
      </c>
      <c r="I490">
        <v>1</v>
      </c>
      <c r="J490">
        <v>0</v>
      </c>
      <c r="K490" t="s">
        <v>17</v>
      </c>
    </row>
    <row r="491" spans="1:11" x14ac:dyDescent="0.2">
      <c r="A491" t="s">
        <v>1501</v>
      </c>
      <c r="B491" t="s">
        <v>91</v>
      </c>
      <c r="C491" t="s">
        <v>26</v>
      </c>
      <c r="D491" t="s">
        <v>27</v>
      </c>
      <c r="E491">
        <v>231000</v>
      </c>
      <c r="F491">
        <v>384.36</v>
      </c>
      <c r="G491" t="s">
        <v>1502</v>
      </c>
      <c r="H491" t="s">
        <v>1503</v>
      </c>
      <c r="I491">
        <v>1</v>
      </c>
      <c r="J491">
        <v>0</v>
      </c>
      <c r="K491" t="s">
        <v>17</v>
      </c>
    </row>
    <row r="492" spans="1:11" x14ac:dyDescent="0.2">
      <c r="A492" t="s">
        <v>1504</v>
      </c>
      <c r="B492" t="s">
        <v>55</v>
      </c>
      <c r="C492" t="s">
        <v>42</v>
      </c>
      <c r="D492" t="s">
        <v>27</v>
      </c>
      <c r="E492">
        <v>228000</v>
      </c>
      <c r="F492">
        <v>379.37</v>
      </c>
      <c r="G492" t="s">
        <v>1505</v>
      </c>
      <c r="H492" t="s">
        <v>1506</v>
      </c>
      <c r="I492">
        <v>1</v>
      </c>
      <c r="J492">
        <v>0</v>
      </c>
      <c r="K492" t="s">
        <v>17</v>
      </c>
    </row>
    <row r="493" spans="1:11" x14ac:dyDescent="0.2">
      <c r="A493" t="s">
        <v>1507</v>
      </c>
      <c r="B493" t="s">
        <v>98</v>
      </c>
      <c r="C493" t="s">
        <v>20</v>
      </c>
      <c r="D493" t="s">
        <v>21</v>
      </c>
      <c r="E493">
        <v>475000</v>
      </c>
      <c r="F493">
        <v>790.35</v>
      </c>
      <c r="G493" t="s">
        <v>1508</v>
      </c>
      <c r="H493" t="s">
        <v>1509</v>
      </c>
      <c r="I493">
        <v>1</v>
      </c>
      <c r="J493">
        <v>0</v>
      </c>
      <c r="K493" t="s">
        <v>17</v>
      </c>
    </row>
    <row r="494" spans="1:11" x14ac:dyDescent="0.2">
      <c r="A494" t="s">
        <v>1510</v>
      </c>
      <c r="B494" t="s">
        <v>143</v>
      </c>
      <c r="C494" t="s">
        <v>13</v>
      </c>
      <c r="D494" t="s">
        <v>14</v>
      </c>
      <c r="E494">
        <v>859000</v>
      </c>
      <c r="F494">
        <v>284.06</v>
      </c>
      <c r="G494" t="s">
        <v>1511</v>
      </c>
      <c r="H494" t="s">
        <v>1512</v>
      </c>
      <c r="I494">
        <v>1</v>
      </c>
      <c r="J494">
        <v>0</v>
      </c>
      <c r="K494" t="s">
        <v>17</v>
      </c>
    </row>
    <row r="495" spans="1:11" x14ac:dyDescent="0.2">
      <c r="A495" t="s">
        <v>1513</v>
      </c>
      <c r="B495" t="s">
        <v>87</v>
      </c>
      <c r="C495" t="s">
        <v>26</v>
      </c>
      <c r="D495" t="s">
        <v>27</v>
      </c>
      <c r="E495">
        <v>209000</v>
      </c>
      <c r="F495">
        <v>347.75</v>
      </c>
      <c r="G495" t="s">
        <v>1514</v>
      </c>
      <c r="H495" t="s">
        <v>1515</v>
      </c>
      <c r="I495">
        <v>1</v>
      </c>
      <c r="J495">
        <v>0</v>
      </c>
      <c r="K495" t="s">
        <v>17</v>
      </c>
    </row>
    <row r="496" spans="1:11" x14ac:dyDescent="0.2">
      <c r="A496" t="s">
        <v>1516</v>
      </c>
      <c r="B496" t="s">
        <v>87</v>
      </c>
      <c r="C496" t="s">
        <v>102</v>
      </c>
      <c r="D496" t="s">
        <v>14</v>
      </c>
      <c r="E496">
        <v>5375000</v>
      </c>
      <c r="F496">
        <v>1777.45</v>
      </c>
      <c r="G496" t="s">
        <v>1517</v>
      </c>
      <c r="H496" t="s">
        <v>1518</v>
      </c>
      <c r="I496">
        <v>1</v>
      </c>
      <c r="J496">
        <v>0</v>
      </c>
      <c r="K496" t="s">
        <v>17</v>
      </c>
    </row>
    <row r="497" spans="1:11" x14ac:dyDescent="0.2">
      <c r="A497" t="s">
        <v>1519</v>
      </c>
      <c r="B497" t="s">
        <v>67</v>
      </c>
      <c r="C497" t="s">
        <v>26</v>
      </c>
      <c r="D497" t="s">
        <v>27</v>
      </c>
      <c r="E497">
        <v>259000</v>
      </c>
      <c r="F497">
        <v>430.95</v>
      </c>
      <c r="G497" t="s">
        <v>1520</v>
      </c>
      <c r="H497" t="s">
        <v>1521</v>
      </c>
      <c r="I497">
        <v>1</v>
      </c>
      <c r="J497">
        <v>0</v>
      </c>
      <c r="K497" t="s">
        <v>17</v>
      </c>
    </row>
    <row r="498" spans="1:11" x14ac:dyDescent="0.2">
      <c r="A498" t="s">
        <v>1522</v>
      </c>
      <c r="B498" t="s">
        <v>63</v>
      </c>
      <c r="C498" t="s">
        <v>26</v>
      </c>
      <c r="D498" t="s">
        <v>27</v>
      </c>
      <c r="E498">
        <v>503000</v>
      </c>
      <c r="F498">
        <v>836.94</v>
      </c>
      <c r="G498" t="s">
        <v>1523</v>
      </c>
      <c r="H498" t="s">
        <v>1524</v>
      </c>
      <c r="I498">
        <v>1</v>
      </c>
      <c r="J498">
        <v>0</v>
      </c>
      <c r="K498" t="s">
        <v>17</v>
      </c>
    </row>
    <row r="499" spans="1:11" x14ac:dyDescent="0.2">
      <c r="A499" t="s">
        <v>1525</v>
      </c>
      <c r="B499" t="s">
        <v>59</v>
      </c>
      <c r="C499" t="s">
        <v>102</v>
      </c>
      <c r="D499" t="s">
        <v>14</v>
      </c>
      <c r="E499">
        <v>6333000</v>
      </c>
      <c r="F499">
        <v>2094.25</v>
      </c>
      <c r="G499" t="s">
        <v>1526</v>
      </c>
      <c r="H499" t="s">
        <v>1527</v>
      </c>
      <c r="I499">
        <v>1</v>
      </c>
      <c r="J499">
        <v>0</v>
      </c>
      <c r="K499" t="s">
        <v>17</v>
      </c>
    </row>
    <row r="500" spans="1:11" x14ac:dyDescent="0.2">
      <c r="A500" t="s">
        <v>1528</v>
      </c>
      <c r="B500" t="s">
        <v>139</v>
      </c>
      <c r="C500" t="s">
        <v>26</v>
      </c>
      <c r="D500" t="s">
        <v>27</v>
      </c>
      <c r="E500">
        <v>407000</v>
      </c>
      <c r="F500">
        <v>677.2</v>
      </c>
      <c r="G500" t="s">
        <v>1529</v>
      </c>
      <c r="H500" t="s">
        <v>1530</v>
      </c>
      <c r="I500">
        <v>1</v>
      </c>
      <c r="J500">
        <v>0</v>
      </c>
      <c r="K500" t="s">
        <v>17</v>
      </c>
    </row>
    <row r="501" spans="1:11" x14ac:dyDescent="0.2">
      <c r="A501" t="s">
        <v>1531</v>
      </c>
      <c r="B501" t="s">
        <v>77</v>
      </c>
      <c r="C501" t="s">
        <v>26</v>
      </c>
      <c r="D501" t="s">
        <v>27</v>
      </c>
      <c r="E501">
        <v>354000</v>
      </c>
      <c r="F501">
        <v>589.02</v>
      </c>
      <c r="G501" t="s">
        <v>1532</v>
      </c>
      <c r="H501" t="s">
        <v>1533</v>
      </c>
      <c r="I501">
        <v>1</v>
      </c>
      <c r="J501">
        <v>0</v>
      </c>
      <c r="K501" t="s">
        <v>17</v>
      </c>
    </row>
    <row r="502" spans="1:11" x14ac:dyDescent="0.2">
      <c r="A502" t="s">
        <v>1534</v>
      </c>
      <c r="B502" t="s">
        <v>31</v>
      </c>
      <c r="C502" t="s">
        <v>13</v>
      </c>
      <c r="D502" t="s">
        <v>14</v>
      </c>
      <c r="E502">
        <v>602000</v>
      </c>
      <c r="F502">
        <v>199.07</v>
      </c>
      <c r="G502" t="s">
        <v>1535</v>
      </c>
      <c r="H502" t="s">
        <v>1536</v>
      </c>
      <c r="I502">
        <v>1</v>
      </c>
      <c r="J502">
        <v>0</v>
      </c>
      <c r="K502" t="s">
        <v>17</v>
      </c>
    </row>
    <row r="503" spans="1:11" x14ac:dyDescent="0.2">
      <c r="A503" t="s">
        <v>1537</v>
      </c>
      <c r="B503" t="s">
        <v>50</v>
      </c>
      <c r="C503" t="s">
        <v>26</v>
      </c>
      <c r="D503" t="s">
        <v>27</v>
      </c>
      <c r="E503">
        <v>307000</v>
      </c>
      <c r="F503">
        <v>510.82</v>
      </c>
      <c r="G503" t="s">
        <v>1538</v>
      </c>
      <c r="H503" t="s">
        <v>1539</v>
      </c>
      <c r="I503">
        <v>1</v>
      </c>
      <c r="J503">
        <v>0</v>
      </c>
      <c r="K503" t="s">
        <v>17</v>
      </c>
    </row>
    <row r="504" spans="1:11" x14ac:dyDescent="0.2">
      <c r="A504" t="s">
        <v>1540</v>
      </c>
      <c r="B504" t="s">
        <v>63</v>
      </c>
      <c r="C504" t="s">
        <v>26</v>
      </c>
      <c r="D504" t="s">
        <v>27</v>
      </c>
      <c r="E504">
        <v>977000</v>
      </c>
      <c r="F504">
        <v>1625.62</v>
      </c>
      <c r="G504" t="s">
        <v>1541</v>
      </c>
      <c r="H504" t="s">
        <v>1542</v>
      </c>
      <c r="I504">
        <v>1</v>
      </c>
      <c r="J504">
        <v>0</v>
      </c>
      <c r="K504" t="s">
        <v>17</v>
      </c>
    </row>
    <row r="505" spans="1:11" x14ac:dyDescent="0.2">
      <c r="A505" t="s">
        <v>1543</v>
      </c>
      <c r="B505" t="s">
        <v>106</v>
      </c>
      <c r="C505" t="s">
        <v>51</v>
      </c>
      <c r="D505" t="s">
        <v>21</v>
      </c>
      <c r="E505">
        <v>406000</v>
      </c>
      <c r="F505">
        <v>675.54</v>
      </c>
      <c r="G505" t="s">
        <v>1544</v>
      </c>
      <c r="H505" t="s">
        <v>1545</v>
      </c>
      <c r="I505">
        <v>1</v>
      </c>
      <c r="J505">
        <v>0</v>
      </c>
      <c r="K505" t="s">
        <v>17</v>
      </c>
    </row>
    <row r="506" spans="1:11" x14ac:dyDescent="0.2">
      <c r="A506" t="s">
        <v>1546</v>
      </c>
      <c r="B506" t="s">
        <v>19</v>
      </c>
      <c r="C506" t="s">
        <v>102</v>
      </c>
      <c r="D506" t="s">
        <v>14</v>
      </c>
      <c r="E506">
        <v>1181000</v>
      </c>
      <c r="F506">
        <v>390.54</v>
      </c>
      <c r="G506" t="s">
        <v>1547</v>
      </c>
      <c r="H506" t="s">
        <v>1548</v>
      </c>
      <c r="I506">
        <v>1</v>
      </c>
      <c r="J506">
        <v>-28.44</v>
      </c>
      <c r="K506" t="s">
        <v>45</v>
      </c>
    </row>
    <row r="507" spans="1:11" x14ac:dyDescent="0.2">
      <c r="A507" t="s">
        <v>1549</v>
      </c>
      <c r="B507" t="s">
        <v>55</v>
      </c>
      <c r="C507" t="s">
        <v>26</v>
      </c>
      <c r="D507" t="s">
        <v>27</v>
      </c>
      <c r="E507">
        <v>1218000</v>
      </c>
      <c r="F507">
        <v>2026.62</v>
      </c>
      <c r="G507" t="s">
        <v>1550</v>
      </c>
      <c r="H507" t="s">
        <v>1551</v>
      </c>
      <c r="I507">
        <v>1</v>
      </c>
      <c r="J507">
        <v>0</v>
      </c>
      <c r="K507" t="s">
        <v>17</v>
      </c>
    </row>
    <row r="508" spans="1:11" x14ac:dyDescent="0.2">
      <c r="A508" t="s">
        <v>1552</v>
      </c>
      <c r="B508" t="s">
        <v>91</v>
      </c>
      <c r="C508" t="s">
        <v>20</v>
      </c>
      <c r="D508" t="s">
        <v>21</v>
      </c>
      <c r="E508">
        <v>1268000</v>
      </c>
      <c r="F508">
        <v>2109.8200000000002</v>
      </c>
      <c r="G508" t="s">
        <v>1553</v>
      </c>
      <c r="H508" t="s">
        <v>1554</v>
      </c>
      <c r="I508">
        <v>1</v>
      </c>
      <c r="J508">
        <v>0</v>
      </c>
      <c r="K508" t="s">
        <v>17</v>
      </c>
    </row>
    <row r="509" spans="1:11" x14ac:dyDescent="0.2">
      <c r="A509" t="s">
        <v>1555</v>
      </c>
      <c r="B509" t="s">
        <v>31</v>
      </c>
      <c r="C509" t="s">
        <v>20</v>
      </c>
      <c r="D509" t="s">
        <v>21</v>
      </c>
      <c r="E509">
        <v>416000</v>
      </c>
      <c r="F509">
        <v>692.18</v>
      </c>
      <c r="G509" t="s">
        <v>1556</v>
      </c>
      <c r="H509" t="s">
        <v>1557</v>
      </c>
      <c r="I509">
        <v>1</v>
      </c>
      <c r="J509">
        <v>0</v>
      </c>
      <c r="K509" t="s">
        <v>17</v>
      </c>
    </row>
    <row r="510" spans="1:11" x14ac:dyDescent="0.2">
      <c r="A510" t="s">
        <v>1558</v>
      </c>
      <c r="B510" t="s">
        <v>128</v>
      </c>
      <c r="C510" t="s">
        <v>26</v>
      </c>
      <c r="D510" t="s">
        <v>27</v>
      </c>
      <c r="E510">
        <v>592000</v>
      </c>
      <c r="F510">
        <v>985.02</v>
      </c>
      <c r="G510" t="s">
        <v>1559</v>
      </c>
      <c r="H510" t="s">
        <v>1560</v>
      </c>
      <c r="I510">
        <v>1</v>
      </c>
      <c r="J510">
        <v>0</v>
      </c>
      <c r="K510" t="s">
        <v>17</v>
      </c>
    </row>
    <row r="511" spans="1:11" x14ac:dyDescent="0.2">
      <c r="A511" t="s">
        <v>1561</v>
      </c>
      <c r="B511" t="s">
        <v>77</v>
      </c>
      <c r="C511" t="s">
        <v>42</v>
      </c>
      <c r="D511" t="s">
        <v>27</v>
      </c>
      <c r="E511">
        <v>1961000</v>
      </c>
      <c r="F511">
        <v>3262.9</v>
      </c>
      <c r="I511">
        <v>0</v>
      </c>
      <c r="J511">
        <v>0</v>
      </c>
      <c r="K511" t="s">
        <v>376</v>
      </c>
    </row>
    <row r="512" spans="1:11" x14ac:dyDescent="0.2">
      <c r="A512" t="s">
        <v>1562</v>
      </c>
      <c r="B512" t="s">
        <v>98</v>
      </c>
      <c r="C512" t="s">
        <v>20</v>
      </c>
      <c r="D512" t="s">
        <v>21</v>
      </c>
      <c r="E512">
        <v>826000</v>
      </c>
      <c r="F512">
        <v>1374.38</v>
      </c>
      <c r="G512" t="s">
        <v>1563</v>
      </c>
      <c r="H512" t="s">
        <v>1564</v>
      </c>
      <c r="I512">
        <v>1</v>
      </c>
      <c r="J512">
        <v>0</v>
      </c>
      <c r="K512" t="s">
        <v>17</v>
      </c>
    </row>
    <row r="513" spans="1:11" x14ac:dyDescent="0.2">
      <c r="A513" t="s">
        <v>1565</v>
      </c>
      <c r="B513" t="s">
        <v>98</v>
      </c>
      <c r="C513" t="s">
        <v>51</v>
      </c>
      <c r="D513" t="s">
        <v>21</v>
      </c>
      <c r="E513">
        <v>465000</v>
      </c>
      <c r="F513">
        <v>773.71</v>
      </c>
      <c r="G513" t="s">
        <v>1566</v>
      </c>
      <c r="H513" t="s">
        <v>1567</v>
      </c>
      <c r="I513">
        <v>1</v>
      </c>
      <c r="J513">
        <v>0</v>
      </c>
      <c r="K513" t="s">
        <v>17</v>
      </c>
    </row>
    <row r="514" spans="1:11" x14ac:dyDescent="0.2">
      <c r="A514" t="s">
        <v>1568</v>
      </c>
      <c r="B514" t="s">
        <v>25</v>
      </c>
      <c r="C514" t="s">
        <v>26</v>
      </c>
      <c r="D514" t="s">
        <v>27</v>
      </c>
      <c r="E514">
        <v>733000</v>
      </c>
      <c r="F514">
        <v>1219.6300000000001</v>
      </c>
      <c r="G514" t="s">
        <v>1569</v>
      </c>
      <c r="H514" t="s">
        <v>1570</v>
      </c>
      <c r="I514">
        <v>1</v>
      </c>
      <c r="J514">
        <v>0</v>
      </c>
      <c r="K514" t="s">
        <v>17</v>
      </c>
    </row>
    <row r="515" spans="1:11" x14ac:dyDescent="0.2">
      <c r="A515" t="s">
        <v>1571</v>
      </c>
      <c r="B515" t="s">
        <v>19</v>
      </c>
      <c r="C515" t="s">
        <v>13</v>
      </c>
      <c r="D515" t="s">
        <v>14</v>
      </c>
      <c r="E515">
        <v>23404000</v>
      </c>
      <c r="F515">
        <v>7739.42</v>
      </c>
      <c r="G515" t="s">
        <v>1572</v>
      </c>
      <c r="H515" t="s">
        <v>1573</v>
      </c>
      <c r="I515">
        <v>1</v>
      </c>
      <c r="J515">
        <v>0</v>
      </c>
      <c r="K515" t="s">
        <v>17</v>
      </c>
    </row>
    <row r="516" spans="1:11" x14ac:dyDescent="0.2">
      <c r="A516" t="s">
        <v>1574</v>
      </c>
      <c r="B516" t="s">
        <v>63</v>
      </c>
      <c r="C516" t="s">
        <v>13</v>
      </c>
      <c r="D516" t="s">
        <v>14</v>
      </c>
      <c r="E516">
        <v>1770000</v>
      </c>
      <c r="F516">
        <v>585.32000000000005</v>
      </c>
      <c r="G516" t="s">
        <v>1575</v>
      </c>
      <c r="H516" t="s">
        <v>1576</v>
      </c>
      <c r="I516">
        <v>1</v>
      </c>
      <c r="J516">
        <v>0</v>
      </c>
      <c r="K516" t="s">
        <v>17</v>
      </c>
    </row>
    <row r="517" spans="1:11" x14ac:dyDescent="0.2">
      <c r="A517" t="s">
        <v>1577</v>
      </c>
      <c r="B517" t="s">
        <v>25</v>
      </c>
      <c r="C517" t="s">
        <v>26</v>
      </c>
      <c r="D517" t="s">
        <v>27</v>
      </c>
      <c r="E517">
        <v>118000</v>
      </c>
      <c r="F517">
        <v>196.34</v>
      </c>
      <c r="G517" t="s">
        <v>1578</v>
      </c>
      <c r="H517" t="s">
        <v>1579</v>
      </c>
      <c r="I517">
        <v>1</v>
      </c>
      <c r="J517">
        <v>0</v>
      </c>
      <c r="K517" t="s">
        <v>17</v>
      </c>
    </row>
    <row r="518" spans="1:11" x14ac:dyDescent="0.2">
      <c r="A518" t="s">
        <v>1580</v>
      </c>
      <c r="B518" t="s">
        <v>139</v>
      </c>
      <c r="C518" t="s">
        <v>42</v>
      </c>
      <c r="D518" t="s">
        <v>27</v>
      </c>
      <c r="E518">
        <v>975000</v>
      </c>
      <c r="F518">
        <v>1622.3</v>
      </c>
      <c r="G518" t="s">
        <v>1581</v>
      </c>
      <c r="H518" t="s">
        <v>1582</v>
      </c>
      <c r="I518">
        <v>1</v>
      </c>
      <c r="J518">
        <v>0</v>
      </c>
      <c r="K518" t="s">
        <v>17</v>
      </c>
    </row>
    <row r="519" spans="1:11" x14ac:dyDescent="0.2">
      <c r="A519" t="s">
        <v>1583</v>
      </c>
      <c r="B519" t="s">
        <v>139</v>
      </c>
      <c r="C519" t="s">
        <v>26</v>
      </c>
      <c r="D519" t="s">
        <v>27</v>
      </c>
      <c r="E519">
        <v>97000</v>
      </c>
      <c r="F519">
        <v>161.4</v>
      </c>
      <c r="G519" t="s">
        <v>1584</v>
      </c>
      <c r="H519" t="s">
        <v>1585</v>
      </c>
      <c r="I519">
        <v>1</v>
      </c>
      <c r="J519">
        <v>0</v>
      </c>
      <c r="K519" t="s">
        <v>17</v>
      </c>
    </row>
    <row r="520" spans="1:11" x14ac:dyDescent="0.2">
      <c r="A520" t="s">
        <v>1586</v>
      </c>
      <c r="B520" t="s">
        <v>87</v>
      </c>
      <c r="C520" t="s">
        <v>102</v>
      </c>
      <c r="D520" t="s">
        <v>14</v>
      </c>
      <c r="E520">
        <v>3289000</v>
      </c>
      <c r="F520">
        <v>1087.6300000000001</v>
      </c>
      <c r="G520" t="s">
        <v>1587</v>
      </c>
      <c r="H520" t="s">
        <v>1588</v>
      </c>
      <c r="I520">
        <v>1</v>
      </c>
      <c r="J520">
        <v>0</v>
      </c>
      <c r="K520" t="s">
        <v>17</v>
      </c>
    </row>
    <row r="521" spans="1:11" x14ac:dyDescent="0.2">
      <c r="A521" t="s">
        <v>1589</v>
      </c>
      <c r="B521" t="s">
        <v>128</v>
      </c>
      <c r="C521" t="s">
        <v>20</v>
      </c>
      <c r="D521" t="s">
        <v>21</v>
      </c>
      <c r="E521">
        <v>1392000</v>
      </c>
      <c r="F521">
        <v>2316.14</v>
      </c>
      <c r="G521" t="s">
        <v>1590</v>
      </c>
      <c r="H521" t="s">
        <v>1591</v>
      </c>
      <c r="I521">
        <v>1</v>
      </c>
      <c r="J521">
        <v>0</v>
      </c>
      <c r="K521" t="s">
        <v>17</v>
      </c>
    </row>
    <row r="522" spans="1:11" x14ac:dyDescent="0.2">
      <c r="A522" t="s">
        <v>1592</v>
      </c>
      <c r="B522" t="s">
        <v>106</v>
      </c>
      <c r="C522" t="s">
        <v>42</v>
      </c>
      <c r="D522" t="s">
        <v>27</v>
      </c>
      <c r="E522">
        <v>659000</v>
      </c>
      <c r="F522">
        <v>1096.51</v>
      </c>
      <c r="G522" t="s">
        <v>1593</v>
      </c>
      <c r="H522" t="s">
        <v>1594</v>
      </c>
      <c r="I522">
        <v>1</v>
      </c>
      <c r="J522">
        <v>0</v>
      </c>
      <c r="K522" t="s">
        <v>17</v>
      </c>
    </row>
    <row r="523" spans="1:11" x14ac:dyDescent="0.2">
      <c r="A523" t="s">
        <v>1595</v>
      </c>
      <c r="B523" t="s">
        <v>143</v>
      </c>
      <c r="C523" t="s">
        <v>13</v>
      </c>
      <c r="D523" t="s">
        <v>14</v>
      </c>
      <c r="E523">
        <v>2844000</v>
      </c>
      <c r="F523">
        <v>940.48</v>
      </c>
      <c r="G523" t="s">
        <v>1596</v>
      </c>
      <c r="H523" t="s">
        <v>1597</v>
      </c>
      <c r="I523">
        <v>1</v>
      </c>
      <c r="J523">
        <v>0</v>
      </c>
      <c r="K523" t="s">
        <v>17</v>
      </c>
    </row>
    <row r="524" spans="1:11" x14ac:dyDescent="0.2">
      <c r="A524" t="s">
        <v>1598</v>
      </c>
      <c r="B524" t="s">
        <v>55</v>
      </c>
      <c r="C524" t="s">
        <v>26</v>
      </c>
      <c r="D524" t="s">
        <v>27</v>
      </c>
      <c r="E524">
        <v>523000</v>
      </c>
      <c r="F524">
        <v>870.22</v>
      </c>
      <c r="G524" t="s">
        <v>1599</v>
      </c>
      <c r="H524" t="s">
        <v>1600</v>
      </c>
      <c r="I524">
        <v>1</v>
      </c>
      <c r="J524">
        <v>0</v>
      </c>
      <c r="K524" t="s">
        <v>17</v>
      </c>
    </row>
    <row r="525" spans="1:11" x14ac:dyDescent="0.2">
      <c r="A525" t="s">
        <v>1601</v>
      </c>
      <c r="B525" t="s">
        <v>77</v>
      </c>
      <c r="C525" t="s">
        <v>26</v>
      </c>
      <c r="D525" t="s">
        <v>27</v>
      </c>
      <c r="E525">
        <v>1820000</v>
      </c>
      <c r="F525">
        <v>3028.29</v>
      </c>
      <c r="G525" t="s">
        <v>1602</v>
      </c>
      <c r="H525" t="s">
        <v>1603</v>
      </c>
      <c r="I525">
        <v>1</v>
      </c>
      <c r="J525">
        <v>0</v>
      </c>
      <c r="K525" t="s">
        <v>17</v>
      </c>
    </row>
    <row r="526" spans="1:11" x14ac:dyDescent="0.2">
      <c r="A526" t="s">
        <v>1604</v>
      </c>
      <c r="B526" t="s">
        <v>55</v>
      </c>
      <c r="C526" t="s">
        <v>51</v>
      </c>
      <c r="D526" t="s">
        <v>21</v>
      </c>
      <c r="E526">
        <v>1099000</v>
      </c>
      <c r="F526">
        <v>1828.62</v>
      </c>
      <c r="G526" t="s">
        <v>1605</v>
      </c>
      <c r="H526" t="s">
        <v>1606</v>
      </c>
      <c r="I526">
        <v>1</v>
      </c>
      <c r="J526">
        <v>0</v>
      </c>
      <c r="K526" t="s">
        <v>17</v>
      </c>
    </row>
    <row r="527" spans="1:11" x14ac:dyDescent="0.2">
      <c r="A527" t="s">
        <v>1607</v>
      </c>
      <c r="B527" t="s">
        <v>63</v>
      </c>
      <c r="C527" t="s">
        <v>42</v>
      </c>
      <c r="D527" t="s">
        <v>27</v>
      </c>
      <c r="E527">
        <v>597000</v>
      </c>
      <c r="F527">
        <v>993.34</v>
      </c>
      <c r="G527" t="s">
        <v>1608</v>
      </c>
      <c r="H527" t="s">
        <v>1609</v>
      </c>
      <c r="I527">
        <v>1</v>
      </c>
      <c r="J527">
        <v>0</v>
      </c>
      <c r="K527" t="s">
        <v>17</v>
      </c>
    </row>
    <row r="528" spans="1:11" x14ac:dyDescent="0.2">
      <c r="A528" t="s">
        <v>1610</v>
      </c>
      <c r="B528" t="s">
        <v>31</v>
      </c>
      <c r="C528" t="s">
        <v>20</v>
      </c>
      <c r="D528" t="s">
        <v>21</v>
      </c>
      <c r="E528">
        <v>662000</v>
      </c>
      <c r="F528">
        <v>1101.5</v>
      </c>
      <c r="G528" t="s">
        <v>1611</v>
      </c>
      <c r="H528" t="s">
        <v>1612</v>
      </c>
      <c r="I528">
        <v>1</v>
      </c>
      <c r="J528">
        <v>0</v>
      </c>
      <c r="K528" t="s">
        <v>17</v>
      </c>
    </row>
    <row r="529" spans="1:11" x14ac:dyDescent="0.2">
      <c r="A529" t="s">
        <v>1613</v>
      </c>
      <c r="B529" t="s">
        <v>143</v>
      </c>
      <c r="C529" t="s">
        <v>51</v>
      </c>
      <c r="D529" t="s">
        <v>21</v>
      </c>
      <c r="E529">
        <v>395000</v>
      </c>
      <c r="F529">
        <v>657.24</v>
      </c>
      <c r="G529" t="s">
        <v>1614</v>
      </c>
      <c r="H529" t="s">
        <v>1615</v>
      </c>
      <c r="I529">
        <v>1</v>
      </c>
      <c r="J529">
        <v>0</v>
      </c>
      <c r="K529" t="s">
        <v>17</v>
      </c>
    </row>
    <row r="530" spans="1:11" x14ac:dyDescent="0.2">
      <c r="A530" t="s">
        <v>1616</v>
      </c>
      <c r="B530" t="s">
        <v>59</v>
      </c>
      <c r="C530" t="s">
        <v>102</v>
      </c>
      <c r="D530" t="s">
        <v>14</v>
      </c>
      <c r="E530">
        <v>796000</v>
      </c>
      <c r="F530">
        <v>263.23</v>
      </c>
      <c r="G530" t="s">
        <v>1617</v>
      </c>
      <c r="H530" t="s">
        <v>1618</v>
      </c>
      <c r="I530">
        <v>1</v>
      </c>
      <c r="J530">
        <v>-17.53</v>
      </c>
      <c r="K530" t="s">
        <v>17</v>
      </c>
    </row>
    <row r="531" spans="1:11" x14ac:dyDescent="0.2">
      <c r="A531" t="s">
        <v>1619</v>
      </c>
      <c r="B531" t="s">
        <v>12</v>
      </c>
      <c r="C531" t="s">
        <v>13</v>
      </c>
      <c r="D531" t="s">
        <v>14</v>
      </c>
      <c r="E531">
        <v>1496000</v>
      </c>
      <c r="F531">
        <v>494.71</v>
      </c>
      <c r="G531" t="s">
        <v>1620</v>
      </c>
      <c r="H531" t="s">
        <v>1621</v>
      </c>
      <c r="I531">
        <v>1</v>
      </c>
      <c r="J531">
        <v>0</v>
      </c>
      <c r="K531" t="s">
        <v>17</v>
      </c>
    </row>
    <row r="532" spans="1:11" x14ac:dyDescent="0.2">
      <c r="A532" t="s">
        <v>1622</v>
      </c>
      <c r="B532" t="s">
        <v>59</v>
      </c>
      <c r="C532" t="s">
        <v>42</v>
      </c>
      <c r="D532" t="s">
        <v>27</v>
      </c>
      <c r="E532">
        <v>956000</v>
      </c>
      <c r="F532">
        <v>1590.68</v>
      </c>
      <c r="G532" t="s">
        <v>1623</v>
      </c>
      <c r="H532" t="s">
        <v>1624</v>
      </c>
      <c r="I532">
        <v>1</v>
      </c>
      <c r="J532">
        <v>0</v>
      </c>
      <c r="K532" t="s">
        <v>17</v>
      </c>
    </row>
    <row r="533" spans="1:11" x14ac:dyDescent="0.2">
      <c r="A533" t="s">
        <v>1625</v>
      </c>
      <c r="B533" t="s">
        <v>50</v>
      </c>
      <c r="C533" t="s">
        <v>26</v>
      </c>
      <c r="D533" t="s">
        <v>27</v>
      </c>
      <c r="E533">
        <v>734000</v>
      </c>
      <c r="F533">
        <v>1221.3</v>
      </c>
      <c r="G533" t="s">
        <v>1626</v>
      </c>
      <c r="H533" t="s">
        <v>1627</v>
      </c>
      <c r="I533">
        <v>1</v>
      </c>
      <c r="J533">
        <v>0</v>
      </c>
      <c r="K533" t="s">
        <v>17</v>
      </c>
    </row>
    <row r="534" spans="1:11" x14ac:dyDescent="0.2">
      <c r="A534" t="s">
        <v>1628</v>
      </c>
      <c r="B534" t="s">
        <v>31</v>
      </c>
      <c r="C534" t="s">
        <v>42</v>
      </c>
      <c r="D534" t="s">
        <v>27</v>
      </c>
      <c r="E534">
        <v>227000</v>
      </c>
      <c r="F534">
        <v>377.7</v>
      </c>
      <c r="G534" t="s">
        <v>1629</v>
      </c>
      <c r="H534" t="s">
        <v>1630</v>
      </c>
      <c r="I534">
        <v>1</v>
      </c>
      <c r="J534">
        <v>26.62</v>
      </c>
      <c r="K534" t="s">
        <v>45</v>
      </c>
    </row>
    <row r="535" spans="1:11" x14ac:dyDescent="0.2">
      <c r="A535" t="s">
        <v>1631</v>
      </c>
      <c r="B535" t="s">
        <v>106</v>
      </c>
      <c r="C535" t="s">
        <v>42</v>
      </c>
      <c r="D535" t="s">
        <v>27</v>
      </c>
      <c r="E535">
        <v>352000</v>
      </c>
      <c r="F535">
        <v>585.69000000000005</v>
      </c>
      <c r="G535" t="s">
        <v>1632</v>
      </c>
      <c r="H535" t="s">
        <v>1633</v>
      </c>
      <c r="I535">
        <v>1</v>
      </c>
      <c r="J535">
        <v>26.62</v>
      </c>
      <c r="K535" t="s">
        <v>45</v>
      </c>
    </row>
    <row r="536" spans="1:11" x14ac:dyDescent="0.2">
      <c r="A536" t="s">
        <v>1634</v>
      </c>
      <c r="B536" t="s">
        <v>55</v>
      </c>
      <c r="C536" t="s">
        <v>26</v>
      </c>
      <c r="D536" t="s">
        <v>27</v>
      </c>
      <c r="E536">
        <v>394000</v>
      </c>
      <c r="F536">
        <v>655.57</v>
      </c>
      <c r="G536" t="s">
        <v>1635</v>
      </c>
      <c r="H536" t="s">
        <v>1636</v>
      </c>
      <c r="I536">
        <v>1</v>
      </c>
      <c r="J536">
        <v>0</v>
      </c>
      <c r="K536" t="s">
        <v>17</v>
      </c>
    </row>
    <row r="537" spans="1:11" x14ac:dyDescent="0.2">
      <c r="A537" t="s">
        <v>1637</v>
      </c>
      <c r="B537" t="s">
        <v>106</v>
      </c>
      <c r="C537" t="s">
        <v>42</v>
      </c>
      <c r="D537" t="s">
        <v>27</v>
      </c>
      <c r="E537">
        <v>285000</v>
      </c>
      <c r="F537">
        <v>474.21</v>
      </c>
      <c r="G537" t="s">
        <v>1638</v>
      </c>
      <c r="H537" t="s">
        <v>1639</v>
      </c>
      <c r="I537">
        <v>1</v>
      </c>
      <c r="J537">
        <v>0</v>
      </c>
      <c r="K537" t="s">
        <v>17</v>
      </c>
    </row>
    <row r="538" spans="1:11" x14ac:dyDescent="0.2">
      <c r="A538" t="s">
        <v>1640</v>
      </c>
      <c r="B538" t="s">
        <v>128</v>
      </c>
      <c r="C538" t="s">
        <v>42</v>
      </c>
      <c r="D538" t="s">
        <v>27</v>
      </c>
      <c r="E538">
        <v>407000</v>
      </c>
      <c r="F538">
        <v>677.2</v>
      </c>
      <c r="G538" t="s">
        <v>1641</v>
      </c>
      <c r="H538" t="s">
        <v>1642</v>
      </c>
      <c r="I538">
        <v>1</v>
      </c>
      <c r="J538">
        <v>0</v>
      </c>
      <c r="K538" t="s">
        <v>17</v>
      </c>
    </row>
    <row r="539" spans="1:11" x14ac:dyDescent="0.2">
      <c r="A539" t="s">
        <v>1643</v>
      </c>
      <c r="B539" t="s">
        <v>87</v>
      </c>
      <c r="C539" t="s">
        <v>26</v>
      </c>
      <c r="D539" t="s">
        <v>27</v>
      </c>
      <c r="E539">
        <v>2202000</v>
      </c>
      <c r="F539">
        <v>3663.89</v>
      </c>
      <c r="G539" t="s">
        <v>1644</v>
      </c>
      <c r="H539" t="s">
        <v>1645</v>
      </c>
      <c r="I539">
        <v>1</v>
      </c>
      <c r="J539">
        <v>0</v>
      </c>
      <c r="K539" t="s">
        <v>17</v>
      </c>
    </row>
    <row r="540" spans="1:11" x14ac:dyDescent="0.2">
      <c r="A540" t="s">
        <v>1646</v>
      </c>
      <c r="B540" t="s">
        <v>19</v>
      </c>
      <c r="C540" t="s">
        <v>13</v>
      </c>
      <c r="D540" t="s">
        <v>14</v>
      </c>
      <c r="E540">
        <v>522000</v>
      </c>
      <c r="F540">
        <v>172.62</v>
      </c>
      <c r="I540">
        <v>0</v>
      </c>
      <c r="J540">
        <v>0</v>
      </c>
      <c r="K540" t="s">
        <v>376</v>
      </c>
    </row>
    <row r="541" spans="1:11" x14ac:dyDescent="0.2">
      <c r="A541" t="s">
        <v>1647</v>
      </c>
      <c r="B541" t="s">
        <v>143</v>
      </c>
      <c r="C541" t="s">
        <v>26</v>
      </c>
      <c r="D541" t="s">
        <v>27</v>
      </c>
      <c r="E541">
        <v>846000</v>
      </c>
      <c r="F541">
        <v>1407.65</v>
      </c>
      <c r="G541" t="s">
        <v>1648</v>
      </c>
      <c r="H541" t="s">
        <v>1649</v>
      </c>
      <c r="I541">
        <v>1</v>
      </c>
      <c r="J541">
        <v>0</v>
      </c>
      <c r="K541" t="s">
        <v>17</v>
      </c>
    </row>
    <row r="542" spans="1:11" x14ac:dyDescent="0.2">
      <c r="A542" t="s">
        <v>1650</v>
      </c>
      <c r="B542" t="s">
        <v>25</v>
      </c>
      <c r="C542" t="s">
        <v>20</v>
      </c>
      <c r="D542" t="s">
        <v>21</v>
      </c>
      <c r="E542">
        <v>195000</v>
      </c>
      <c r="F542">
        <v>324.45999999999998</v>
      </c>
      <c r="G542" t="s">
        <v>1651</v>
      </c>
      <c r="H542" t="s">
        <v>1652</v>
      </c>
      <c r="I542">
        <v>1</v>
      </c>
      <c r="J542">
        <v>0</v>
      </c>
      <c r="K542" t="s">
        <v>17</v>
      </c>
    </row>
    <row r="543" spans="1:11" x14ac:dyDescent="0.2">
      <c r="A543" t="s">
        <v>1653</v>
      </c>
      <c r="B543" t="s">
        <v>59</v>
      </c>
      <c r="C543" t="s">
        <v>51</v>
      </c>
      <c r="D543" t="s">
        <v>21</v>
      </c>
      <c r="E543">
        <v>122000</v>
      </c>
      <c r="F543">
        <v>203</v>
      </c>
      <c r="G543" t="s">
        <v>1654</v>
      </c>
      <c r="H543" t="s">
        <v>1655</v>
      </c>
      <c r="I543">
        <v>1</v>
      </c>
      <c r="J543">
        <v>0</v>
      </c>
      <c r="K543" t="s">
        <v>17</v>
      </c>
    </row>
    <row r="544" spans="1:11" x14ac:dyDescent="0.2">
      <c r="A544" t="s">
        <v>1656</v>
      </c>
      <c r="B544" t="s">
        <v>25</v>
      </c>
      <c r="C544" t="s">
        <v>26</v>
      </c>
      <c r="D544" t="s">
        <v>27</v>
      </c>
      <c r="E544">
        <v>511000</v>
      </c>
      <c r="F544">
        <v>850.25</v>
      </c>
      <c r="G544" t="s">
        <v>1657</v>
      </c>
      <c r="H544" t="s">
        <v>1658</v>
      </c>
      <c r="I544">
        <v>1</v>
      </c>
      <c r="J544">
        <v>0</v>
      </c>
      <c r="K544" t="s">
        <v>17</v>
      </c>
    </row>
    <row r="545" spans="1:11" x14ac:dyDescent="0.2">
      <c r="A545" t="s">
        <v>1659</v>
      </c>
      <c r="B545" t="s">
        <v>67</v>
      </c>
      <c r="C545" t="s">
        <v>42</v>
      </c>
      <c r="D545" t="s">
        <v>27</v>
      </c>
      <c r="E545">
        <v>959000</v>
      </c>
      <c r="F545">
        <v>1595.67</v>
      </c>
      <c r="G545" t="s">
        <v>1660</v>
      </c>
      <c r="H545" t="s">
        <v>1661</v>
      </c>
      <c r="I545">
        <v>1</v>
      </c>
      <c r="J545">
        <v>0</v>
      </c>
      <c r="K545" t="s">
        <v>17</v>
      </c>
    </row>
    <row r="546" spans="1:11" x14ac:dyDescent="0.2">
      <c r="A546" t="s">
        <v>1662</v>
      </c>
      <c r="B546" t="s">
        <v>91</v>
      </c>
      <c r="C546" t="s">
        <v>51</v>
      </c>
      <c r="D546" t="s">
        <v>21</v>
      </c>
      <c r="E546">
        <v>801000</v>
      </c>
      <c r="F546">
        <v>1332.78</v>
      </c>
      <c r="G546" t="s">
        <v>1663</v>
      </c>
      <c r="H546" t="s">
        <v>1664</v>
      </c>
      <c r="I546">
        <v>1</v>
      </c>
      <c r="J546">
        <v>0</v>
      </c>
      <c r="K546" t="s">
        <v>17</v>
      </c>
    </row>
    <row r="547" spans="1:11" x14ac:dyDescent="0.2">
      <c r="A547" t="s">
        <v>1665</v>
      </c>
      <c r="B547" t="s">
        <v>87</v>
      </c>
      <c r="C547" t="s">
        <v>20</v>
      </c>
      <c r="D547" t="s">
        <v>21</v>
      </c>
      <c r="E547">
        <v>334000</v>
      </c>
      <c r="F547">
        <v>555.74</v>
      </c>
      <c r="G547" t="s">
        <v>1666</v>
      </c>
      <c r="H547" t="s">
        <v>1667</v>
      </c>
      <c r="I547">
        <v>1</v>
      </c>
      <c r="J547">
        <v>0</v>
      </c>
      <c r="K547" t="s">
        <v>17</v>
      </c>
    </row>
    <row r="548" spans="1:11" x14ac:dyDescent="0.2">
      <c r="A548" t="s">
        <v>1668</v>
      </c>
      <c r="B548" t="s">
        <v>19</v>
      </c>
      <c r="C548" t="s">
        <v>13</v>
      </c>
      <c r="D548" t="s">
        <v>14</v>
      </c>
      <c r="E548">
        <v>3192000</v>
      </c>
      <c r="F548">
        <v>1055.56</v>
      </c>
      <c r="G548" t="s">
        <v>1669</v>
      </c>
      <c r="H548" t="s">
        <v>1670</v>
      </c>
      <c r="I548">
        <v>1</v>
      </c>
      <c r="J548">
        <v>0</v>
      </c>
      <c r="K548" t="s">
        <v>17</v>
      </c>
    </row>
    <row r="549" spans="1:11" x14ac:dyDescent="0.2">
      <c r="A549" t="s">
        <v>1671</v>
      </c>
      <c r="B549" t="s">
        <v>25</v>
      </c>
      <c r="C549" t="s">
        <v>26</v>
      </c>
      <c r="D549" t="s">
        <v>27</v>
      </c>
      <c r="E549">
        <v>396000</v>
      </c>
      <c r="F549">
        <v>658.9</v>
      </c>
      <c r="G549" t="s">
        <v>1672</v>
      </c>
      <c r="H549" t="s">
        <v>1673</v>
      </c>
      <c r="I549">
        <v>1</v>
      </c>
      <c r="J549">
        <v>0</v>
      </c>
      <c r="K549" t="s">
        <v>17</v>
      </c>
    </row>
    <row r="550" spans="1:11" x14ac:dyDescent="0.2">
      <c r="A550" t="s">
        <v>1674</v>
      </c>
      <c r="B550" t="s">
        <v>139</v>
      </c>
      <c r="C550" t="s">
        <v>102</v>
      </c>
      <c r="D550" t="s">
        <v>14</v>
      </c>
      <c r="E550">
        <v>3249000</v>
      </c>
      <c r="F550">
        <v>1074.4000000000001</v>
      </c>
      <c r="G550" t="s">
        <v>1675</v>
      </c>
      <c r="H550" t="s">
        <v>1676</v>
      </c>
      <c r="I550">
        <v>1</v>
      </c>
      <c r="J550">
        <v>0</v>
      </c>
      <c r="K550" t="s">
        <v>17</v>
      </c>
    </row>
    <row r="551" spans="1:11" x14ac:dyDescent="0.2">
      <c r="A551" t="s">
        <v>1677</v>
      </c>
      <c r="B551" t="s">
        <v>87</v>
      </c>
      <c r="C551" t="s">
        <v>26</v>
      </c>
      <c r="D551" t="s">
        <v>27</v>
      </c>
      <c r="E551">
        <v>870000</v>
      </c>
      <c r="F551">
        <v>1447.59</v>
      </c>
      <c r="G551" t="s">
        <v>1678</v>
      </c>
      <c r="H551" t="s">
        <v>1679</v>
      </c>
      <c r="I551">
        <v>1</v>
      </c>
      <c r="J551">
        <v>0</v>
      </c>
      <c r="K551" t="s">
        <v>17</v>
      </c>
    </row>
    <row r="552" spans="1:11" x14ac:dyDescent="0.2">
      <c r="A552" t="s">
        <v>1680</v>
      </c>
      <c r="B552" t="s">
        <v>55</v>
      </c>
      <c r="C552" t="s">
        <v>26</v>
      </c>
      <c r="D552" t="s">
        <v>27</v>
      </c>
      <c r="E552">
        <v>531000</v>
      </c>
      <c r="F552">
        <v>883.53</v>
      </c>
      <c r="G552" t="s">
        <v>1681</v>
      </c>
      <c r="H552" t="s">
        <v>1682</v>
      </c>
      <c r="I552">
        <v>1</v>
      </c>
      <c r="J552">
        <v>0</v>
      </c>
      <c r="K552" t="s">
        <v>17</v>
      </c>
    </row>
    <row r="553" spans="1:11" x14ac:dyDescent="0.2">
      <c r="A553" t="s">
        <v>1683</v>
      </c>
      <c r="B553" t="s">
        <v>87</v>
      </c>
      <c r="C553" t="s">
        <v>102</v>
      </c>
      <c r="D553" t="s">
        <v>14</v>
      </c>
      <c r="E553">
        <v>2212000</v>
      </c>
      <c r="F553">
        <v>731.48</v>
      </c>
      <c r="G553" t="s">
        <v>1684</v>
      </c>
      <c r="H553" t="s">
        <v>1685</v>
      </c>
      <c r="I553">
        <v>1</v>
      </c>
      <c r="J553">
        <v>0</v>
      </c>
      <c r="K553" t="s">
        <v>17</v>
      </c>
    </row>
    <row r="554" spans="1:11" x14ac:dyDescent="0.2">
      <c r="A554" t="s">
        <v>1686</v>
      </c>
      <c r="B554" t="s">
        <v>135</v>
      </c>
      <c r="C554" t="s">
        <v>102</v>
      </c>
      <c r="D554" t="s">
        <v>14</v>
      </c>
      <c r="E554">
        <v>1194000</v>
      </c>
      <c r="F554">
        <v>394.84</v>
      </c>
      <c r="G554" t="s">
        <v>1687</v>
      </c>
      <c r="H554" t="s">
        <v>1688</v>
      </c>
      <c r="I554">
        <v>1</v>
      </c>
      <c r="J554">
        <v>0</v>
      </c>
      <c r="K554" t="s">
        <v>17</v>
      </c>
    </row>
    <row r="555" spans="1:11" x14ac:dyDescent="0.2">
      <c r="A555" t="s">
        <v>1689</v>
      </c>
      <c r="B555" t="s">
        <v>128</v>
      </c>
      <c r="C555" t="s">
        <v>13</v>
      </c>
      <c r="D555" t="s">
        <v>14</v>
      </c>
      <c r="E555">
        <v>8009000</v>
      </c>
      <c r="F555">
        <v>2648.48</v>
      </c>
      <c r="G555" t="s">
        <v>1690</v>
      </c>
      <c r="H555" t="s">
        <v>1691</v>
      </c>
      <c r="I555">
        <v>1</v>
      </c>
      <c r="J555">
        <v>0</v>
      </c>
      <c r="K555" t="s">
        <v>17</v>
      </c>
    </row>
    <row r="556" spans="1:11" x14ac:dyDescent="0.2">
      <c r="A556" t="s">
        <v>1692</v>
      </c>
      <c r="B556" t="s">
        <v>12</v>
      </c>
      <c r="C556" t="s">
        <v>42</v>
      </c>
      <c r="D556" t="s">
        <v>27</v>
      </c>
      <c r="E556">
        <v>387000</v>
      </c>
      <c r="F556">
        <v>643.92999999999995</v>
      </c>
      <c r="G556" t="s">
        <v>1693</v>
      </c>
      <c r="H556" t="s">
        <v>1694</v>
      </c>
      <c r="I556">
        <v>1</v>
      </c>
      <c r="J556">
        <v>0</v>
      </c>
      <c r="K556" t="s">
        <v>17</v>
      </c>
    </row>
    <row r="557" spans="1:11" x14ac:dyDescent="0.2">
      <c r="A557" t="s">
        <v>1695</v>
      </c>
      <c r="B557" t="s">
        <v>135</v>
      </c>
      <c r="C557" t="s">
        <v>13</v>
      </c>
      <c r="D557" t="s">
        <v>14</v>
      </c>
      <c r="E557">
        <v>2206000</v>
      </c>
      <c r="F557">
        <v>729.5</v>
      </c>
      <c r="G557" t="s">
        <v>1696</v>
      </c>
      <c r="H557" t="s">
        <v>1697</v>
      </c>
      <c r="I557">
        <v>1</v>
      </c>
      <c r="J557">
        <v>0</v>
      </c>
      <c r="K557" t="s">
        <v>17</v>
      </c>
    </row>
    <row r="558" spans="1:11" x14ac:dyDescent="0.2">
      <c r="A558" t="s">
        <v>1698</v>
      </c>
      <c r="B558" t="s">
        <v>91</v>
      </c>
      <c r="C558" t="s">
        <v>102</v>
      </c>
      <c r="D558" t="s">
        <v>14</v>
      </c>
      <c r="E558">
        <v>1077000</v>
      </c>
      <c r="F558">
        <v>356.15</v>
      </c>
      <c r="G558" t="s">
        <v>1699</v>
      </c>
      <c r="H558" t="s">
        <v>1700</v>
      </c>
      <c r="I558">
        <v>1</v>
      </c>
      <c r="J558">
        <v>0</v>
      </c>
      <c r="K558" t="s">
        <v>17</v>
      </c>
    </row>
    <row r="559" spans="1:11" x14ac:dyDescent="0.2">
      <c r="A559" t="s">
        <v>1701</v>
      </c>
      <c r="B559" t="s">
        <v>240</v>
      </c>
      <c r="C559" t="s">
        <v>26</v>
      </c>
      <c r="D559" t="s">
        <v>27</v>
      </c>
      <c r="E559">
        <v>1236000</v>
      </c>
      <c r="F559">
        <v>2056.5700000000002</v>
      </c>
      <c r="G559" t="s">
        <v>1702</v>
      </c>
      <c r="H559" t="s">
        <v>1703</v>
      </c>
      <c r="I559">
        <v>1</v>
      </c>
      <c r="J559">
        <v>0</v>
      </c>
      <c r="K559" t="s">
        <v>17</v>
      </c>
    </row>
    <row r="560" spans="1:11" x14ac:dyDescent="0.2">
      <c r="A560" t="s">
        <v>1704</v>
      </c>
      <c r="B560" t="s">
        <v>12</v>
      </c>
      <c r="C560" t="s">
        <v>26</v>
      </c>
      <c r="D560" t="s">
        <v>27</v>
      </c>
      <c r="E560">
        <v>700000</v>
      </c>
      <c r="F560">
        <v>1164.73</v>
      </c>
      <c r="G560" t="s">
        <v>1705</v>
      </c>
      <c r="H560" t="s">
        <v>1706</v>
      </c>
      <c r="I560">
        <v>1</v>
      </c>
      <c r="J560">
        <v>0</v>
      </c>
      <c r="K560" t="s">
        <v>17</v>
      </c>
    </row>
    <row r="561" spans="1:11" x14ac:dyDescent="0.2">
      <c r="A561" t="s">
        <v>1707</v>
      </c>
      <c r="B561" t="s">
        <v>143</v>
      </c>
      <c r="C561" t="s">
        <v>20</v>
      </c>
      <c r="D561" t="s">
        <v>21</v>
      </c>
      <c r="E561">
        <v>424000</v>
      </c>
      <c r="F561">
        <v>705.49</v>
      </c>
      <c r="G561" t="s">
        <v>1708</v>
      </c>
      <c r="H561" t="s">
        <v>1709</v>
      </c>
      <c r="I561">
        <v>1</v>
      </c>
      <c r="J561">
        <v>0</v>
      </c>
      <c r="K561" t="s">
        <v>17</v>
      </c>
    </row>
    <row r="562" spans="1:11" x14ac:dyDescent="0.2">
      <c r="A562" t="s">
        <v>1710</v>
      </c>
      <c r="B562" t="s">
        <v>240</v>
      </c>
      <c r="C562" t="s">
        <v>13</v>
      </c>
      <c r="D562" t="s">
        <v>14</v>
      </c>
      <c r="E562">
        <v>3269000</v>
      </c>
      <c r="F562">
        <v>1081.02</v>
      </c>
      <c r="G562" t="s">
        <v>1711</v>
      </c>
      <c r="H562" t="s">
        <v>1712</v>
      </c>
      <c r="I562">
        <v>1</v>
      </c>
      <c r="J562">
        <v>0</v>
      </c>
      <c r="K562" t="s">
        <v>17</v>
      </c>
    </row>
    <row r="563" spans="1:11" x14ac:dyDescent="0.2">
      <c r="A563" t="s">
        <v>1713</v>
      </c>
      <c r="B563" t="s">
        <v>25</v>
      </c>
      <c r="C563" t="s">
        <v>102</v>
      </c>
      <c r="D563" t="s">
        <v>14</v>
      </c>
      <c r="E563">
        <v>671000</v>
      </c>
      <c r="F563">
        <v>221.89</v>
      </c>
      <c r="G563" t="s">
        <v>1714</v>
      </c>
      <c r="H563" t="s">
        <v>1715</v>
      </c>
      <c r="I563">
        <v>1</v>
      </c>
      <c r="J563">
        <v>0</v>
      </c>
      <c r="K563" t="s">
        <v>17</v>
      </c>
    </row>
    <row r="564" spans="1:11" x14ac:dyDescent="0.2">
      <c r="A564" t="s">
        <v>1716</v>
      </c>
      <c r="B564" t="s">
        <v>59</v>
      </c>
      <c r="C564" t="s">
        <v>102</v>
      </c>
      <c r="D564" t="s">
        <v>14</v>
      </c>
      <c r="E564">
        <v>1078000</v>
      </c>
      <c r="F564">
        <v>356.48</v>
      </c>
      <c r="G564" t="s">
        <v>1717</v>
      </c>
      <c r="H564" t="s">
        <v>1718</v>
      </c>
      <c r="I564">
        <v>1</v>
      </c>
      <c r="J564">
        <v>0</v>
      </c>
      <c r="K564" t="s">
        <v>17</v>
      </c>
    </row>
    <row r="565" spans="1:11" x14ac:dyDescent="0.2">
      <c r="A565" t="s">
        <v>1719</v>
      </c>
      <c r="B565" t="s">
        <v>55</v>
      </c>
      <c r="C565" t="s">
        <v>13</v>
      </c>
      <c r="D565" t="s">
        <v>14</v>
      </c>
      <c r="E565">
        <v>810000</v>
      </c>
      <c r="F565">
        <v>267.86</v>
      </c>
      <c r="G565" t="s">
        <v>1720</v>
      </c>
      <c r="H565" t="s">
        <v>1721</v>
      </c>
      <c r="I565">
        <v>1</v>
      </c>
      <c r="J565">
        <v>0</v>
      </c>
      <c r="K565" t="s">
        <v>17</v>
      </c>
    </row>
    <row r="566" spans="1:11" x14ac:dyDescent="0.2">
      <c r="A566" t="s">
        <v>1722</v>
      </c>
      <c r="B566" t="s">
        <v>240</v>
      </c>
      <c r="C566" t="s">
        <v>13</v>
      </c>
      <c r="D566" t="s">
        <v>14</v>
      </c>
      <c r="E566">
        <v>1530000</v>
      </c>
      <c r="F566">
        <v>505.95</v>
      </c>
      <c r="G566" t="s">
        <v>1723</v>
      </c>
      <c r="H566" t="s">
        <v>1724</v>
      </c>
      <c r="I566">
        <v>1</v>
      </c>
      <c r="J566">
        <v>0</v>
      </c>
      <c r="K566" t="s">
        <v>17</v>
      </c>
    </row>
    <row r="567" spans="1:11" x14ac:dyDescent="0.2">
      <c r="A567" t="s">
        <v>1725</v>
      </c>
      <c r="B567" t="s">
        <v>59</v>
      </c>
      <c r="C567" t="s">
        <v>20</v>
      </c>
      <c r="D567" t="s">
        <v>21</v>
      </c>
      <c r="E567">
        <v>255000</v>
      </c>
      <c r="F567">
        <v>424.29</v>
      </c>
      <c r="G567" t="s">
        <v>1726</v>
      </c>
      <c r="H567" t="s">
        <v>1727</v>
      </c>
      <c r="I567">
        <v>1</v>
      </c>
      <c r="J567">
        <v>0</v>
      </c>
      <c r="K567" t="s">
        <v>17</v>
      </c>
    </row>
    <row r="568" spans="1:11" x14ac:dyDescent="0.2">
      <c r="A568" t="s">
        <v>1728</v>
      </c>
      <c r="B568" t="s">
        <v>91</v>
      </c>
      <c r="C568" t="s">
        <v>26</v>
      </c>
      <c r="D568" t="s">
        <v>27</v>
      </c>
      <c r="E568">
        <v>1335000</v>
      </c>
      <c r="F568">
        <v>2221.3000000000002</v>
      </c>
      <c r="G568" t="s">
        <v>1729</v>
      </c>
      <c r="H568" t="s">
        <v>1730</v>
      </c>
      <c r="I568">
        <v>1</v>
      </c>
      <c r="J568">
        <v>0</v>
      </c>
      <c r="K568" t="s">
        <v>17</v>
      </c>
    </row>
    <row r="569" spans="1:11" x14ac:dyDescent="0.2">
      <c r="A569" t="s">
        <v>1731</v>
      </c>
      <c r="B569" t="s">
        <v>55</v>
      </c>
      <c r="C569" t="s">
        <v>26</v>
      </c>
      <c r="D569" t="s">
        <v>27</v>
      </c>
      <c r="E569">
        <v>321000</v>
      </c>
      <c r="F569">
        <v>534.11</v>
      </c>
      <c r="G569" t="s">
        <v>1732</v>
      </c>
      <c r="H569" t="s">
        <v>1733</v>
      </c>
      <c r="I569">
        <v>1</v>
      </c>
      <c r="J569">
        <v>0</v>
      </c>
      <c r="K569" t="s">
        <v>17</v>
      </c>
    </row>
    <row r="570" spans="1:11" x14ac:dyDescent="0.2">
      <c r="A570" t="s">
        <v>1734</v>
      </c>
      <c r="B570" t="s">
        <v>135</v>
      </c>
      <c r="C570" t="s">
        <v>42</v>
      </c>
      <c r="D570" t="s">
        <v>27</v>
      </c>
      <c r="E570">
        <v>637000</v>
      </c>
      <c r="F570">
        <v>1059.9000000000001</v>
      </c>
      <c r="G570" t="s">
        <v>1735</v>
      </c>
      <c r="H570" t="s">
        <v>1736</v>
      </c>
      <c r="I570">
        <v>1</v>
      </c>
      <c r="J570">
        <v>0</v>
      </c>
      <c r="K570" t="s">
        <v>17</v>
      </c>
    </row>
    <row r="571" spans="1:11" x14ac:dyDescent="0.2">
      <c r="A571" t="s">
        <v>1737</v>
      </c>
      <c r="B571" t="s">
        <v>77</v>
      </c>
      <c r="C571" t="s">
        <v>20</v>
      </c>
      <c r="D571" t="s">
        <v>21</v>
      </c>
      <c r="E571">
        <v>558000</v>
      </c>
      <c r="F571">
        <v>928.45</v>
      </c>
      <c r="G571" t="s">
        <v>1738</v>
      </c>
      <c r="H571" t="s">
        <v>1739</v>
      </c>
      <c r="I571">
        <v>1</v>
      </c>
      <c r="J571">
        <v>0</v>
      </c>
      <c r="K571" t="s">
        <v>17</v>
      </c>
    </row>
    <row r="572" spans="1:11" x14ac:dyDescent="0.2">
      <c r="A572" t="s">
        <v>1740</v>
      </c>
      <c r="B572" t="s">
        <v>77</v>
      </c>
      <c r="C572" t="s">
        <v>20</v>
      </c>
      <c r="D572" t="s">
        <v>21</v>
      </c>
      <c r="E572">
        <v>295000</v>
      </c>
      <c r="F572">
        <v>490.85</v>
      </c>
      <c r="G572" t="s">
        <v>1741</v>
      </c>
      <c r="H572" t="s">
        <v>1742</v>
      </c>
      <c r="I572">
        <v>1</v>
      </c>
      <c r="J572">
        <v>0</v>
      </c>
      <c r="K572" t="s">
        <v>17</v>
      </c>
    </row>
    <row r="573" spans="1:11" x14ac:dyDescent="0.2">
      <c r="A573" t="s">
        <v>1743</v>
      </c>
      <c r="B573" t="s">
        <v>67</v>
      </c>
      <c r="C573" t="s">
        <v>20</v>
      </c>
      <c r="D573" t="s">
        <v>21</v>
      </c>
      <c r="E573">
        <v>775000</v>
      </c>
      <c r="F573">
        <v>1289.52</v>
      </c>
      <c r="G573" t="s">
        <v>1744</v>
      </c>
      <c r="H573" t="s">
        <v>1745</v>
      </c>
      <c r="I573">
        <v>1</v>
      </c>
      <c r="J573">
        <v>0</v>
      </c>
      <c r="K573" t="s">
        <v>17</v>
      </c>
    </row>
    <row r="574" spans="1:11" x14ac:dyDescent="0.2">
      <c r="A574" t="s">
        <v>1746</v>
      </c>
      <c r="B574" t="s">
        <v>143</v>
      </c>
      <c r="C574" t="s">
        <v>51</v>
      </c>
      <c r="D574" t="s">
        <v>21</v>
      </c>
      <c r="E574">
        <v>346000</v>
      </c>
      <c r="F574">
        <v>575.71</v>
      </c>
      <c r="G574" t="s">
        <v>1747</v>
      </c>
      <c r="H574" t="s">
        <v>1748</v>
      </c>
      <c r="I574">
        <v>1</v>
      </c>
      <c r="J574">
        <v>0</v>
      </c>
      <c r="K574" t="s">
        <v>17</v>
      </c>
    </row>
    <row r="575" spans="1:11" x14ac:dyDescent="0.2">
      <c r="A575" t="s">
        <v>1749</v>
      </c>
      <c r="B575" t="s">
        <v>25</v>
      </c>
      <c r="C575" t="s">
        <v>51</v>
      </c>
      <c r="D575" t="s">
        <v>21</v>
      </c>
      <c r="E575">
        <v>215000</v>
      </c>
      <c r="F575">
        <v>357.74</v>
      </c>
      <c r="G575" t="s">
        <v>1750</v>
      </c>
      <c r="H575" t="s">
        <v>1751</v>
      </c>
      <c r="I575">
        <v>1</v>
      </c>
      <c r="J575">
        <v>0</v>
      </c>
      <c r="K575" t="s">
        <v>17</v>
      </c>
    </row>
    <row r="576" spans="1:11" x14ac:dyDescent="0.2">
      <c r="A576" t="s">
        <v>1752</v>
      </c>
      <c r="B576" t="s">
        <v>31</v>
      </c>
      <c r="C576" t="s">
        <v>102</v>
      </c>
      <c r="D576" t="s">
        <v>14</v>
      </c>
      <c r="E576">
        <v>414000</v>
      </c>
      <c r="F576">
        <v>136.9</v>
      </c>
      <c r="G576" t="s">
        <v>1753</v>
      </c>
      <c r="H576" t="s">
        <v>1754</v>
      </c>
      <c r="I576">
        <v>1</v>
      </c>
      <c r="J576">
        <v>0</v>
      </c>
      <c r="K576" t="s">
        <v>17</v>
      </c>
    </row>
    <row r="577" spans="1:11" x14ac:dyDescent="0.2">
      <c r="A577" t="s">
        <v>1755</v>
      </c>
      <c r="B577" t="s">
        <v>12</v>
      </c>
      <c r="C577" t="s">
        <v>20</v>
      </c>
      <c r="D577" t="s">
        <v>21</v>
      </c>
      <c r="E577">
        <v>424000</v>
      </c>
      <c r="F577">
        <v>705.49</v>
      </c>
      <c r="G577" t="s">
        <v>1756</v>
      </c>
      <c r="H577" t="s">
        <v>1757</v>
      </c>
      <c r="I577">
        <v>1</v>
      </c>
      <c r="J577">
        <v>0</v>
      </c>
      <c r="K577" t="s">
        <v>17</v>
      </c>
    </row>
    <row r="578" spans="1:11" x14ac:dyDescent="0.2">
      <c r="A578" t="s">
        <v>1758</v>
      </c>
      <c r="B578" t="s">
        <v>19</v>
      </c>
      <c r="C578" t="s">
        <v>102</v>
      </c>
      <c r="D578" t="s">
        <v>14</v>
      </c>
      <c r="E578">
        <v>1662000</v>
      </c>
      <c r="F578">
        <v>549.6</v>
      </c>
      <c r="G578" t="s">
        <v>1759</v>
      </c>
      <c r="H578" t="s">
        <v>1760</v>
      </c>
      <c r="I578">
        <v>1</v>
      </c>
      <c r="J578">
        <v>0</v>
      </c>
      <c r="K578" t="s">
        <v>17</v>
      </c>
    </row>
    <row r="579" spans="1:11" x14ac:dyDescent="0.2">
      <c r="A579" t="s">
        <v>1761</v>
      </c>
      <c r="B579" t="s">
        <v>50</v>
      </c>
      <c r="C579" t="s">
        <v>51</v>
      </c>
      <c r="D579" t="s">
        <v>21</v>
      </c>
      <c r="E579">
        <v>1135000</v>
      </c>
      <c r="F579">
        <v>1888.52</v>
      </c>
      <c r="G579" t="s">
        <v>1762</v>
      </c>
      <c r="H579" t="s">
        <v>1763</v>
      </c>
      <c r="I579">
        <v>1</v>
      </c>
      <c r="J579">
        <v>0</v>
      </c>
      <c r="K579" t="s">
        <v>17</v>
      </c>
    </row>
    <row r="580" spans="1:11" x14ac:dyDescent="0.2">
      <c r="A580" t="s">
        <v>1764</v>
      </c>
      <c r="B580" t="s">
        <v>87</v>
      </c>
      <c r="C580" t="s">
        <v>20</v>
      </c>
      <c r="D580" t="s">
        <v>21</v>
      </c>
      <c r="E580">
        <v>343000</v>
      </c>
      <c r="F580">
        <v>570.72</v>
      </c>
      <c r="G580" t="s">
        <v>1765</v>
      </c>
      <c r="H580" t="s">
        <v>1766</v>
      </c>
      <c r="I580">
        <v>1</v>
      </c>
      <c r="J580">
        <v>0</v>
      </c>
      <c r="K580" t="s">
        <v>17</v>
      </c>
    </row>
    <row r="581" spans="1:11" x14ac:dyDescent="0.2">
      <c r="A581" t="s">
        <v>1767</v>
      </c>
      <c r="B581" t="s">
        <v>98</v>
      </c>
      <c r="C581" t="s">
        <v>42</v>
      </c>
      <c r="D581" t="s">
        <v>27</v>
      </c>
      <c r="E581">
        <v>254000</v>
      </c>
      <c r="F581">
        <v>422.63</v>
      </c>
      <c r="G581" t="s">
        <v>1768</v>
      </c>
      <c r="H581" t="s">
        <v>1769</v>
      </c>
      <c r="I581">
        <v>1</v>
      </c>
      <c r="J581">
        <v>0</v>
      </c>
      <c r="K581" t="s">
        <v>17</v>
      </c>
    </row>
    <row r="582" spans="1:11" x14ac:dyDescent="0.2">
      <c r="A582" t="s">
        <v>1770</v>
      </c>
      <c r="B582" t="s">
        <v>67</v>
      </c>
      <c r="C582" t="s">
        <v>13</v>
      </c>
      <c r="D582" t="s">
        <v>14</v>
      </c>
      <c r="E582">
        <v>4195000</v>
      </c>
      <c r="F582">
        <v>1387.24</v>
      </c>
      <c r="G582" t="s">
        <v>1771</v>
      </c>
      <c r="H582" t="s">
        <v>1772</v>
      </c>
      <c r="I582">
        <v>1</v>
      </c>
      <c r="J582">
        <v>0</v>
      </c>
      <c r="K582" t="s">
        <v>17</v>
      </c>
    </row>
    <row r="583" spans="1:11" x14ac:dyDescent="0.2">
      <c r="A583" t="s">
        <v>1773</v>
      </c>
      <c r="B583" t="s">
        <v>87</v>
      </c>
      <c r="C583" t="s">
        <v>51</v>
      </c>
      <c r="D583" t="s">
        <v>21</v>
      </c>
      <c r="E583">
        <v>568000</v>
      </c>
      <c r="F583">
        <v>945.09</v>
      </c>
      <c r="G583" t="s">
        <v>1774</v>
      </c>
      <c r="H583" t="s">
        <v>1775</v>
      </c>
      <c r="I583">
        <v>1</v>
      </c>
      <c r="J583">
        <v>0</v>
      </c>
      <c r="K583" t="s">
        <v>17</v>
      </c>
    </row>
    <row r="584" spans="1:11" x14ac:dyDescent="0.2">
      <c r="A584" t="s">
        <v>1776</v>
      </c>
      <c r="B584" t="s">
        <v>98</v>
      </c>
      <c r="C584" t="s">
        <v>26</v>
      </c>
      <c r="D584" t="s">
        <v>27</v>
      </c>
      <c r="E584">
        <v>417000</v>
      </c>
      <c r="F584">
        <v>693.84</v>
      </c>
      <c r="G584" t="s">
        <v>1777</v>
      </c>
      <c r="H584" t="s">
        <v>1778</v>
      </c>
      <c r="I584">
        <v>1</v>
      </c>
      <c r="J584">
        <v>0</v>
      </c>
      <c r="K584" t="s">
        <v>17</v>
      </c>
    </row>
    <row r="585" spans="1:11" x14ac:dyDescent="0.2">
      <c r="A585" t="s">
        <v>1779</v>
      </c>
      <c r="B585" t="s">
        <v>98</v>
      </c>
      <c r="C585" t="s">
        <v>13</v>
      </c>
      <c r="D585" t="s">
        <v>14</v>
      </c>
      <c r="E585">
        <v>9809000</v>
      </c>
      <c r="F585">
        <v>3243.72</v>
      </c>
      <c r="G585" t="s">
        <v>1780</v>
      </c>
      <c r="H585" t="s">
        <v>1781</v>
      </c>
      <c r="I585">
        <v>1</v>
      </c>
      <c r="J585">
        <v>0</v>
      </c>
      <c r="K585" t="s">
        <v>17</v>
      </c>
    </row>
    <row r="586" spans="1:11" x14ac:dyDescent="0.2">
      <c r="A586" t="s">
        <v>1782</v>
      </c>
      <c r="B586" t="s">
        <v>12</v>
      </c>
      <c r="C586" t="s">
        <v>26</v>
      </c>
      <c r="D586" t="s">
        <v>27</v>
      </c>
      <c r="E586">
        <v>487000</v>
      </c>
      <c r="F586">
        <v>810.32</v>
      </c>
      <c r="G586" t="s">
        <v>1783</v>
      </c>
      <c r="H586" t="s">
        <v>1784</v>
      </c>
      <c r="I586">
        <v>1</v>
      </c>
      <c r="J586">
        <v>0</v>
      </c>
      <c r="K586" t="s">
        <v>17</v>
      </c>
    </row>
    <row r="587" spans="1:11" x14ac:dyDescent="0.2">
      <c r="A587" t="s">
        <v>1785</v>
      </c>
      <c r="B587" t="s">
        <v>106</v>
      </c>
      <c r="C587" t="s">
        <v>20</v>
      </c>
      <c r="D587" t="s">
        <v>21</v>
      </c>
      <c r="E587">
        <v>720000</v>
      </c>
      <c r="F587">
        <v>1198</v>
      </c>
      <c r="G587" t="s">
        <v>1786</v>
      </c>
      <c r="H587" t="s">
        <v>1787</v>
      </c>
      <c r="I587">
        <v>1</v>
      </c>
      <c r="J587">
        <v>0</v>
      </c>
      <c r="K587" t="s">
        <v>17</v>
      </c>
    </row>
    <row r="588" spans="1:11" x14ac:dyDescent="0.2">
      <c r="A588" t="s">
        <v>1788</v>
      </c>
      <c r="B588" t="s">
        <v>50</v>
      </c>
      <c r="C588" t="s">
        <v>51</v>
      </c>
      <c r="D588" t="s">
        <v>21</v>
      </c>
      <c r="E588">
        <v>747000</v>
      </c>
      <c r="F588">
        <v>1242.93</v>
      </c>
      <c r="G588" t="s">
        <v>1789</v>
      </c>
      <c r="H588" t="s">
        <v>1790</v>
      </c>
      <c r="I588">
        <v>1</v>
      </c>
      <c r="J588">
        <v>0</v>
      </c>
      <c r="K588" t="s">
        <v>17</v>
      </c>
    </row>
    <row r="589" spans="1:11" x14ac:dyDescent="0.2">
      <c r="A589" t="s">
        <v>1791</v>
      </c>
      <c r="B589" t="s">
        <v>98</v>
      </c>
      <c r="C589" t="s">
        <v>51</v>
      </c>
      <c r="D589" t="s">
        <v>21</v>
      </c>
      <c r="E589">
        <v>220000</v>
      </c>
      <c r="F589">
        <v>366.06</v>
      </c>
      <c r="G589" t="s">
        <v>1792</v>
      </c>
      <c r="H589" t="s">
        <v>1793</v>
      </c>
      <c r="I589">
        <v>1</v>
      </c>
      <c r="J589">
        <v>0</v>
      </c>
      <c r="K589" t="s">
        <v>17</v>
      </c>
    </row>
    <row r="590" spans="1:11" x14ac:dyDescent="0.2">
      <c r="A590" t="s">
        <v>1794</v>
      </c>
      <c r="B590" t="s">
        <v>19</v>
      </c>
      <c r="C590" t="s">
        <v>51</v>
      </c>
      <c r="D590" t="s">
        <v>21</v>
      </c>
      <c r="E590">
        <v>1029000</v>
      </c>
      <c r="F590">
        <v>1712.15</v>
      </c>
      <c r="G590" t="s">
        <v>1795</v>
      </c>
      <c r="H590" t="s">
        <v>1796</v>
      </c>
      <c r="I590">
        <v>1</v>
      </c>
      <c r="J590">
        <v>0</v>
      </c>
      <c r="K590" t="s">
        <v>17</v>
      </c>
    </row>
    <row r="591" spans="1:11" x14ac:dyDescent="0.2">
      <c r="A591" t="s">
        <v>1797</v>
      </c>
      <c r="B591" t="s">
        <v>25</v>
      </c>
      <c r="C591" t="s">
        <v>51</v>
      </c>
      <c r="D591" t="s">
        <v>21</v>
      </c>
      <c r="E591">
        <v>552000</v>
      </c>
      <c r="F591">
        <v>918.47</v>
      </c>
      <c r="G591" t="s">
        <v>1798</v>
      </c>
      <c r="H591" t="s">
        <v>1799</v>
      </c>
      <c r="I591">
        <v>1</v>
      </c>
      <c r="J591">
        <v>0</v>
      </c>
      <c r="K591" t="s">
        <v>17</v>
      </c>
    </row>
    <row r="592" spans="1:11" x14ac:dyDescent="0.2">
      <c r="A592" t="s">
        <v>1800</v>
      </c>
      <c r="B592" t="s">
        <v>19</v>
      </c>
      <c r="C592" t="s">
        <v>13</v>
      </c>
      <c r="D592" t="s">
        <v>14</v>
      </c>
      <c r="E592">
        <v>3652000</v>
      </c>
      <c r="F592">
        <v>1207.67</v>
      </c>
      <c r="G592" t="s">
        <v>1801</v>
      </c>
      <c r="H592" t="s">
        <v>1802</v>
      </c>
      <c r="I592">
        <v>1</v>
      </c>
      <c r="J592">
        <v>0</v>
      </c>
      <c r="K592" t="s">
        <v>17</v>
      </c>
    </row>
    <row r="593" spans="1:11" x14ac:dyDescent="0.2">
      <c r="A593" t="s">
        <v>1803</v>
      </c>
      <c r="B593" t="s">
        <v>106</v>
      </c>
      <c r="C593" t="s">
        <v>13</v>
      </c>
      <c r="D593" t="s">
        <v>14</v>
      </c>
      <c r="E593">
        <v>3001000</v>
      </c>
      <c r="F593">
        <v>992.39</v>
      </c>
      <c r="G593" t="s">
        <v>1804</v>
      </c>
      <c r="H593" t="s">
        <v>1805</v>
      </c>
      <c r="I593">
        <v>1</v>
      </c>
      <c r="J593">
        <v>0</v>
      </c>
      <c r="K593" t="s">
        <v>17</v>
      </c>
    </row>
    <row r="594" spans="1:11" x14ac:dyDescent="0.2">
      <c r="A594" t="s">
        <v>1806</v>
      </c>
      <c r="B594" t="s">
        <v>77</v>
      </c>
      <c r="C594" t="s">
        <v>13</v>
      </c>
      <c r="D594" t="s">
        <v>14</v>
      </c>
      <c r="E594">
        <v>3838000</v>
      </c>
      <c r="F594">
        <v>1269.18</v>
      </c>
      <c r="G594" t="s">
        <v>1807</v>
      </c>
      <c r="H594" t="s">
        <v>1808</v>
      </c>
      <c r="I594">
        <v>1</v>
      </c>
      <c r="J594">
        <v>0</v>
      </c>
      <c r="K594" t="s">
        <v>17</v>
      </c>
    </row>
    <row r="595" spans="1:11" x14ac:dyDescent="0.2">
      <c r="A595" t="s">
        <v>1809</v>
      </c>
      <c r="B595" t="s">
        <v>67</v>
      </c>
      <c r="C595" t="s">
        <v>42</v>
      </c>
      <c r="D595" t="s">
        <v>27</v>
      </c>
      <c r="E595">
        <v>612000</v>
      </c>
      <c r="F595">
        <v>1018.3</v>
      </c>
      <c r="G595" t="s">
        <v>1810</v>
      </c>
      <c r="H595" t="s">
        <v>1811</v>
      </c>
      <c r="I595">
        <v>1</v>
      </c>
      <c r="J595">
        <v>0</v>
      </c>
      <c r="K595" t="s">
        <v>17</v>
      </c>
    </row>
    <row r="596" spans="1:11" x14ac:dyDescent="0.2">
      <c r="A596" t="s">
        <v>1812</v>
      </c>
      <c r="B596" t="s">
        <v>128</v>
      </c>
      <c r="C596" t="s">
        <v>13</v>
      </c>
      <c r="D596" t="s">
        <v>14</v>
      </c>
      <c r="E596">
        <v>5006000</v>
      </c>
      <c r="F596">
        <v>1655.42</v>
      </c>
      <c r="G596" t="s">
        <v>1813</v>
      </c>
      <c r="H596" t="s">
        <v>1814</v>
      </c>
      <c r="I596">
        <v>1</v>
      </c>
      <c r="J596">
        <v>0</v>
      </c>
      <c r="K596" t="s">
        <v>17</v>
      </c>
    </row>
    <row r="597" spans="1:11" x14ac:dyDescent="0.2">
      <c r="A597" t="s">
        <v>1815</v>
      </c>
      <c r="B597" t="s">
        <v>19</v>
      </c>
      <c r="C597" t="s">
        <v>26</v>
      </c>
      <c r="D597" t="s">
        <v>27</v>
      </c>
      <c r="E597">
        <v>279000</v>
      </c>
      <c r="F597">
        <v>464.23</v>
      </c>
      <c r="G597" t="s">
        <v>1816</v>
      </c>
      <c r="H597" t="s">
        <v>1817</v>
      </c>
      <c r="I597">
        <v>1</v>
      </c>
      <c r="J597">
        <v>0</v>
      </c>
      <c r="K597" t="s">
        <v>17</v>
      </c>
    </row>
    <row r="598" spans="1:11" x14ac:dyDescent="0.2">
      <c r="A598" t="s">
        <v>1818</v>
      </c>
      <c r="B598" t="s">
        <v>67</v>
      </c>
      <c r="C598" t="s">
        <v>26</v>
      </c>
      <c r="D598" t="s">
        <v>27</v>
      </c>
      <c r="E598">
        <v>243000</v>
      </c>
      <c r="F598">
        <v>404.33</v>
      </c>
      <c r="G598" t="s">
        <v>1819</v>
      </c>
      <c r="H598" t="s">
        <v>1820</v>
      </c>
      <c r="I598">
        <v>1</v>
      </c>
      <c r="J598">
        <v>0</v>
      </c>
      <c r="K598" t="s">
        <v>17</v>
      </c>
    </row>
    <row r="599" spans="1:11" x14ac:dyDescent="0.2">
      <c r="A599" t="s">
        <v>1821</v>
      </c>
      <c r="B599" t="s">
        <v>98</v>
      </c>
      <c r="C599" t="s">
        <v>20</v>
      </c>
      <c r="D599" t="s">
        <v>21</v>
      </c>
      <c r="E599">
        <v>647000</v>
      </c>
      <c r="F599">
        <v>1076.54</v>
      </c>
      <c r="G599" t="s">
        <v>1822</v>
      </c>
      <c r="H599" t="s">
        <v>1823</v>
      </c>
      <c r="I599">
        <v>1</v>
      </c>
      <c r="J599">
        <v>0</v>
      </c>
      <c r="K599" t="s">
        <v>17</v>
      </c>
    </row>
    <row r="600" spans="1:11" x14ac:dyDescent="0.2">
      <c r="A600" t="s">
        <v>1824</v>
      </c>
      <c r="B600" t="s">
        <v>240</v>
      </c>
      <c r="C600" t="s">
        <v>13</v>
      </c>
      <c r="D600" t="s">
        <v>14</v>
      </c>
      <c r="E600">
        <v>2498000</v>
      </c>
      <c r="F600">
        <v>826.06</v>
      </c>
      <c r="G600" t="s">
        <v>1825</v>
      </c>
      <c r="H600" t="s">
        <v>1826</v>
      </c>
      <c r="I600">
        <v>1</v>
      </c>
      <c r="J600">
        <v>0</v>
      </c>
      <c r="K600" t="s">
        <v>17</v>
      </c>
    </row>
    <row r="601" spans="1:11" x14ac:dyDescent="0.2">
      <c r="A601" t="s">
        <v>1827</v>
      </c>
      <c r="B601" t="s">
        <v>59</v>
      </c>
      <c r="C601" t="s">
        <v>13</v>
      </c>
      <c r="D601" t="s">
        <v>14</v>
      </c>
      <c r="E601">
        <v>2187000</v>
      </c>
      <c r="F601">
        <v>723.21</v>
      </c>
      <c r="G601" t="s">
        <v>1828</v>
      </c>
      <c r="H601" t="s">
        <v>1829</v>
      </c>
      <c r="I601">
        <v>1</v>
      </c>
      <c r="J601">
        <v>0</v>
      </c>
      <c r="K601" t="s">
        <v>17</v>
      </c>
    </row>
    <row r="602" spans="1:11" x14ac:dyDescent="0.2">
      <c r="A602" t="s">
        <v>1830</v>
      </c>
      <c r="B602" t="s">
        <v>98</v>
      </c>
      <c r="C602" t="s">
        <v>20</v>
      </c>
      <c r="D602" t="s">
        <v>21</v>
      </c>
      <c r="E602">
        <v>742000</v>
      </c>
      <c r="F602">
        <v>1234.6099999999999</v>
      </c>
      <c r="G602" t="s">
        <v>1831</v>
      </c>
      <c r="H602" t="s">
        <v>1832</v>
      </c>
      <c r="I602">
        <v>1</v>
      </c>
      <c r="J602">
        <v>0</v>
      </c>
      <c r="K602" t="s">
        <v>17</v>
      </c>
    </row>
    <row r="603" spans="1:11" x14ac:dyDescent="0.2">
      <c r="A603" t="s">
        <v>1833</v>
      </c>
      <c r="B603" t="s">
        <v>67</v>
      </c>
      <c r="C603" t="s">
        <v>13</v>
      </c>
      <c r="D603" t="s">
        <v>14</v>
      </c>
      <c r="E603">
        <v>1953000</v>
      </c>
      <c r="F603">
        <v>645.83000000000004</v>
      </c>
      <c r="G603" t="s">
        <v>1834</v>
      </c>
      <c r="H603" t="s">
        <v>1835</v>
      </c>
      <c r="I603">
        <v>1</v>
      </c>
      <c r="J603">
        <v>0</v>
      </c>
      <c r="K603" t="s">
        <v>17</v>
      </c>
    </row>
    <row r="604" spans="1:11" x14ac:dyDescent="0.2">
      <c r="A604" t="s">
        <v>1836</v>
      </c>
      <c r="B604" t="s">
        <v>19</v>
      </c>
      <c r="C604" t="s">
        <v>42</v>
      </c>
      <c r="D604" t="s">
        <v>27</v>
      </c>
      <c r="E604">
        <v>2908000</v>
      </c>
      <c r="F604">
        <v>4838.6000000000004</v>
      </c>
      <c r="G604" t="s">
        <v>1837</v>
      </c>
      <c r="H604" t="s">
        <v>1838</v>
      </c>
      <c r="I604">
        <v>1</v>
      </c>
      <c r="J604">
        <v>0</v>
      </c>
      <c r="K604" t="s">
        <v>17</v>
      </c>
    </row>
    <row r="605" spans="1:11" x14ac:dyDescent="0.2">
      <c r="A605" t="s">
        <v>1839</v>
      </c>
      <c r="B605" t="s">
        <v>35</v>
      </c>
      <c r="C605" t="s">
        <v>42</v>
      </c>
      <c r="D605" t="s">
        <v>27</v>
      </c>
      <c r="E605">
        <v>638000</v>
      </c>
      <c r="F605">
        <v>1061.56</v>
      </c>
      <c r="G605" t="s">
        <v>1840</v>
      </c>
      <c r="H605" t="s">
        <v>1841</v>
      </c>
      <c r="I605">
        <v>1</v>
      </c>
      <c r="J605">
        <v>0</v>
      </c>
      <c r="K605" t="s">
        <v>17</v>
      </c>
    </row>
    <row r="606" spans="1:11" x14ac:dyDescent="0.2">
      <c r="A606" t="s">
        <v>1842</v>
      </c>
      <c r="B606" t="s">
        <v>135</v>
      </c>
      <c r="C606" t="s">
        <v>102</v>
      </c>
      <c r="D606" t="s">
        <v>14</v>
      </c>
      <c r="E606">
        <v>2482000</v>
      </c>
      <c r="F606">
        <v>820.77</v>
      </c>
      <c r="G606" t="s">
        <v>1843</v>
      </c>
      <c r="H606" t="s">
        <v>1844</v>
      </c>
      <c r="I606">
        <v>1</v>
      </c>
      <c r="J606">
        <v>0</v>
      </c>
      <c r="K606" t="s">
        <v>17</v>
      </c>
    </row>
    <row r="607" spans="1:11" x14ac:dyDescent="0.2">
      <c r="A607" t="s">
        <v>1845</v>
      </c>
      <c r="B607" t="s">
        <v>106</v>
      </c>
      <c r="C607" t="s">
        <v>13</v>
      </c>
      <c r="D607" t="s">
        <v>14</v>
      </c>
      <c r="E607">
        <v>1148000</v>
      </c>
      <c r="F607">
        <v>379.63</v>
      </c>
      <c r="G607" t="s">
        <v>1846</v>
      </c>
      <c r="H607" t="s">
        <v>1847</v>
      </c>
      <c r="I607">
        <v>1</v>
      </c>
      <c r="J607">
        <v>0</v>
      </c>
      <c r="K607" t="s">
        <v>17</v>
      </c>
    </row>
    <row r="608" spans="1:11" x14ac:dyDescent="0.2">
      <c r="A608" t="s">
        <v>1848</v>
      </c>
      <c r="B608" t="s">
        <v>87</v>
      </c>
      <c r="C608" t="s">
        <v>20</v>
      </c>
      <c r="D608" t="s">
        <v>21</v>
      </c>
      <c r="E608">
        <v>528000</v>
      </c>
      <c r="F608">
        <v>878.54</v>
      </c>
      <c r="G608" t="s">
        <v>1849</v>
      </c>
      <c r="H608" t="s">
        <v>1850</v>
      </c>
      <c r="I608">
        <v>1</v>
      </c>
      <c r="J608">
        <v>0</v>
      </c>
      <c r="K608" t="s">
        <v>17</v>
      </c>
    </row>
    <row r="609" spans="1:11" x14ac:dyDescent="0.2">
      <c r="A609" t="s">
        <v>1851</v>
      </c>
      <c r="B609" t="s">
        <v>98</v>
      </c>
      <c r="C609" t="s">
        <v>20</v>
      </c>
      <c r="D609" t="s">
        <v>21</v>
      </c>
      <c r="E609">
        <v>338000</v>
      </c>
      <c r="F609">
        <v>562.4</v>
      </c>
      <c r="G609" t="s">
        <v>1852</v>
      </c>
      <c r="H609" t="s">
        <v>1853</v>
      </c>
      <c r="I609">
        <v>1</v>
      </c>
      <c r="J609">
        <v>0</v>
      </c>
      <c r="K609" t="s">
        <v>17</v>
      </c>
    </row>
    <row r="610" spans="1:11" x14ac:dyDescent="0.2">
      <c r="A610" t="s">
        <v>1854</v>
      </c>
      <c r="B610" t="s">
        <v>77</v>
      </c>
      <c r="C610" t="s">
        <v>102</v>
      </c>
      <c r="D610" t="s">
        <v>14</v>
      </c>
      <c r="E610">
        <v>43092000</v>
      </c>
      <c r="F610">
        <v>14250</v>
      </c>
      <c r="G610" t="s">
        <v>1855</v>
      </c>
      <c r="I610">
        <v>0</v>
      </c>
      <c r="J610">
        <v>0</v>
      </c>
      <c r="K610" t="s">
        <v>698</v>
      </c>
    </row>
    <row r="611" spans="1:11" x14ac:dyDescent="0.2">
      <c r="A611" t="s">
        <v>1856</v>
      </c>
      <c r="B611" t="s">
        <v>31</v>
      </c>
      <c r="C611" t="s">
        <v>20</v>
      </c>
      <c r="D611" t="s">
        <v>21</v>
      </c>
      <c r="E611">
        <v>232000</v>
      </c>
      <c r="F611">
        <v>386.02</v>
      </c>
      <c r="G611" t="s">
        <v>1857</v>
      </c>
      <c r="H611" t="s">
        <v>1858</v>
      </c>
      <c r="I611">
        <v>1</v>
      </c>
      <c r="J611">
        <v>0</v>
      </c>
      <c r="K611" t="s">
        <v>17</v>
      </c>
    </row>
    <row r="612" spans="1:11" x14ac:dyDescent="0.2">
      <c r="A612" t="s">
        <v>1859</v>
      </c>
      <c r="B612" t="s">
        <v>19</v>
      </c>
      <c r="C612" t="s">
        <v>51</v>
      </c>
      <c r="D612" t="s">
        <v>21</v>
      </c>
      <c r="E612">
        <v>599000</v>
      </c>
      <c r="F612">
        <v>996.67</v>
      </c>
      <c r="G612" t="s">
        <v>1860</v>
      </c>
      <c r="H612" t="s">
        <v>1861</v>
      </c>
      <c r="I612">
        <v>1</v>
      </c>
      <c r="J612">
        <v>0</v>
      </c>
      <c r="K612" t="s">
        <v>17</v>
      </c>
    </row>
    <row r="613" spans="1:11" x14ac:dyDescent="0.2">
      <c r="A613" t="s">
        <v>1862</v>
      </c>
      <c r="B613" t="s">
        <v>98</v>
      </c>
      <c r="C613" t="s">
        <v>42</v>
      </c>
      <c r="D613" t="s">
        <v>27</v>
      </c>
      <c r="E613">
        <v>385000</v>
      </c>
      <c r="F613">
        <v>640.6</v>
      </c>
      <c r="G613" t="s">
        <v>1863</v>
      </c>
      <c r="H613" t="s">
        <v>1864</v>
      </c>
      <c r="I613">
        <v>1</v>
      </c>
      <c r="J613">
        <v>0</v>
      </c>
      <c r="K613" t="s">
        <v>17</v>
      </c>
    </row>
    <row r="614" spans="1:11" x14ac:dyDescent="0.2">
      <c r="A614" t="s">
        <v>1865</v>
      </c>
      <c r="B614" t="s">
        <v>106</v>
      </c>
      <c r="C614" t="s">
        <v>20</v>
      </c>
      <c r="D614" t="s">
        <v>21</v>
      </c>
      <c r="E614">
        <v>302000</v>
      </c>
      <c r="F614">
        <v>502.5</v>
      </c>
      <c r="G614" t="s">
        <v>1866</v>
      </c>
      <c r="H614" t="s">
        <v>1867</v>
      </c>
      <c r="I614">
        <v>1</v>
      </c>
      <c r="J614">
        <v>0</v>
      </c>
      <c r="K614" t="s">
        <v>17</v>
      </c>
    </row>
    <row r="615" spans="1:11" x14ac:dyDescent="0.2">
      <c r="A615" t="s">
        <v>1868</v>
      </c>
      <c r="B615" t="s">
        <v>25</v>
      </c>
      <c r="C615" t="s">
        <v>51</v>
      </c>
      <c r="D615" t="s">
        <v>21</v>
      </c>
      <c r="E615">
        <v>475000</v>
      </c>
      <c r="F615">
        <v>790.35</v>
      </c>
      <c r="G615" t="s">
        <v>1869</v>
      </c>
      <c r="H615" t="s">
        <v>1870</v>
      </c>
      <c r="I615">
        <v>1</v>
      </c>
      <c r="J615">
        <v>0</v>
      </c>
      <c r="K615" t="s">
        <v>17</v>
      </c>
    </row>
    <row r="616" spans="1:11" x14ac:dyDescent="0.2">
      <c r="A616" t="s">
        <v>1871</v>
      </c>
      <c r="B616" t="s">
        <v>50</v>
      </c>
      <c r="C616" t="s">
        <v>42</v>
      </c>
      <c r="D616" t="s">
        <v>27</v>
      </c>
      <c r="E616">
        <v>297000</v>
      </c>
      <c r="F616">
        <v>494.18</v>
      </c>
      <c r="G616" t="s">
        <v>1872</v>
      </c>
      <c r="H616" t="s">
        <v>1873</v>
      </c>
      <c r="I616">
        <v>1</v>
      </c>
      <c r="J616">
        <v>0</v>
      </c>
      <c r="K616" t="s">
        <v>17</v>
      </c>
    </row>
    <row r="617" spans="1:11" x14ac:dyDescent="0.2">
      <c r="A617" t="s">
        <v>1874</v>
      </c>
      <c r="B617" t="s">
        <v>91</v>
      </c>
      <c r="C617" t="s">
        <v>26</v>
      </c>
      <c r="D617" t="s">
        <v>27</v>
      </c>
      <c r="E617">
        <v>419000</v>
      </c>
      <c r="F617">
        <v>697.17</v>
      </c>
      <c r="G617" t="s">
        <v>1875</v>
      </c>
      <c r="H617" t="s">
        <v>1876</v>
      </c>
      <c r="I617">
        <v>1</v>
      </c>
      <c r="J617">
        <v>0</v>
      </c>
      <c r="K617" t="s">
        <v>17</v>
      </c>
    </row>
    <row r="618" spans="1:11" x14ac:dyDescent="0.2">
      <c r="A618" t="s">
        <v>1877</v>
      </c>
      <c r="B618" t="s">
        <v>135</v>
      </c>
      <c r="C618" t="s">
        <v>42</v>
      </c>
      <c r="D618" t="s">
        <v>27</v>
      </c>
      <c r="E618">
        <v>836000</v>
      </c>
      <c r="F618">
        <v>1391.01</v>
      </c>
      <c r="G618" t="s">
        <v>1878</v>
      </c>
      <c r="H618" t="s">
        <v>1879</v>
      </c>
      <c r="I618">
        <v>1</v>
      </c>
      <c r="J618">
        <v>0</v>
      </c>
      <c r="K618" t="s">
        <v>17</v>
      </c>
    </row>
    <row r="619" spans="1:11" x14ac:dyDescent="0.2">
      <c r="A619" t="s">
        <v>1880</v>
      </c>
      <c r="B619" t="s">
        <v>139</v>
      </c>
      <c r="C619" t="s">
        <v>51</v>
      </c>
      <c r="D619" t="s">
        <v>21</v>
      </c>
      <c r="E619">
        <v>122000</v>
      </c>
      <c r="F619">
        <v>203</v>
      </c>
      <c r="G619" t="s">
        <v>1881</v>
      </c>
      <c r="H619" t="s">
        <v>1882</v>
      </c>
      <c r="I619">
        <v>1</v>
      </c>
      <c r="J619">
        <v>0</v>
      </c>
      <c r="K619" t="s">
        <v>17</v>
      </c>
    </row>
    <row r="620" spans="1:11" x14ac:dyDescent="0.2">
      <c r="A620" t="s">
        <v>1883</v>
      </c>
      <c r="B620" t="s">
        <v>106</v>
      </c>
      <c r="C620" t="s">
        <v>13</v>
      </c>
      <c r="D620" t="s">
        <v>14</v>
      </c>
      <c r="E620">
        <v>1217000</v>
      </c>
      <c r="F620">
        <v>402.45</v>
      </c>
      <c r="G620" t="s">
        <v>1884</v>
      </c>
      <c r="H620" t="s">
        <v>1885</v>
      </c>
      <c r="I620">
        <v>1</v>
      </c>
      <c r="J620">
        <v>0</v>
      </c>
      <c r="K620" t="s">
        <v>17</v>
      </c>
    </row>
    <row r="621" spans="1:11" x14ac:dyDescent="0.2">
      <c r="A621" t="s">
        <v>1886</v>
      </c>
      <c r="B621" t="s">
        <v>12</v>
      </c>
      <c r="C621" t="s">
        <v>26</v>
      </c>
      <c r="D621" t="s">
        <v>27</v>
      </c>
      <c r="E621">
        <v>337000</v>
      </c>
      <c r="F621">
        <v>560.73</v>
      </c>
      <c r="G621" t="s">
        <v>1887</v>
      </c>
      <c r="H621" t="s">
        <v>1888</v>
      </c>
      <c r="I621">
        <v>1</v>
      </c>
      <c r="J621">
        <v>0</v>
      </c>
      <c r="K621" t="s">
        <v>17</v>
      </c>
    </row>
    <row r="622" spans="1:11" x14ac:dyDescent="0.2">
      <c r="A622" t="s">
        <v>1889</v>
      </c>
      <c r="B622" t="s">
        <v>50</v>
      </c>
      <c r="C622" t="s">
        <v>20</v>
      </c>
      <c r="D622" t="s">
        <v>21</v>
      </c>
      <c r="E622">
        <v>1308000</v>
      </c>
      <c r="F622">
        <v>2176.37</v>
      </c>
      <c r="G622" t="s">
        <v>1890</v>
      </c>
      <c r="H622" t="s">
        <v>1891</v>
      </c>
      <c r="I622">
        <v>1</v>
      </c>
      <c r="J622">
        <v>36.61</v>
      </c>
      <c r="K622" t="s">
        <v>45</v>
      </c>
    </row>
    <row r="623" spans="1:11" x14ac:dyDescent="0.2">
      <c r="A623" t="s">
        <v>1892</v>
      </c>
      <c r="B623" t="s">
        <v>25</v>
      </c>
      <c r="C623" t="s">
        <v>13</v>
      </c>
      <c r="D623" t="s">
        <v>14</v>
      </c>
      <c r="E623">
        <v>1224000</v>
      </c>
      <c r="F623">
        <v>404.76</v>
      </c>
      <c r="G623" t="s">
        <v>1893</v>
      </c>
      <c r="H623" t="s">
        <v>1894</v>
      </c>
      <c r="I623">
        <v>1</v>
      </c>
      <c r="J623">
        <v>0</v>
      </c>
      <c r="K623" t="s">
        <v>17</v>
      </c>
    </row>
    <row r="624" spans="1:11" x14ac:dyDescent="0.2">
      <c r="A624" t="s">
        <v>1895</v>
      </c>
      <c r="B624" t="s">
        <v>55</v>
      </c>
      <c r="C624" t="s">
        <v>42</v>
      </c>
      <c r="D624" t="s">
        <v>27</v>
      </c>
      <c r="E624">
        <v>84000</v>
      </c>
      <c r="F624">
        <v>139.77000000000001</v>
      </c>
      <c r="G624" t="s">
        <v>1896</v>
      </c>
      <c r="H624" t="s">
        <v>1897</v>
      </c>
      <c r="I624">
        <v>1</v>
      </c>
      <c r="J624">
        <v>0</v>
      </c>
      <c r="K624" t="s">
        <v>17</v>
      </c>
    </row>
    <row r="625" spans="1:11" x14ac:dyDescent="0.2">
      <c r="A625" t="s">
        <v>1898</v>
      </c>
      <c r="B625" t="s">
        <v>128</v>
      </c>
      <c r="C625" t="s">
        <v>51</v>
      </c>
      <c r="D625" t="s">
        <v>21</v>
      </c>
      <c r="E625">
        <v>1134000</v>
      </c>
      <c r="F625">
        <v>1886.86</v>
      </c>
      <c r="G625" t="s">
        <v>1899</v>
      </c>
      <c r="H625" t="s">
        <v>1900</v>
      </c>
      <c r="I625">
        <v>1</v>
      </c>
      <c r="J625">
        <v>0</v>
      </c>
      <c r="K625" t="s">
        <v>17</v>
      </c>
    </row>
    <row r="626" spans="1:11" x14ac:dyDescent="0.2">
      <c r="A626" t="s">
        <v>1901</v>
      </c>
      <c r="B626" t="s">
        <v>77</v>
      </c>
      <c r="C626" t="s">
        <v>102</v>
      </c>
      <c r="D626" t="s">
        <v>14</v>
      </c>
      <c r="E626">
        <v>2752000</v>
      </c>
      <c r="F626">
        <v>910.05</v>
      </c>
      <c r="G626" t="s">
        <v>1902</v>
      </c>
      <c r="H626" t="s">
        <v>1903</v>
      </c>
      <c r="I626">
        <v>1</v>
      </c>
      <c r="J626">
        <v>0</v>
      </c>
      <c r="K626" t="s">
        <v>17</v>
      </c>
    </row>
    <row r="627" spans="1:11" x14ac:dyDescent="0.2">
      <c r="A627" t="s">
        <v>1904</v>
      </c>
      <c r="B627" t="s">
        <v>128</v>
      </c>
      <c r="C627" t="s">
        <v>42</v>
      </c>
      <c r="D627" t="s">
        <v>27</v>
      </c>
      <c r="E627">
        <v>90000</v>
      </c>
      <c r="F627">
        <v>149.75</v>
      </c>
      <c r="G627" t="s">
        <v>1905</v>
      </c>
      <c r="H627" t="s">
        <v>1906</v>
      </c>
      <c r="I627">
        <v>1</v>
      </c>
      <c r="J627">
        <v>0</v>
      </c>
      <c r="K627" t="s">
        <v>17</v>
      </c>
    </row>
    <row r="628" spans="1:11" x14ac:dyDescent="0.2">
      <c r="A628" t="s">
        <v>1907</v>
      </c>
      <c r="B628" t="s">
        <v>19</v>
      </c>
      <c r="C628" t="s">
        <v>13</v>
      </c>
      <c r="D628" t="s">
        <v>14</v>
      </c>
      <c r="E628">
        <v>739000</v>
      </c>
      <c r="F628">
        <v>244.38</v>
      </c>
      <c r="G628" t="s">
        <v>1908</v>
      </c>
      <c r="H628" t="s">
        <v>1909</v>
      </c>
      <c r="I628">
        <v>1</v>
      </c>
      <c r="J628">
        <v>0</v>
      </c>
      <c r="K628" t="s">
        <v>17</v>
      </c>
    </row>
    <row r="629" spans="1:11" x14ac:dyDescent="0.2">
      <c r="A629" t="s">
        <v>1910</v>
      </c>
      <c r="B629" t="s">
        <v>63</v>
      </c>
      <c r="C629" t="s">
        <v>20</v>
      </c>
      <c r="D629" t="s">
        <v>21</v>
      </c>
      <c r="E629">
        <v>555000</v>
      </c>
      <c r="F629">
        <v>923.46</v>
      </c>
      <c r="G629" t="s">
        <v>1911</v>
      </c>
      <c r="H629" t="s">
        <v>1912</v>
      </c>
      <c r="I629">
        <v>1</v>
      </c>
      <c r="J629">
        <v>0</v>
      </c>
      <c r="K629" t="s">
        <v>17</v>
      </c>
    </row>
    <row r="630" spans="1:11" x14ac:dyDescent="0.2">
      <c r="A630" t="s">
        <v>1913</v>
      </c>
      <c r="B630" t="s">
        <v>55</v>
      </c>
      <c r="C630" t="s">
        <v>26</v>
      </c>
      <c r="D630" t="s">
        <v>27</v>
      </c>
      <c r="E630">
        <v>328000</v>
      </c>
      <c r="F630">
        <v>545.76</v>
      </c>
      <c r="G630" t="s">
        <v>1914</v>
      </c>
      <c r="H630" t="s">
        <v>1915</v>
      </c>
      <c r="I630">
        <v>1</v>
      </c>
      <c r="J630">
        <v>0</v>
      </c>
      <c r="K630" t="s">
        <v>17</v>
      </c>
    </row>
    <row r="631" spans="1:11" x14ac:dyDescent="0.2">
      <c r="A631" t="s">
        <v>1916</v>
      </c>
      <c r="B631" t="s">
        <v>135</v>
      </c>
      <c r="C631" t="s">
        <v>51</v>
      </c>
      <c r="D631" t="s">
        <v>21</v>
      </c>
      <c r="E631">
        <v>266000</v>
      </c>
      <c r="F631">
        <v>442.6</v>
      </c>
      <c r="G631" t="s">
        <v>1917</v>
      </c>
      <c r="H631" t="s">
        <v>1918</v>
      </c>
      <c r="I631">
        <v>1</v>
      </c>
      <c r="J631">
        <v>0</v>
      </c>
      <c r="K631" t="s">
        <v>17</v>
      </c>
    </row>
    <row r="632" spans="1:11" x14ac:dyDescent="0.2">
      <c r="A632" t="s">
        <v>1919</v>
      </c>
      <c r="B632" t="s">
        <v>106</v>
      </c>
      <c r="C632" t="s">
        <v>42</v>
      </c>
      <c r="D632" t="s">
        <v>27</v>
      </c>
      <c r="E632">
        <v>111000</v>
      </c>
      <c r="F632">
        <v>184.69</v>
      </c>
      <c r="G632" t="s">
        <v>1920</v>
      </c>
      <c r="H632" t="s">
        <v>1921</v>
      </c>
      <c r="I632">
        <v>1</v>
      </c>
      <c r="J632">
        <v>0</v>
      </c>
      <c r="K632" t="s">
        <v>17</v>
      </c>
    </row>
    <row r="633" spans="1:11" x14ac:dyDescent="0.2">
      <c r="A633" t="s">
        <v>1922</v>
      </c>
      <c r="B633" t="s">
        <v>106</v>
      </c>
      <c r="C633" t="s">
        <v>20</v>
      </c>
      <c r="D633" t="s">
        <v>21</v>
      </c>
      <c r="E633">
        <v>1094000</v>
      </c>
      <c r="F633">
        <v>1820.3</v>
      </c>
      <c r="G633" t="s">
        <v>1923</v>
      </c>
      <c r="H633" t="s">
        <v>1924</v>
      </c>
      <c r="I633">
        <v>1</v>
      </c>
      <c r="J633">
        <v>0</v>
      </c>
      <c r="K633" t="s">
        <v>17</v>
      </c>
    </row>
    <row r="634" spans="1:11" x14ac:dyDescent="0.2">
      <c r="A634" t="s">
        <v>1925</v>
      </c>
      <c r="B634" t="s">
        <v>139</v>
      </c>
      <c r="C634" t="s">
        <v>102</v>
      </c>
      <c r="D634" t="s">
        <v>14</v>
      </c>
      <c r="E634">
        <v>6264000</v>
      </c>
      <c r="F634">
        <v>2071.4299999999998</v>
      </c>
      <c r="G634" t="s">
        <v>1926</v>
      </c>
      <c r="H634" t="s">
        <v>1927</v>
      </c>
      <c r="I634">
        <v>1</v>
      </c>
      <c r="J634">
        <v>0</v>
      </c>
      <c r="K634" t="s">
        <v>17</v>
      </c>
    </row>
    <row r="635" spans="1:11" x14ac:dyDescent="0.2">
      <c r="A635" t="s">
        <v>1928</v>
      </c>
      <c r="B635" t="s">
        <v>31</v>
      </c>
      <c r="C635" t="s">
        <v>102</v>
      </c>
      <c r="D635" t="s">
        <v>14</v>
      </c>
      <c r="E635">
        <v>677000</v>
      </c>
      <c r="F635">
        <v>223.88</v>
      </c>
      <c r="G635" t="s">
        <v>1929</v>
      </c>
      <c r="H635" t="s">
        <v>1930</v>
      </c>
      <c r="I635">
        <v>1</v>
      </c>
      <c r="J635">
        <v>0</v>
      </c>
      <c r="K635" t="s">
        <v>17</v>
      </c>
    </row>
    <row r="636" spans="1:11" x14ac:dyDescent="0.2">
      <c r="A636" t="s">
        <v>1931</v>
      </c>
      <c r="B636" t="s">
        <v>63</v>
      </c>
      <c r="C636" t="s">
        <v>13</v>
      </c>
      <c r="D636" t="s">
        <v>14</v>
      </c>
      <c r="E636">
        <v>655000</v>
      </c>
      <c r="F636">
        <v>216.6</v>
      </c>
      <c r="G636" t="s">
        <v>1932</v>
      </c>
      <c r="H636" t="s">
        <v>1933</v>
      </c>
      <c r="I636">
        <v>1</v>
      </c>
      <c r="J636">
        <v>0</v>
      </c>
      <c r="K636" t="s">
        <v>17</v>
      </c>
    </row>
    <row r="637" spans="1:11" x14ac:dyDescent="0.2">
      <c r="A637" t="s">
        <v>1934</v>
      </c>
      <c r="B637" t="s">
        <v>143</v>
      </c>
      <c r="C637" t="s">
        <v>42</v>
      </c>
      <c r="D637" t="s">
        <v>27</v>
      </c>
      <c r="E637">
        <v>432000</v>
      </c>
      <c r="F637">
        <v>718.8</v>
      </c>
      <c r="G637" t="s">
        <v>1935</v>
      </c>
      <c r="H637" t="s">
        <v>1936</v>
      </c>
      <c r="I637">
        <v>1</v>
      </c>
      <c r="J637">
        <v>0</v>
      </c>
      <c r="K637" t="s">
        <v>17</v>
      </c>
    </row>
    <row r="638" spans="1:11" x14ac:dyDescent="0.2">
      <c r="A638" t="s">
        <v>1937</v>
      </c>
      <c r="B638" t="s">
        <v>87</v>
      </c>
      <c r="C638" t="s">
        <v>20</v>
      </c>
      <c r="D638" t="s">
        <v>21</v>
      </c>
      <c r="E638">
        <v>584000</v>
      </c>
      <c r="F638">
        <v>971.71</v>
      </c>
      <c r="G638" t="s">
        <v>1938</v>
      </c>
      <c r="H638" t="s">
        <v>1939</v>
      </c>
      <c r="I638">
        <v>1</v>
      </c>
      <c r="J638">
        <v>0</v>
      </c>
      <c r="K638" t="s">
        <v>17</v>
      </c>
    </row>
    <row r="639" spans="1:11" x14ac:dyDescent="0.2">
      <c r="A639" t="s">
        <v>1940</v>
      </c>
      <c r="B639" t="s">
        <v>50</v>
      </c>
      <c r="C639" t="s">
        <v>102</v>
      </c>
      <c r="D639" t="s">
        <v>14</v>
      </c>
      <c r="E639">
        <v>3096000</v>
      </c>
      <c r="F639">
        <v>1023.81</v>
      </c>
      <c r="G639" t="s">
        <v>1941</v>
      </c>
      <c r="H639" t="s">
        <v>1942</v>
      </c>
      <c r="I639">
        <v>1</v>
      </c>
      <c r="J639">
        <v>0</v>
      </c>
      <c r="K639" t="s">
        <v>17</v>
      </c>
    </row>
    <row r="640" spans="1:11" x14ac:dyDescent="0.2">
      <c r="A640" t="s">
        <v>1943</v>
      </c>
      <c r="B640" t="s">
        <v>77</v>
      </c>
      <c r="C640" t="s">
        <v>102</v>
      </c>
      <c r="D640" t="s">
        <v>14</v>
      </c>
      <c r="E640">
        <v>4453000</v>
      </c>
      <c r="F640">
        <v>1472.55</v>
      </c>
      <c r="G640" t="s">
        <v>1944</v>
      </c>
      <c r="H640" t="s">
        <v>1945</v>
      </c>
      <c r="I640">
        <v>1</v>
      </c>
      <c r="J640">
        <v>0</v>
      </c>
      <c r="K640" t="s">
        <v>17</v>
      </c>
    </row>
    <row r="641" spans="1:11" x14ac:dyDescent="0.2">
      <c r="A641" t="s">
        <v>1946</v>
      </c>
      <c r="B641" t="s">
        <v>87</v>
      </c>
      <c r="C641" t="s">
        <v>51</v>
      </c>
      <c r="D641" t="s">
        <v>21</v>
      </c>
      <c r="E641">
        <v>649000</v>
      </c>
      <c r="F641">
        <v>1079.8699999999999</v>
      </c>
      <c r="G641" t="s">
        <v>1947</v>
      </c>
      <c r="H641" t="s">
        <v>1948</v>
      </c>
      <c r="I641">
        <v>1</v>
      </c>
      <c r="J641">
        <v>0</v>
      </c>
      <c r="K641" t="s">
        <v>17</v>
      </c>
    </row>
    <row r="642" spans="1:11" x14ac:dyDescent="0.2">
      <c r="A642" t="s">
        <v>1949</v>
      </c>
      <c r="B642" t="s">
        <v>59</v>
      </c>
      <c r="C642" t="s">
        <v>13</v>
      </c>
      <c r="D642" t="s">
        <v>14</v>
      </c>
      <c r="E642">
        <v>3268000</v>
      </c>
      <c r="F642">
        <v>1080.69</v>
      </c>
      <c r="G642" t="s">
        <v>1950</v>
      </c>
      <c r="H642" t="s">
        <v>1951</v>
      </c>
      <c r="I642">
        <v>1</v>
      </c>
      <c r="J642">
        <v>0</v>
      </c>
      <c r="K642" t="s">
        <v>17</v>
      </c>
    </row>
    <row r="643" spans="1:11" x14ac:dyDescent="0.2">
      <c r="A643" t="s">
        <v>1952</v>
      </c>
      <c r="B643" t="s">
        <v>67</v>
      </c>
      <c r="C643" t="s">
        <v>20</v>
      </c>
      <c r="D643" t="s">
        <v>21</v>
      </c>
      <c r="E643">
        <v>169000</v>
      </c>
      <c r="F643">
        <v>281.2</v>
      </c>
      <c r="G643" t="s">
        <v>1953</v>
      </c>
      <c r="H643" t="s">
        <v>1954</v>
      </c>
      <c r="I643">
        <v>1</v>
      </c>
      <c r="J643">
        <v>0</v>
      </c>
      <c r="K643" t="s">
        <v>17</v>
      </c>
    </row>
    <row r="644" spans="1:11" x14ac:dyDescent="0.2">
      <c r="A644" t="s">
        <v>1955</v>
      </c>
      <c r="B644" t="s">
        <v>135</v>
      </c>
      <c r="C644" t="s">
        <v>13</v>
      </c>
      <c r="D644" t="s">
        <v>14</v>
      </c>
      <c r="E644">
        <v>3082000</v>
      </c>
      <c r="F644">
        <v>1019.18</v>
      </c>
      <c r="G644" t="s">
        <v>1956</v>
      </c>
      <c r="H644" t="s">
        <v>1957</v>
      </c>
      <c r="I644">
        <v>1</v>
      </c>
      <c r="J644">
        <v>0</v>
      </c>
      <c r="K644" t="s">
        <v>17</v>
      </c>
    </row>
    <row r="645" spans="1:11" x14ac:dyDescent="0.2">
      <c r="A645" t="s">
        <v>1958</v>
      </c>
      <c r="B645" t="s">
        <v>19</v>
      </c>
      <c r="C645" t="s">
        <v>20</v>
      </c>
      <c r="D645" t="s">
        <v>21</v>
      </c>
      <c r="E645">
        <v>1355000</v>
      </c>
      <c r="F645">
        <v>2254.58</v>
      </c>
      <c r="G645" t="s">
        <v>1959</v>
      </c>
      <c r="H645" t="s">
        <v>1960</v>
      </c>
      <c r="I645">
        <v>1</v>
      </c>
      <c r="J645">
        <v>0</v>
      </c>
      <c r="K645" t="s">
        <v>17</v>
      </c>
    </row>
    <row r="646" spans="1:11" x14ac:dyDescent="0.2">
      <c r="A646" t="s">
        <v>1961</v>
      </c>
      <c r="B646" t="s">
        <v>77</v>
      </c>
      <c r="C646" t="s">
        <v>20</v>
      </c>
      <c r="D646" t="s">
        <v>21</v>
      </c>
      <c r="E646">
        <v>883000</v>
      </c>
      <c r="F646">
        <v>1469.22</v>
      </c>
      <c r="G646" t="s">
        <v>1962</v>
      </c>
      <c r="H646" t="s">
        <v>1963</v>
      </c>
      <c r="I646">
        <v>1</v>
      </c>
      <c r="J646">
        <v>0</v>
      </c>
      <c r="K646" t="s">
        <v>17</v>
      </c>
    </row>
    <row r="647" spans="1:11" x14ac:dyDescent="0.2">
      <c r="A647" t="s">
        <v>1964</v>
      </c>
      <c r="B647" t="s">
        <v>35</v>
      </c>
      <c r="C647" t="s">
        <v>42</v>
      </c>
      <c r="D647" t="s">
        <v>27</v>
      </c>
      <c r="E647">
        <v>105000</v>
      </c>
      <c r="F647">
        <v>174.71</v>
      </c>
      <c r="G647" t="s">
        <v>1965</v>
      </c>
      <c r="H647" t="s">
        <v>1966</v>
      </c>
      <c r="I647">
        <v>1</v>
      </c>
      <c r="J647">
        <v>0</v>
      </c>
      <c r="K647" t="s">
        <v>17</v>
      </c>
    </row>
    <row r="648" spans="1:11" x14ac:dyDescent="0.2">
      <c r="A648" t="s">
        <v>1967</v>
      </c>
      <c r="B648" t="s">
        <v>63</v>
      </c>
      <c r="C648" t="s">
        <v>42</v>
      </c>
      <c r="D648" t="s">
        <v>27</v>
      </c>
      <c r="E648">
        <v>1468000</v>
      </c>
      <c r="F648">
        <v>2442.6</v>
      </c>
      <c r="G648" t="s">
        <v>1968</v>
      </c>
      <c r="H648" t="s">
        <v>1969</v>
      </c>
      <c r="I648">
        <v>1</v>
      </c>
      <c r="J648">
        <v>0</v>
      </c>
      <c r="K648" t="s">
        <v>17</v>
      </c>
    </row>
    <row r="649" spans="1:11" x14ac:dyDescent="0.2">
      <c r="A649" t="s">
        <v>1970</v>
      </c>
      <c r="B649" t="s">
        <v>12</v>
      </c>
      <c r="C649" t="s">
        <v>26</v>
      </c>
      <c r="D649" t="s">
        <v>27</v>
      </c>
      <c r="E649">
        <v>304000</v>
      </c>
      <c r="F649">
        <v>505.82</v>
      </c>
      <c r="G649" t="s">
        <v>1971</v>
      </c>
      <c r="H649" t="s">
        <v>1972</v>
      </c>
      <c r="I649">
        <v>1</v>
      </c>
      <c r="J649">
        <v>0</v>
      </c>
      <c r="K649" t="s">
        <v>17</v>
      </c>
    </row>
    <row r="650" spans="1:11" x14ac:dyDescent="0.2">
      <c r="A650" t="s">
        <v>1973</v>
      </c>
      <c r="B650" t="s">
        <v>87</v>
      </c>
      <c r="C650" t="s">
        <v>26</v>
      </c>
      <c r="D650" t="s">
        <v>27</v>
      </c>
      <c r="E650">
        <v>82000</v>
      </c>
      <c r="F650">
        <v>136.44</v>
      </c>
      <c r="G650" t="s">
        <v>1974</v>
      </c>
      <c r="H650" t="s">
        <v>1975</v>
      </c>
      <c r="I650">
        <v>1</v>
      </c>
      <c r="J650">
        <v>0</v>
      </c>
      <c r="K650" t="s">
        <v>17</v>
      </c>
    </row>
    <row r="651" spans="1:11" x14ac:dyDescent="0.2">
      <c r="A651" t="s">
        <v>1976</v>
      </c>
      <c r="B651" t="s">
        <v>25</v>
      </c>
      <c r="C651" t="s">
        <v>51</v>
      </c>
      <c r="D651" t="s">
        <v>21</v>
      </c>
      <c r="E651">
        <v>635000</v>
      </c>
      <c r="F651">
        <v>1056.57</v>
      </c>
      <c r="G651" t="s">
        <v>1977</v>
      </c>
      <c r="H651" t="s">
        <v>1978</v>
      </c>
      <c r="I651">
        <v>1</v>
      </c>
      <c r="J651">
        <v>0</v>
      </c>
      <c r="K651" t="s">
        <v>17</v>
      </c>
    </row>
    <row r="652" spans="1:11" x14ac:dyDescent="0.2">
      <c r="A652" t="s">
        <v>1979</v>
      </c>
      <c r="B652" t="s">
        <v>128</v>
      </c>
      <c r="C652" t="s">
        <v>20</v>
      </c>
      <c r="D652" t="s">
        <v>21</v>
      </c>
      <c r="E652">
        <v>532000</v>
      </c>
      <c r="F652">
        <v>885.19</v>
      </c>
      <c r="G652" t="s">
        <v>1980</v>
      </c>
      <c r="H652" t="s">
        <v>1981</v>
      </c>
      <c r="I652">
        <v>1</v>
      </c>
      <c r="J652">
        <v>0</v>
      </c>
      <c r="K652" t="s">
        <v>17</v>
      </c>
    </row>
    <row r="653" spans="1:11" x14ac:dyDescent="0.2">
      <c r="A653" t="s">
        <v>1982</v>
      </c>
      <c r="B653" t="s">
        <v>19</v>
      </c>
      <c r="C653" t="s">
        <v>13</v>
      </c>
      <c r="D653" t="s">
        <v>14</v>
      </c>
      <c r="E653">
        <v>1285000</v>
      </c>
      <c r="F653">
        <v>424.93</v>
      </c>
      <c r="G653" t="s">
        <v>1983</v>
      </c>
      <c r="H653" t="s">
        <v>1984</v>
      </c>
      <c r="I653">
        <v>1</v>
      </c>
      <c r="J653">
        <v>0</v>
      </c>
      <c r="K653" t="s">
        <v>17</v>
      </c>
    </row>
    <row r="654" spans="1:11" x14ac:dyDescent="0.2">
      <c r="A654" t="s">
        <v>1985</v>
      </c>
      <c r="B654" t="s">
        <v>77</v>
      </c>
      <c r="C654" t="s">
        <v>102</v>
      </c>
      <c r="D654" t="s">
        <v>14</v>
      </c>
      <c r="E654">
        <v>1562000</v>
      </c>
      <c r="F654">
        <v>516.53</v>
      </c>
      <c r="G654" t="s">
        <v>1986</v>
      </c>
      <c r="H654" t="s">
        <v>1987</v>
      </c>
      <c r="I654">
        <v>1</v>
      </c>
      <c r="J654">
        <v>0</v>
      </c>
      <c r="K654" t="s">
        <v>17</v>
      </c>
    </row>
    <row r="655" spans="1:11" x14ac:dyDescent="0.2">
      <c r="A655" t="s">
        <v>1988</v>
      </c>
      <c r="B655" t="s">
        <v>106</v>
      </c>
      <c r="C655" t="s">
        <v>20</v>
      </c>
      <c r="D655" t="s">
        <v>21</v>
      </c>
      <c r="E655">
        <v>1361000</v>
      </c>
      <c r="F655">
        <v>2264.56</v>
      </c>
      <c r="G655" t="s">
        <v>1989</v>
      </c>
      <c r="H655" t="s">
        <v>1990</v>
      </c>
      <c r="I655">
        <v>1</v>
      </c>
      <c r="J655">
        <v>0</v>
      </c>
      <c r="K655" t="s">
        <v>17</v>
      </c>
    </row>
    <row r="656" spans="1:11" x14ac:dyDescent="0.2">
      <c r="A656" t="s">
        <v>1991</v>
      </c>
      <c r="B656" t="s">
        <v>35</v>
      </c>
      <c r="C656" t="s">
        <v>13</v>
      </c>
      <c r="D656" t="s">
        <v>14</v>
      </c>
      <c r="E656">
        <v>1949000</v>
      </c>
      <c r="F656">
        <v>644.51</v>
      </c>
      <c r="G656" t="s">
        <v>1992</v>
      </c>
      <c r="H656" t="s">
        <v>1993</v>
      </c>
      <c r="I656">
        <v>1</v>
      </c>
      <c r="J656">
        <v>0</v>
      </c>
      <c r="K656" t="s">
        <v>17</v>
      </c>
    </row>
    <row r="657" spans="1:11" x14ac:dyDescent="0.2">
      <c r="A657" t="s">
        <v>1994</v>
      </c>
      <c r="B657" t="s">
        <v>77</v>
      </c>
      <c r="C657" t="s">
        <v>51</v>
      </c>
      <c r="D657" t="s">
        <v>21</v>
      </c>
      <c r="E657">
        <v>364000</v>
      </c>
      <c r="F657">
        <v>605.66</v>
      </c>
      <c r="G657" t="s">
        <v>1995</v>
      </c>
      <c r="H657" t="s">
        <v>1996</v>
      </c>
      <c r="I657">
        <v>1</v>
      </c>
      <c r="J657">
        <v>0</v>
      </c>
      <c r="K657" t="s">
        <v>17</v>
      </c>
    </row>
    <row r="658" spans="1:11" x14ac:dyDescent="0.2">
      <c r="A658" t="s">
        <v>1997</v>
      </c>
      <c r="B658" t="s">
        <v>139</v>
      </c>
      <c r="C658" t="s">
        <v>20</v>
      </c>
      <c r="D658" t="s">
        <v>21</v>
      </c>
      <c r="E658">
        <v>499000</v>
      </c>
      <c r="F658">
        <v>830.28</v>
      </c>
      <c r="G658" t="s">
        <v>1998</v>
      </c>
      <c r="H658" t="s">
        <v>1999</v>
      </c>
      <c r="I658">
        <v>1</v>
      </c>
      <c r="J658">
        <v>0</v>
      </c>
      <c r="K658" t="s">
        <v>17</v>
      </c>
    </row>
    <row r="659" spans="1:11" x14ac:dyDescent="0.2">
      <c r="A659" t="s">
        <v>2000</v>
      </c>
      <c r="B659" t="s">
        <v>139</v>
      </c>
      <c r="C659" t="s">
        <v>102</v>
      </c>
      <c r="D659" t="s">
        <v>14</v>
      </c>
      <c r="E659">
        <v>710000</v>
      </c>
      <c r="F659">
        <v>234.79</v>
      </c>
      <c r="G659" t="s">
        <v>2001</v>
      </c>
      <c r="H659" t="s">
        <v>2002</v>
      </c>
      <c r="I659">
        <v>1</v>
      </c>
      <c r="J659">
        <v>0</v>
      </c>
      <c r="K659" t="s">
        <v>17</v>
      </c>
    </row>
    <row r="660" spans="1:11" x14ac:dyDescent="0.2">
      <c r="A660" t="s">
        <v>2003</v>
      </c>
      <c r="B660" t="s">
        <v>59</v>
      </c>
      <c r="C660" t="s">
        <v>51</v>
      </c>
      <c r="D660" t="s">
        <v>21</v>
      </c>
      <c r="E660">
        <v>387000</v>
      </c>
      <c r="F660">
        <v>643.92999999999995</v>
      </c>
      <c r="G660" t="s">
        <v>2004</v>
      </c>
      <c r="H660" t="s">
        <v>2005</v>
      </c>
      <c r="I660">
        <v>1</v>
      </c>
      <c r="J660">
        <v>0</v>
      </c>
      <c r="K660" t="s">
        <v>17</v>
      </c>
    </row>
    <row r="661" spans="1:11" x14ac:dyDescent="0.2">
      <c r="A661" t="s">
        <v>2006</v>
      </c>
      <c r="B661" t="s">
        <v>91</v>
      </c>
      <c r="C661" t="s">
        <v>13</v>
      </c>
      <c r="D661" t="s">
        <v>14</v>
      </c>
      <c r="E661">
        <v>1661000</v>
      </c>
      <c r="F661">
        <v>549.27</v>
      </c>
      <c r="G661" t="s">
        <v>2007</v>
      </c>
      <c r="H661" t="s">
        <v>2008</v>
      </c>
      <c r="I661">
        <v>1</v>
      </c>
      <c r="J661">
        <v>0</v>
      </c>
      <c r="K661" t="s">
        <v>17</v>
      </c>
    </row>
    <row r="662" spans="1:11" x14ac:dyDescent="0.2">
      <c r="A662" t="s">
        <v>2009</v>
      </c>
      <c r="B662" t="s">
        <v>98</v>
      </c>
      <c r="C662" t="s">
        <v>51</v>
      </c>
      <c r="D662" t="s">
        <v>21</v>
      </c>
      <c r="E662">
        <v>131000</v>
      </c>
      <c r="F662">
        <v>217.97</v>
      </c>
      <c r="G662" t="s">
        <v>2010</v>
      </c>
      <c r="H662" t="s">
        <v>2011</v>
      </c>
      <c r="I662">
        <v>1</v>
      </c>
      <c r="J662">
        <v>0</v>
      </c>
      <c r="K662" t="s">
        <v>17</v>
      </c>
    </row>
    <row r="663" spans="1:11" x14ac:dyDescent="0.2">
      <c r="A663" t="s">
        <v>2012</v>
      </c>
      <c r="B663" t="s">
        <v>59</v>
      </c>
      <c r="C663" t="s">
        <v>42</v>
      </c>
      <c r="D663" t="s">
        <v>27</v>
      </c>
      <c r="E663">
        <v>642000</v>
      </c>
      <c r="F663">
        <v>1068.22</v>
      </c>
      <c r="G663" t="s">
        <v>2013</v>
      </c>
      <c r="H663" t="s">
        <v>2014</v>
      </c>
      <c r="I663">
        <v>1</v>
      </c>
      <c r="J663">
        <v>0</v>
      </c>
      <c r="K663" t="s">
        <v>17</v>
      </c>
    </row>
    <row r="664" spans="1:11" x14ac:dyDescent="0.2">
      <c r="A664" t="s">
        <v>2015</v>
      </c>
      <c r="B664" t="s">
        <v>59</v>
      </c>
      <c r="C664" t="s">
        <v>20</v>
      </c>
      <c r="D664" t="s">
        <v>21</v>
      </c>
      <c r="E664">
        <v>1033000</v>
      </c>
      <c r="F664">
        <v>1718.8</v>
      </c>
      <c r="G664" t="s">
        <v>2016</v>
      </c>
      <c r="H664" t="s">
        <v>2017</v>
      </c>
      <c r="I664">
        <v>1</v>
      </c>
      <c r="J664">
        <v>31.61</v>
      </c>
      <c r="K664" t="s">
        <v>45</v>
      </c>
    </row>
    <row r="665" spans="1:11" x14ac:dyDescent="0.2">
      <c r="A665" t="s">
        <v>2018</v>
      </c>
      <c r="B665" t="s">
        <v>63</v>
      </c>
      <c r="C665" t="s">
        <v>51</v>
      </c>
      <c r="D665" t="s">
        <v>21</v>
      </c>
      <c r="E665">
        <v>433000</v>
      </c>
      <c r="F665">
        <v>720.47</v>
      </c>
      <c r="G665" t="s">
        <v>2019</v>
      </c>
      <c r="H665" t="s">
        <v>2020</v>
      </c>
      <c r="I665">
        <v>1</v>
      </c>
      <c r="J665">
        <v>0</v>
      </c>
      <c r="K665" t="s">
        <v>17</v>
      </c>
    </row>
    <row r="666" spans="1:11" x14ac:dyDescent="0.2">
      <c r="A666" t="s">
        <v>2021</v>
      </c>
      <c r="B666" t="s">
        <v>77</v>
      </c>
      <c r="C666" t="s">
        <v>26</v>
      </c>
      <c r="D666" t="s">
        <v>27</v>
      </c>
      <c r="E666">
        <v>110000</v>
      </c>
      <c r="F666">
        <v>183.03</v>
      </c>
      <c r="G666" t="s">
        <v>2022</v>
      </c>
      <c r="H666" t="s">
        <v>2023</v>
      </c>
      <c r="I666">
        <v>1</v>
      </c>
      <c r="J666">
        <v>0</v>
      </c>
      <c r="K666" t="s">
        <v>17</v>
      </c>
    </row>
    <row r="667" spans="1:11" x14ac:dyDescent="0.2">
      <c r="A667" t="s">
        <v>2024</v>
      </c>
      <c r="B667" t="s">
        <v>98</v>
      </c>
      <c r="C667" t="s">
        <v>26</v>
      </c>
      <c r="D667" t="s">
        <v>27</v>
      </c>
      <c r="E667">
        <v>1072000</v>
      </c>
      <c r="F667">
        <v>1783.69</v>
      </c>
      <c r="G667" t="s">
        <v>2025</v>
      </c>
      <c r="H667" t="s">
        <v>2026</v>
      </c>
      <c r="I667">
        <v>1</v>
      </c>
      <c r="J667">
        <v>0</v>
      </c>
      <c r="K667" t="s">
        <v>17</v>
      </c>
    </row>
    <row r="668" spans="1:11" x14ac:dyDescent="0.2">
      <c r="A668" t="s">
        <v>2027</v>
      </c>
      <c r="B668" t="s">
        <v>98</v>
      </c>
      <c r="C668" t="s">
        <v>51</v>
      </c>
      <c r="D668" t="s">
        <v>21</v>
      </c>
      <c r="E668">
        <v>997000</v>
      </c>
      <c r="F668">
        <v>1658.9</v>
      </c>
      <c r="G668" t="s">
        <v>2028</v>
      </c>
      <c r="H668" t="s">
        <v>2029</v>
      </c>
      <c r="I668">
        <v>1</v>
      </c>
      <c r="J668">
        <v>0</v>
      </c>
      <c r="K668" t="s">
        <v>17</v>
      </c>
    </row>
    <row r="669" spans="1:11" x14ac:dyDescent="0.2">
      <c r="A669" t="s">
        <v>2030</v>
      </c>
      <c r="B669" t="s">
        <v>143</v>
      </c>
      <c r="C669" t="s">
        <v>42</v>
      </c>
      <c r="D669" t="s">
        <v>27</v>
      </c>
      <c r="E669">
        <v>223000</v>
      </c>
      <c r="F669">
        <v>371.05</v>
      </c>
      <c r="G669" t="s">
        <v>2031</v>
      </c>
      <c r="H669" t="s">
        <v>2032</v>
      </c>
      <c r="I669">
        <v>1</v>
      </c>
      <c r="J669">
        <v>0</v>
      </c>
      <c r="K669" t="s">
        <v>17</v>
      </c>
    </row>
    <row r="670" spans="1:11" x14ac:dyDescent="0.2">
      <c r="A670" t="s">
        <v>2033</v>
      </c>
      <c r="B670" t="s">
        <v>25</v>
      </c>
      <c r="C670" t="s">
        <v>13</v>
      </c>
      <c r="D670" t="s">
        <v>14</v>
      </c>
      <c r="E670">
        <v>4699000</v>
      </c>
      <c r="F670">
        <v>1553.9</v>
      </c>
      <c r="G670" t="s">
        <v>2034</v>
      </c>
      <c r="H670" t="s">
        <v>2035</v>
      </c>
      <c r="I670">
        <v>1</v>
      </c>
      <c r="J670">
        <v>0</v>
      </c>
      <c r="K670" t="s">
        <v>17</v>
      </c>
    </row>
    <row r="671" spans="1:11" x14ac:dyDescent="0.2">
      <c r="A671" t="s">
        <v>2036</v>
      </c>
      <c r="B671" t="s">
        <v>19</v>
      </c>
      <c r="C671" t="s">
        <v>13</v>
      </c>
      <c r="D671" t="s">
        <v>14</v>
      </c>
      <c r="E671">
        <v>1712000</v>
      </c>
      <c r="F671">
        <v>566.14</v>
      </c>
      <c r="G671" t="s">
        <v>2037</v>
      </c>
      <c r="H671" t="s">
        <v>2038</v>
      </c>
      <c r="I671">
        <v>1</v>
      </c>
      <c r="J671">
        <v>0</v>
      </c>
      <c r="K671" t="s">
        <v>17</v>
      </c>
    </row>
    <row r="672" spans="1:11" x14ac:dyDescent="0.2">
      <c r="A672" t="s">
        <v>2039</v>
      </c>
      <c r="B672" t="s">
        <v>106</v>
      </c>
      <c r="C672" t="s">
        <v>102</v>
      </c>
      <c r="D672" t="s">
        <v>14</v>
      </c>
      <c r="E672">
        <v>3924000</v>
      </c>
      <c r="F672">
        <v>1297.6199999999999</v>
      </c>
      <c r="G672" t="s">
        <v>2040</v>
      </c>
      <c r="H672" t="s">
        <v>2041</v>
      </c>
      <c r="I672">
        <v>1</v>
      </c>
      <c r="J672">
        <v>0</v>
      </c>
      <c r="K672" t="s">
        <v>17</v>
      </c>
    </row>
    <row r="673" spans="1:11" x14ac:dyDescent="0.2">
      <c r="A673" t="s">
        <v>2042</v>
      </c>
      <c r="B673" t="s">
        <v>59</v>
      </c>
      <c r="C673" t="s">
        <v>42</v>
      </c>
      <c r="D673" t="s">
        <v>27</v>
      </c>
      <c r="E673">
        <v>358000</v>
      </c>
      <c r="F673">
        <v>595.66999999999996</v>
      </c>
      <c r="G673" t="s">
        <v>2043</v>
      </c>
      <c r="H673" t="s">
        <v>2044</v>
      </c>
      <c r="I673">
        <v>1</v>
      </c>
      <c r="J673">
        <v>0</v>
      </c>
      <c r="K673" t="s">
        <v>17</v>
      </c>
    </row>
    <row r="674" spans="1:11" x14ac:dyDescent="0.2">
      <c r="A674" t="s">
        <v>2045</v>
      </c>
      <c r="B674" t="s">
        <v>87</v>
      </c>
      <c r="C674" t="s">
        <v>13</v>
      </c>
      <c r="D674" t="s">
        <v>14</v>
      </c>
      <c r="E674">
        <v>3235000</v>
      </c>
      <c r="F674">
        <v>1069.78</v>
      </c>
      <c r="G674" t="s">
        <v>2046</v>
      </c>
      <c r="H674" t="s">
        <v>2047</v>
      </c>
      <c r="I674">
        <v>1</v>
      </c>
      <c r="J674">
        <v>0</v>
      </c>
      <c r="K674" t="s">
        <v>17</v>
      </c>
    </row>
    <row r="675" spans="1:11" x14ac:dyDescent="0.2">
      <c r="A675" t="s">
        <v>2048</v>
      </c>
      <c r="B675" t="s">
        <v>19</v>
      </c>
      <c r="C675" t="s">
        <v>26</v>
      </c>
      <c r="D675" t="s">
        <v>27</v>
      </c>
      <c r="E675">
        <v>1757000</v>
      </c>
      <c r="F675">
        <v>2923.46</v>
      </c>
      <c r="G675" t="s">
        <v>2049</v>
      </c>
      <c r="H675" t="s">
        <v>2050</v>
      </c>
      <c r="I675">
        <v>1</v>
      </c>
      <c r="J675">
        <v>0</v>
      </c>
      <c r="K675" t="s">
        <v>17</v>
      </c>
    </row>
    <row r="676" spans="1:11" x14ac:dyDescent="0.2">
      <c r="A676" t="s">
        <v>2051</v>
      </c>
      <c r="B676" t="s">
        <v>106</v>
      </c>
      <c r="C676" t="s">
        <v>20</v>
      </c>
      <c r="D676" t="s">
        <v>21</v>
      </c>
      <c r="E676">
        <v>260000</v>
      </c>
      <c r="F676">
        <v>432.61</v>
      </c>
      <c r="G676" t="s">
        <v>2052</v>
      </c>
      <c r="H676" t="s">
        <v>2053</v>
      </c>
      <c r="I676">
        <v>1</v>
      </c>
      <c r="J676">
        <v>0</v>
      </c>
      <c r="K676" t="s">
        <v>17</v>
      </c>
    </row>
    <row r="677" spans="1:11" x14ac:dyDescent="0.2">
      <c r="A677" t="s">
        <v>2054</v>
      </c>
      <c r="B677" t="s">
        <v>55</v>
      </c>
      <c r="C677" t="s">
        <v>102</v>
      </c>
      <c r="D677" t="s">
        <v>14</v>
      </c>
      <c r="E677">
        <v>4860000</v>
      </c>
      <c r="F677">
        <v>1607.14</v>
      </c>
      <c r="G677" t="s">
        <v>2055</v>
      </c>
      <c r="H677" t="s">
        <v>2056</v>
      </c>
      <c r="I677">
        <v>1</v>
      </c>
      <c r="J677">
        <v>0</v>
      </c>
      <c r="K677" t="s">
        <v>17</v>
      </c>
    </row>
    <row r="678" spans="1:11" x14ac:dyDescent="0.2">
      <c r="A678" t="s">
        <v>2057</v>
      </c>
      <c r="B678" t="s">
        <v>63</v>
      </c>
      <c r="C678" t="s">
        <v>51</v>
      </c>
      <c r="D678" t="s">
        <v>21</v>
      </c>
      <c r="E678">
        <v>308000</v>
      </c>
      <c r="F678">
        <v>512.48</v>
      </c>
      <c r="G678" t="s">
        <v>2058</v>
      </c>
      <c r="H678" t="s">
        <v>2059</v>
      </c>
      <c r="I678">
        <v>1</v>
      </c>
      <c r="J678">
        <v>0</v>
      </c>
      <c r="K678" t="s">
        <v>17</v>
      </c>
    </row>
    <row r="679" spans="1:11" x14ac:dyDescent="0.2">
      <c r="A679" t="s">
        <v>2060</v>
      </c>
      <c r="B679" t="s">
        <v>59</v>
      </c>
      <c r="C679" t="s">
        <v>42</v>
      </c>
      <c r="D679" t="s">
        <v>27</v>
      </c>
      <c r="E679">
        <v>628000</v>
      </c>
      <c r="F679">
        <v>1044.93</v>
      </c>
      <c r="G679" t="s">
        <v>2061</v>
      </c>
      <c r="H679" t="s">
        <v>2062</v>
      </c>
      <c r="I679">
        <v>1</v>
      </c>
      <c r="J679">
        <v>0</v>
      </c>
      <c r="K679" t="s">
        <v>17</v>
      </c>
    </row>
    <row r="680" spans="1:11" x14ac:dyDescent="0.2">
      <c r="A680" t="s">
        <v>2063</v>
      </c>
      <c r="B680" t="s">
        <v>50</v>
      </c>
      <c r="C680" t="s">
        <v>102</v>
      </c>
      <c r="D680" t="s">
        <v>14</v>
      </c>
      <c r="E680">
        <v>679000</v>
      </c>
      <c r="F680">
        <v>224.54</v>
      </c>
      <c r="G680" t="s">
        <v>2064</v>
      </c>
      <c r="H680" t="s">
        <v>2065</v>
      </c>
      <c r="I680">
        <v>1</v>
      </c>
      <c r="J680">
        <v>0</v>
      </c>
      <c r="K680" t="s">
        <v>17</v>
      </c>
    </row>
    <row r="681" spans="1:11" x14ac:dyDescent="0.2">
      <c r="A681" t="s">
        <v>2066</v>
      </c>
      <c r="B681" t="s">
        <v>139</v>
      </c>
      <c r="C681" t="s">
        <v>51</v>
      </c>
      <c r="D681" t="s">
        <v>21</v>
      </c>
      <c r="E681">
        <v>145000</v>
      </c>
      <c r="F681">
        <v>241.26</v>
      </c>
      <c r="G681" t="s">
        <v>2067</v>
      </c>
      <c r="H681" t="s">
        <v>2068</v>
      </c>
      <c r="I681">
        <v>1</v>
      </c>
      <c r="J681">
        <v>0</v>
      </c>
      <c r="K681" t="s">
        <v>17</v>
      </c>
    </row>
    <row r="682" spans="1:11" x14ac:dyDescent="0.2">
      <c r="A682" t="s">
        <v>2069</v>
      </c>
      <c r="B682" t="s">
        <v>87</v>
      </c>
      <c r="C682" t="s">
        <v>13</v>
      </c>
      <c r="D682" t="s">
        <v>14</v>
      </c>
      <c r="E682">
        <v>790000</v>
      </c>
      <c r="F682">
        <v>261.24</v>
      </c>
      <c r="G682" t="s">
        <v>2070</v>
      </c>
      <c r="H682" t="s">
        <v>2071</v>
      </c>
      <c r="I682">
        <v>1</v>
      </c>
      <c r="J682">
        <v>0</v>
      </c>
      <c r="K682" t="s">
        <v>17</v>
      </c>
    </row>
    <row r="683" spans="1:11" x14ac:dyDescent="0.2">
      <c r="A683" t="s">
        <v>2072</v>
      </c>
      <c r="B683" t="s">
        <v>139</v>
      </c>
      <c r="C683" t="s">
        <v>51</v>
      </c>
      <c r="D683" t="s">
        <v>21</v>
      </c>
      <c r="E683">
        <v>196000</v>
      </c>
      <c r="F683">
        <v>326.12</v>
      </c>
      <c r="G683" t="s">
        <v>2073</v>
      </c>
      <c r="H683" t="s">
        <v>2074</v>
      </c>
      <c r="I683">
        <v>1</v>
      </c>
      <c r="J683">
        <v>0</v>
      </c>
      <c r="K683" t="s">
        <v>17</v>
      </c>
    </row>
    <row r="684" spans="1:11" x14ac:dyDescent="0.2">
      <c r="A684" t="s">
        <v>2075</v>
      </c>
      <c r="B684" t="s">
        <v>63</v>
      </c>
      <c r="C684" t="s">
        <v>51</v>
      </c>
      <c r="D684" t="s">
        <v>21</v>
      </c>
      <c r="E684">
        <v>339000</v>
      </c>
      <c r="F684">
        <v>564.05999999999995</v>
      </c>
      <c r="G684" t="s">
        <v>2076</v>
      </c>
      <c r="H684" t="s">
        <v>2077</v>
      </c>
      <c r="I684">
        <v>1</v>
      </c>
      <c r="J684">
        <v>0</v>
      </c>
      <c r="K684" t="s">
        <v>17</v>
      </c>
    </row>
    <row r="685" spans="1:11" x14ac:dyDescent="0.2">
      <c r="A685" t="s">
        <v>2078</v>
      </c>
      <c r="B685" t="s">
        <v>135</v>
      </c>
      <c r="C685" t="s">
        <v>13</v>
      </c>
      <c r="D685" t="s">
        <v>14</v>
      </c>
      <c r="E685">
        <v>1014000</v>
      </c>
      <c r="F685">
        <v>335.32</v>
      </c>
      <c r="G685" t="s">
        <v>2079</v>
      </c>
      <c r="H685" t="s">
        <v>2080</v>
      </c>
      <c r="I685">
        <v>1</v>
      </c>
      <c r="J685">
        <v>0</v>
      </c>
      <c r="K685" t="s">
        <v>17</v>
      </c>
    </row>
    <row r="686" spans="1:11" x14ac:dyDescent="0.2">
      <c r="A686" t="s">
        <v>2081</v>
      </c>
      <c r="B686" t="s">
        <v>240</v>
      </c>
      <c r="C686" t="s">
        <v>51</v>
      </c>
      <c r="D686" t="s">
        <v>21</v>
      </c>
      <c r="E686">
        <v>234000</v>
      </c>
      <c r="F686">
        <v>389.35</v>
      </c>
      <c r="G686" t="s">
        <v>2082</v>
      </c>
      <c r="H686" t="s">
        <v>2083</v>
      </c>
      <c r="I686">
        <v>1</v>
      </c>
      <c r="J686">
        <v>0</v>
      </c>
      <c r="K686" t="s">
        <v>17</v>
      </c>
    </row>
    <row r="687" spans="1:11" x14ac:dyDescent="0.2">
      <c r="A687" t="s">
        <v>2084</v>
      </c>
      <c r="B687" t="s">
        <v>77</v>
      </c>
      <c r="C687" t="s">
        <v>42</v>
      </c>
      <c r="D687" t="s">
        <v>27</v>
      </c>
      <c r="E687">
        <v>372000</v>
      </c>
      <c r="F687">
        <v>618.97</v>
      </c>
      <c r="G687" t="s">
        <v>2085</v>
      </c>
      <c r="H687" t="s">
        <v>2086</v>
      </c>
      <c r="I687">
        <v>1</v>
      </c>
      <c r="J687">
        <v>0</v>
      </c>
      <c r="K687" t="s">
        <v>17</v>
      </c>
    </row>
    <row r="688" spans="1:11" x14ac:dyDescent="0.2">
      <c r="A688" t="s">
        <v>2087</v>
      </c>
      <c r="B688" t="s">
        <v>98</v>
      </c>
      <c r="C688" t="s">
        <v>13</v>
      </c>
      <c r="D688" t="s">
        <v>14</v>
      </c>
      <c r="E688">
        <v>719000</v>
      </c>
      <c r="F688">
        <v>237.76</v>
      </c>
      <c r="G688" t="s">
        <v>2088</v>
      </c>
      <c r="H688" t="s">
        <v>2089</v>
      </c>
      <c r="I688">
        <v>1</v>
      </c>
      <c r="J688">
        <v>0</v>
      </c>
      <c r="K688" t="s">
        <v>17</v>
      </c>
    </row>
    <row r="689" spans="1:11" x14ac:dyDescent="0.2">
      <c r="A689" t="s">
        <v>2090</v>
      </c>
      <c r="B689" t="s">
        <v>143</v>
      </c>
      <c r="C689" t="s">
        <v>42</v>
      </c>
      <c r="D689" t="s">
        <v>27</v>
      </c>
      <c r="E689">
        <v>387000</v>
      </c>
      <c r="F689">
        <v>643.92999999999995</v>
      </c>
      <c r="G689" t="s">
        <v>2091</v>
      </c>
      <c r="H689" t="s">
        <v>2092</v>
      </c>
      <c r="I689">
        <v>1</v>
      </c>
      <c r="J689">
        <v>0</v>
      </c>
      <c r="K689" t="s">
        <v>17</v>
      </c>
    </row>
    <row r="690" spans="1:11" x14ac:dyDescent="0.2">
      <c r="A690" t="s">
        <v>2093</v>
      </c>
      <c r="B690" t="s">
        <v>128</v>
      </c>
      <c r="C690" t="s">
        <v>42</v>
      </c>
      <c r="D690" t="s">
        <v>27</v>
      </c>
      <c r="E690">
        <v>1921000</v>
      </c>
      <c r="F690">
        <v>3196.34</v>
      </c>
      <c r="G690" t="s">
        <v>2094</v>
      </c>
      <c r="H690" t="s">
        <v>2095</v>
      </c>
      <c r="I690">
        <v>1</v>
      </c>
      <c r="J690">
        <v>0</v>
      </c>
      <c r="K690" t="s">
        <v>17</v>
      </c>
    </row>
    <row r="691" spans="1:11" x14ac:dyDescent="0.2">
      <c r="A691" t="s">
        <v>2096</v>
      </c>
      <c r="B691" t="s">
        <v>19</v>
      </c>
      <c r="C691" t="s">
        <v>42</v>
      </c>
      <c r="D691" t="s">
        <v>27</v>
      </c>
      <c r="E691">
        <v>212000</v>
      </c>
      <c r="F691">
        <v>352.75</v>
      </c>
      <c r="G691" t="s">
        <v>2097</v>
      </c>
      <c r="H691" t="s">
        <v>2098</v>
      </c>
      <c r="I691">
        <v>1</v>
      </c>
      <c r="J691">
        <v>0</v>
      </c>
      <c r="K691" t="s">
        <v>17</v>
      </c>
    </row>
    <row r="692" spans="1:11" x14ac:dyDescent="0.2">
      <c r="A692" t="s">
        <v>2099</v>
      </c>
      <c r="B692" t="s">
        <v>240</v>
      </c>
      <c r="C692" t="s">
        <v>13</v>
      </c>
      <c r="D692" t="s">
        <v>14</v>
      </c>
      <c r="E692">
        <v>2164000</v>
      </c>
      <c r="F692">
        <v>715.61</v>
      </c>
      <c r="G692" t="s">
        <v>2100</v>
      </c>
      <c r="H692" t="s">
        <v>2101</v>
      </c>
      <c r="I692">
        <v>1</v>
      </c>
      <c r="J692">
        <v>0</v>
      </c>
      <c r="K692" t="s">
        <v>17</v>
      </c>
    </row>
    <row r="693" spans="1:11" x14ac:dyDescent="0.2">
      <c r="A693" t="s">
        <v>2102</v>
      </c>
      <c r="B693" t="s">
        <v>143</v>
      </c>
      <c r="C693" t="s">
        <v>42</v>
      </c>
      <c r="D693" t="s">
        <v>27</v>
      </c>
      <c r="E693">
        <v>1306000</v>
      </c>
      <c r="F693">
        <v>2173.04</v>
      </c>
      <c r="G693" t="s">
        <v>2103</v>
      </c>
      <c r="H693" t="s">
        <v>2104</v>
      </c>
      <c r="I693">
        <v>1</v>
      </c>
      <c r="J693">
        <v>0</v>
      </c>
      <c r="K693" t="s">
        <v>17</v>
      </c>
    </row>
    <row r="694" spans="1:11" x14ac:dyDescent="0.2">
      <c r="A694" t="s">
        <v>2105</v>
      </c>
      <c r="B694" t="s">
        <v>143</v>
      </c>
      <c r="C694" t="s">
        <v>26</v>
      </c>
      <c r="D694" t="s">
        <v>27</v>
      </c>
      <c r="E694">
        <v>1722000</v>
      </c>
      <c r="F694">
        <v>2865.22</v>
      </c>
      <c r="G694" t="s">
        <v>2106</v>
      </c>
      <c r="H694" t="s">
        <v>2107</v>
      </c>
      <c r="I694">
        <v>1</v>
      </c>
      <c r="J694">
        <v>0</v>
      </c>
      <c r="K694" t="s">
        <v>17</v>
      </c>
    </row>
    <row r="695" spans="1:11" x14ac:dyDescent="0.2">
      <c r="A695" t="s">
        <v>2108</v>
      </c>
      <c r="B695" t="s">
        <v>77</v>
      </c>
      <c r="C695" t="s">
        <v>42</v>
      </c>
      <c r="D695" t="s">
        <v>27</v>
      </c>
      <c r="E695">
        <v>612000</v>
      </c>
      <c r="F695">
        <v>1018.3</v>
      </c>
      <c r="G695" t="s">
        <v>2109</v>
      </c>
      <c r="H695" t="s">
        <v>2110</v>
      </c>
      <c r="I695">
        <v>1</v>
      </c>
      <c r="J695">
        <v>0</v>
      </c>
      <c r="K695" t="s">
        <v>17</v>
      </c>
    </row>
    <row r="696" spans="1:11" x14ac:dyDescent="0.2">
      <c r="A696" t="s">
        <v>2111</v>
      </c>
      <c r="B696" t="s">
        <v>240</v>
      </c>
      <c r="C696" t="s">
        <v>20</v>
      </c>
      <c r="D696" t="s">
        <v>21</v>
      </c>
      <c r="E696">
        <v>598000</v>
      </c>
      <c r="F696">
        <v>995.01</v>
      </c>
      <c r="G696" t="s">
        <v>2112</v>
      </c>
      <c r="H696" t="s">
        <v>2113</v>
      </c>
      <c r="I696">
        <v>1</v>
      </c>
      <c r="J696">
        <v>0</v>
      </c>
      <c r="K696" t="s">
        <v>17</v>
      </c>
    </row>
    <row r="697" spans="1:11" x14ac:dyDescent="0.2">
      <c r="A697" t="s">
        <v>2114</v>
      </c>
      <c r="B697" t="s">
        <v>31</v>
      </c>
      <c r="C697" t="s">
        <v>20</v>
      </c>
      <c r="D697" t="s">
        <v>21</v>
      </c>
      <c r="E697">
        <v>763000</v>
      </c>
      <c r="F697">
        <v>1269.55</v>
      </c>
      <c r="G697" t="s">
        <v>2115</v>
      </c>
      <c r="H697" t="s">
        <v>2116</v>
      </c>
      <c r="I697">
        <v>1</v>
      </c>
      <c r="J697">
        <v>0</v>
      </c>
      <c r="K697" t="s">
        <v>17</v>
      </c>
    </row>
    <row r="698" spans="1:11" x14ac:dyDescent="0.2">
      <c r="A698" t="s">
        <v>2117</v>
      </c>
      <c r="B698" t="s">
        <v>91</v>
      </c>
      <c r="C698" t="s">
        <v>13</v>
      </c>
      <c r="D698" t="s">
        <v>14</v>
      </c>
      <c r="E698">
        <v>612000</v>
      </c>
      <c r="F698">
        <v>202.38</v>
      </c>
      <c r="G698" t="s">
        <v>2118</v>
      </c>
      <c r="H698" t="s">
        <v>2119</v>
      </c>
      <c r="I698">
        <v>1</v>
      </c>
      <c r="J698">
        <v>0</v>
      </c>
      <c r="K698" t="s">
        <v>17</v>
      </c>
    </row>
    <row r="699" spans="1:11" x14ac:dyDescent="0.2">
      <c r="A699" t="s">
        <v>2120</v>
      </c>
      <c r="B699" t="s">
        <v>87</v>
      </c>
      <c r="C699" t="s">
        <v>13</v>
      </c>
      <c r="D699" t="s">
        <v>14</v>
      </c>
      <c r="E699">
        <v>14769000</v>
      </c>
      <c r="F699">
        <v>4883.93</v>
      </c>
      <c r="G699" t="s">
        <v>2121</v>
      </c>
      <c r="H699" t="s">
        <v>2122</v>
      </c>
      <c r="I699">
        <v>1</v>
      </c>
      <c r="J699">
        <v>0</v>
      </c>
      <c r="K699" t="s">
        <v>17</v>
      </c>
    </row>
    <row r="700" spans="1:11" x14ac:dyDescent="0.2">
      <c r="A700" t="s">
        <v>2123</v>
      </c>
      <c r="B700" t="s">
        <v>19</v>
      </c>
      <c r="C700" t="s">
        <v>13</v>
      </c>
      <c r="D700" t="s">
        <v>14</v>
      </c>
      <c r="E700">
        <v>2159000</v>
      </c>
      <c r="F700">
        <v>713.96</v>
      </c>
      <c r="G700" t="s">
        <v>2124</v>
      </c>
      <c r="H700" t="s">
        <v>2125</v>
      </c>
      <c r="I700">
        <v>1</v>
      </c>
      <c r="J700">
        <v>0</v>
      </c>
      <c r="K700" t="s">
        <v>17</v>
      </c>
    </row>
    <row r="701" spans="1:11" x14ac:dyDescent="0.2">
      <c r="A701" t="s">
        <v>2126</v>
      </c>
      <c r="B701" t="s">
        <v>139</v>
      </c>
      <c r="C701" t="s">
        <v>102</v>
      </c>
      <c r="D701" t="s">
        <v>14</v>
      </c>
      <c r="E701">
        <v>1437000</v>
      </c>
      <c r="F701">
        <v>475.2</v>
      </c>
      <c r="G701" t="s">
        <v>2127</v>
      </c>
      <c r="H701" t="s">
        <v>2128</v>
      </c>
      <c r="I701">
        <v>1</v>
      </c>
      <c r="J701">
        <v>0</v>
      </c>
      <c r="K701" t="s">
        <v>17</v>
      </c>
    </row>
    <row r="702" spans="1:11" x14ac:dyDescent="0.2">
      <c r="A702" t="s">
        <v>2129</v>
      </c>
      <c r="B702" t="s">
        <v>31</v>
      </c>
      <c r="C702" t="s">
        <v>26</v>
      </c>
      <c r="D702" t="s">
        <v>27</v>
      </c>
      <c r="E702">
        <v>1152000</v>
      </c>
      <c r="F702">
        <v>1916.81</v>
      </c>
      <c r="G702" t="s">
        <v>2130</v>
      </c>
      <c r="H702" t="s">
        <v>2131</v>
      </c>
      <c r="I702">
        <v>1</v>
      </c>
      <c r="J702">
        <v>0</v>
      </c>
      <c r="K702" t="s">
        <v>17</v>
      </c>
    </row>
    <row r="703" spans="1:11" x14ac:dyDescent="0.2">
      <c r="A703" t="s">
        <v>2132</v>
      </c>
      <c r="B703" t="s">
        <v>19</v>
      </c>
      <c r="C703" t="s">
        <v>42</v>
      </c>
      <c r="D703" t="s">
        <v>27</v>
      </c>
      <c r="E703">
        <v>1092000</v>
      </c>
      <c r="F703">
        <v>1816.97</v>
      </c>
      <c r="G703" t="s">
        <v>2133</v>
      </c>
      <c r="H703" t="s">
        <v>2134</v>
      </c>
      <c r="I703">
        <v>1</v>
      </c>
      <c r="J703">
        <v>0</v>
      </c>
      <c r="K703" t="s">
        <v>17</v>
      </c>
    </row>
    <row r="704" spans="1:11" x14ac:dyDescent="0.2">
      <c r="A704" t="s">
        <v>2135</v>
      </c>
      <c r="B704" t="s">
        <v>91</v>
      </c>
      <c r="C704" t="s">
        <v>26</v>
      </c>
      <c r="D704" t="s">
        <v>27</v>
      </c>
      <c r="E704">
        <v>728000</v>
      </c>
      <c r="F704">
        <v>1211.31</v>
      </c>
      <c r="G704" t="s">
        <v>2136</v>
      </c>
      <c r="H704" t="s">
        <v>2137</v>
      </c>
      <c r="I704">
        <v>1</v>
      </c>
      <c r="J704">
        <v>0</v>
      </c>
      <c r="K704" t="s">
        <v>17</v>
      </c>
    </row>
    <row r="705" spans="1:11" x14ac:dyDescent="0.2">
      <c r="A705" t="s">
        <v>2138</v>
      </c>
      <c r="B705" t="s">
        <v>50</v>
      </c>
      <c r="C705" t="s">
        <v>51</v>
      </c>
      <c r="D705" t="s">
        <v>21</v>
      </c>
      <c r="E705">
        <v>670000</v>
      </c>
      <c r="F705">
        <v>1114.81</v>
      </c>
      <c r="G705" t="s">
        <v>2139</v>
      </c>
      <c r="H705" t="s">
        <v>2140</v>
      </c>
      <c r="I705">
        <v>1</v>
      </c>
      <c r="J705">
        <v>0</v>
      </c>
      <c r="K705" t="s">
        <v>17</v>
      </c>
    </row>
    <row r="706" spans="1:11" x14ac:dyDescent="0.2">
      <c r="A706" t="s">
        <v>2141</v>
      </c>
      <c r="B706" t="s">
        <v>59</v>
      </c>
      <c r="C706" t="s">
        <v>102</v>
      </c>
      <c r="D706" t="s">
        <v>14</v>
      </c>
      <c r="E706">
        <v>1457000</v>
      </c>
      <c r="F706">
        <v>481.81</v>
      </c>
      <c r="I706">
        <v>0</v>
      </c>
      <c r="J706">
        <v>0</v>
      </c>
      <c r="K706" t="s">
        <v>376</v>
      </c>
    </row>
    <row r="707" spans="1:11" x14ac:dyDescent="0.2">
      <c r="A707" t="s">
        <v>2142</v>
      </c>
      <c r="B707" t="s">
        <v>63</v>
      </c>
      <c r="C707" t="s">
        <v>42</v>
      </c>
      <c r="D707" t="s">
        <v>27</v>
      </c>
      <c r="E707">
        <v>167000</v>
      </c>
      <c r="F707">
        <v>277.87</v>
      </c>
      <c r="G707" t="s">
        <v>2143</v>
      </c>
      <c r="H707" t="s">
        <v>2144</v>
      </c>
      <c r="I707">
        <v>1</v>
      </c>
      <c r="J707">
        <v>0</v>
      </c>
      <c r="K707" t="s">
        <v>17</v>
      </c>
    </row>
    <row r="708" spans="1:11" x14ac:dyDescent="0.2">
      <c r="A708" t="s">
        <v>2145</v>
      </c>
      <c r="B708" t="s">
        <v>143</v>
      </c>
      <c r="C708" t="s">
        <v>26</v>
      </c>
      <c r="D708" t="s">
        <v>27</v>
      </c>
      <c r="E708">
        <v>601000</v>
      </c>
      <c r="F708">
        <v>1000</v>
      </c>
      <c r="G708" t="s">
        <v>2146</v>
      </c>
      <c r="H708" t="s">
        <v>2147</v>
      </c>
      <c r="I708">
        <v>1</v>
      </c>
      <c r="J708">
        <v>0</v>
      </c>
      <c r="K708" t="s">
        <v>17</v>
      </c>
    </row>
    <row r="709" spans="1:11" x14ac:dyDescent="0.2">
      <c r="A709" t="s">
        <v>2148</v>
      </c>
      <c r="B709" t="s">
        <v>139</v>
      </c>
      <c r="C709" t="s">
        <v>51</v>
      </c>
      <c r="D709" t="s">
        <v>21</v>
      </c>
      <c r="E709">
        <v>1076000</v>
      </c>
      <c r="F709">
        <v>1790.35</v>
      </c>
      <c r="G709" t="s">
        <v>2149</v>
      </c>
      <c r="H709" t="s">
        <v>2150</v>
      </c>
      <c r="I709">
        <v>1</v>
      </c>
      <c r="J709">
        <v>0</v>
      </c>
      <c r="K709" t="s">
        <v>17</v>
      </c>
    </row>
    <row r="710" spans="1:11" x14ac:dyDescent="0.2">
      <c r="A710" t="s">
        <v>2151</v>
      </c>
      <c r="B710" t="s">
        <v>55</v>
      </c>
      <c r="C710" t="s">
        <v>102</v>
      </c>
      <c r="D710" t="s">
        <v>14</v>
      </c>
      <c r="E710">
        <v>3459000</v>
      </c>
      <c r="F710">
        <v>1143.8499999999999</v>
      </c>
      <c r="G710" t="s">
        <v>2152</v>
      </c>
      <c r="H710" t="s">
        <v>2153</v>
      </c>
      <c r="I710">
        <v>1</v>
      </c>
      <c r="J710">
        <v>0</v>
      </c>
      <c r="K710" t="s">
        <v>17</v>
      </c>
    </row>
    <row r="711" spans="1:11" x14ac:dyDescent="0.2">
      <c r="A711" t="s">
        <v>2154</v>
      </c>
      <c r="B711" t="s">
        <v>31</v>
      </c>
      <c r="C711" t="s">
        <v>102</v>
      </c>
      <c r="D711" t="s">
        <v>14</v>
      </c>
      <c r="E711">
        <v>2134000</v>
      </c>
      <c r="F711">
        <v>705.69</v>
      </c>
      <c r="G711" t="s">
        <v>2155</v>
      </c>
      <c r="H711" t="s">
        <v>2156</v>
      </c>
      <c r="I711">
        <v>1</v>
      </c>
      <c r="J711">
        <v>0</v>
      </c>
      <c r="K711" t="s">
        <v>17</v>
      </c>
    </row>
    <row r="712" spans="1:11" x14ac:dyDescent="0.2">
      <c r="A712" t="s">
        <v>2157</v>
      </c>
      <c r="B712" t="s">
        <v>98</v>
      </c>
      <c r="C712" t="s">
        <v>20</v>
      </c>
      <c r="D712" t="s">
        <v>21</v>
      </c>
      <c r="E712">
        <v>259000</v>
      </c>
      <c r="F712">
        <v>430.95</v>
      </c>
      <c r="G712" t="s">
        <v>2158</v>
      </c>
      <c r="H712" t="s">
        <v>2159</v>
      </c>
      <c r="I712">
        <v>1</v>
      </c>
      <c r="J712">
        <v>0</v>
      </c>
      <c r="K712" t="s">
        <v>17</v>
      </c>
    </row>
    <row r="713" spans="1:11" x14ac:dyDescent="0.2">
      <c r="A713" t="s">
        <v>2160</v>
      </c>
      <c r="B713" t="s">
        <v>31</v>
      </c>
      <c r="C713" t="s">
        <v>102</v>
      </c>
      <c r="D713" t="s">
        <v>14</v>
      </c>
      <c r="E713">
        <v>4452000</v>
      </c>
      <c r="F713">
        <v>1472.22</v>
      </c>
      <c r="G713" t="s">
        <v>2161</v>
      </c>
      <c r="H713" t="s">
        <v>2162</v>
      </c>
      <c r="I713">
        <v>1</v>
      </c>
      <c r="J713">
        <v>0</v>
      </c>
      <c r="K713" t="s">
        <v>17</v>
      </c>
    </row>
    <row r="714" spans="1:11" x14ac:dyDescent="0.2">
      <c r="A714" t="s">
        <v>2163</v>
      </c>
      <c r="B714" t="s">
        <v>63</v>
      </c>
      <c r="C714" t="s">
        <v>51</v>
      </c>
      <c r="D714" t="s">
        <v>21</v>
      </c>
      <c r="E714">
        <v>239000</v>
      </c>
      <c r="F714">
        <v>397.67</v>
      </c>
      <c r="G714" t="s">
        <v>2164</v>
      </c>
      <c r="H714" t="s">
        <v>2165</v>
      </c>
      <c r="I714">
        <v>1</v>
      </c>
      <c r="J714">
        <v>0</v>
      </c>
      <c r="K714" t="s">
        <v>17</v>
      </c>
    </row>
    <row r="715" spans="1:11" x14ac:dyDescent="0.2">
      <c r="A715" t="s">
        <v>2166</v>
      </c>
      <c r="B715" t="s">
        <v>55</v>
      </c>
      <c r="C715" t="s">
        <v>42</v>
      </c>
      <c r="D715" t="s">
        <v>27</v>
      </c>
      <c r="E715">
        <v>830000</v>
      </c>
      <c r="F715">
        <v>1381.03</v>
      </c>
      <c r="G715" t="s">
        <v>2167</v>
      </c>
      <c r="H715" t="s">
        <v>2168</v>
      </c>
      <c r="I715">
        <v>1</v>
      </c>
      <c r="J715">
        <v>0</v>
      </c>
      <c r="K715" t="s">
        <v>17</v>
      </c>
    </row>
    <row r="716" spans="1:11" x14ac:dyDescent="0.2">
      <c r="A716" t="s">
        <v>2169</v>
      </c>
      <c r="B716" t="s">
        <v>143</v>
      </c>
      <c r="C716" t="s">
        <v>13</v>
      </c>
      <c r="D716" t="s">
        <v>14</v>
      </c>
      <c r="E716">
        <v>9306000</v>
      </c>
      <c r="F716">
        <v>3077.38</v>
      </c>
      <c r="G716" t="s">
        <v>2170</v>
      </c>
      <c r="H716" t="s">
        <v>2171</v>
      </c>
      <c r="I716">
        <v>1</v>
      </c>
      <c r="J716">
        <v>0</v>
      </c>
      <c r="K716" t="s">
        <v>17</v>
      </c>
    </row>
    <row r="717" spans="1:11" x14ac:dyDescent="0.2">
      <c r="A717" t="s">
        <v>2172</v>
      </c>
      <c r="B717" t="s">
        <v>55</v>
      </c>
      <c r="C717" t="s">
        <v>102</v>
      </c>
      <c r="D717" t="s">
        <v>14</v>
      </c>
      <c r="E717">
        <v>542000</v>
      </c>
      <c r="F717">
        <v>179.23</v>
      </c>
      <c r="G717" t="s">
        <v>2173</v>
      </c>
      <c r="H717" t="s">
        <v>2174</v>
      </c>
      <c r="I717">
        <v>1</v>
      </c>
      <c r="J717">
        <v>0</v>
      </c>
      <c r="K717" t="s">
        <v>17</v>
      </c>
    </row>
    <row r="718" spans="1:11" x14ac:dyDescent="0.2">
      <c r="A718" t="s">
        <v>2175</v>
      </c>
      <c r="B718" t="s">
        <v>87</v>
      </c>
      <c r="C718" t="s">
        <v>42</v>
      </c>
      <c r="D718" t="s">
        <v>27</v>
      </c>
      <c r="E718">
        <v>263000</v>
      </c>
      <c r="F718">
        <v>437.6</v>
      </c>
      <c r="G718" t="s">
        <v>2176</v>
      </c>
      <c r="H718" t="s">
        <v>2177</v>
      </c>
      <c r="I718">
        <v>1</v>
      </c>
      <c r="J718">
        <v>0</v>
      </c>
      <c r="K718" t="s">
        <v>17</v>
      </c>
    </row>
    <row r="719" spans="1:11" x14ac:dyDescent="0.2">
      <c r="A719" t="s">
        <v>2178</v>
      </c>
      <c r="B719" t="s">
        <v>67</v>
      </c>
      <c r="C719" t="s">
        <v>102</v>
      </c>
      <c r="D719" t="s">
        <v>14</v>
      </c>
      <c r="E719">
        <v>4814000</v>
      </c>
      <c r="F719">
        <v>1591.93</v>
      </c>
      <c r="G719" t="s">
        <v>2179</v>
      </c>
      <c r="H719" t="s">
        <v>2180</v>
      </c>
      <c r="I719">
        <v>1</v>
      </c>
      <c r="J719">
        <v>0</v>
      </c>
      <c r="K719" t="s">
        <v>17</v>
      </c>
    </row>
    <row r="720" spans="1:11" x14ac:dyDescent="0.2">
      <c r="A720" t="s">
        <v>2181</v>
      </c>
      <c r="B720" t="s">
        <v>25</v>
      </c>
      <c r="C720" t="s">
        <v>51</v>
      </c>
      <c r="D720" t="s">
        <v>21</v>
      </c>
      <c r="E720">
        <v>305000</v>
      </c>
      <c r="F720">
        <v>507.49</v>
      </c>
      <c r="G720" t="s">
        <v>2182</v>
      </c>
      <c r="H720" t="s">
        <v>2183</v>
      </c>
      <c r="I720">
        <v>1</v>
      </c>
      <c r="J720">
        <v>0</v>
      </c>
      <c r="K720" t="s">
        <v>17</v>
      </c>
    </row>
    <row r="721" spans="1:11" x14ac:dyDescent="0.2">
      <c r="A721" t="s">
        <v>2184</v>
      </c>
      <c r="B721" t="s">
        <v>135</v>
      </c>
      <c r="C721" t="s">
        <v>42</v>
      </c>
      <c r="D721" t="s">
        <v>27</v>
      </c>
      <c r="E721">
        <v>292000</v>
      </c>
      <c r="F721">
        <v>485.86</v>
      </c>
      <c r="G721" t="s">
        <v>2185</v>
      </c>
      <c r="H721" t="s">
        <v>2186</v>
      </c>
      <c r="I721">
        <v>1</v>
      </c>
      <c r="J721">
        <v>0</v>
      </c>
      <c r="K721" t="s">
        <v>17</v>
      </c>
    </row>
    <row r="722" spans="1:11" x14ac:dyDescent="0.2">
      <c r="A722" t="s">
        <v>2187</v>
      </c>
      <c r="B722" t="s">
        <v>143</v>
      </c>
      <c r="C722" t="s">
        <v>20</v>
      </c>
      <c r="D722" t="s">
        <v>21</v>
      </c>
      <c r="E722">
        <v>465000</v>
      </c>
      <c r="F722">
        <v>773.71</v>
      </c>
      <c r="G722" t="s">
        <v>2188</v>
      </c>
      <c r="H722" t="s">
        <v>2189</v>
      </c>
      <c r="I722">
        <v>1</v>
      </c>
      <c r="J722">
        <v>0</v>
      </c>
      <c r="K722" t="s">
        <v>17</v>
      </c>
    </row>
    <row r="723" spans="1:11" x14ac:dyDescent="0.2">
      <c r="A723" t="s">
        <v>2190</v>
      </c>
      <c r="B723" t="s">
        <v>63</v>
      </c>
      <c r="C723" t="s">
        <v>51</v>
      </c>
      <c r="D723" t="s">
        <v>21</v>
      </c>
      <c r="E723">
        <v>432000</v>
      </c>
      <c r="F723">
        <v>718.8</v>
      </c>
      <c r="G723" t="s">
        <v>2191</v>
      </c>
      <c r="H723" t="s">
        <v>2192</v>
      </c>
      <c r="I723">
        <v>1</v>
      </c>
      <c r="J723">
        <v>0</v>
      </c>
      <c r="K723" t="s">
        <v>17</v>
      </c>
    </row>
    <row r="724" spans="1:11" x14ac:dyDescent="0.2">
      <c r="A724" t="s">
        <v>2193</v>
      </c>
      <c r="B724" t="s">
        <v>63</v>
      </c>
      <c r="C724" t="s">
        <v>42</v>
      </c>
      <c r="D724" t="s">
        <v>27</v>
      </c>
      <c r="E724">
        <v>264000</v>
      </c>
      <c r="F724">
        <v>439.27</v>
      </c>
      <c r="G724" t="s">
        <v>2194</v>
      </c>
      <c r="H724" t="s">
        <v>2195</v>
      </c>
      <c r="I724">
        <v>1</v>
      </c>
      <c r="J724">
        <v>0</v>
      </c>
      <c r="K724" t="s">
        <v>17</v>
      </c>
    </row>
    <row r="725" spans="1:11" x14ac:dyDescent="0.2">
      <c r="A725" t="s">
        <v>2196</v>
      </c>
      <c r="B725" t="s">
        <v>135</v>
      </c>
      <c r="C725" t="s">
        <v>42</v>
      </c>
      <c r="D725" t="s">
        <v>27</v>
      </c>
      <c r="E725">
        <v>502000</v>
      </c>
      <c r="F725">
        <v>835.27</v>
      </c>
      <c r="G725" t="s">
        <v>2197</v>
      </c>
      <c r="H725" t="s">
        <v>2198</v>
      </c>
      <c r="I725">
        <v>1</v>
      </c>
      <c r="J725">
        <v>0</v>
      </c>
      <c r="K725" t="s">
        <v>17</v>
      </c>
    </row>
    <row r="726" spans="1:11" x14ac:dyDescent="0.2">
      <c r="A726" t="s">
        <v>2199</v>
      </c>
      <c r="B726" t="s">
        <v>87</v>
      </c>
      <c r="C726" t="s">
        <v>13</v>
      </c>
      <c r="D726" t="s">
        <v>14</v>
      </c>
      <c r="E726">
        <v>1207000</v>
      </c>
      <c r="F726">
        <v>399.14</v>
      </c>
      <c r="G726" t="s">
        <v>2200</v>
      </c>
      <c r="H726" t="s">
        <v>2201</v>
      </c>
      <c r="I726">
        <v>1</v>
      </c>
      <c r="J726">
        <v>0</v>
      </c>
      <c r="K726" t="s">
        <v>17</v>
      </c>
    </row>
    <row r="727" spans="1:11" x14ac:dyDescent="0.2">
      <c r="A727" t="s">
        <v>2202</v>
      </c>
      <c r="B727" t="s">
        <v>12</v>
      </c>
      <c r="C727" t="s">
        <v>102</v>
      </c>
      <c r="D727" t="s">
        <v>14</v>
      </c>
      <c r="E727">
        <v>812000</v>
      </c>
      <c r="F727">
        <v>268.52</v>
      </c>
      <c r="G727" t="s">
        <v>2203</v>
      </c>
      <c r="H727" t="s">
        <v>2204</v>
      </c>
      <c r="I727">
        <v>1</v>
      </c>
      <c r="J727">
        <v>0</v>
      </c>
      <c r="K727" t="s">
        <v>17</v>
      </c>
    </row>
    <row r="728" spans="1:11" x14ac:dyDescent="0.2">
      <c r="A728" t="s">
        <v>2205</v>
      </c>
      <c r="B728" t="s">
        <v>106</v>
      </c>
      <c r="C728" t="s">
        <v>42</v>
      </c>
      <c r="D728" t="s">
        <v>27</v>
      </c>
      <c r="E728">
        <v>320000</v>
      </c>
      <c r="F728">
        <v>532.45000000000005</v>
      </c>
      <c r="G728" t="s">
        <v>2206</v>
      </c>
      <c r="H728" t="s">
        <v>2207</v>
      </c>
      <c r="I728">
        <v>1</v>
      </c>
      <c r="J728">
        <v>0</v>
      </c>
      <c r="K728" t="s">
        <v>17</v>
      </c>
    </row>
    <row r="729" spans="1:11" x14ac:dyDescent="0.2">
      <c r="A729" t="s">
        <v>2208</v>
      </c>
      <c r="B729" t="s">
        <v>12</v>
      </c>
      <c r="C729" t="s">
        <v>51</v>
      </c>
      <c r="D729" t="s">
        <v>21</v>
      </c>
      <c r="E729">
        <v>310000</v>
      </c>
      <c r="F729">
        <v>515.80999999999995</v>
      </c>
      <c r="G729" t="s">
        <v>2209</v>
      </c>
      <c r="H729" t="s">
        <v>2210</v>
      </c>
      <c r="I729">
        <v>1</v>
      </c>
      <c r="J729">
        <v>0</v>
      </c>
      <c r="K729" t="s">
        <v>17</v>
      </c>
    </row>
    <row r="730" spans="1:11" x14ac:dyDescent="0.2">
      <c r="A730" t="s">
        <v>2211</v>
      </c>
      <c r="B730" t="s">
        <v>63</v>
      </c>
      <c r="C730" t="s">
        <v>20</v>
      </c>
      <c r="D730" t="s">
        <v>21</v>
      </c>
      <c r="E730">
        <v>186000</v>
      </c>
      <c r="F730">
        <v>309.48</v>
      </c>
      <c r="G730" t="s">
        <v>2212</v>
      </c>
      <c r="H730" t="s">
        <v>2213</v>
      </c>
      <c r="I730">
        <v>1</v>
      </c>
      <c r="J730">
        <v>0</v>
      </c>
      <c r="K730" t="s">
        <v>17</v>
      </c>
    </row>
    <row r="731" spans="1:11" x14ac:dyDescent="0.2">
      <c r="A731" t="s">
        <v>2214</v>
      </c>
      <c r="B731" t="s">
        <v>25</v>
      </c>
      <c r="C731" t="s">
        <v>42</v>
      </c>
      <c r="D731" t="s">
        <v>27</v>
      </c>
      <c r="E731">
        <v>167000</v>
      </c>
      <c r="F731">
        <v>277.87</v>
      </c>
      <c r="G731" t="s">
        <v>2215</v>
      </c>
      <c r="H731" t="s">
        <v>2216</v>
      </c>
      <c r="I731">
        <v>1</v>
      </c>
      <c r="J731">
        <v>0</v>
      </c>
      <c r="K731" t="s">
        <v>17</v>
      </c>
    </row>
    <row r="732" spans="1:11" x14ac:dyDescent="0.2">
      <c r="A732" t="s">
        <v>2217</v>
      </c>
      <c r="B732" t="s">
        <v>240</v>
      </c>
      <c r="C732" t="s">
        <v>13</v>
      </c>
      <c r="D732" t="s">
        <v>14</v>
      </c>
      <c r="E732">
        <v>680000</v>
      </c>
      <c r="F732">
        <v>224.87</v>
      </c>
      <c r="G732" t="s">
        <v>2218</v>
      </c>
      <c r="H732" t="s">
        <v>2219</v>
      </c>
      <c r="I732">
        <v>1</v>
      </c>
      <c r="J732">
        <v>0</v>
      </c>
      <c r="K732" t="s">
        <v>17</v>
      </c>
    </row>
    <row r="733" spans="1:11" x14ac:dyDescent="0.2">
      <c r="A733" t="s">
        <v>2220</v>
      </c>
      <c r="B733" t="s">
        <v>63</v>
      </c>
      <c r="C733" t="s">
        <v>26</v>
      </c>
      <c r="D733" t="s">
        <v>27</v>
      </c>
      <c r="E733">
        <v>312000</v>
      </c>
      <c r="F733">
        <v>519.13</v>
      </c>
      <c r="G733" t="s">
        <v>2221</v>
      </c>
      <c r="H733" t="s">
        <v>2222</v>
      </c>
      <c r="I733">
        <v>1</v>
      </c>
      <c r="J733">
        <v>0</v>
      </c>
      <c r="K733" t="s">
        <v>17</v>
      </c>
    </row>
    <row r="734" spans="1:11" x14ac:dyDescent="0.2">
      <c r="A734" t="s">
        <v>2223</v>
      </c>
      <c r="B734" t="s">
        <v>139</v>
      </c>
      <c r="C734" t="s">
        <v>51</v>
      </c>
      <c r="D734" t="s">
        <v>21</v>
      </c>
      <c r="E734">
        <v>92000</v>
      </c>
      <c r="F734">
        <v>153.08000000000001</v>
      </c>
      <c r="G734" t="s">
        <v>2224</v>
      </c>
      <c r="H734" t="s">
        <v>2225</v>
      </c>
      <c r="I734">
        <v>1</v>
      </c>
      <c r="J734">
        <v>0</v>
      </c>
      <c r="K734" t="s">
        <v>17</v>
      </c>
    </row>
    <row r="735" spans="1:11" x14ac:dyDescent="0.2">
      <c r="A735" t="s">
        <v>2226</v>
      </c>
      <c r="B735" t="s">
        <v>55</v>
      </c>
      <c r="C735" t="s">
        <v>51</v>
      </c>
      <c r="D735" t="s">
        <v>21</v>
      </c>
      <c r="E735">
        <v>1312000</v>
      </c>
      <c r="F735">
        <v>2183.0300000000002</v>
      </c>
      <c r="G735" t="s">
        <v>2227</v>
      </c>
      <c r="H735" t="s">
        <v>2228</v>
      </c>
      <c r="I735">
        <v>1</v>
      </c>
      <c r="J735">
        <v>0</v>
      </c>
      <c r="K735" t="s">
        <v>17</v>
      </c>
    </row>
    <row r="736" spans="1:11" x14ac:dyDescent="0.2">
      <c r="A736" t="s">
        <v>2229</v>
      </c>
      <c r="B736" t="s">
        <v>31</v>
      </c>
      <c r="C736" t="s">
        <v>42</v>
      </c>
      <c r="D736" t="s">
        <v>27</v>
      </c>
      <c r="E736">
        <v>262000</v>
      </c>
      <c r="F736">
        <v>435.94</v>
      </c>
      <c r="G736" t="s">
        <v>2230</v>
      </c>
      <c r="H736" t="s">
        <v>2231</v>
      </c>
      <c r="I736">
        <v>1</v>
      </c>
      <c r="J736">
        <v>0</v>
      </c>
      <c r="K736" t="s">
        <v>17</v>
      </c>
    </row>
    <row r="737" spans="1:11" x14ac:dyDescent="0.2">
      <c r="A737" t="s">
        <v>2232</v>
      </c>
      <c r="B737" t="s">
        <v>98</v>
      </c>
      <c r="C737" t="s">
        <v>102</v>
      </c>
      <c r="D737" t="s">
        <v>14</v>
      </c>
      <c r="E737">
        <v>1734000</v>
      </c>
      <c r="F737">
        <v>573.41</v>
      </c>
      <c r="G737" t="s">
        <v>2233</v>
      </c>
      <c r="H737" t="s">
        <v>2234</v>
      </c>
      <c r="I737">
        <v>1</v>
      </c>
      <c r="J737">
        <v>0</v>
      </c>
      <c r="K737" t="s">
        <v>17</v>
      </c>
    </row>
    <row r="738" spans="1:11" x14ac:dyDescent="0.2">
      <c r="A738" t="s">
        <v>2235</v>
      </c>
      <c r="B738" t="s">
        <v>87</v>
      </c>
      <c r="C738" t="s">
        <v>26</v>
      </c>
      <c r="D738" t="s">
        <v>27</v>
      </c>
      <c r="E738">
        <v>1575000</v>
      </c>
      <c r="F738">
        <v>2620.63</v>
      </c>
      <c r="G738" t="s">
        <v>2236</v>
      </c>
      <c r="H738" t="s">
        <v>2237</v>
      </c>
      <c r="I738">
        <v>1</v>
      </c>
      <c r="J738">
        <v>0</v>
      </c>
      <c r="K738" t="s">
        <v>17</v>
      </c>
    </row>
    <row r="739" spans="1:11" x14ac:dyDescent="0.2">
      <c r="A739" t="s">
        <v>2238</v>
      </c>
      <c r="B739" t="s">
        <v>139</v>
      </c>
      <c r="C739" t="s">
        <v>13</v>
      </c>
      <c r="D739" t="s">
        <v>14</v>
      </c>
      <c r="E739">
        <v>3076000</v>
      </c>
      <c r="F739">
        <v>1017.2</v>
      </c>
      <c r="G739" t="s">
        <v>2239</v>
      </c>
      <c r="H739" t="s">
        <v>2240</v>
      </c>
      <c r="I739">
        <v>1</v>
      </c>
      <c r="J739">
        <v>-62.83</v>
      </c>
      <c r="K739" t="s">
        <v>45</v>
      </c>
    </row>
    <row r="740" spans="1:11" x14ac:dyDescent="0.2">
      <c r="A740" t="s">
        <v>2241</v>
      </c>
      <c r="B740" t="s">
        <v>25</v>
      </c>
      <c r="C740" t="s">
        <v>102</v>
      </c>
      <c r="D740" t="s">
        <v>14</v>
      </c>
      <c r="E740">
        <v>5839000</v>
      </c>
      <c r="F740">
        <v>1930.89</v>
      </c>
      <c r="G740" t="s">
        <v>2242</v>
      </c>
      <c r="H740" t="s">
        <v>2243</v>
      </c>
      <c r="I740">
        <v>1</v>
      </c>
      <c r="J740">
        <v>0</v>
      </c>
      <c r="K740" t="s">
        <v>17</v>
      </c>
    </row>
    <row r="741" spans="1:11" x14ac:dyDescent="0.2">
      <c r="A741" t="s">
        <v>2244</v>
      </c>
      <c r="B741" t="s">
        <v>31</v>
      </c>
      <c r="C741" t="s">
        <v>42</v>
      </c>
      <c r="D741" t="s">
        <v>27</v>
      </c>
      <c r="E741">
        <v>1553000</v>
      </c>
      <c r="F741">
        <v>2584.0300000000002</v>
      </c>
      <c r="G741" t="s">
        <v>2245</v>
      </c>
      <c r="H741" t="s">
        <v>2246</v>
      </c>
      <c r="I741">
        <v>1</v>
      </c>
      <c r="J741">
        <v>0</v>
      </c>
      <c r="K741" t="s">
        <v>17</v>
      </c>
    </row>
    <row r="742" spans="1:11" x14ac:dyDescent="0.2">
      <c r="A742" t="s">
        <v>2247</v>
      </c>
      <c r="B742" t="s">
        <v>135</v>
      </c>
      <c r="C742" t="s">
        <v>13</v>
      </c>
      <c r="D742" t="s">
        <v>14</v>
      </c>
      <c r="E742">
        <v>2408000</v>
      </c>
      <c r="F742">
        <v>796.3</v>
      </c>
      <c r="G742" t="s">
        <v>2248</v>
      </c>
      <c r="H742" t="s">
        <v>2249</v>
      </c>
      <c r="I742">
        <v>1</v>
      </c>
      <c r="J742">
        <v>0</v>
      </c>
      <c r="K742" t="s">
        <v>17</v>
      </c>
    </row>
    <row r="743" spans="1:11" x14ac:dyDescent="0.2">
      <c r="A743" t="s">
        <v>2250</v>
      </c>
      <c r="B743" t="s">
        <v>19</v>
      </c>
      <c r="C743" t="s">
        <v>102</v>
      </c>
      <c r="D743" t="s">
        <v>14</v>
      </c>
      <c r="E743">
        <v>2690000</v>
      </c>
      <c r="F743">
        <v>889.55</v>
      </c>
      <c r="G743" t="s">
        <v>2251</v>
      </c>
      <c r="H743" t="s">
        <v>2252</v>
      </c>
      <c r="I743">
        <v>1</v>
      </c>
      <c r="J743">
        <v>0</v>
      </c>
      <c r="K743" t="s">
        <v>17</v>
      </c>
    </row>
    <row r="744" spans="1:11" x14ac:dyDescent="0.2">
      <c r="A744" t="s">
        <v>2253</v>
      </c>
      <c r="B744" t="s">
        <v>87</v>
      </c>
      <c r="C744" t="s">
        <v>20</v>
      </c>
      <c r="D744" t="s">
        <v>21</v>
      </c>
      <c r="E744">
        <v>451000</v>
      </c>
      <c r="F744">
        <v>750.42</v>
      </c>
      <c r="G744" t="s">
        <v>2254</v>
      </c>
      <c r="H744" t="s">
        <v>2255</v>
      </c>
      <c r="I744">
        <v>1</v>
      </c>
      <c r="J744">
        <v>0</v>
      </c>
      <c r="K744" t="s">
        <v>17</v>
      </c>
    </row>
    <row r="745" spans="1:11" x14ac:dyDescent="0.2">
      <c r="A745" t="s">
        <v>2256</v>
      </c>
      <c r="B745" t="s">
        <v>59</v>
      </c>
      <c r="C745" t="s">
        <v>20</v>
      </c>
      <c r="D745" t="s">
        <v>21</v>
      </c>
      <c r="E745">
        <v>807000</v>
      </c>
      <c r="F745">
        <v>1342.76</v>
      </c>
      <c r="G745" t="s">
        <v>2257</v>
      </c>
      <c r="H745" t="s">
        <v>2258</v>
      </c>
      <c r="I745">
        <v>1</v>
      </c>
      <c r="J745">
        <v>0</v>
      </c>
      <c r="K745" t="s">
        <v>17</v>
      </c>
    </row>
    <row r="746" spans="1:11" x14ac:dyDescent="0.2">
      <c r="A746" t="s">
        <v>2259</v>
      </c>
      <c r="B746" t="s">
        <v>25</v>
      </c>
      <c r="C746" t="s">
        <v>13</v>
      </c>
      <c r="D746" t="s">
        <v>14</v>
      </c>
      <c r="E746">
        <v>448000</v>
      </c>
      <c r="F746">
        <v>148.15</v>
      </c>
      <c r="G746" t="s">
        <v>2260</v>
      </c>
      <c r="H746" t="s">
        <v>2261</v>
      </c>
      <c r="I746">
        <v>1</v>
      </c>
      <c r="J746">
        <v>0</v>
      </c>
      <c r="K746" t="s">
        <v>17</v>
      </c>
    </row>
    <row r="747" spans="1:11" x14ac:dyDescent="0.2">
      <c r="A747" t="s">
        <v>2262</v>
      </c>
      <c r="B747" t="s">
        <v>35</v>
      </c>
      <c r="C747" t="s">
        <v>13</v>
      </c>
      <c r="D747" t="s">
        <v>14</v>
      </c>
      <c r="E747">
        <v>1126000</v>
      </c>
      <c r="F747">
        <v>372.35</v>
      </c>
      <c r="G747" t="s">
        <v>2263</v>
      </c>
      <c r="H747" t="s">
        <v>2264</v>
      </c>
      <c r="I747">
        <v>1</v>
      </c>
      <c r="J747">
        <v>0</v>
      </c>
      <c r="K747" t="s">
        <v>17</v>
      </c>
    </row>
    <row r="748" spans="1:11" x14ac:dyDescent="0.2">
      <c r="A748" t="s">
        <v>2265</v>
      </c>
      <c r="B748" t="s">
        <v>77</v>
      </c>
      <c r="C748" t="s">
        <v>13</v>
      </c>
      <c r="D748" t="s">
        <v>14</v>
      </c>
      <c r="E748">
        <v>1434000</v>
      </c>
      <c r="F748">
        <v>474.21</v>
      </c>
      <c r="G748" t="s">
        <v>2266</v>
      </c>
      <c r="H748" t="s">
        <v>2267</v>
      </c>
      <c r="I748">
        <v>1</v>
      </c>
      <c r="J748">
        <v>0</v>
      </c>
      <c r="K748" t="s">
        <v>17</v>
      </c>
    </row>
    <row r="749" spans="1:11" x14ac:dyDescent="0.2">
      <c r="A749" t="s">
        <v>2268</v>
      </c>
      <c r="B749" t="s">
        <v>77</v>
      </c>
      <c r="C749" t="s">
        <v>20</v>
      </c>
      <c r="D749" t="s">
        <v>21</v>
      </c>
      <c r="E749">
        <v>882000</v>
      </c>
      <c r="F749">
        <v>1467.55</v>
      </c>
      <c r="G749" t="s">
        <v>2269</v>
      </c>
      <c r="H749" t="s">
        <v>2270</v>
      </c>
      <c r="I749">
        <v>1</v>
      </c>
      <c r="J749">
        <v>0</v>
      </c>
      <c r="K749" t="s">
        <v>17</v>
      </c>
    </row>
    <row r="750" spans="1:11" x14ac:dyDescent="0.2">
      <c r="A750" t="s">
        <v>2271</v>
      </c>
      <c r="B750" t="s">
        <v>106</v>
      </c>
      <c r="C750" t="s">
        <v>20</v>
      </c>
      <c r="D750" t="s">
        <v>21</v>
      </c>
      <c r="E750">
        <v>251000</v>
      </c>
      <c r="F750">
        <v>417.64</v>
      </c>
      <c r="G750" t="s">
        <v>2272</v>
      </c>
      <c r="H750" t="s">
        <v>2273</v>
      </c>
      <c r="I750">
        <v>1</v>
      </c>
      <c r="J750">
        <v>0</v>
      </c>
      <c r="K750" t="s">
        <v>17</v>
      </c>
    </row>
    <row r="751" spans="1:11" x14ac:dyDescent="0.2">
      <c r="A751" t="s">
        <v>2274</v>
      </c>
      <c r="B751" t="s">
        <v>139</v>
      </c>
      <c r="C751" t="s">
        <v>26</v>
      </c>
      <c r="D751" t="s">
        <v>27</v>
      </c>
      <c r="E751">
        <v>1963000</v>
      </c>
      <c r="F751">
        <v>3266.22</v>
      </c>
      <c r="G751" t="s">
        <v>2275</v>
      </c>
      <c r="H751" t="s">
        <v>2276</v>
      </c>
      <c r="I751">
        <v>1</v>
      </c>
      <c r="J751">
        <v>0</v>
      </c>
      <c r="K751" t="s">
        <v>17</v>
      </c>
    </row>
    <row r="752" spans="1:11" x14ac:dyDescent="0.2">
      <c r="A752" t="s">
        <v>2277</v>
      </c>
      <c r="B752" t="s">
        <v>128</v>
      </c>
      <c r="C752" t="s">
        <v>102</v>
      </c>
      <c r="D752" t="s">
        <v>14</v>
      </c>
      <c r="E752">
        <v>4068000</v>
      </c>
      <c r="F752">
        <v>1345.24</v>
      </c>
      <c r="G752" t="s">
        <v>2278</v>
      </c>
      <c r="H752" t="s">
        <v>2279</v>
      </c>
      <c r="I752">
        <v>1</v>
      </c>
      <c r="J752">
        <v>0</v>
      </c>
      <c r="K752" t="s">
        <v>17</v>
      </c>
    </row>
    <row r="753" spans="1:11" x14ac:dyDescent="0.2">
      <c r="A753" t="s">
        <v>2280</v>
      </c>
      <c r="B753" t="s">
        <v>87</v>
      </c>
      <c r="C753" t="s">
        <v>20</v>
      </c>
      <c r="D753" t="s">
        <v>21</v>
      </c>
      <c r="E753">
        <v>167000</v>
      </c>
      <c r="F753">
        <v>277.87</v>
      </c>
      <c r="G753" t="s">
        <v>2281</v>
      </c>
      <c r="H753" t="s">
        <v>2282</v>
      </c>
      <c r="I753">
        <v>1</v>
      </c>
      <c r="J753">
        <v>0</v>
      </c>
      <c r="K753" t="s">
        <v>17</v>
      </c>
    </row>
    <row r="754" spans="1:11" x14ac:dyDescent="0.2">
      <c r="A754" t="s">
        <v>2283</v>
      </c>
      <c r="B754" t="s">
        <v>31</v>
      </c>
      <c r="C754" t="s">
        <v>26</v>
      </c>
      <c r="D754" t="s">
        <v>27</v>
      </c>
      <c r="E754">
        <v>203000</v>
      </c>
      <c r="F754">
        <v>337.77</v>
      </c>
      <c r="G754" t="s">
        <v>2284</v>
      </c>
      <c r="H754" t="s">
        <v>2285</v>
      </c>
      <c r="I754">
        <v>1</v>
      </c>
      <c r="J754">
        <v>0</v>
      </c>
      <c r="K754" t="s">
        <v>17</v>
      </c>
    </row>
    <row r="755" spans="1:11" x14ac:dyDescent="0.2">
      <c r="A755" t="s">
        <v>2286</v>
      </c>
      <c r="B755" t="s">
        <v>128</v>
      </c>
      <c r="C755" t="s">
        <v>26</v>
      </c>
      <c r="D755" t="s">
        <v>27</v>
      </c>
      <c r="E755">
        <v>1149000</v>
      </c>
      <c r="F755">
        <v>1911.81</v>
      </c>
      <c r="G755" t="s">
        <v>2287</v>
      </c>
      <c r="H755" t="s">
        <v>2288</v>
      </c>
      <c r="I755">
        <v>1</v>
      </c>
      <c r="J755">
        <v>0</v>
      </c>
      <c r="K755" t="s">
        <v>17</v>
      </c>
    </row>
    <row r="756" spans="1:11" x14ac:dyDescent="0.2">
      <c r="A756" t="s">
        <v>2289</v>
      </c>
      <c r="B756" t="s">
        <v>91</v>
      </c>
      <c r="C756" t="s">
        <v>26</v>
      </c>
      <c r="D756" t="s">
        <v>27</v>
      </c>
      <c r="E756">
        <v>737000</v>
      </c>
      <c r="F756">
        <v>1226.29</v>
      </c>
      <c r="G756" t="s">
        <v>2290</v>
      </c>
      <c r="H756" t="s">
        <v>2291</v>
      </c>
      <c r="I756">
        <v>1</v>
      </c>
      <c r="J756">
        <v>0</v>
      </c>
      <c r="K756" t="s">
        <v>17</v>
      </c>
    </row>
    <row r="757" spans="1:11" x14ac:dyDescent="0.2">
      <c r="A757" t="s">
        <v>2292</v>
      </c>
      <c r="B757" t="s">
        <v>135</v>
      </c>
      <c r="C757" t="s">
        <v>51</v>
      </c>
      <c r="D757" t="s">
        <v>21</v>
      </c>
      <c r="E757">
        <v>481000</v>
      </c>
      <c r="F757">
        <v>800.33</v>
      </c>
      <c r="G757" t="s">
        <v>2293</v>
      </c>
      <c r="H757" t="s">
        <v>2294</v>
      </c>
      <c r="I757">
        <v>1</v>
      </c>
      <c r="J757">
        <v>0</v>
      </c>
      <c r="K757" t="s">
        <v>17</v>
      </c>
    </row>
    <row r="758" spans="1:11" x14ac:dyDescent="0.2">
      <c r="A758" t="s">
        <v>2295</v>
      </c>
      <c r="B758" t="s">
        <v>139</v>
      </c>
      <c r="C758" t="s">
        <v>51</v>
      </c>
      <c r="D758" t="s">
        <v>21</v>
      </c>
      <c r="E758">
        <v>812000</v>
      </c>
      <c r="F758">
        <v>1351.08</v>
      </c>
      <c r="G758" t="s">
        <v>2296</v>
      </c>
      <c r="H758" t="s">
        <v>2297</v>
      </c>
      <c r="I758">
        <v>1</v>
      </c>
      <c r="J758">
        <v>0</v>
      </c>
      <c r="K758" t="s">
        <v>17</v>
      </c>
    </row>
    <row r="759" spans="1:11" x14ac:dyDescent="0.2">
      <c r="A759" t="s">
        <v>2298</v>
      </c>
      <c r="B759" t="s">
        <v>35</v>
      </c>
      <c r="C759" t="s">
        <v>20</v>
      </c>
      <c r="D759" t="s">
        <v>21</v>
      </c>
      <c r="E759">
        <v>979000</v>
      </c>
      <c r="F759">
        <v>1628.95</v>
      </c>
      <c r="G759" t="s">
        <v>2299</v>
      </c>
      <c r="H759" t="s">
        <v>2300</v>
      </c>
      <c r="I759">
        <v>1</v>
      </c>
      <c r="J759">
        <v>0</v>
      </c>
      <c r="K759" t="s">
        <v>17</v>
      </c>
    </row>
    <row r="760" spans="1:11" x14ac:dyDescent="0.2">
      <c r="A760" t="s">
        <v>2301</v>
      </c>
      <c r="B760" t="s">
        <v>135</v>
      </c>
      <c r="C760" t="s">
        <v>42</v>
      </c>
      <c r="D760" t="s">
        <v>27</v>
      </c>
      <c r="E760">
        <v>298000</v>
      </c>
      <c r="F760">
        <v>495.84</v>
      </c>
      <c r="G760" t="s">
        <v>2302</v>
      </c>
      <c r="H760" t="s">
        <v>2303</v>
      </c>
      <c r="I760">
        <v>1</v>
      </c>
      <c r="J760">
        <v>0</v>
      </c>
      <c r="K760" t="s">
        <v>17</v>
      </c>
    </row>
    <row r="761" spans="1:11" x14ac:dyDescent="0.2">
      <c r="A761" t="s">
        <v>2304</v>
      </c>
      <c r="B761" t="s">
        <v>106</v>
      </c>
      <c r="C761" t="s">
        <v>102</v>
      </c>
      <c r="D761" t="s">
        <v>14</v>
      </c>
      <c r="E761">
        <v>6637000</v>
      </c>
      <c r="F761">
        <v>2194.7800000000002</v>
      </c>
      <c r="G761" t="s">
        <v>2305</v>
      </c>
      <c r="H761" t="s">
        <v>2306</v>
      </c>
      <c r="I761">
        <v>1</v>
      </c>
      <c r="J761">
        <v>0</v>
      </c>
      <c r="K761" t="s">
        <v>17</v>
      </c>
    </row>
    <row r="762" spans="1:11" x14ac:dyDescent="0.2">
      <c r="A762" t="s">
        <v>2307</v>
      </c>
      <c r="B762" t="s">
        <v>98</v>
      </c>
      <c r="C762" t="s">
        <v>42</v>
      </c>
      <c r="D762" t="s">
        <v>27</v>
      </c>
      <c r="E762">
        <v>1285000</v>
      </c>
      <c r="F762">
        <v>2138.1</v>
      </c>
      <c r="G762" t="s">
        <v>2308</v>
      </c>
      <c r="H762" t="s">
        <v>2309</v>
      </c>
      <c r="I762">
        <v>1</v>
      </c>
      <c r="J762">
        <v>0</v>
      </c>
      <c r="K762" t="s">
        <v>17</v>
      </c>
    </row>
    <row r="763" spans="1:11" x14ac:dyDescent="0.2">
      <c r="A763" t="s">
        <v>2310</v>
      </c>
      <c r="B763" t="s">
        <v>31</v>
      </c>
      <c r="C763" t="s">
        <v>26</v>
      </c>
      <c r="D763" t="s">
        <v>27</v>
      </c>
      <c r="E763">
        <v>56000</v>
      </c>
      <c r="F763">
        <v>93.18</v>
      </c>
      <c r="G763" t="s">
        <v>2311</v>
      </c>
      <c r="H763" t="s">
        <v>2312</v>
      </c>
      <c r="I763">
        <v>1</v>
      </c>
      <c r="J763">
        <v>0</v>
      </c>
      <c r="K763" t="s">
        <v>17</v>
      </c>
    </row>
    <row r="764" spans="1:11" x14ac:dyDescent="0.2">
      <c r="A764" t="s">
        <v>2313</v>
      </c>
      <c r="B764" t="s">
        <v>135</v>
      </c>
      <c r="C764" t="s">
        <v>20</v>
      </c>
      <c r="D764" t="s">
        <v>21</v>
      </c>
      <c r="E764">
        <v>425000</v>
      </c>
      <c r="F764">
        <v>707.15</v>
      </c>
      <c r="G764" t="s">
        <v>2314</v>
      </c>
      <c r="H764" t="s">
        <v>2315</v>
      </c>
      <c r="I764">
        <v>1</v>
      </c>
      <c r="J764">
        <v>0</v>
      </c>
      <c r="K764" t="s">
        <v>17</v>
      </c>
    </row>
    <row r="765" spans="1:11" x14ac:dyDescent="0.2">
      <c r="A765" t="s">
        <v>2316</v>
      </c>
      <c r="B765" t="s">
        <v>25</v>
      </c>
      <c r="C765" t="s">
        <v>26</v>
      </c>
      <c r="D765" t="s">
        <v>27</v>
      </c>
      <c r="E765">
        <v>716000</v>
      </c>
      <c r="F765">
        <v>1191.3499999999999</v>
      </c>
      <c r="G765" t="s">
        <v>2317</v>
      </c>
      <c r="H765" t="s">
        <v>2318</v>
      </c>
      <c r="I765">
        <v>1</v>
      </c>
      <c r="J765">
        <v>0</v>
      </c>
      <c r="K765" t="s">
        <v>17</v>
      </c>
    </row>
    <row r="766" spans="1:11" x14ac:dyDescent="0.2">
      <c r="A766" t="s">
        <v>2319</v>
      </c>
      <c r="B766" t="s">
        <v>135</v>
      </c>
      <c r="C766" t="s">
        <v>13</v>
      </c>
      <c r="D766" t="s">
        <v>14</v>
      </c>
      <c r="E766">
        <v>678000</v>
      </c>
      <c r="F766">
        <v>224.21</v>
      </c>
      <c r="G766" t="s">
        <v>2320</v>
      </c>
      <c r="H766" t="s">
        <v>2321</v>
      </c>
      <c r="I766">
        <v>1</v>
      </c>
      <c r="J766">
        <v>0</v>
      </c>
      <c r="K766" t="s">
        <v>17</v>
      </c>
    </row>
    <row r="767" spans="1:11" x14ac:dyDescent="0.2">
      <c r="A767" t="s">
        <v>2322</v>
      </c>
      <c r="B767" t="s">
        <v>135</v>
      </c>
      <c r="C767" t="s">
        <v>20</v>
      </c>
      <c r="D767" t="s">
        <v>21</v>
      </c>
      <c r="E767">
        <v>620000</v>
      </c>
      <c r="F767">
        <v>1031.6099999999999</v>
      </c>
      <c r="G767" t="s">
        <v>2323</v>
      </c>
      <c r="H767" t="s">
        <v>2324</v>
      </c>
      <c r="I767">
        <v>1</v>
      </c>
      <c r="J767">
        <v>0</v>
      </c>
      <c r="K767" t="s">
        <v>17</v>
      </c>
    </row>
    <row r="768" spans="1:11" x14ac:dyDescent="0.2">
      <c r="A768" t="s">
        <v>2325</v>
      </c>
      <c r="B768" t="s">
        <v>106</v>
      </c>
      <c r="C768" t="s">
        <v>42</v>
      </c>
      <c r="D768" t="s">
        <v>27</v>
      </c>
      <c r="E768">
        <v>321000</v>
      </c>
      <c r="F768">
        <v>534.11</v>
      </c>
      <c r="G768" t="s">
        <v>2326</v>
      </c>
      <c r="H768" t="s">
        <v>2327</v>
      </c>
      <c r="I768">
        <v>1</v>
      </c>
      <c r="J768">
        <v>0</v>
      </c>
      <c r="K768" t="s">
        <v>17</v>
      </c>
    </row>
    <row r="769" spans="1:11" x14ac:dyDescent="0.2">
      <c r="A769" t="s">
        <v>2328</v>
      </c>
      <c r="B769" t="s">
        <v>98</v>
      </c>
      <c r="C769" t="s">
        <v>51</v>
      </c>
      <c r="D769" t="s">
        <v>21</v>
      </c>
      <c r="E769">
        <v>476000</v>
      </c>
      <c r="F769">
        <v>792.01</v>
      </c>
      <c r="G769" t="s">
        <v>2329</v>
      </c>
      <c r="H769" t="s">
        <v>2330</v>
      </c>
      <c r="I769">
        <v>1</v>
      </c>
      <c r="J769">
        <v>0</v>
      </c>
      <c r="K769" t="s">
        <v>17</v>
      </c>
    </row>
    <row r="770" spans="1:11" x14ac:dyDescent="0.2">
      <c r="A770" t="s">
        <v>2331</v>
      </c>
      <c r="B770" t="s">
        <v>67</v>
      </c>
      <c r="C770" t="s">
        <v>20</v>
      </c>
      <c r="D770" t="s">
        <v>21</v>
      </c>
      <c r="E770">
        <v>410000</v>
      </c>
      <c r="F770">
        <v>682.2</v>
      </c>
      <c r="G770" t="s">
        <v>2332</v>
      </c>
      <c r="H770" t="s">
        <v>2333</v>
      </c>
      <c r="I770">
        <v>1</v>
      </c>
      <c r="J770">
        <v>0</v>
      </c>
      <c r="K770" t="s">
        <v>17</v>
      </c>
    </row>
    <row r="771" spans="1:11" x14ac:dyDescent="0.2">
      <c r="A771" t="s">
        <v>2334</v>
      </c>
      <c r="B771" t="s">
        <v>67</v>
      </c>
      <c r="C771" t="s">
        <v>20</v>
      </c>
      <c r="D771" t="s">
        <v>21</v>
      </c>
      <c r="E771">
        <v>433000</v>
      </c>
      <c r="F771">
        <v>720.47</v>
      </c>
      <c r="G771" t="s">
        <v>2335</v>
      </c>
      <c r="H771" t="s">
        <v>2336</v>
      </c>
      <c r="I771">
        <v>1</v>
      </c>
      <c r="J771">
        <v>0</v>
      </c>
      <c r="K771" t="s">
        <v>17</v>
      </c>
    </row>
    <row r="772" spans="1:11" x14ac:dyDescent="0.2">
      <c r="A772" t="s">
        <v>2337</v>
      </c>
      <c r="B772" t="s">
        <v>35</v>
      </c>
      <c r="C772" t="s">
        <v>102</v>
      </c>
      <c r="D772" t="s">
        <v>14</v>
      </c>
      <c r="E772">
        <v>8373000</v>
      </c>
      <c r="F772">
        <v>2768.85</v>
      </c>
      <c r="G772" t="s">
        <v>2338</v>
      </c>
      <c r="H772" t="s">
        <v>2339</v>
      </c>
      <c r="I772">
        <v>1</v>
      </c>
      <c r="J772">
        <v>0</v>
      </c>
      <c r="K772" t="s">
        <v>17</v>
      </c>
    </row>
    <row r="773" spans="1:11" x14ac:dyDescent="0.2">
      <c r="A773" t="s">
        <v>2340</v>
      </c>
      <c r="B773" t="s">
        <v>19</v>
      </c>
      <c r="C773" t="s">
        <v>13</v>
      </c>
      <c r="D773" t="s">
        <v>14</v>
      </c>
      <c r="E773">
        <v>2367000</v>
      </c>
      <c r="F773">
        <v>782.74</v>
      </c>
      <c r="G773" t="s">
        <v>2341</v>
      </c>
      <c r="H773" t="s">
        <v>2342</v>
      </c>
      <c r="I773">
        <v>1</v>
      </c>
      <c r="J773">
        <v>0</v>
      </c>
      <c r="K773" t="s">
        <v>17</v>
      </c>
    </row>
    <row r="774" spans="1:11" x14ac:dyDescent="0.2">
      <c r="A774" t="s">
        <v>2343</v>
      </c>
      <c r="B774" t="s">
        <v>240</v>
      </c>
      <c r="C774" t="s">
        <v>42</v>
      </c>
      <c r="D774" t="s">
        <v>27</v>
      </c>
      <c r="E774">
        <v>2081000</v>
      </c>
      <c r="F774">
        <v>3462.56</v>
      </c>
      <c r="G774" t="s">
        <v>2344</v>
      </c>
      <c r="H774" t="s">
        <v>2345</v>
      </c>
      <c r="I774">
        <v>1</v>
      </c>
      <c r="J774">
        <v>0</v>
      </c>
      <c r="K774" t="s">
        <v>17</v>
      </c>
    </row>
    <row r="775" spans="1:11" x14ac:dyDescent="0.2">
      <c r="A775" t="s">
        <v>2346</v>
      </c>
      <c r="B775" t="s">
        <v>55</v>
      </c>
      <c r="C775" t="s">
        <v>20</v>
      </c>
      <c r="D775" t="s">
        <v>21</v>
      </c>
      <c r="E775">
        <v>242000</v>
      </c>
      <c r="F775">
        <v>402.66</v>
      </c>
      <c r="G775" t="s">
        <v>2347</v>
      </c>
      <c r="H775" t="s">
        <v>2348</v>
      </c>
      <c r="I775">
        <v>1</v>
      </c>
      <c r="J775">
        <v>0</v>
      </c>
      <c r="K775" t="s">
        <v>17</v>
      </c>
    </row>
    <row r="776" spans="1:11" x14ac:dyDescent="0.2">
      <c r="A776" t="s">
        <v>2349</v>
      </c>
      <c r="B776" t="s">
        <v>135</v>
      </c>
      <c r="C776" t="s">
        <v>20</v>
      </c>
      <c r="D776" t="s">
        <v>21</v>
      </c>
      <c r="E776">
        <v>341000</v>
      </c>
      <c r="F776">
        <v>567.39</v>
      </c>
      <c r="G776" t="s">
        <v>2350</v>
      </c>
      <c r="H776" t="s">
        <v>2351</v>
      </c>
      <c r="I776">
        <v>1</v>
      </c>
      <c r="J776">
        <v>0</v>
      </c>
      <c r="K776" t="s">
        <v>17</v>
      </c>
    </row>
    <row r="777" spans="1:11" x14ac:dyDescent="0.2">
      <c r="A777" t="s">
        <v>2352</v>
      </c>
      <c r="B777" t="s">
        <v>240</v>
      </c>
      <c r="C777" t="s">
        <v>102</v>
      </c>
      <c r="D777" t="s">
        <v>14</v>
      </c>
      <c r="E777">
        <v>1403000</v>
      </c>
      <c r="F777">
        <v>463.96</v>
      </c>
      <c r="G777" t="s">
        <v>2353</v>
      </c>
      <c r="H777" t="s">
        <v>2354</v>
      </c>
      <c r="I777">
        <v>1</v>
      </c>
      <c r="J777">
        <v>0</v>
      </c>
      <c r="K777" t="s">
        <v>17</v>
      </c>
    </row>
    <row r="778" spans="1:11" x14ac:dyDescent="0.2">
      <c r="A778" t="s">
        <v>2355</v>
      </c>
      <c r="B778" t="s">
        <v>31</v>
      </c>
      <c r="C778" t="s">
        <v>13</v>
      </c>
      <c r="D778" t="s">
        <v>14</v>
      </c>
      <c r="E778">
        <v>3123000</v>
      </c>
      <c r="F778">
        <v>1032.74</v>
      </c>
      <c r="G778" t="s">
        <v>2356</v>
      </c>
      <c r="H778" t="s">
        <v>2357</v>
      </c>
      <c r="I778">
        <v>1</v>
      </c>
      <c r="J778">
        <v>0</v>
      </c>
      <c r="K778" t="s">
        <v>17</v>
      </c>
    </row>
    <row r="779" spans="1:11" x14ac:dyDescent="0.2">
      <c r="A779" t="s">
        <v>2358</v>
      </c>
      <c r="B779" t="s">
        <v>143</v>
      </c>
      <c r="C779" t="s">
        <v>26</v>
      </c>
      <c r="D779" t="s">
        <v>27</v>
      </c>
      <c r="E779">
        <v>782000</v>
      </c>
      <c r="F779">
        <v>1301.1600000000001</v>
      </c>
      <c r="G779" t="s">
        <v>2359</v>
      </c>
      <c r="H779" t="s">
        <v>2360</v>
      </c>
      <c r="I779">
        <v>1</v>
      </c>
      <c r="J779">
        <v>0</v>
      </c>
      <c r="K779" t="s">
        <v>17</v>
      </c>
    </row>
    <row r="780" spans="1:11" x14ac:dyDescent="0.2">
      <c r="A780" t="s">
        <v>2361</v>
      </c>
      <c r="B780" t="s">
        <v>63</v>
      </c>
      <c r="C780" t="s">
        <v>42</v>
      </c>
      <c r="D780" t="s">
        <v>27</v>
      </c>
      <c r="E780">
        <v>535000</v>
      </c>
      <c r="F780">
        <v>890.18</v>
      </c>
      <c r="G780" t="s">
        <v>2362</v>
      </c>
      <c r="H780" t="s">
        <v>2363</v>
      </c>
      <c r="I780">
        <v>1</v>
      </c>
      <c r="J780">
        <v>0</v>
      </c>
      <c r="K780" t="s">
        <v>17</v>
      </c>
    </row>
    <row r="781" spans="1:11" x14ac:dyDescent="0.2">
      <c r="A781" t="s">
        <v>2364</v>
      </c>
      <c r="B781" t="s">
        <v>50</v>
      </c>
      <c r="C781" t="s">
        <v>20</v>
      </c>
      <c r="D781" t="s">
        <v>21</v>
      </c>
      <c r="E781">
        <v>120000</v>
      </c>
      <c r="F781">
        <v>199.67</v>
      </c>
      <c r="G781" t="s">
        <v>2365</v>
      </c>
      <c r="H781" t="s">
        <v>2366</v>
      </c>
      <c r="I781">
        <v>1</v>
      </c>
      <c r="J781">
        <v>0</v>
      </c>
      <c r="K781" t="s">
        <v>17</v>
      </c>
    </row>
    <row r="782" spans="1:11" x14ac:dyDescent="0.2">
      <c r="A782" t="s">
        <v>2367</v>
      </c>
      <c r="B782" t="s">
        <v>31</v>
      </c>
      <c r="C782" t="s">
        <v>13</v>
      </c>
      <c r="D782" t="s">
        <v>14</v>
      </c>
      <c r="E782">
        <v>6378000</v>
      </c>
      <c r="F782">
        <v>2109.13</v>
      </c>
      <c r="G782" t="s">
        <v>2368</v>
      </c>
      <c r="H782" t="s">
        <v>2369</v>
      </c>
      <c r="I782">
        <v>1</v>
      </c>
      <c r="J782">
        <v>0</v>
      </c>
      <c r="K782" t="s">
        <v>17</v>
      </c>
    </row>
    <row r="783" spans="1:11" x14ac:dyDescent="0.2">
      <c r="A783" t="s">
        <v>2370</v>
      </c>
      <c r="B783" t="s">
        <v>50</v>
      </c>
      <c r="C783" t="s">
        <v>20</v>
      </c>
      <c r="D783" t="s">
        <v>21</v>
      </c>
      <c r="E783">
        <v>437000</v>
      </c>
      <c r="F783">
        <v>727.12</v>
      </c>
      <c r="G783" t="s">
        <v>2371</v>
      </c>
      <c r="H783" t="s">
        <v>2372</v>
      </c>
      <c r="I783">
        <v>1</v>
      </c>
      <c r="J783">
        <v>0</v>
      </c>
      <c r="K783" t="s">
        <v>17</v>
      </c>
    </row>
    <row r="784" spans="1:11" x14ac:dyDescent="0.2">
      <c r="A784" t="s">
        <v>2373</v>
      </c>
      <c r="B784" t="s">
        <v>77</v>
      </c>
      <c r="C784" t="s">
        <v>20</v>
      </c>
      <c r="D784" t="s">
        <v>21</v>
      </c>
      <c r="E784">
        <v>605000</v>
      </c>
      <c r="F784">
        <v>1006.66</v>
      </c>
      <c r="G784" t="s">
        <v>2374</v>
      </c>
      <c r="H784" t="s">
        <v>2375</v>
      </c>
      <c r="I784">
        <v>1</v>
      </c>
      <c r="J784">
        <v>0</v>
      </c>
      <c r="K784" t="s">
        <v>17</v>
      </c>
    </row>
    <row r="785" spans="1:11" x14ac:dyDescent="0.2">
      <c r="A785" t="s">
        <v>2376</v>
      </c>
      <c r="B785" t="s">
        <v>91</v>
      </c>
      <c r="C785" t="s">
        <v>42</v>
      </c>
      <c r="D785" t="s">
        <v>27</v>
      </c>
      <c r="E785">
        <v>919000</v>
      </c>
      <c r="F785">
        <v>1529.12</v>
      </c>
      <c r="G785" t="s">
        <v>2377</v>
      </c>
      <c r="H785" t="s">
        <v>2378</v>
      </c>
      <c r="I785">
        <v>1</v>
      </c>
      <c r="J785">
        <v>0</v>
      </c>
      <c r="K785" t="s">
        <v>17</v>
      </c>
    </row>
    <row r="786" spans="1:11" x14ac:dyDescent="0.2">
      <c r="A786" t="s">
        <v>2379</v>
      </c>
      <c r="B786" t="s">
        <v>59</v>
      </c>
      <c r="C786" t="s">
        <v>42</v>
      </c>
      <c r="D786" t="s">
        <v>27</v>
      </c>
      <c r="E786">
        <v>118000</v>
      </c>
      <c r="F786">
        <v>196.34</v>
      </c>
      <c r="G786" t="s">
        <v>2380</v>
      </c>
      <c r="H786" t="s">
        <v>2381</v>
      </c>
      <c r="I786">
        <v>1</v>
      </c>
      <c r="J786">
        <v>0</v>
      </c>
      <c r="K786" t="s">
        <v>17</v>
      </c>
    </row>
    <row r="787" spans="1:11" x14ac:dyDescent="0.2">
      <c r="A787" t="s">
        <v>2382</v>
      </c>
      <c r="B787" t="s">
        <v>55</v>
      </c>
      <c r="C787" t="s">
        <v>26</v>
      </c>
      <c r="D787" t="s">
        <v>27</v>
      </c>
      <c r="E787">
        <v>234000</v>
      </c>
      <c r="F787">
        <v>389.35</v>
      </c>
      <c r="G787" t="s">
        <v>2383</v>
      </c>
      <c r="H787" t="s">
        <v>2384</v>
      </c>
      <c r="I787">
        <v>1</v>
      </c>
      <c r="J787">
        <v>0</v>
      </c>
      <c r="K787" t="s">
        <v>17</v>
      </c>
    </row>
    <row r="788" spans="1:11" x14ac:dyDescent="0.2">
      <c r="A788" t="s">
        <v>2385</v>
      </c>
      <c r="B788" t="s">
        <v>98</v>
      </c>
      <c r="C788" t="s">
        <v>13</v>
      </c>
      <c r="D788" t="s">
        <v>14</v>
      </c>
      <c r="E788">
        <v>2574000</v>
      </c>
      <c r="F788">
        <v>851.19</v>
      </c>
      <c r="G788" t="s">
        <v>2386</v>
      </c>
      <c r="H788" t="s">
        <v>2387</v>
      </c>
      <c r="I788">
        <v>1</v>
      </c>
      <c r="J788">
        <v>0</v>
      </c>
      <c r="K788" t="s">
        <v>17</v>
      </c>
    </row>
    <row r="789" spans="1:11" x14ac:dyDescent="0.2">
      <c r="A789" t="s">
        <v>2388</v>
      </c>
      <c r="B789" t="s">
        <v>77</v>
      </c>
      <c r="C789" t="s">
        <v>42</v>
      </c>
      <c r="D789" t="s">
        <v>27</v>
      </c>
      <c r="E789">
        <v>678000</v>
      </c>
      <c r="F789">
        <v>1128.1199999999999</v>
      </c>
      <c r="G789" t="s">
        <v>2389</v>
      </c>
      <c r="H789" t="s">
        <v>2390</v>
      </c>
      <c r="I789">
        <v>1</v>
      </c>
      <c r="J789">
        <v>0</v>
      </c>
      <c r="K789" t="s">
        <v>17</v>
      </c>
    </row>
    <row r="790" spans="1:11" x14ac:dyDescent="0.2">
      <c r="A790" t="s">
        <v>2391</v>
      </c>
      <c r="B790" t="s">
        <v>12</v>
      </c>
      <c r="C790" t="s">
        <v>42</v>
      </c>
      <c r="D790" t="s">
        <v>27</v>
      </c>
      <c r="E790">
        <v>720000</v>
      </c>
      <c r="F790">
        <v>1198</v>
      </c>
      <c r="G790" t="s">
        <v>2392</v>
      </c>
      <c r="H790" t="s">
        <v>2393</v>
      </c>
      <c r="I790">
        <v>1</v>
      </c>
      <c r="J790">
        <v>0</v>
      </c>
      <c r="K790" t="s">
        <v>17</v>
      </c>
    </row>
    <row r="791" spans="1:11" x14ac:dyDescent="0.2">
      <c r="A791" t="s">
        <v>2394</v>
      </c>
      <c r="B791" t="s">
        <v>31</v>
      </c>
      <c r="C791" t="s">
        <v>51</v>
      </c>
      <c r="D791" t="s">
        <v>21</v>
      </c>
      <c r="E791">
        <v>1448000</v>
      </c>
      <c r="F791">
        <v>2409.3200000000002</v>
      </c>
      <c r="G791" t="s">
        <v>2395</v>
      </c>
      <c r="H791" t="s">
        <v>2396</v>
      </c>
      <c r="I791">
        <v>1</v>
      </c>
      <c r="J791">
        <v>0</v>
      </c>
      <c r="K791" t="s">
        <v>17</v>
      </c>
    </row>
    <row r="792" spans="1:11" x14ac:dyDescent="0.2">
      <c r="A792" t="s">
        <v>2397</v>
      </c>
      <c r="B792" t="s">
        <v>55</v>
      </c>
      <c r="C792" t="s">
        <v>102</v>
      </c>
      <c r="D792" t="s">
        <v>14</v>
      </c>
      <c r="E792">
        <v>6975000</v>
      </c>
      <c r="F792">
        <v>2306.5500000000002</v>
      </c>
      <c r="G792" t="s">
        <v>2398</v>
      </c>
      <c r="H792" t="s">
        <v>2399</v>
      </c>
      <c r="I792">
        <v>1</v>
      </c>
      <c r="J792">
        <v>0</v>
      </c>
      <c r="K792" t="s">
        <v>17</v>
      </c>
    </row>
    <row r="793" spans="1:11" x14ac:dyDescent="0.2">
      <c r="A793" t="s">
        <v>2400</v>
      </c>
      <c r="B793" t="s">
        <v>139</v>
      </c>
      <c r="C793" t="s">
        <v>102</v>
      </c>
      <c r="D793" t="s">
        <v>14</v>
      </c>
      <c r="E793">
        <v>2926000</v>
      </c>
      <c r="F793">
        <v>967.59</v>
      </c>
      <c r="G793" t="s">
        <v>2401</v>
      </c>
      <c r="H793" t="s">
        <v>2402</v>
      </c>
      <c r="I793">
        <v>1</v>
      </c>
      <c r="J793">
        <v>0</v>
      </c>
      <c r="K793" t="s">
        <v>17</v>
      </c>
    </row>
    <row r="794" spans="1:11" x14ac:dyDescent="0.2">
      <c r="A794" t="s">
        <v>2403</v>
      </c>
      <c r="B794" t="s">
        <v>25</v>
      </c>
      <c r="C794" t="s">
        <v>42</v>
      </c>
      <c r="D794" t="s">
        <v>27</v>
      </c>
      <c r="E794">
        <v>248000</v>
      </c>
      <c r="F794">
        <v>412.65</v>
      </c>
      <c r="G794" t="s">
        <v>2404</v>
      </c>
      <c r="H794" t="s">
        <v>2405</v>
      </c>
      <c r="I794">
        <v>1</v>
      </c>
      <c r="J794">
        <v>0</v>
      </c>
      <c r="K794" t="s">
        <v>17</v>
      </c>
    </row>
    <row r="795" spans="1:11" x14ac:dyDescent="0.2">
      <c r="A795" t="s">
        <v>2406</v>
      </c>
      <c r="B795" t="s">
        <v>35</v>
      </c>
      <c r="C795" t="s">
        <v>102</v>
      </c>
      <c r="D795" t="s">
        <v>14</v>
      </c>
      <c r="E795">
        <v>4273000</v>
      </c>
      <c r="F795">
        <v>1413.03</v>
      </c>
      <c r="G795" t="s">
        <v>2407</v>
      </c>
      <c r="H795" t="s">
        <v>2408</v>
      </c>
      <c r="I795">
        <v>1</v>
      </c>
      <c r="J795">
        <v>0</v>
      </c>
      <c r="K795" t="s">
        <v>17</v>
      </c>
    </row>
    <row r="796" spans="1:11" x14ac:dyDescent="0.2">
      <c r="A796" t="s">
        <v>2409</v>
      </c>
      <c r="B796" t="s">
        <v>67</v>
      </c>
      <c r="C796" t="s">
        <v>51</v>
      </c>
      <c r="D796" t="s">
        <v>21</v>
      </c>
      <c r="E796">
        <v>850000</v>
      </c>
      <c r="F796">
        <v>1414.31</v>
      </c>
      <c r="G796" t="s">
        <v>2410</v>
      </c>
      <c r="H796" t="s">
        <v>2411</v>
      </c>
      <c r="I796">
        <v>1</v>
      </c>
      <c r="J796">
        <v>0</v>
      </c>
      <c r="K796" t="s">
        <v>17</v>
      </c>
    </row>
    <row r="797" spans="1:11" x14ac:dyDescent="0.2">
      <c r="A797" t="s">
        <v>2412</v>
      </c>
      <c r="B797" t="s">
        <v>128</v>
      </c>
      <c r="C797" t="s">
        <v>20</v>
      </c>
      <c r="D797" t="s">
        <v>21</v>
      </c>
      <c r="E797">
        <v>1925000</v>
      </c>
      <c r="F797">
        <v>3203</v>
      </c>
      <c r="G797" t="s">
        <v>2413</v>
      </c>
      <c r="H797" t="s">
        <v>2414</v>
      </c>
      <c r="I797">
        <v>1</v>
      </c>
      <c r="J797">
        <v>0</v>
      </c>
      <c r="K797" t="s">
        <v>17</v>
      </c>
    </row>
    <row r="798" spans="1:11" x14ac:dyDescent="0.2">
      <c r="A798" t="s">
        <v>2415</v>
      </c>
      <c r="B798" t="s">
        <v>55</v>
      </c>
      <c r="C798" t="s">
        <v>13</v>
      </c>
      <c r="D798" t="s">
        <v>14</v>
      </c>
      <c r="E798">
        <v>248000</v>
      </c>
      <c r="F798">
        <v>82.01</v>
      </c>
      <c r="G798" t="s">
        <v>2416</v>
      </c>
      <c r="H798" t="s">
        <v>2417</v>
      </c>
      <c r="I798">
        <v>1</v>
      </c>
      <c r="J798">
        <v>0</v>
      </c>
      <c r="K798" t="s">
        <v>17</v>
      </c>
    </row>
    <row r="799" spans="1:11" x14ac:dyDescent="0.2">
      <c r="A799" t="s">
        <v>2418</v>
      </c>
      <c r="B799" t="s">
        <v>59</v>
      </c>
      <c r="C799" t="s">
        <v>51</v>
      </c>
      <c r="D799" t="s">
        <v>21</v>
      </c>
      <c r="E799">
        <v>2503000</v>
      </c>
      <c r="F799">
        <v>4164.7299999999996</v>
      </c>
      <c r="G799" t="s">
        <v>2419</v>
      </c>
      <c r="H799" t="s">
        <v>2420</v>
      </c>
      <c r="I799">
        <v>1</v>
      </c>
      <c r="J799">
        <v>0</v>
      </c>
      <c r="K799" t="s">
        <v>17</v>
      </c>
    </row>
    <row r="800" spans="1:11" x14ac:dyDescent="0.2">
      <c r="A800" t="s">
        <v>2421</v>
      </c>
      <c r="B800" t="s">
        <v>59</v>
      </c>
      <c r="C800" t="s">
        <v>20</v>
      </c>
      <c r="D800" t="s">
        <v>21</v>
      </c>
      <c r="E800">
        <v>407000</v>
      </c>
      <c r="F800">
        <v>677.2</v>
      </c>
      <c r="G800" t="s">
        <v>2422</v>
      </c>
      <c r="H800" t="s">
        <v>2423</v>
      </c>
      <c r="I800">
        <v>1</v>
      </c>
      <c r="J800">
        <v>0</v>
      </c>
      <c r="K800" t="s">
        <v>17</v>
      </c>
    </row>
    <row r="801" spans="1:11" x14ac:dyDescent="0.2">
      <c r="A801" t="s">
        <v>2424</v>
      </c>
      <c r="B801" t="s">
        <v>59</v>
      </c>
      <c r="C801" t="s">
        <v>26</v>
      </c>
      <c r="D801" t="s">
        <v>27</v>
      </c>
      <c r="E801">
        <v>718000</v>
      </c>
      <c r="F801">
        <v>1194.68</v>
      </c>
      <c r="G801" t="s">
        <v>2425</v>
      </c>
      <c r="H801" t="s">
        <v>2426</v>
      </c>
      <c r="I801">
        <v>1</v>
      </c>
      <c r="J801">
        <v>0</v>
      </c>
      <c r="K801" t="s">
        <v>17</v>
      </c>
    </row>
    <row r="802" spans="1:11" x14ac:dyDescent="0.2">
      <c r="A802" t="s">
        <v>2427</v>
      </c>
      <c r="B802" t="s">
        <v>87</v>
      </c>
      <c r="C802" t="s">
        <v>102</v>
      </c>
      <c r="D802" t="s">
        <v>14</v>
      </c>
      <c r="E802">
        <v>2118000</v>
      </c>
      <c r="F802">
        <v>700.4</v>
      </c>
      <c r="G802" t="s">
        <v>2428</v>
      </c>
      <c r="H802" t="s">
        <v>2429</v>
      </c>
      <c r="I802">
        <v>1</v>
      </c>
      <c r="J802">
        <v>0</v>
      </c>
      <c r="K802" t="s">
        <v>17</v>
      </c>
    </row>
    <row r="803" spans="1:11" x14ac:dyDescent="0.2">
      <c r="A803" t="s">
        <v>2430</v>
      </c>
      <c r="B803" t="s">
        <v>63</v>
      </c>
      <c r="C803" t="s">
        <v>102</v>
      </c>
      <c r="D803" t="s">
        <v>14</v>
      </c>
      <c r="E803">
        <v>2363000</v>
      </c>
      <c r="F803">
        <v>781.42</v>
      </c>
      <c r="G803" t="s">
        <v>2431</v>
      </c>
      <c r="H803" t="s">
        <v>2432</v>
      </c>
      <c r="I803">
        <v>1</v>
      </c>
      <c r="J803">
        <v>0</v>
      </c>
      <c r="K803" t="s">
        <v>17</v>
      </c>
    </row>
    <row r="804" spans="1:11" x14ac:dyDescent="0.2">
      <c r="A804" t="s">
        <v>2433</v>
      </c>
      <c r="B804" t="s">
        <v>67</v>
      </c>
      <c r="C804" t="s">
        <v>13</v>
      </c>
      <c r="D804" t="s">
        <v>14</v>
      </c>
      <c r="E804">
        <v>639000</v>
      </c>
      <c r="F804">
        <v>211.31</v>
      </c>
      <c r="G804" t="s">
        <v>2434</v>
      </c>
      <c r="H804" t="s">
        <v>2435</v>
      </c>
      <c r="I804">
        <v>1</v>
      </c>
      <c r="J804">
        <v>0</v>
      </c>
      <c r="K804" t="s">
        <v>17</v>
      </c>
    </row>
    <row r="805" spans="1:11" x14ac:dyDescent="0.2">
      <c r="A805" t="s">
        <v>2436</v>
      </c>
      <c r="B805" t="s">
        <v>106</v>
      </c>
      <c r="C805" t="s">
        <v>26</v>
      </c>
      <c r="D805" t="s">
        <v>27</v>
      </c>
      <c r="E805">
        <v>923000</v>
      </c>
      <c r="F805">
        <v>1535.77</v>
      </c>
      <c r="G805" t="s">
        <v>2437</v>
      </c>
      <c r="H805" t="s">
        <v>2438</v>
      </c>
      <c r="I805">
        <v>1</v>
      </c>
      <c r="J805">
        <v>0</v>
      </c>
      <c r="K805" t="s">
        <v>17</v>
      </c>
    </row>
    <row r="806" spans="1:11" x14ac:dyDescent="0.2">
      <c r="A806" t="s">
        <v>2439</v>
      </c>
      <c r="B806" t="s">
        <v>128</v>
      </c>
      <c r="C806" t="s">
        <v>51</v>
      </c>
      <c r="D806" t="s">
        <v>21</v>
      </c>
      <c r="E806">
        <v>1197000</v>
      </c>
      <c r="F806">
        <v>1991.68</v>
      </c>
      <c r="G806" t="s">
        <v>2440</v>
      </c>
      <c r="H806" t="s">
        <v>2441</v>
      </c>
      <c r="I806">
        <v>1</v>
      </c>
      <c r="J806">
        <v>0</v>
      </c>
      <c r="K806" t="s">
        <v>17</v>
      </c>
    </row>
    <row r="807" spans="1:11" x14ac:dyDescent="0.2">
      <c r="A807" t="s">
        <v>2442</v>
      </c>
      <c r="B807" t="s">
        <v>12</v>
      </c>
      <c r="C807" t="s">
        <v>26</v>
      </c>
      <c r="D807" t="s">
        <v>27</v>
      </c>
      <c r="E807">
        <v>333000</v>
      </c>
      <c r="F807">
        <v>554.08000000000004</v>
      </c>
      <c r="G807" t="s">
        <v>2443</v>
      </c>
      <c r="H807" t="s">
        <v>2444</v>
      </c>
      <c r="I807">
        <v>1</v>
      </c>
      <c r="J807">
        <v>0</v>
      </c>
      <c r="K807" t="s">
        <v>17</v>
      </c>
    </row>
    <row r="808" spans="1:11" x14ac:dyDescent="0.2">
      <c r="A808" t="s">
        <v>2445</v>
      </c>
      <c r="B808" t="s">
        <v>67</v>
      </c>
      <c r="C808" t="s">
        <v>51</v>
      </c>
      <c r="D808" t="s">
        <v>21</v>
      </c>
      <c r="E808">
        <v>424000</v>
      </c>
      <c r="F808">
        <v>705.49</v>
      </c>
      <c r="G808" t="s">
        <v>2446</v>
      </c>
      <c r="H808" t="s">
        <v>2447</v>
      </c>
      <c r="I808">
        <v>1</v>
      </c>
      <c r="J808">
        <v>0</v>
      </c>
      <c r="K808" t="s">
        <v>17</v>
      </c>
    </row>
    <row r="809" spans="1:11" x14ac:dyDescent="0.2">
      <c r="A809" t="s">
        <v>2448</v>
      </c>
      <c r="B809" t="s">
        <v>91</v>
      </c>
      <c r="C809" t="s">
        <v>42</v>
      </c>
      <c r="D809" t="s">
        <v>27</v>
      </c>
      <c r="E809">
        <v>670000</v>
      </c>
      <c r="F809">
        <v>1114.81</v>
      </c>
      <c r="G809" t="s">
        <v>2449</v>
      </c>
      <c r="H809" t="s">
        <v>2450</v>
      </c>
      <c r="I809">
        <v>1</v>
      </c>
      <c r="J809">
        <v>0</v>
      </c>
      <c r="K809" t="s">
        <v>17</v>
      </c>
    </row>
    <row r="810" spans="1:11" x14ac:dyDescent="0.2">
      <c r="A810" t="s">
        <v>2451</v>
      </c>
      <c r="B810" t="s">
        <v>25</v>
      </c>
      <c r="C810" t="s">
        <v>51</v>
      </c>
      <c r="D810" t="s">
        <v>21</v>
      </c>
      <c r="E810">
        <v>645000</v>
      </c>
      <c r="F810">
        <v>1073.21</v>
      </c>
      <c r="G810" t="s">
        <v>2452</v>
      </c>
      <c r="H810" t="s">
        <v>2453</v>
      </c>
      <c r="I810">
        <v>1</v>
      </c>
      <c r="J810">
        <v>0</v>
      </c>
      <c r="K810" t="s">
        <v>17</v>
      </c>
    </row>
    <row r="811" spans="1:11" x14ac:dyDescent="0.2">
      <c r="A811" t="s">
        <v>2454</v>
      </c>
      <c r="B811" t="s">
        <v>55</v>
      </c>
      <c r="C811" t="s">
        <v>102</v>
      </c>
      <c r="D811" t="s">
        <v>14</v>
      </c>
      <c r="E811">
        <v>1466000</v>
      </c>
      <c r="F811">
        <v>484.79</v>
      </c>
      <c r="G811" t="s">
        <v>2455</v>
      </c>
      <c r="H811" t="s">
        <v>2456</v>
      </c>
      <c r="I811">
        <v>1</v>
      </c>
      <c r="J811">
        <v>0</v>
      </c>
      <c r="K811" t="s">
        <v>17</v>
      </c>
    </row>
    <row r="812" spans="1:11" x14ac:dyDescent="0.2">
      <c r="A812" t="s">
        <v>2457</v>
      </c>
      <c r="B812" t="s">
        <v>143</v>
      </c>
      <c r="C812" t="s">
        <v>51</v>
      </c>
      <c r="D812" t="s">
        <v>21</v>
      </c>
      <c r="E812">
        <v>1127000</v>
      </c>
      <c r="F812">
        <v>1875.21</v>
      </c>
      <c r="G812" t="s">
        <v>2458</v>
      </c>
      <c r="H812" t="s">
        <v>2459</v>
      </c>
      <c r="I812">
        <v>1</v>
      </c>
      <c r="J812">
        <v>0</v>
      </c>
      <c r="K812" t="s">
        <v>17</v>
      </c>
    </row>
    <row r="813" spans="1:11" x14ac:dyDescent="0.2">
      <c r="A813" t="s">
        <v>2460</v>
      </c>
      <c r="B813" t="s">
        <v>128</v>
      </c>
      <c r="C813" t="s">
        <v>42</v>
      </c>
      <c r="D813" t="s">
        <v>27</v>
      </c>
      <c r="E813">
        <v>362000</v>
      </c>
      <c r="F813">
        <v>602.33000000000004</v>
      </c>
      <c r="G813" t="s">
        <v>2461</v>
      </c>
      <c r="H813" t="s">
        <v>2462</v>
      </c>
      <c r="I813">
        <v>1</v>
      </c>
      <c r="J813">
        <v>0</v>
      </c>
      <c r="K813" t="s">
        <v>17</v>
      </c>
    </row>
    <row r="814" spans="1:11" x14ac:dyDescent="0.2">
      <c r="A814" t="s">
        <v>2463</v>
      </c>
      <c r="B814" t="s">
        <v>91</v>
      </c>
      <c r="C814" t="s">
        <v>102</v>
      </c>
      <c r="D814" t="s">
        <v>14</v>
      </c>
      <c r="E814">
        <v>229000</v>
      </c>
      <c r="F814">
        <v>75.73</v>
      </c>
      <c r="G814" t="s">
        <v>2464</v>
      </c>
      <c r="H814" t="s">
        <v>2465</v>
      </c>
      <c r="I814">
        <v>1</v>
      </c>
      <c r="J814">
        <v>0</v>
      </c>
      <c r="K814" t="s">
        <v>17</v>
      </c>
    </row>
    <row r="815" spans="1:11" x14ac:dyDescent="0.2">
      <c r="A815" t="s">
        <v>2466</v>
      </c>
      <c r="B815" t="s">
        <v>50</v>
      </c>
      <c r="C815" t="s">
        <v>13</v>
      </c>
      <c r="D815" t="s">
        <v>14</v>
      </c>
      <c r="E815">
        <v>2881000</v>
      </c>
      <c r="F815">
        <v>952.71</v>
      </c>
      <c r="G815" t="s">
        <v>2467</v>
      </c>
      <c r="H815" t="s">
        <v>2468</v>
      </c>
      <c r="I815">
        <v>1</v>
      </c>
      <c r="J815">
        <v>0</v>
      </c>
      <c r="K815" t="s">
        <v>17</v>
      </c>
    </row>
    <row r="816" spans="1:11" x14ac:dyDescent="0.2">
      <c r="A816" t="s">
        <v>2469</v>
      </c>
      <c r="B816" t="s">
        <v>31</v>
      </c>
      <c r="C816" t="s">
        <v>42</v>
      </c>
      <c r="D816" t="s">
        <v>27</v>
      </c>
      <c r="E816">
        <v>2176000</v>
      </c>
      <c r="F816">
        <v>3620.63</v>
      </c>
      <c r="G816" t="s">
        <v>2470</v>
      </c>
      <c r="H816" t="s">
        <v>2471</v>
      </c>
      <c r="I816">
        <v>1</v>
      </c>
      <c r="J816">
        <v>0</v>
      </c>
      <c r="K816" t="s">
        <v>17</v>
      </c>
    </row>
    <row r="817" spans="1:11" x14ac:dyDescent="0.2">
      <c r="A817" t="s">
        <v>2472</v>
      </c>
      <c r="B817" t="s">
        <v>25</v>
      </c>
      <c r="C817" t="s">
        <v>42</v>
      </c>
      <c r="D817" t="s">
        <v>27</v>
      </c>
      <c r="E817">
        <v>222000</v>
      </c>
      <c r="F817">
        <v>369.38</v>
      </c>
      <c r="G817" t="s">
        <v>2473</v>
      </c>
      <c r="H817" t="s">
        <v>2474</v>
      </c>
      <c r="I817">
        <v>1</v>
      </c>
      <c r="J817">
        <v>0</v>
      </c>
      <c r="K817" t="s">
        <v>17</v>
      </c>
    </row>
    <row r="818" spans="1:11" x14ac:dyDescent="0.2">
      <c r="A818" t="s">
        <v>2475</v>
      </c>
      <c r="B818" t="s">
        <v>31</v>
      </c>
      <c r="C818" t="s">
        <v>13</v>
      </c>
      <c r="D818" t="s">
        <v>14</v>
      </c>
      <c r="E818">
        <v>10314000</v>
      </c>
      <c r="F818">
        <v>3410.71</v>
      </c>
      <c r="G818" t="s">
        <v>2476</v>
      </c>
      <c r="H818" t="s">
        <v>2477</v>
      </c>
      <c r="I818">
        <v>1</v>
      </c>
      <c r="J818">
        <v>0</v>
      </c>
      <c r="K818" t="s">
        <v>17</v>
      </c>
    </row>
    <row r="819" spans="1:11" x14ac:dyDescent="0.2">
      <c r="A819" t="s">
        <v>2478</v>
      </c>
      <c r="B819" t="s">
        <v>19</v>
      </c>
      <c r="C819" t="s">
        <v>20</v>
      </c>
      <c r="D819" t="s">
        <v>21</v>
      </c>
      <c r="E819">
        <v>403000</v>
      </c>
      <c r="F819">
        <v>670.55</v>
      </c>
      <c r="G819" t="s">
        <v>2479</v>
      </c>
      <c r="H819" t="s">
        <v>2480</v>
      </c>
      <c r="I819">
        <v>1</v>
      </c>
      <c r="J819">
        <v>0</v>
      </c>
      <c r="K819" t="s">
        <v>17</v>
      </c>
    </row>
    <row r="820" spans="1:11" x14ac:dyDescent="0.2">
      <c r="A820" t="s">
        <v>2481</v>
      </c>
      <c r="B820" t="s">
        <v>35</v>
      </c>
      <c r="C820" t="s">
        <v>20</v>
      </c>
      <c r="D820" t="s">
        <v>21</v>
      </c>
      <c r="E820">
        <v>275000</v>
      </c>
      <c r="F820">
        <v>457.57</v>
      </c>
      <c r="G820" t="s">
        <v>2482</v>
      </c>
      <c r="H820" t="s">
        <v>2483</v>
      </c>
      <c r="I820">
        <v>1</v>
      </c>
      <c r="J820">
        <v>0</v>
      </c>
      <c r="K820" t="s">
        <v>17</v>
      </c>
    </row>
    <row r="821" spans="1:11" x14ac:dyDescent="0.2">
      <c r="A821" t="s">
        <v>2484</v>
      </c>
      <c r="B821" t="s">
        <v>50</v>
      </c>
      <c r="C821" t="s">
        <v>102</v>
      </c>
      <c r="D821" t="s">
        <v>14</v>
      </c>
      <c r="E821">
        <v>4234000</v>
      </c>
      <c r="F821">
        <v>1400.13</v>
      </c>
      <c r="G821" t="s">
        <v>2485</v>
      </c>
      <c r="H821" t="s">
        <v>2486</v>
      </c>
      <c r="I821">
        <v>1</v>
      </c>
      <c r="J821">
        <v>0</v>
      </c>
      <c r="K821" t="s">
        <v>17</v>
      </c>
    </row>
    <row r="822" spans="1:11" x14ac:dyDescent="0.2">
      <c r="A822" t="s">
        <v>2487</v>
      </c>
      <c r="B822" t="s">
        <v>128</v>
      </c>
      <c r="C822" t="s">
        <v>42</v>
      </c>
      <c r="D822" t="s">
        <v>27</v>
      </c>
      <c r="E822">
        <v>141000</v>
      </c>
      <c r="F822">
        <v>234.61</v>
      </c>
      <c r="G822" t="s">
        <v>2488</v>
      </c>
      <c r="H822" t="s">
        <v>2489</v>
      </c>
      <c r="I822">
        <v>1</v>
      </c>
      <c r="J822">
        <v>0</v>
      </c>
      <c r="K822" t="s">
        <v>17</v>
      </c>
    </row>
    <row r="823" spans="1:11" x14ac:dyDescent="0.2">
      <c r="A823" t="s">
        <v>2490</v>
      </c>
      <c r="B823" t="s">
        <v>55</v>
      </c>
      <c r="C823" t="s">
        <v>13</v>
      </c>
      <c r="D823" t="s">
        <v>14</v>
      </c>
      <c r="E823">
        <v>4810000</v>
      </c>
      <c r="F823">
        <v>1590.61</v>
      </c>
      <c r="G823" t="s">
        <v>2491</v>
      </c>
      <c r="H823" t="s">
        <v>2492</v>
      </c>
      <c r="I823">
        <v>1</v>
      </c>
      <c r="J823">
        <v>0</v>
      </c>
      <c r="K823" t="s">
        <v>17</v>
      </c>
    </row>
    <row r="824" spans="1:11" x14ac:dyDescent="0.2">
      <c r="A824" t="s">
        <v>2493</v>
      </c>
      <c r="B824" t="s">
        <v>67</v>
      </c>
      <c r="C824" t="s">
        <v>42</v>
      </c>
      <c r="D824" t="s">
        <v>27</v>
      </c>
      <c r="E824">
        <v>700000</v>
      </c>
      <c r="F824">
        <v>1164.73</v>
      </c>
      <c r="G824" t="s">
        <v>2494</v>
      </c>
      <c r="H824" t="s">
        <v>2495</v>
      </c>
      <c r="I824">
        <v>1</v>
      </c>
      <c r="J824">
        <v>0</v>
      </c>
      <c r="K824" t="s">
        <v>17</v>
      </c>
    </row>
    <row r="825" spans="1:11" x14ac:dyDescent="0.2">
      <c r="A825" t="s">
        <v>2496</v>
      </c>
      <c r="B825" t="s">
        <v>128</v>
      </c>
      <c r="C825" t="s">
        <v>51</v>
      </c>
      <c r="D825" t="s">
        <v>21</v>
      </c>
      <c r="E825">
        <v>195000</v>
      </c>
      <c r="F825">
        <v>324.45999999999998</v>
      </c>
      <c r="G825" t="s">
        <v>2497</v>
      </c>
      <c r="H825" t="s">
        <v>2498</v>
      </c>
      <c r="I825">
        <v>1</v>
      </c>
      <c r="J825">
        <v>0</v>
      </c>
      <c r="K825" t="s">
        <v>17</v>
      </c>
    </row>
    <row r="826" spans="1:11" x14ac:dyDescent="0.2">
      <c r="A826" t="s">
        <v>2499</v>
      </c>
      <c r="B826" t="s">
        <v>63</v>
      </c>
      <c r="C826" t="s">
        <v>102</v>
      </c>
      <c r="D826" t="s">
        <v>14</v>
      </c>
      <c r="E826">
        <v>3325000</v>
      </c>
      <c r="F826">
        <v>1099.54</v>
      </c>
      <c r="G826" t="s">
        <v>2500</v>
      </c>
      <c r="H826" t="s">
        <v>2501</v>
      </c>
      <c r="I826">
        <v>1</v>
      </c>
      <c r="J826">
        <v>0</v>
      </c>
      <c r="K826" t="s">
        <v>17</v>
      </c>
    </row>
    <row r="827" spans="1:11" x14ac:dyDescent="0.2">
      <c r="A827" t="s">
        <v>2502</v>
      </c>
      <c r="B827" t="s">
        <v>55</v>
      </c>
      <c r="C827" t="s">
        <v>42</v>
      </c>
      <c r="D827" t="s">
        <v>27</v>
      </c>
      <c r="E827">
        <v>1302000</v>
      </c>
      <c r="F827">
        <v>2166.39</v>
      </c>
      <c r="G827" t="s">
        <v>2503</v>
      </c>
      <c r="H827" t="s">
        <v>2504</v>
      </c>
      <c r="I827">
        <v>1</v>
      </c>
      <c r="J827">
        <v>0</v>
      </c>
      <c r="K827" t="s">
        <v>17</v>
      </c>
    </row>
    <row r="828" spans="1:11" x14ac:dyDescent="0.2">
      <c r="A828" t="s">
        <v>2505</v>
      </c>
      <c r="B828" t="s">
        <v>87</v>
      </c>
      <c r="C828" t="s">
        <v>42</v>
      </c>
      <c r="D828" t="s">
        <v>27</v>
      </c>
      <c r="E828">
        <v>159000</v>
      </c>
      <c r="F828">
        <v>264.56</v>
      </c>
      <c r="G828" t="s">
        <v>2506</v>
      </c>
      <c r="H828" t="s">
        <v>2507</v>
      </c>
      <c r="I828">
        <v>1</v>
      </c>
      <c r="J828">
        <v>0</v>
      </c>
      <c r="K828" t="s">
        <v>17</v>
      </c>
    </row>
    <row r="829" spans="1:11" x14ac:dyDescent="0.2">
      <c r="A829" t="s">
        <v>2508</v>
      </c>
      <c r="B829" t="s">
        <v>77</v>
      </c>
      <c r="C829" t="s">
        <v>20</v>
      </c>
      <c r="D829" t="s">
        <v>21</v>
      </c>
      <c r="E829">
        <v>186000</v>
      </c>
      <c r="F829">
        <v>309.48</v>
      </c>
      <c r="G829" t="s">
        <v>2509</v>
      </c>
      <c r="H829" t="s">
        <v>2510</v>
      </c>
      <c r="I829">
        <v>1</v>
      </c>
      <c r="J829">
        <v>0</v>
      </c>
      <c r="K829" t="s">
        <v>17</v>
      </c>
    </row>
    <row r="830" spans="1:11" x14ac:dyDescent="0.2">
      <c r="A830" t="s">
        <v>2511</v>
      </c>
      <c r="B830" t="s">
        <v>91</v>
      </c>
      <c r="C830" t="s">
        <v>13</v>
      </c>
      <c r="D830" t="s">
        <v>14</v>
      </c>
      <c r="E830">
        <v>705000</v>
      </c>
      <c r="F830">
        <v>233.13</v>
      </c>
      <c r="G830" t="s">
        <v>2512</v>
      </c>
      <c r="H830" t="s">
        <v>2513</v>
      </c>
      <c r="I830">
        <v>1</v>
      </c>
      <c r="J830">
        <v>0</v>
      </c>
      <c r="K830" t="s">
        <v>17</v>
      </c>
    </row>
    <row r="831" spans="1:11" x14ac:dyDescent="0.2">
      <c r="A831" t="s">
        <v>2514</v>
      </c>
      <c r="B831" t="s">
        <v>19</v>
      </c>
      <c r="C831" t="s">
        <v>102</v>
      </c>
      <c r="D831" t="s">
        <v>14</v>
      </c>
      <c r="E831">
        <v>3010000</v>
      </c>
      <c r="F831">
        <v>995.37</v>
      </c>
      <c r="G831" t="s">
        <v>2515</v>
      </c>
      <c r="H831" t="s">
        <v>2516</v>
      </c>
      <c r="I831">
        <v>1</v>
      </c>
      <c r="J831">
        <v>0</v>
      </c>
      <c r="K831" t="s">
        <v>17</v>
      </c>
    </row>
    <row r="832" spans="1:11" x14ac:dyDescent="0.2">
      <c r="A832" t="s">
        <v>2517</v>
      </c>
      <c r="B832" t="s">
        <v>143</v>
      </c>
      <c r="C832" t="s">
        <v>20</v>
      </c>
      <c r="D832" t="s">
        <v>21</v>
      </c>
      <c r="E832">
        <v>1009000</v>
      </c>
      <c r="F832">
        <v>1678.87</v>
      </c>
      <c r="G832" t="s">
        <v>2518</v>
      </c>
      <c r="H832" t="s">
        <v>2519</v>
      </c>
      <c r="I832">
        <v>1</v>
      </c>
      <c r="J832">
        <v>0</v>
      </c>
      <c r="K832" t="s">
        <v>17</v>
      </c>
    </row>
    <row r="833" spans="1:11" x14ac:dyDescent="0.2">
      <c r="A833" t="s">
        <v>2520</v>
      </c>
      <c r="B833" t="s">
        <v>19</v>
      </c>
      <c r="C833" t="s">
        <v>26</v>
      </c>
      <c r="D833" t="s">
        <v>27</v>
      </c>
      <c r="E833">
        <v>407000</v>
      </c>
      <c r="F833">
        <v>677.2</v>
      </c>
      <c r="G833" t="s">
        <v>2521</v>
      </c>
      <c r="H833" t="s">
        <v>2522</v>
      </c>
      <c r="I833">
        <v>1</v>
      </c>
      <c r="J833">
        <v>0</v>
      </c>
      <c r="K833" t="s">
        <v>17</v>
      </c>
    </row>
    <row r="834" spans="1:11" x14ac:dyDescent="0.2">
      <c r="A834" t="s">
        <v>2523</v>
      </c>
      <c r="B834" t="s">
        <v>12</v>
      </c>
      <c r="C834" t="s">
        <v>102</v>
      </c>
      <c r="D834" t="s">
        <v>14</v>
      </c>
      <c r="E834">
        <v>851000</v>
      </c>
      <c r="F834">
        <v>281.42</v>
      </c>
      <c r="G834" t="s">
        <v>2524</v>
      </c>
      <c r="H834" t="s">
        <v>2525</v>
      </c>
      <c r="I834">
        <v>1</v>
      </c>
      <c r="J834">
        <v>0</v>
      </c>
      <c r="K834" t="s">
        <v>17</v>
      </c>
    </row>
    <row r="835" spans="1:11" x14ac:dyDescent="0.2">
      <c r="A835" t="s">
        <v>2526</v>
      </c>
      <c r="B835" t="s">
        <v>143</v>
      </c>
      <c r="C835" t="s">
        <v>102</v>
      </c>
      <c r="D835" t="s">
        <v>14</v>
      </c>
      <c r="E835">
        <v>1416000</v>
      </c>
      <c r="F835">
        <v>468.25</v>
      </c>
      <c r="G835" t="s">
        <v>2527</v>
      </c>
      <c r="H835" t="s">
        <v>2528</v>
      </c>
      <c r="I835">
        <v>1</v>
      </c>
      <c r="J835">
        <v>0</v>
      </c>
      <c r="K835" t="s">
        <v>17</v>
      </c>
    </row>
    <row r="836" spans="1:11" x14ac:dyDescent="0.2">
      <c r="A836" t="s">
        <v>2529</v>
      </c>
      <c r="B836" t="s">
        <v>135</v>
      </c>
      <c r="C836" t="s">
        <v>102</v>
      </c>
      <c r="D836" t="s">
        <v>14</v>
      </c>
      <c r="E836">
        <v>2204000</v>
      </c>
      <c r="F836">
        <v>728.84</v>
      </c>
      <c r="G836" t="s">
        <v>2530</v>
      </c>
      <c r="H836" t="s">
        <v>2531</v>
      </c>
      <c r="I836">
        <v>1</v>
      </c>
      <c r="J836">
        <v>0</v>
      </c>
      <c r="K836" t="s">
        <v>17</v>
      </c>
    </row>
    <row r="837" spans="1:11" x14ac:dyDescent="0.2">
      <c r="A837" t="s">
        <v>2532</v>
      </c>
      <c r="B837" t="s">
        <v>25</v>
      </c>
      <c r="C837" t="s">
        <v>20</v>
      </c>
      <c r="D837" t="s">
        <v>21</v>
      </c>
      <c r="E837">
        <v>936000</v>
      </c>
      <c r="F837">
        <v>1557.4</v>
      </c>
      <c r="G837" t="s">
        <v>2533</v>
      </c>
      <c r="H837" t="s">
        <v>2534</v>
      </c>
      <c r="I837">
        <v>1</v>
      </c>
      <c r="J837">
        <v>0</v>
      </c>
      <c r="K837" t="s">
        <v>17</v>
      </c>
    </row>
    <row r="838" spans="1:11" x14ac:dyDescent="0.2">
      <c r="A838" t="s">
        <v>2535</v>
      </c>
      <c r="B838" t="s">
        <v>106</v>
      </c>
      <c r="C838" t="s">
        <v>102</v>
      </c>
      <c r="D838" t="s">
        <v>14</v>
      </c>
      <c r="E838">
        <v>1174000</v>
      </c>
      <c r="F838">
        <v>388.23</v>
      </c>
      <c r="I838">
        <v>0</v>
      </c>
      <c r="J838">
        <v>0</v>
      </c>
      <c r="K838" t="s">
        <v>376</v>
      </c>
    </row>
    <row r="839" spans="1:11" x14ac:dyDescent="0.2">
      <c r="A839" t="s">
        <v>2536</v>
      </c>
      <c r="B839" t="s">
        <v>31</v>
      </c>
      <c r="C839" t="s">
        <v>102</v>
      </c>
      <c r="D839" t="s">
        <v>14</v>
      </c>
      <c r="E839">
        <v>3311000</v>
      </c>
      <c r="F839">
        <v>1094.9100000000001</v>
      </c>
      <c r="G839" t="s">
        <v>2537</v>
      </c>
      <c r="H839" t="s">
        <v>2538</v>
      </c>
      <c r="I839">
        <v>1</v>
      </c>
      <c r="J839">
        <v>0</v>
      </c>
      <c r="K839" t="s">
        <v>17</v>
      </c>
    </row>
    <row r="840" spans="1:11" x14ac:dyDescent="0.2">
      <c r="A840" t="s">
        <v>2539</v>
      </c>
      <c r="B840" t="s">
        <v>87</v>
      </c>
      <c r="C840" t="s">
        <v>20</v>
      </c>
      <c r="D840" t="s">
        <v>21</v>
      </c>
      <c r="E840">
        <v>1654000</v>
      </c>
      <c r="F840">
        <v>2752.08</v>
      </c>
      <c r="G840" t="s">
        <v>2540</v>
      </c>
      <c r="H840" t="s">
        <v>2541</v>
      </c>
      <c r="I840">
        <v>1</v>
      </c>
      <c r="J840">
        <v>0</v>
      </c>
      <c r="K840" t="s">
        <v>17</v>
      </c>
    </row>
    <row r="841" spans="1:11" x14ac:dyDescent="0.2">
      <c r="A841" t="s">
        <v>2542</v>
      </c>
      <c r="B841" t="s">
        <v>25</v>
      </c>
      <c r="C841" t="s">
        <v>26</v>
      </c>
      <c r="D841" t="s">
        <v>27</v>
      </c>
      <c r="E841">
        <v>980000</v>
      </c>
      <c r="F841">
        <v>1630.62</v>
      </c>
      <c r="G841" t="s">
        <v>2543</v>
      </c>
      <c r="H841" t="s">
        <v>2544</v>
      </c>
      <c r="I841">
        <v>1</v>
      </c>
      <c r="J841">
        <v>0</v>
      </c>
      <c r="K841" t="s">
        <v>17</v>
      </c>
    </row>
    <row r="842" spans="1:11" x14ac:dyDescent="0.2">
      <c r="A842" t="s">
        <v>2545</v>
      </c>
      <c r="B842" t="s">
        <v>35</v>
      </c>
      <c r="C842" t="s">
        <v>26</v>
      </c>
      <c r="D842" t="s">
        <v>27</v>
      </c>
      <c r="E842">
        <v>615000</v>
      </c>
      <c r="F842">
        <v>1023.29</v>
      </c>
      <c r="G842" t="s">
        <v>2546</v>
      </c>
      <c r="H842" t="s">
        <v>2547</v>
      </c>
      <c r="I842">
        <v>1</v>
      </c>
      <c r="J842">
        <v>0</v>
      </c>
      <c r="K842" t="s">
        <v>17</v>
      </c>
    </row>
    <row r="843" spans="1:11" x14ac:dyDescent="0.2">
      <c r="A843" t="s">
        <v>2548</v>
      </c>
      <c r="B843" t="s">
        <v>128</v>
      </c>
      <c r="C843" t="s">
        <v>26</v>
      </c>
      <c r="D843" t="s">
        <v>27</v>
      </c>
      <c r="E843">
        <v>621000</v>
      </c>
      <c r="F843">
        <v>1033.28</v>
      </c>
      <c r="G843" t="s">
        <v>2549</v>
      </c>
      <c r="H843" t="s">
        <v>2550</v>
      </c>
      <c r="I843">
        <v>1</v>
      </c>
      <c r="J843">
        <v>0</v>
      </c>
      <c r="K843" t="s">
        <v>17</v>
      </c>
    </row>
    <row r="844" spans="1:11" x14ac:dyDescent="0.2">
      <c r="A844" t="s">
        <v>2551</v>
      </c>
      <c r="B844" t="s">
        <v>139</v>
      </c>
      <c r="C844" t="s">
        <v>51</v>
      </c>
      <c r="D844" t="s">
        <v>21</v>
      </c>
      <c r="E844">
        <v>658000</v>
      </c>
      <c r="F844">
        <v>1094.8399999999999</v>
      </c>
      <c r="G844" t="s">
        <v>2552</v>
      </c>
      <c r="H844" t="s">
        <v>2553</v>
      </c>
      <c r="I844">
        <v>1</v>
      </c>
      <c r="J844">
        <v>0</v>
      </c>
      <c r="K844" t="s">
        <v>17</v>
      </c>
    </row>
    <row r="845" spans="1:11" x14ac:dyDescent="0.2">
      <c r="A845" t="s">
        <v>2554</v>
      </c>
      <c r="B845" t="s">
        <v>135</v>
      </c>
      <c r="C845" t="s">
        <v>102</v>
      </c>
      <c r="D845" t="s">
        <v>14</v>
      </c>
      <c r="E845">
        <v>4101000</v>
      </c>
      <c r="F845">
        <v>1356.15</v>
      </c>
      <c r="G845" t="s">
        <v>2555</v>
      </c>
      <c r="H845" t="s">
        <v>2556</v>
      </c>
      <c r="I845">
        <v>1</v>
      </c>
      <c r="J845">
        <v>0</v>
      </c>
      <c r="K845" t="s">
        <v>17</v>
      </c>
    </row>
    <row r="846" spans="1:11" x14ac:dyDescent="0.2">
      <c r="A846" t="s">
        <v>2557</v>
      </c>
      <c r="B846" t="s">
        <v>128</v>
      </c>
      <c r="C846" t="s">
        <v>42</v>
      </c>
      <c r="D846" t="s">
        <v>27</v>
      </c>
      <c r="E846">
        <v>155000</v>
      </c>
      <c r="F846">
        <v>257.89999999999998</v>
      </c>
      <c r="G846" t="s">
        <v>2558</v>
      </c>
      <c r="H846" t="s">
        <v>2559</v>
      </c>
      <c r="I846">
        <v>1</v>
      </c>
      <c r="J846">
        <v>0</v>
      </c>
      <c r="K846" t="s">
        <v>17</v>
      </c>
    </row>
    <row r="847" spans="1:11" x14ac:dyDescent="0.2">
      <c r="A847" t="s">
        <v>2560</v>
      </c>
      <c r="B847" t="s">
        <v>59</v>
      </c>
      <c r="C847" t="s">
        <v>42</v>
      </c>
      <c r="D847" t="s">
        <v>27</v>
      </c>
      <c r="E847">
        <v>145000</v>
      </c>
      <c r="F847">
        <v>241.26</v>
      </c>
      <c r="G847" t="s">
        <v>2561</v>
      </c>
      <c r="H847" t="s">
        <v>2562</v>
      </c>
      <c r="I847">
        <v>1</v>
      </c>
      <c r="J847">
        <v>0</v>
      </c>
      <c r="K847" t="s">
        <v>17</v>
      </c>
    </row>
    <row r="848" spans="1:11" x14ac:dyDescent="0.2">
      <c r="A848" t="s">
        <v>2563</v>
      </c>
      <c r="B848" t="s">
        <v>31</v>
      </c>
      <c r="C848" t="s">
        <v>13</v>
      </c>
      <c r="D848" t="s">
        <v>14</v>
      </c>
      <c r="E848">
        <v>910000</v>
      </c>
      <c r="F848">
        <v>300.93</v>
      </c>
      <c r="G848" t="s">
        <v>2564</v>
      </c>
      <c r="H848" t="s">
        <v>2565</v>
      </c>
      <c r="I848">
        <v>1</v>
      </c>
      <c r="J848">
        <v>0</v>
      </c>
      <c r="K848" t="s">
        <v>17</v>
      </c>
    </row>
    <row r="849" spans="1:11" x14ac:dyDescent="0.2">
      <c r="A849" t="s">
        <v>2566</v>
      </c>
      <c r="B849" t="s">
        <v>98</v>
      </c>
      <c r="C849" t="s">
        <v>26</v>
      </c>
      <c r="D849" t="s">
        <v>27</v>
      </c>
      <c r="E849">
        <v>647000</v>
      </c>
      <c r="F849">
        <v>1076.54</v>
      </c>
      <c r="G849" t="s">
        <v>2567</v>
      </c>
      <c r="H849" t="s">
        <v>2568</v>
      </c>
      <c r="I849">
        <v>1</v>
      </c>
      <c r="J849">
        <v>0</v>
      </c>
      <c r="K849" t="s">
        <v>17</v>
      </c>
    </row>
    <row r="850" spans="1:11" x14ac:dyDescent="0.2">
      <c r="A850" t="s">
        <v>2569</v>
      </c>
      <c r="B850" t="s">
        <v>135</v>
      </c>
      <c r="C850" t="s">
        <v>51</v>
      </c>
      <c r="D850" t="s">
        <v>21</v>
      </c>
      <c r="E850">
        <v>745000</v>
      </c>
      <c r="F850">
        <v>1239.5999999999999</v>
      </c>
      <c r="G850" t="s">
        <v>2570</v>
      </c>
      <c r="H850" t="s">
        <v>2571</v>
      </c>
      <c r="I850">
        <v>1</v>
      </c>
      <c r="J850">
        <v>0</v>
      </c>
      <c r="K850" t="s">
        <v>17</v>
      </c>
    </row>
    <row r="851" spans="1:11" x14ac:dyDescent="0.2">
      <c r="A851" t="s">
        <v>2572</v>
      </c>
      <c r="B851" t="s">
        <v>98</v>
      </c>
      <c r="C851" t="s">
        <v>13</v>
      </c>
      <c r="D851" t="s">
        <v>14</v>
      </c>
      <c r="E851">
        <v>2760000</v>
      </c>
      <c r="F851">
        <v>912.7</v>
      </c>
      <c r="G851" t="s">
        <v>2573</v>
      </c>
      <c r="H851" t="s">
        <v>2574</v>
      </c>
      <c r="I851">
        <v>1</v>
      </c>
      <c r="J851">
        <v>0</v>
      </c>
      <c r="K851" t="s">
        <v>17</v>
      </c>
    </row>
    <row r="852" spans="1:11" x14ac:dyDescent="0.2">
      <c r="A852" t="s">
        <v>2575</v>
      </c>
      <c r="B852" t="s">
        <v>77</v>
      </c>
      <c r="C852" t="s">
        <v>102</v>
      </c>
      <c r="D852" t="s">
        <v>14</v>
      </c>
      <c r="E852">
        <v>693000</v>
      </c>
      <c r="F852">
        <v>229.17</v>
      </c>
      <c r="G852" t="s">
        <v>2576</v>
      </c>
      <c r="H852" t="s">
        <v>2577</v>
      </c>
      <c r="I852">
        <v>1</v>
      </c>
      <c r="J852">
        <v>0</v>
      </c>
      <c r="K852" t="s">
        <v>17</v>
      </c>
    </row>
    <row r="853" spans="1:11" x14ac:dyDescent="0.2">
      <c r="A853" t="s">
        <v>2578</v>
      </c>
      <c r="B853" t="s">
        <v>240</v>
      </c>
      <c r="C853" t="s">
        <v>13</v>
      </c>
      <c r="D853" t="s">
        <v>14</v>
      </c>
      <c r="E853">
        <v>708000</v>
      </c>
      <c r="F853">
        <v>234.13</v>
      </c>
      <c r="G853" t="s">
        <v>2579</v>
      </c>
      <c r="H853" t="s">
        <v>2580</v>
      </c>
      <c r="I853">
        <v>1</v>
      </c>
      <c r="J853">
        <v>0</v>
      </c>
      <c r="K853" t="s">
        <v>17</v>
      </c>
    </row>
    <row r="854" spans="1:11" x14ac:dyDescent="0.2">
      <c r="A854" t="s">
        <v>2581</v>
      </c>
      <c r="B854" t="s">
        <v>128</v>
      </c>
      <c r="C854" t="s">
        <v>42</v>
      </c>
      <c r="D854" t="s">
        <v>27</v>
      </c>
      <c r="E854">
        <v>335000</v>
      </c>
      <c r="F854">
        <v>557.4</v>
      </c>
      <c r="G854" t="s">
        <v>2582</v>
      </c>
      <c r="H854" t="s">
        <v>2583</v>
      </c>
      <c r="I854">
        <v>1</v>
      </c>
      <c r="J854">
        <v>0</v>
      </c>
      <c r="K854" t="s">
        <v>17</v>
      </c>
    </row>
    <row r="855" spans="1:11" x14ac:dyDescent="0.2">
      <c r="A855" t="s">
        <v>2584</v>
      </c>
      <c r="B855" t="s">
        <v>31</v>
      </c>
      <c r="C855" t="s">
        <v>102</v>
      </c>
      <c r="D855" t="s">
        <v>14</v>
      </c>
      <c r="E855">
        <v>1220000</v>
      </c>
      <c r="F855">
        <v>403.44</v>
      </c>
      <c r="G855" t="s">
        <v>2585</v>
      </c>
      <c r="H855" t="s">
        <v>2586</v>
      </c>
      <c r="I855">
        <v>1</v>
      </c>
      <c r="J855">
        <v>2.31</v>
      </c>
      <c r="K855" t="s">
        <v>17</v>
      </c>
    </row>
    <row r="856" spans="1:11" x14ac:dyDescent="0.2">
      <c r="A856" t="s">
        <v>2587</v>
      </c>
      <c r="B856" t="s">
        <v>25</v>
      </c>
      <c r="C856" t="s">
        <v>13</v>
      </c>
      <c r="D856" t="s">
        <v>14</v>
      </c>
      <c r="E856">
        <v>10978000</v>
      </c>
      <c r="F856">
        <v>3630.29</v>
      </c>
      <c r="G856" t="s">
        <v>2588</v>
      </c>
      <c r="H856" t="s">
        <v>2589</v>
      </c>
      <c r="I856">
        <v>1</v>
      </c>
      <c r="J856">
        <v>0</v>
      </c>
      <c r="K856" t="s">
        <v>17</v>
      </c>
    </row>
    <row r="857" spans="1:11" x14ac:dyDescent="0.2">
      <c r="A857" t="s">
        <v>2590</v>
      </c>
      <c r="B857" t="s">
        <v>31</v>
      </c>
      <c r="C857" t="s">
        <v>13</v>
      </c>
      <c r="D857" t="s">
        <v>14</v>
      </c>
      <c r="E857">
        <v>2106000</v>
      </c>
      <c r="F857">
        <v>696.43</v>
      </c>
      <c r="G857" t="s">
        <v>2591</v>
      </c>
      <c r="H857" t="s">
        <v>2592</v>
      </c>
      <c r="I857">
        <v>1</v>
      </c>
      <c r="J857">
        <v>0</v>
      </c>
      <c r="K857" t="s">
        <v>17</v>
      </c>
    </row>
    <row r="858" spans="1:11" x14ac:dyDescent="0.2">
      <c r="A858" t="s">
        <v>2593</v>
      </c>
      <c r="B858" t="s">
        <v>87</v>
      </c>
      <c r="C858" t="s">
        <v>102</v>
      </c>
      <c r="D858" t="s">
        <v>14</v>
      </c>
      <c r="E858">
        <v>2590000</v>
      </c>
      <c r="F858">
        <v>856.48</v>
      </c>
      <c r="G858" t="s">
        <v>2594</v>
      </c>
      <c r="H858" t="s">
        <v>2595</v>
      </c>
      <c r="I858">
        <v>1</v>
      </c>
      <c r="J858">
        <v>0</v>
      </c>
      <c r="K858" t="s">
        <v>17</v>
      </c>
    </row>
    <row r="859" spans="1:11" x14ac:dyDescent="0.2">
      <c r="A859" t="s">
        <v>2596</v>
      </c>
      <c r="B859" t="s">
        <v>240</v>
      </c>
      <c r="C859" t="s">
        <v>26</v>
      </c>
      <c r="D859" t="s">
        <v>27</v>
      </c>
      <c r="E859">
        <v>135000</v>
      </c>
      <c r="F859">
        <v>224.63</v>
      </c>
      <c r="G859" t="s">
        <v>2597</v>
      </c>
      <c r="H859" t="s">
        <v>2598</v>
      </c>
      <c r="I859">
        <v>1</v>
      </c>
      <c r="J859">
        <v>0</v>
      </c>
      <c r="K859" t="s">
        <v>17</v>
      </c>
    </row>
    <row r="860" spans="1:11" x14ac:dyDescent="0.2">
      <c r="A860" t="s">
        <v>2599</v>
      </c>
      <c r="B860" t="s">
        <v>59</v>
      </c>
      <c r="C860" t="s">
        <v>13</v>
      </c>
      <c r="D860" t="s">
        <v>14</v>
      </c>
      <c r="E860">
        <v>667000</v>
      </c>
      <c r="F860">
        <v>220.57</v>
      </c>
      <c r="G860" t="s">
        <v>2600</v>
      </c>
      <c r="H860" t="s">
        <v>2601</v>
      </c>
      <c r="I860">
        <v>1</v>
      </c>
      <c r="J860">
        <v>0</v>
      </c>
      <c r="K860" t="s">
        <v>17</v>
      </c>
    </row>
    <row r="861" spans="1:11" x14ac:dyDescent="0.2">
      <c r="A861" t="s">
        <v>2602</v>
      </c>
      <c r="B861" t="s">
        <v>35</v>
      </c>
      <c r="C861" t="s">
        <v>13</v>
      </c>
      <c r="D861" t="s">
        <v>14</v>
      </c>
      <c r="E861">
        <v>5105000</v>
      </c>
      <c r="F861">
        <v>1688.16</v>
      </c>
      <c r="G861" t="s">
        <v>2603</v>
      </c>
      <c r="H861" t="s">
        <v>2604</v>
      </c>
      <c r="I861">
        <v>1</v>
      </c>
      <c r="J861">
        <v>0</v>
      </c>
      <c r="K861" t="s">
        <v>17</v>
      </c>
    </row>
    <row r="862" spans="1:11" x14ac:dyDescent="0.2">
      <c r="A862" t="s">
        <v>2605</v>
      </c>
      <c r="B862" t="s">
        <v>31</v>
      </c>
      <c r="C862" t="s">
        <v>26</v>
      </c>
      <c r="D862" t="s">
        <v>27</v>
      </c>
      <c r="E862">
        <v>551000</v>
      </c>
      <c r="F862">
        <v>916.81</v>
      </c>
      <c r="G862" t="s">
        <v>2606</v>
      </c>
      <c r="H862" t="s">
        <v>2607</v>
      </c>
      <c r="I862">
        <v>1</v>
      </c>
      <c r="J862">
        <v>0</v>
      </c>
      <c r="K862" t="s">
        <v>17</v>
      </c>
    </row>
    <row r="863" spans="1:11" x14ac:dyDescent="0.2">
      <c r="A863" t="s">
        <v>2608</v>
      </c>
      <c r="B863" t="s">
        <v>59</v>
      </c>
      <c r="C863" t="s">
        <v>13</v>
      </c>
      <c r="D863" t="s">
        <v>14</v>
      </c>
      <c r="E863">
        <v>3156000</v>
      </c>
      <c r="F863">
        <v>1043.6500000000001</v>
      </c>
      <c r="G863" t="s">
        <v>2609</v>
      </c>
      <c r="H863" t="s">
        <v>2610</v>
      </c>
      <c r="I863">
        <v>1</v>
      </c>
      <c r="J863">
        <v>-62.83</v>
      </c>
      <c r="K863" t="s">
        <v>45</v>
      </c>
    </row>
    <row r="864" spans="1:11" x14ac:dyDescent="0.2">
      <c r="A864" t="s">
        <v>2611</v>
      </c>
      <c r="B864" t="s">
        <v>98</v>
      </c>
      <c r="C864" t="s">
        <v>42</v>
      </c>
      <c r="D864" t="s">
        <v>27</v>
      </c>
      <c r="E864">
        <v>357000</v>
      </c>
      <c r="F864">
        <v>594.01</v>
      </c>
      <c r="G864" t="s">
        <v>2612</v>
      </c>
      <c r="H864" t="s">
        <v>2613</v>
      </c>
      <c r="I864">
        <v>1</v>
      </c>
      <c r="J864">
        <v>0</v>
      </c>
      <c r="K864" t="s">
        <v>17</v>
      </c>
    </row>
    <row r="865" spans="1:11" x14ac:dyDescent="0.2">
      <c r="A865" t="s">
        <v>2614</v>
      </c>
      <c r="B865" t="s">
        <v>55</v>
      </c>
      <c r="C865" t="s">
        <v>51</v>
      </c>
      <c r="D865" t="s">
        <v>21</v>
      </c>
      <c r="E865">
        <v>107000</v>
      </c>
      <c r="F865">
        <v>178.04</v>
      </c>
      <c r="G865" t="s">
        <v>2615</v>
      </c>
      <c r="H865" t="s">
        <v>2616</v>
      </c>
      <c r="I865">
        <v>1</v>
      </c>
      <c r="J865">
        <v>0</v>
      </c>
      <c r="K865" t="s">
        <v>17</v>
      </c>
    </row>
    <row r="866" spans="1:11" x14ac:dyDescent="0.2">
      <c r="A866" t="s">
        <v>2617</v>
      </c>
      <c r="B866" t="s">
        <v>50</v>
      </c>
      <c r="C866" t="s">
        <v>20</v>
      </c>
      <c r="D866" t="s">
        <v>21</v>
      </c>
      <c r="E866">
        <v>200000</v>
      </c>
      <c r="F866">
        <v>332.78</v>
      </c>
      <c r="G866" t="s">
        <v>2618</v>
      </c>
      <c r="H866" t="s">
        <v>2619</v>
      </c>
      <c r="I866">
        <v>1</v>
      </c>
      <c r="J866">
        <v>0</v>
      </c>
      <c r="K866" t="s">
        <v>17</v>
      </c>
    </row>
    <row r="867" spans="1:11" x14ac:dyDescent="0.2">
      <c r="A867" t="s">
        <v>2620</v>
      </c>
      <c r="B867" t="s">
        <v>98</v>
      </c>
      <c r="C867" t="s">
        <v>13</v>
      </c>
      <c r="D867" t="s">
        <v>14</v>
      </c>
      <c r="E867">
        <v>2054000</v>
      </c>
      <c r="F867">
        <v>679.23</v>
      </c>
      <c r="G867" t="s">
        <v>2621</v>
      </c>
      <c r="H867" t="s">
        <v>2622</v>
      </c>
      <c r="I867">
        <v>1</v>
      </c>
      <c r="J867">
        <v>0</v>
      </c>
      <c r="K867" t="s">
        <v>17</v>
      </c>
    </row>
    <row r="868" spans="1:11" x14ac:dyDescent="0.2">
      <c r="A868" t="s">
        <v>2623</v>
      </c>
      <c r="B868" t="s">
        <v>77</v>
      </c>
      <c r="C868" t="s">
        <v>26</v>
      </c>
      <c r="D868" t="s">
        <v>27</v>
      </c>
      <c r="E868">
        <v>221000</v>
      </c>
      <c r="F868">
        <v>367.72</v>
      </c>
      <c r="G868" t="s">
        <v>2624</v>
      </c>
      <c r="H868" t="s">
        <v>2625</v>
      </c>
      <c r="I868">
        <v>1</v>
      </c>
      <c r="J868">
        <v>0</v>
      </c>
      <c r="K868" t="s">
        <v>17</v>
      </c>
    </row>
    <row r="869" spans="1:11" x14ac:dyDescent="0.2">
      <c r="A869" t="s">
        <v>2626</v>
      </c>
      <c r="B869" t="s">
        <v>12</v>
      </c>
      <c r="C869" t="s">
        <v>26</v>
      </c>
      <c r="D869" t="s">
        <v>27</v>
      </c>
      <c r="E869">
        <v>289000</v>
      </c>
      <c r="F869">
        <v>480.87</v>
      </c>
      <c r="G869" t="s">
        <v>2627</v>
      </c>
      <c r="H869" t="s">
        <v>2628</v>
      </c>
      <c r="I869">
        <v>1</v>
      </c>
      <c r="J869">
        <v>0</v>
      </c>
      <c r="K869" t="s">
        <v>17</v>
      </c>
    </row>
    <row r="870" spans="1:11" x14ac:dyDescent="0.2">
      <c r="A870" t="s">
        <v>2629</v>
      </c>
      <c r="B870" t="s">
        <v>25</v>
      </c>
      <c r="C870" t="s">
        <v>26</v>
      </c>
      <c r="D870" t="s">
        <v>27</v>
      </c>
      <c r="E870">
        <v>418000</v>
      </c>
      <c r="F870">
        <v>695.51</v>
      </c>
      <c r="G870" t="s">
        <v>2630</v>
      </c>
      <c r="H870" t="s">
        <v>2631</v>
      </c>
      <c r="I870">
        <v>1</v>
      </c>
      <c r="J870">
        <v>0</v>
      </c>
      <c r="K870" t="s">
        <v>17</v>
      </c>
    </row>
    <row r="871" spans="1:11" x14ac:dyDescent="0.2">
      <c r="A871" t="s">
        <v>2632</v>
      </c>
      <c r="B871" t="s">
        <v>19</v>
      </c>
      <c r="C871" t="s">
        <v>26</v>
      </c>
      <c r="D871" t="s">
        <v>27</v>
      </c>
      <c r="E871">
        <v>433000</v>
      </c>
      <c r="F871">
        <v>720.47</v>
      </c>
      <c r="G871" t="s">
        <v>2633</v>
      </c>
      <c r="H871" t="s">
        <v>2634</v>
      </c>
      <c r="I871">
        <v>1</v>
      </c>
      <c r="J871">
        <v>0</v>
      </c>
      <c r="K871" t="s">
        <v>17</v>
      </c>
    </row>
    <row r="872" spans="1:11" x14ac:dyDescent="0.2">
      <c r="A872" t="s">
        <v>2635</v>
      </c>
      <c r="B872" t="s">
        <v>77</v>
      </c>
      <c r="C872" t="s">
        <v>51</v>
      </c>
      <c r="D872" t="s">
        <v>21</v>
      </c>
      <c r="E872">
        <v>681000</v>
      </c>
      <c r="F872">
        <v>1133.1099999999999</v>
      </c>
      <c r="G872" t="s">
        <v>2636</v>
      </c>
      <c r="H872" t="s">
        <v>2637</v>
      </c>
      <c r="I872">
        <v>1</v>
      </c>
      <c r="J872">
        <v>0</v>
      </c>
      <c r="K872" t="s">
        <v>17</v>
      </c>
    </row>
    <row r="873" spans="1:11" x14ac:dyDescent="0.2">
      <c r="A873" t="s">
        <v>2638</v>
      </c>
      <c r="B873" t="s">
        <v>240</v>
      </c>
      <c r="C873" t="s">
        <v>102</v>
      </c>
      <c r="D873" t="s">
        <v>14</v>
      </c>
      <c r="E873">
        <v>1966000</v>
      </c>
      <c r="F873">
        <v>650.13</v>
      </c>
      <c r="G873" t="s">
        <v>2639</v>
      </c>
      <c r="H873" t="s">
        <v>2640</v>
      </c>
      <c r="I873">
        <v>1</v>
      </c>
      <c r="J873">
        <v>0</v>
      </c>
      <c r="K873" t="s">
        <v>17</v>
      </c>
    </row>
    <row r="874" spans="1:11" x14ac:dyDescent="0.2">
      <c r="A874" t="s">
        <v>2641</v>
      </c>
      <c r="B874" t="s">
        <v>87</v>
      </c>
      <c r="C874" t="s">
        <v>26</v>
      </c>
      <c r="D874" t="s">
        <v>27</v>
      </c>
      <c r="E874">
        <v>798000</v>
      </c>
      <c r="F874">
        <v>1327.79</v>
      </c>
      <c r="G874" t="s">
        <v>2642</v>
      </c>
      <c r="H874" t="s">
        <v>2643</v>
      </c>
      <c r="I874">
        <v>1</v>
      </c>
      <c r="J874">
        <v>0</v>
      </c>
      <c r="K874" t="s">
        <v>17</v>
      </c>
    </row>
    <row r="875" spans="1:11" x14ac:dyDescent="0.2">
      <c r="A875" t="s">
        <v>2644</v>
      </c>
      <c r="B875" t="s">
        <v>143</v>
      </c>
      <c r="C875" t="s">
        <v>102</v>
      </c>
      <c r="D875" t="s">
        <v>14</v>
      </c>
      <c r="E875">
        <v>2113000</v>
      </c>
      <c r="F875">
        <v>698.74</v>
      </c>
      <c r="G875" t="s">
        <v>2645</v>
      </c>
      <c r="H875" t="s">
        <v>2646</v>
      </c>
      <c r="I875">
        <v>1</v>
      </c>
      <c r="J875">
        <v>0</v>
      </c>
      <c r="K875" t="s">
        <v>17</v>
      </c>
    </row>
    <row r="876" spans="1:11" x14ac:dyDescent="0.2">
      <c r="A876" t="s">
        <v>2647</v>
      </c>
      <c r="B876" t="s">
        <v>59</v>
      </c>
      <c r="C876" t="s">
        <v>102</v>
      </c>
      <c r="D876" t="s">
        <v>14</v>
      </c>
      <c r="E876">
        <v>10656000</v>
      </c>
      <c r="F876">
        <v>3523.81</v>
      </c>
      <c r="G876" t="s">
        <v>2648</v>
      </c>
      <c r="H876" t="s">
        <v>2649</v>
      </c>
      <c r="I876">
        <v>1</v>
      </c>
      <c r="J876">
        <v>0</v>
      </c>
      <c r="K876" t="s">
        <v>17</v>
      </c>
    </row>
    <row r="877" spans="1:11" x14ac:dyDescent="0.2">
      <c r="A877" t="s">
        <v>2650</v>
      </c>
      <c r="B877" t="s">
        <v>106</v>
      </c>
      <c r="C877" t="s">
        <v>102</v>
      </c>
      <c r="D877" t="s">
        <v>14</v>
      </c>
      <c r="E877">
        <v>2862000</v>
      </c>
      <c r="F877">
        <v>946.43</v>
      </c>
      <c r="G877" t="s">
        <v>2651</v>
      </c>
      <c r="H877" t="s">
        <v>2652</v>
      </c>
      <c r="I877">
        <v>1</v>
      </c>
      <c r="J877">
        <v>0</v>
      </c>
      <c r="K877" t="s">
        <v>17</v>
      </c>
    </row>
    <row r="878" spans="1:11" x14ac:dyDescent="0.2">
      <c r="A878" t="s">
        <v>2653</v>
      </c>
      <c r="B878" t="s">
        <v>240</v>
      </c>
      <c r="C878" t="s">
        <v>42</v>
      </c>
      <c r="D878" t="s">
        <v>27</v>
      </c>
      <c r="E878">
        <v>235000</v>
      </c>
      <c r="F878">
        <v>391.01</v>
      </c>
      <c r="G878" t="s">
        <v>2654</v>
      </c>
      <c r="H878" t="s">
        <v>2655</v>
      </c>
      <c r="I878">
        <v>1</v>
      </c>
      <c r="J878">
        <v>0</v>
      </c>
      <c r="K878" t="s">
        <v>17</v>
      </c>
    </row>
    <row r="879" spans="1:11" x14ac:dyDescent="0.2">
      <c r="A879" t="s">
        <v>2656</v>
      </c>
      <c r="B879" t="s">
        <v>59</v>
      </c>
      <c r="C879" t="s">
        <v>51</v>
      </c>
      <c r="D879" t="s">
        <v>21</v>
      </c>
      <c r="E879">
        <v>664000</v>
      </c>
      <c r="F879">
        <v>1104.83</v>
      </c>
      <c r="G879" t="s">
        <v>2657</v>
      </c>
      <c r="H879" t="s">
        <v>2658</v>
      </c>
      <c r="I879">
        <v>1</v>
      </c>
      <c r="J879">
        <v>0</v>
      </c>
      <c r="K879" t="s">
        <v>17</v>
      </c>
    </row>
    <row r="880" spans="1:11" x14ac:dyDescent="0.2">
      <c r="A880" t="s">
        <v>2659</v>
      </c>
      <c r="B880" t="s">
        <v>67</v>
      </c>
      <c r="C880" t="s">
        <v>13</v>
      </c>
      <c r="D880" t="s">
        <v>14</v>
      </c>
      <c r="E880">
        <v>2665000</v>
      </c>
      <c r="F880">
        <v>881.28</v>
      </c>
      <c r="G880" t="s">
        <v>2660</v>
      </c>
      <c r="H880" t="s">
        <v>2661</v>
      </c>
      <c r="I880">
        <v>1</v>
      </c>
      <c r="J880">
        <v>0</v>
      </c>
      <c r="K880" t="s">
        <v>17</v>
      </c>
    </row>
    <row r="881" spans="1:11" x14ac:dyDescent="0.2">
      <c r="A881" t="s">
        <v>2662</v>
      </c>
      <c r="B881" t="s">
        <v>63</v>
      </c>
      <c r="C881" t="s">
        <v>42</v>
      </c>
      <c r="D881" t="s">
        <v>27</v>
      </c>
      <c r="E881">
        <v>529000</v>
      </c>
      <c r="F881">
        <v>880.2</v>
      </c>
      <c r="G881" t="s">
        <v>2663</v>
      </c>
      <c r="H881" t="s">
        <v>2664</v>
      </c>
      <c r="I881">
        <v>1</v>
      </c>
      <c r="J881">
        <v>0</v>
      </c>
      <c r="K881" t="s">
        <v>17</v>
      </c>
    </row>
    <row r="882" spans="1:11" x14ac:dyDescent="0.2">
      <c r="A882" t="s">
        <v>2665</v>
      </c>
      <c r="B882" t="s">
        <v>35</v>
      </c>
      <c r="C882" t="s">
        <v>26</v>
      </c>
      <c r="D882" t="s">
        <v>27</v>
      </c>
      <c r="E882">
        <v>321000</v>
      </c>
      <c r="F882">
        <v>534.11</v>
      </c>
      <c r="G882" t="s">
        <v>2666</v>
      </c>
      <c r="H882" t="s">
        <v>2667</v>
      </c>
      <c r="I882">
        <v>1</v>
      </c>
      <c r="J882">
        <v>0</v>
      </c>
      <c r="K882" t="s">
        <v>17</v>
      </c>
    </row>
    <row r="883" spans="1:11" x14ac:dyDescent="0.2">
      <c r="A883" t="s">
        <v>2668</v>
      </c>
      <c r="B883" t="s">
        <v>143</v>
      </c>
      <c r="C883" t="s">
        <v>102</v>
      </c>
      <c r="D883" t="s">
        <v>14</v>
      </c>
      <c r="E883">
        <v>9810000</v>
      </c>
      <c r="F883">
        <v>3244.05</v>
      </c>
      <c r="G883" t="s">
        <v>2669</v>
      </c>
      <c r="H883" t="s">
        <v>2670</v>
      </c>
      <c r="I883">
        <v>1</v>
      </c>
      <c r="J883">
        <v>0</v>
      </c>
      <c r="K883" t="s">
        <v>17</v>
      </c>
    </row>
    <row r="884" spans="1:11" x14ac:dyDescent="0.2">
      <c r="A884" t="s">
        <v>2671</v>
      </c>
      <c r="B884" t="s">
        <v>12</v>
      </c>
      <c r="C884" t="s">
        <v>20</v>
      </c>
      <c r="D884" t="s">
        <v>21</v>
      </c>
      <c r="E884">
        <v>500000</v>
      </c>
      <c r="F884">
        <v>831.95</v>
      </c>
      <c r="G884" t="s">
        <v>2672</v>
      </c>
      <c r="H884" t="s">
        <v>2673</v>
      </c>
      <c r="I884">
        <v>1</v>
      </c>
      <c r="J884">
        <v>0</v>
      </c>
      <c r="K884" t="s">
        <v>17</v>
      </c>
    </row>
    <row r="885" spans="1:11" x14ac:dyDescent="0.2">
      <c r="A885" t="s">
        <v>2674</v>
      </c>
      <c r="B885" t="s">
        <v>91</v>
      </c>
      <c r="C885" t="s">
        <v>42</v>
      </c>
      <c r="D885" t="s">
        <v>27</v>
      </c>
      <c r="E885">
        <v>1398000</v>
      </c>
      <c r="F885">
        <v>2326.12</v>
      </c>
      <c r="G885" t="s">
        <v>2675</v>
      </c>
      <c r="H885" t="s">
        <v>2676</v>
      </c>
      <c r="I885">
        <v>1</v>
      </c>
      <c r="J885">
        <v>0</v>
      </c>
      <c r="K885" t="s">
        <v>17</v>
      </c>
    </row>
    <row r="886" spans="1:11" x14ac:dyDescent="0.2">
      <c r="A886" t="s">
        <v>2677</v>
      </c>
      <c r="B886" t="s">
        <v>143</v>
      </c>
      <c r="C886" t="s">
        <v>102</v>
      </c>
      <c r="D886" t="s">
        <v>14</v>
      </c>
      <c r="E886">
        <v>1786000</v>
      </c>
      <c r="F886">
        <v>590.61</v>
      </c>
      <c r="G886" t="s">
        <v>2678</v>
      </c>
      <c r="H886" t="s">
        <v>2679</v>
      </c>
      <c r="I886">
        <v>1</v>
      </c>
      <c r="J886">
        <v>0</v>
      </c>
      <c r="K886" t="s">
        <v>17</v>
      </c>
    </row>
    <row r="887" spans="1:11" x14ac:dyDescent="0.2">
      <c r="A887" t="s">
        <v>2680</v>
      </c>
      <c r="B887" t="s">
        <v>31</v>
      </c>
      <c r="C887" t="s">
        <v>20</v>
      </c>
      <c r="D887" t="s">
        <v>21</v>
      </c>
      <c r="E887">
        <v>367000</v>
      </c>
      <c r="F887">
        <v>610.65</v>
      </c>
      <c r="G887" t="s">
        <v>2681</v>
      </c>
      <c r="H887" t="s">
        <v>2682</v>
      </c>
      <c r="I887">
        <v>1</v>
      </c>
      <c r="J887">
        <v>0</v>
      </c>
      <c r="K887" t="s">
        <v>17</v>
      </c>
    </row>
    <row r="888" spans="1:11" x14ac:dyDescent="0.2">
      <c r="A888" t="s">
        <v>2683</v>
      </c>
      <c r="B888" t="s">
        <v>87</v>
      </c>
      <c r="C888" t="s">
        <v>20</v>
      </c>
      <c r="D888" t="s">
        <v>21</v>
      </c>
      <c r="E888">
        <v>264000</v>
      </c>
      <c r="F888">
        <v>439.27</v>
      </c>
      <c r="G888" t="s">
        <v>2684</v>
      </c>
      <c r="H888" t="s">
        <v>2685</v>
      </c>
      <c r="I888">
        <v>1</v>
      </c>
      <c r="J888">
        <v>0</v>
      </c>
      <c r="K888" t="s">
        <v>17</v>
      </c>
    </row>
    <row r="889" spans="1:11" x14ac:dyDescent="0.2">
      <c r="A889" t="s">
        <v>2686</v>
      </c>
      <c r="B889" t="s">
        <v>98</v>
      </c>
      <c r="C889" t="s">
        <v>26</v>
      </c>
      <c r="D889" t="s">
        <v>27</v>
      </c>
      <c r="E889">
        <v>431000</v>
      </c>
      <c r="F889">
        <v>717.14</v>
      </c>
      <c r="G889" t="s">
        <v>2687</v>
      </c>
      <c r="H889" t="s">
        <v>2688</v>
      </c>
      <c r="I889">
        <v>1</v>
      </c>
      <c r="J889">
        <v>0</v>
      </c>
      <c r="K889" t="s">
        <v>17</v>
      </c>
    </row>
    <row r="890" spans="1:11" x14ac:dyDescent="0.2">
      <c r="A890" t="s">
        <v>2689</v>
      </c>
      <c r="B890" t="s">
        <v>67</v>
      </c>
      <c r="C890" t="s">
        <v>13</v>
      </c>
      <c r="D890" t="s">
        <v>14</v>
      </c>
      <c r="E890">
        <v>4041000</v>
      </c>
      <c r="F890">
        <v>1336.31</v>
      </c>
      <c r="G890" t="s">
        <v>2690</v>
      </c>
      <c r="H890" t="s">
        <v>2691</v>
      </c>
      <c r="I890">
        <v>1</v>
      </c>
      <c r="J890">
        <v>0</v>
      </c>
      <c r="K890" t="s">
        <v>17</v>
      </c>
    </row>
    <row r="891" spans="1:11" x14ac:dyDescent="0.2">
      <c r="A891" t="s">
        <v>2692</v>
      </c>
      <c r="B891" t="s">
        <v>91</v>
      </c>
      <c r="C891" t="s">
        <v>20</v>
      </c>
      <c r="D891" t="s">
        <v>21</v>
      </c>
      <c r="E891">
        <v>66000</v>
      </c>
      <c r="F891">
        <v>109.82</v>
      </c>
      <c r="G891" t="s">
        <v>2693</v>
      </c>
      <c r="H891" t="s">
        <v>2694</v>
      </c>
      <c r="I891">
        <v>1</v>
      </c>
      <c r="J891">
        <v>0</v>
      </c>
      <c r="K891" t="s">
        <v>17</v>
      </c>
    </row>
    <row r="892" spans="1:11" x14ac:dyDescent="0.2">
      <c r="A892" t="s">
        <v>2695</v>
      </c>
      <c r="B892" t="s">
        <v>31</v>
      </c>
      <c r="C892" t="s">
        <v>26</v>
      </c>
      <c r="D892" t="s">
        <v>27</v>
      </c>
      <c r="E892">
        <v>325000</v>
      </c>
      <c r="F892">
        <v>540.77</v>
      </c>
      <c r="G892" t="s">
        <v>2696</v>
      </c>
      <c r="H892" t="s">
        <v>2697</v>
      </c>
      <c r="I892">
        <v>1</v>
      </c>
      <c r="J892">
        <v>0</v>
      </c>
      <c r="K892" t="s">
        <v>17</v>
      </c>
    </row>
    <row r="893" spans="1:11" x14ac:dyDescent="0.2">
      <c r="A893" t="s">
        <v>2698</v>
      </c>
      <c r="B893" t="s">
        <v>31</v>
      </c>
      <c r="C893" t="s">
        <v>51</v>
      </c>
      <c r="D893" t="s">
        <v>21</v>
      </c>
      <c r="E893">
        <v>489000</v>
      </c>
      <c r="F893">
        <v>813.64</v>
      </c>
      <c r="G893" t="s">
        <v>2699</v>
      </c>
      <c r="H893" t="s">
        <v>2700</v>
      </c>
      <c r="I893">
        <v>1</v>
      </c>
      <c r="J893">
        <v>0</v>
      </c>
      <c r="K893" t="s">
        <v>17</v>
      </c>
    </row>
    <row r="894" spans="1:11" x14ac:dyDescent="0.2">
      <c r="A894" t="s">
        <v>2701</v>
      </c>
      <c r="B894" t="s">
        <v>12</v>
      </c>
      <c r="C894" t="s">
        <v>26</v>
      </c>
      <c r="D894" t="s">
        <v>27</v>
      </c>
      <c r="E894">
        <v>424000</v>
      </c>
      <c r="F894">
        <v>705.49</v>
      </c>
      <c r="G894" t="s">
        <v>2702</v>
      </c>
      <c r="H894" t="s">
        <v>2703</v>
      </c>
      <c r="I894">
        <v>1</v>
      </c>
      <c r="J894">
        <v>0</v>
      </c>
      <c r="K894" t="s">
        <v>17</v>
      </c>
    </row>
    <row r="895" spans="1:11" x14ac:dyDescent="0.2">
      <c r="A895" t="s">
        <v>2704</v>
      </c>
      <c r="B895" t="s">
        <v>106</v>
      </c>
      <c r="C895" t="s">
        <v>51</v>
      </c>
      <c r="D895" t="s">
        <v>21</v>
      </c>
      <c r="E895">
        <v>311000</v>
      </c>
      <c r="F895">
        <v>517.47</v>
      </c>
      <c r="G895" t="s">
        <v>2705</v>
      </c>
      <c r="H895" t="s">
        <v>2706</v>
      </c>
      <c r="I895">
        <v>1</v>
      </c>
      <c r="J895">
        <v>0</v>
      </c>
      <c r="K895" t="s">
        <v>17</v>
      </c>
    </row>
    <row r="896" spans="1:11" x14ac:dyDescent="0.2">
      <c r="A896" t="s">
        <v>2707</v>
      </c>
      <c r="B896" t="s">
        <v>128</v>
      </c>
      <c r="C896" t="s">
        <v>42</v>
      </c>
      <c r="D896" t="s">
        <v>27</v>
      </c>
      <c r="E896">
        <v>262000</v>
      </c>
      <c r="F896">
        <v>435.94</v>
      </c>
      <c r="G896" t="s">
        <v>2708</v>
      </c>
      <c r="H896" t="s">
        <v>2709</v>
      </c>
      <c r="I896">
        <v>1</v>
      </c>
      <c r="J896">
        <v>0</v>
      </c>
      <c r="K896" t="s">
        <v>17</v>
      </c>
    </row>
    <row r="897" spans="1:11" x14ac:dyDescent="0.2">
      <c r="A897" t="s">
        <v>2710</v>
      </c>
      <c r="B897" t="s">
        <v>143</v>
      </c>
      <c r="C897" t="s">
        <v>13</v>
      </c>
      <c r="D897" t="s">
        <v>14</v>
      </c>
      <c r="E897">
        <v>2915000</v>
      </c>
      <c r="F897">
        <v>963.96</v>
      </c>
      <c r="G897" t="s">
        <v>2711</v>
      </c>
      <c r="H897" t="s">
        <v>2712</v>
      </c>
      <c r="I897">
        <v>1</v>
      </c>
      <c r="J897">
        <v>0</v>
      </c>
      <c r="K897" t="s">
        <v>17</v>
      </c>
    </row>
    <row r="898" spans="1:11" x14ac:dyDescent="0.2">
      <c r="A898" t="s">
        <v>2713</v>
      </c>
      <c r="B898" t="s">
        <v>59</v>
      </c>
      <c r="C898" t="s">
        <v>42</v>
      </c>
      <c r="D898" t="s">
        <v>27</v>
      </c>
      <c r="E898">
        <v>674000</v>
      </c>
      <c r="F898">
        <v>1121.46</v>
      </c>
      <c r="G898" t="s">
        <v>2714</v>
      </c>
      <c r="H898" t="s">
        <v>2715</v>
      </c>
      <c r="I898">
        <v>1</v>
      </c>
      <c r="J898">
        <v>0</v>
      </c>
      <c r="K898" t="s">
        <v>17</v>
      </c>
    </row>
    <row r="899" spans="1:11" x14ac:dyDescent="0.2">
      <c r="A899" t="s">
        <v>2716</v>
      </c>
      <c r="B899" t="s">
        <v>25</v>
      </c>
      <c r="C899" t="s">
        <v>26</v>
      </c>
      <c r="D899" t="s">
        <v>27</v>
      </c>
      <c r="E899">
        <v>2306000</v>
      </c>
      <c r="F899">
        <v>3836.94</v>
      </c>
      <c r="G899" t="s">
        <v>2717</v>
      </c>
      <c r="H899" t="s">
        <v>2718</v>
      </c>
      <c r="I899">
        <v>1</v>
      </c>
      <c r="J899">
        <v>0</v>
      </c>
      <c r="K899" t="s">
        <v>17</v>
      </c>
    </row>
    <row r="900" spans="1:11" x14ac:dyDescent="0.2">
      <c r="A900" t="s">
        <v>2719</v>
      </c>
      <c r="B900" t="s">
        <v>67</v>
      </c>
      <c r="C900" t="s">
        <v>102</v>
      </c>
      <c r="D900" t="s">
        <v>14</v>
      </c>
      <c r="E900">
        <v>429000</v>
      </c>
      <c r="F900">
        <v>141.87</v>
      </c>
      <c r="G900" t="s">
        <v>2720</v>
      </c>
      <c r="H900" t="s">
        <v>2721</v>
      </c>
      <c r="I900">
        <v>1</v>
      </c>
      <c r="J900">
        <v>0</v>
      </c>
      <c r="K900" t="s">
        <v>17</v>
      </c>
    </row>
    <row r="901" spans="1:11" x14ac:dyDescent="0.2">
      <c r="A901" t="s">
        <v>2722</v>
      </c>
      <c r="B901" t="s">
        <v>87</v>
      </c>
      <c r="C901" t="s">
        <v>102</v>
      </c>
      <c r="D901" t="s">
        <v>14</v>
      </c>
      <c r="E901">
        <v>757000</v>
      </c>
      <c r="F901">
        <v>250.33</v>
      </c>
      <c r="G901" t="s">
        <v>2723</v>
      </c>
      <c r="H901" t="s">
        <v>2724</v>
      </c>
      <c r="I901">
        <v>1</v>
      </c>
      <c r="J901">
        <v>0</v>
      </c>
      <c r="K901" t="s">
        <v>17</v>
      </c>
    </row>
    <row r="902" spans="1:11" x14ac:dyDescent="0.2">
      <c r="A902" t="s">
        <v>2725</v>
      </c>
      <c r="B902" t="s">
        <v>50</v>
      </c>
      <c r="C902" t="s">
        <v>51</v>
      </c>
      <c r="D902" t="s">
        <v>21</v>
      </c>
      <c r="E902">
        <v>422000</v>
      </c>
      <c r="F902">
        <v>702.16</v>
      </c>
      <c r="G902" t="s">
        <v>2726</v>
      </c>
      <c r="H902" t="s">
        <v>2727</v>
      </c>
      <c r="I902">
        <v>1</v>
      </c>
      <c r="J902">
        <v>0</v>
      </c>
      <c r="K902" t="s">
        <v>17</v>
      </c>
    </row>
    <row r="903" spans="1:11" x14ac:dyDescent="0.2">
      <c r="A903" t="s">
        <v>2728</v>
      </c>
      <c r="B903" t="s">
        <v>19</v>
      </c>
      <c r="C903" t="s">
        <v>20</v>
      </c>
      <c r="D903" t="s">
        <v>21</v>
      </c>
      <c r="E903">
        <v>590000</v>
      </c>
      <c r="F903">
        <v>981.7</v>
      </c>
      <c r="G903" t="s">
        <v>2729</v>
      </c>
      <c r="H903" t="s">
        <v>2730</v>
      </c>
      <c r="I903">
        <v>1</v>
      </c>
      <c r="J903">
        <v>0</v>
      </c>
      <c r="K903" t="s">
        <v>17</v>
      </c>
    </row>
    <row r="904" spans="1:11" x14ac:dyDescent="0.2">
      <c r="A904" t="s">
        <v>2731</v>
      </c>
      <c r="B904" t="s">
        <v>50</v>
      </c>
      <c r="C904" t="s">
        <v>102</v>
      </c>
      <c r="D904" t="s">
        <v>14</v>
      </c>
      <c r="E904">
        <v>3134000</v>
      </c>
      <c r="F904">
        <v>1036.3800000000001</v>
      </c>
      <c r="G904" t="s">
        <v>2732</v>
      </c>
      <c r="H904" t="s">
        <v>2733</v>
      </c>
      <c r="I904">
        <v>1</v>
      </c>
      <c r="J904">
        <v>0</v>
      </c>
      <c r="K904" t="s">
        <v>17</v>
      </c>
    </row>
    <row r="905" spans="1:11" x14ac:dyDescent="0.2">
      <c r="A905" t="s">
        <v>2734</v>
      </c>
      <c r="B905" t="s">
        <v>55</v>
      </c>
      <c r="C905" t="s">
        <v>51</v>
      </c>
      <c r="D905" t="s">
        <v>21</v>
      </c>
      <c r="E905">
        <v>453000</v>
      </c>
      <c r="F905">
        <v>753.74</v>
      </c>
      <c r="G905" t="s">
        <v>2735</v>
      </c>
      <c r="H905" t="s">
        <v>2736</v>
      </c>
      <c r="I905">
        <v>1</v>
      </c>
      <c r="J905">
        <v>0</v>
      </c>
      <c r="K905" t="s">
        <v>17</v>
      </c>
    </row>
    <row r="906" spans="1:11" x14ac:dyDescent="0.2">
      <c r="A906" t="s">
        <v>2737</v>
      </c>
      <c r="B906" t="s">
        <v>59</v>
      </c>
      <c r="C906" t="s">
        <v>26</v>
      </c>
      <c r="D906" t="s">
        <v>27</v>
      </c>
      <c r="E906">
        <v>387000</v>
      </c>
      <c r="F906">
        <v>643.92999999999995</v>
      </c>
      <c r="G906" t="s">
        <v>2738</v>
      </c>
      <c r="H906" t="s">
        <v>2739</v>
      </c>
      <c r="I906">
        <v>1</v>
      </c>
      <c r="J906">
        <v>14.98</v>
      </c>
      <c r="K906" t="s">
        <v>17</v>
      </c>
    </row>
    <row r="907" spans="1:11" x14ac:dyDescent="0.2">
      <c r="A907" t="s">
        <v>2740</v>
      </c>
      <c r="B907" t="s">
        <v>67</v>
      </c>
      <c r="C907" t="s">
        <v>13</v>
      </c>
      <c r="D907" t="s">
        <v>14</v>
      </c>
      <c r="E907">
        <v>1578000</v>
      </c>
      <c r="F907">
        <v>521.83000000000004</v>
      </c>
      <c r="G907" t="s">
        <v>2741</v>
      </c>
      <c r="H907" t="s">
        <v>2742</v>
      </c>
      <c r="I907">
        <v>1</v>
      </c>
      <c r="J907">
        <v>0</v>
      </c>
      <c r="K907" t="s">
        <v>17</v>
      </c>
    </row>
    <row r="908" spans="1:11" x14ac:dyDescent="0.2">
      <c r="A908" t="s">
        <v>2743</v>
      </c>
      <c r="B908" t="s">
        <v>35</v>
      </c>
      <c r="C908" t="s">
        <v>51</v>
      </c>
      <c r="D908" t="s">
        <v>21</v>
      </c>
      <c r="E908">
        <v>1827000</v>
      </c>
      <c r="F908">
        <v>3039.93</v>
      </c>
      <c r="G908" t="s">
        <v>2744</v>
      </c>
      <c r="H908" t="s">
        <v>2745</v>
      </c>
      <c r="I908">
        <v>1</v>
      </c>
      <c r="J908">
        <v>0</v>
      </c>
      <c r="K908" t="s">
        <v>17</v>
      </c>
    </row>
    <row r="909" spans="1:11" x14ac:dyDescent="0.2">
      <c r="A909" t="s">
        <v>2746</v>
      </c>
      <c r="B909" t="s">
        <v>128</v>
      </c>
      <c r="C909" t="s">
        <v>51</v>
      </c>
      <c r="D909" t="s">
        <v>21</v>
      </c>
      <c r="E909">
        <v>214000</v>
      </c>
      <c r="F909">
        <v>356.07</v>
      </c>
      <c r="G909" t="s">
        <v>2747</v>
      </c>
      <c r="H909" t="s">
        <v>2748</v>
      </c>
      <c r="I909">
        <v>1</v>
      </c>
      <c r="J909">
        <v>0</v>
      </c>
      <c r="K909" t="s">
        <v>17</v>
      </c>
    </row>
    <row r="910" spans="1:11" x14ac:dyDescent="0.2">
      <c r="A910" t="s">
        <v>2749</v>
      </c>
      <c r="B910" t="s">
        <v>25</v>
      </c>
      <c r="C910" t="s">
        <v>13</v>
      </c>
      <c r="D910" t="s">
        <v>14</v>
      </c>
      <c r="E910">
        <v>2195000</v>
      </c>
      <c r="F910">
        <v>725.86</v>
      </c>
      <c r="G910" t="s">
        <v>2750</v>
      </c>
      <c r="H910" t="s">
        <v>2751</v>
      </c>
      <c r="I910">
        <v>1</v>
      </c>
      <c r="J910">
        <v>0</v>
      </c>
      <c r="K910" t="s">
        <v>17</v>
      </c>
    </row>
    <row r="911" spans="1:11" x14ac:dyDescent="0.2">
      <c r="A911" t="s">
        <v>2752</v>
      </c>
      <c r="B911" t="s">
        <v>128</v>
      </c>
      <c r="C911" t="s">
        <v>20</v>
      </c>
      <c r="D911" t="s">
        <v>21</v>
      </c>
      <c r="E911">
        <v>769000</v>
      </c>
      <c r="F911">
        <v>1279.53</v>
      </c>
      <c r="G911" t="s">
        <v>2753</v>
      </c>
      <c r="H911" t="s">
        <v>2754</v>
      </c>
      <c r="I911">
        <v>1</v>
      </c>
      <c r="J911">
        <v>0</v>
      </c>
      <c r="K911" t="s">
        <v>17</v>
      </c>
    </row>
    <row r="912" spans="1:11" x14ac:dyDescent="0.2">
      <c r="A912" t="s">
        <v>2755</v>
      </c>
      <c r="B912" t="s">
        <v>240</v>
      </c>
      <c r="C912" t="s">
        <v>42</v>
      </c>
      <c r="D912" t="s">
        <v>27</v>
      </c>
      <c r="E912">
        <v>119000</v>
      </c>
      <c r="F912">
        <v>198</v>
      </c>
      <c r="G912" t="s">
        <v>2756</v>
      </c>
      <c r="H912" t="s">
        <v>2757</v>
      </c>
      <c r="I912">
        <v>1</v>
      </c>
      <c r="J912">
        <v>0</v>
      </c>
      <c r="K912" t="s">
        <v>17</v>
      </c>
    </row>
    <row r="913" spans="1:11" x14ac:dyDescent="0.2">
      <c r="A913" t="s">
        <v>2758</v>
      </c>
      <c r="B913" t="s">
        <v>240</v>
      </c>
      <c r="C913" t="s">
        <v>26</v>
      </c>
      <c r="D913" t="s">
        <v>27</v>
      </c>
      <c r="E913">
        <v>190000</v>
      </c>
      <c r="F913">
        <v>316.14</v>
      </c>
      <c r="G913" t="s">
        <v>2759</v>
      </c>
      <c r="H913" t="s">
        <v>2760</v>
      </c>
      <c r="I913">
        <v>1</v>
      </c>
      <c r="J913">
        <v>0</v>
      </c>
      <c r="K913" t="s">
        <v>17</v>
      </c>
    </row>
    <row r="914" spans="1:11" x14ac:dyDescent="0.2">
      <c r="A914" t="s">
        <v>2761</v>
      </c>
      <c r="B914" t="s">
        <v>98</v>
      </c>
      <c r="C914" t="s">
        <v>102</v>
      </c>
      <c r="D914" t="s">
        <v>14</v>
      </c>
      <c r="E914">
        <v>597000</v>
      </c>
      <c r="F914">
        <v>197.42</v>
      </c>
      <c r="G914" t="s">
        <v>2762</v>
      </c>
      <c r="H914" t="s">
        <v>2763</v>
      </c>
      <c r="I914">
        <v>1</v>
      </c>
      <c r="J914">
        <v>0</v>
      </c>
      <c r="K914" t="s">
        <v>17</v>
      </c>
    </row>
    <row r="915" spans="1:11" x14ac:dyDescent="0.2">
      <c r="A915" t="s">
        <v>2764</v>
      </c>
      <c r="B915" t="s">
        <v>143</v>
      </c>
      <c r="C915" t="s">
        <v>26</v>
      </c>
      <c r="D915" t="s">
        <v>27</v>
      </c>
      <c r="E915">
        <v>294000</v>
      </c>
      <c r="F915">
        <v>489.18</v>
      </c>
      <c r="G915" t="s">
        <v>2765</v>
      </c>
      <c r="H915" t="s">
        <v>2766</v>
      </c>
      <c r="I915">
        <v>1</v>
      </c>
      <c r="J915">
        <v>0</v>
      </c>
      <c r="K915" t="s">
        <v>17</v>
      </c>
    </row>
    <row r="916" spans="1:11" x14ac:dyDescent="0.2">
      <c r="A916" t="s">
        <v>2767</v>
      </c>
      <c r="B916" t="s">
        <v>25</v>
      </c>
      <c r="C916" t="s">
        <v>26</v>
      </c>
      <c r="D916" t="s">
        <v>27</v>
      </c>
      <c r="E916">
        <v>93000</v>
      </c>
      <c r="F916">
        <v>154.74</v>
      </c>
      <c r="G916" t="s">
        <v>2768</v>
      </c>
      <c r="H916" t="s">
        <v>2769</v>
      </c>
      <c r="I916">
        <v>1</v>
      </c>
      <c r="J916">
        <v>0</v>
      </c>
      <c r="K916" t="s">
        <v>17</v>
      </c>
    </row>
    <row r="917" spans="1:11" x14ac:dyDescent="0.2">
      <c r="A917" t="s">
        <v>2770</v>
      </c>
      <c r="B917" t="s">
        <v>139</v>
      </c>
      <c r="C917" t="s">
        <v>20</v>
      </c>
      <c r="D917" t="s">
        <v>21</v>
      </c>
      <c r="E917">
        <v>963000</v>
      </c>
      <c r="F917">
        <v>1602.33</v>
      </c>
      <c r="G917" t="s">
        <v>2771</v>
      </c>
      <c r="H917" t="s">
        <v>2772</v>
      </c>
      <c r="I917">
        <v>1</v>
      </c>
      <c r="J917">
        <v>0</v>
      </c>
      <c r="K917" t="s">
        <v>17</v>
      </c>
    </row>
    <row r="918" spans="1:11" x14ac:dyDescent="0.2">
      <c r="A918" t="s">
        <v>2773</v>
      </c>
      <c r="B918" t="s">
        <v>63</v>
      </c>
      <c r="C918" t="s">
        <v>20</v>
      </c>
      <c r="D918" t="s">
        <v>21</v>
      </c>
      <c r="E918">
        <v>505000</v>
      </c>
      <c r="F918">
        <v>840.27</v>
      </c>
      <c r="G918" t="s">
        <v>2774</v>
      </c>
      <c r="H918" t="s">
        <v>2775</v>
      </c>
      <c r="I918">
        <v>1</v>
      </c>
      <c r="J918">
        <v>0</v>
      </c>
      <c r="K918" t="s">
        <v>17</v>
      </c>
    </row>
    <row r="919" spans="1:11" x14ac:dyDescent="0.2">
      <c r="A919" t="s">
        <v>2776</v>
      </c>
      <c r="B919" t="s">
        <v>139</v>
      </c>
      <c r="C919" t="s">
        <v>102</v>
      </c>
      <c r="D919" t="s">
        <v>14</v>
      </c>
      <c r="E919">
        <v>2176000</v>
      </c>
      <c r="F919">
        <v>719.58</v>
      </c>
      <c r="G919" t="s">
        <v>2777</v>
      </c>
      <c r="H919" t="s">
        <v>2778</v>
      </c>
      <c r="I919">
        <v>1</v>
      </c>
      <c r="J919">
        <v>0</v>
      </c>
      <c r="K919" t="s">
        <v>17</v>
      </c>
    </row>
    <row r="920" spans="1:11" x14ac:dyDescent="0.2">
      <c r="A920" t="s">
        <v>2779</v>
      </c>
      <c r="B920" t="s">
        <v>50</v>
      </c>
      <c r="C920" t="s">
        <v>42</v>
      </c>
      <c r="D920" t="s">
        <v>27</v>
      </c>
      <c r="E920">
        <v>331000</v>
      </c>
      <c r="F920">
        <v>550.75</v>
      </c>
      <c r="G920" t="s">
        <v>2780</v>
      </c>
      <c r="H920" t="s">
        <v>2781</v>
      </c>
      <c r="I920">
        <v>1</v>
      </c>
      <c r="J920">
        <v>0</v>
      </c>
      <c r="K920" t="s">
        <v>17</v>
      </c>
    </row>
    <row r="921" spans="1:11" x14ac:dyDescent="0.2">
      <c r="A921" t="s">
        <v>2782</v>
      </c>
      <c r="B921" t="s">
        <v>77</v>
      </c>
      <c r="C921" t="s">
        <v>42</v>
      </c>
      <c r="D921" t="s">
        <v>27</v>
      </c>
      <c r="E921">
        <v>208000</v>
      </c>
      <c r="F921">
        <v>346.09</v>
      </c>
      <c r="G921" t="s">
        <v>2783</v>
      </c>
      <c r="H921" t="s">
        <v>2784</v>
      </c>
      <c r="I921">
        <v>1</v>
      </c>
      <c r="J921">
        <v>-24.96</v>
      </c>
      <c r="K921" t="s">
        <v>45</v>
      </c>
    </row>
    <row r="922" spans="1:11" x14ac:dyDescent="0.2">
      <c r="A922" t="s">
        <v>2785</v>
      </c>
      <c r="B922" t="s">
        <v>50</v>
      </c>
      <c r="C922" t="s">
        <v>26</v>
      </c>
      <c r="D922" t="s">
        <v>27</v>
      </c>
      <c r="E922">
        <v>989000</v>
      </c>
      <c r="F922">
        <v>1645.59</v>
      </c>
      <c r="G922" t="s">
        <v>2786</v>
      </c>
      <c r="H922" t="s">
        <v>2787</v>
      </c>
      <c r="I922">
        <v>1</v>
      </c>
      <c r="J922">
        <v>0</v>
      </c>
      <c r="K922" t="s">
        <v>17</v>
      </c>
    </row>
    <row r="923" spans="1:11" x14ac:dyDescent="0.2">
      <c r="A923" t="s">
        <v>2788</v>
      </c>
      <c r="B923" t="s">
        <v>106</v>
      </c>
      <c r="C923" t="s">
        <v>102</v>
      </c>
      <c r="D923" t="s">
        <v>14</v>
      </c>
      <c r="E923">
        <v>7689000</v>
      </c>
      <c r="F923">
        <v>2542.66</v>
      </c>
      <c r="G923" t="s">
        <v>2789</v>
      </c>
      <c r="H923" t="s">
        <v>2790</v>
      </c>
      <c r="I923">
        <v>1</v>
      </c>
      <c r="J923">
        <v>0</v>
      </c>
      <c r="K923" t="s">
        <v>17</v>
      </c>
    </row>
    <row r="924" spans="1:11" x14ac:dyDescent="0.2">
      <c r="A924" t="s">
        <v>2791</v>
      </c>
      <c r="B924" t="s">
        <v>77</v>
      </c>
      <c r="C924" t="s">
        <v>20</v>
      </c>
      <c r="D924" t="s">
        <v>21</v>
      </c>
      <c r="E924">
        <v>617000</v>
      </c>
      <c r="F924">
        <v>1026.6199999999999</v>
      </c>
      <c r="G924" t="s">
        <v>2792</v>
      </c>
      <c r="H924" t="s">
        <v>2793</v>
      </c>
      <c r="I924">
        <v>1</v>
      </c>
      <c r="J924">
        <v>0</v>
      </c>
      <c r="K924" t="s">
        <v>17</v>
      </c>
    </row>
    <row r="925" spans="1:11" x14ac:dyDescent="0.2">
      <c r="A925" t="s">
        <v>2794</v>
      </c>
      <c r="B925" t="s">
        <v>63</v>
      </c>
      <c r="C925" t="s">
        <v>20</v>
      </c>
      <c r="D925" t="s">
        <v>21</v>
      </c>
      <c r="E925">
        <v>1955000</v>
      </c>
      <c r="F925">
        <v>3252.91</v>
      </c>
      <c r="G925" t="s">
        <v>2795</v>
      </c>
      <c r="H925" t="s">
        <v>2796</v>
      </c>
      <c r="I925">
        <v>1</v>
      </c>
      <c r="J925">
        <v>0</v>
      </c>
      <c r="K925" t="s">
        <v>17</v>
      </c>
    </row>
    <row r="926" spans="1:11" x14ac:dyDescent="0.2">
      <c r="A926" t="s">
        <v>2797</v>
      </c>
      <c r="B926" t="s">
        <v>63</v>
      </c>
      <c r="C926" t="s">
        <v>26</v>
      </c>
      <c r="D926" t="s">
        <v>27</v>
      </c>
      <c r="E926">
        <v>464000</v>
      </c>
      <c r="F926">
        <v>772.05</v>
      </c>
      <c r="G926" t="s">
        <v>2798</v>
      </c>
      <c r="H926" t="s">
        <v>2799</v>
      </c>
      <c r="I926">
        <v>1</v>
      </c>
      <c r="J926">
        <v>0</v>
      </c>
      <c r="K926" t="s">
        <v>17</v>
      </c>
    </row>
    <row r="927" spans="1:11" x14ac:dyDescent="0.2">
      <c r="A927" t="s">
        <v>2800</v>
      </c>
      <c r="B927" t="s">
        <v>67</v>
      </c>
      <c r="C927" t="s">
        <v>42</v>
      </c>
      <c r="D927" t="s">
        <v>27</v>
      </c>
      <c r="E927">
        <v>602000</v>
      </c>
      <c r="F927">
        <v>1001.66</v>
      </c>
      <c r="G927" t="s">
        <v>2801</v>
      </c>
      <c r="H927" t="s">
        <v>2802</v>
      </c>
      <c r="I927">
        <v>2</v>
      </c>
      <c r="J927">
        <v>0</v>
      </c>
      <c r="K927" t="s">
        <v>1075</v>
      </c>
    </row>
    <row r="928" spans="1:11" x14ac:dyDescent="0.2">
      <c r="A928" t="s">
        <v>2803</v>
      </c>
      <c r="B928" t="s">
        <v>106</v>
      </c>
      <c r="C928" t="s">
        <v>42</v>
      </c>
      <c r="D928" t="s">
        <v>27</v>
      </c>
      <c r="E928">
        <v>113000</v>
      </c>
      <c r="F928">
        <v>188.02</v>
      </c>
      <c r="G928" t="s">
        <v>2804</v>
      </c>
      <c r="H928" t="s">
        <v>2805</v>
      </c>
      <c r="I928">
        <v>1</v>
      </c>
      <c r="J928">
        <v>0</v>
      </c>
      <c r="K928" t="s">
        <v>17</v>
      </c>
    </row>
    <row r="929" spans="1:11" x14ac:dyDescent="0.2">
      <c r="A929" t="s">
        <v>2806</v>
      </c>
      <c r="B929" t="s">
        <v>91</v>
      </c>
      <c r="C929" t="s">
        <v>102</v>
      </c>
      <c r="D929" t="s">
        <v>14</v>
      </c>
      <c r="E929">
        <v>1415000</v>
      </c>
      <c r="F929">
        <v>467.92</v>
      </c>
      <c r="G929" t="s">
        <v>2807</v>
      </c>
      <c r="H929" t="s">
        <v>2808</v>
      </c>
      <c r="I929">
        <v>1</v>
      </c>
      <c r="J929">
        <v>0</v>
      </c>
      <c r="K929" t="s">
        <v>17</v>
      </c>
    </row>
    <row r="930" spans="1:11" x14ac:dyDescent="0.2">
      <c r="A930" t="s">
        <v>2809</v>
      </c>
      <c r="B930" t="s">
        <v>98</v>
      </c>
      <c r="C930" t="s">
        <v>42</v>
      </c>
      <c r="D930" t="s">
        <v>27</v>
      </c>
      <c r="E930">
        <v>548000</v>
      </c>
      <c r="F930">
        <v>911.81</v>
      </c>
      <c r="G930" t="s">
        <v>2810</v>
      </c>
      <c r="H930" t="s">
        <v>2811</v>
      </c>
      <c r="I930">
        <v>1</v>
      </c>
      <c r="J930">
        <v>0</v>
      </c>
      <c r="K930" t="s">
        <v>17</v>
      </c>
    </row>
    <row r="931" spans="1:11" x14ac:dyDescent="0.2">
      <c r="A931" t="s">
        <v>2812</v>
      </c>
      <c r="B931" t="s">
        <v>91</v>
      </c>
      <c r="C931" t="s">
        <v>42</v>
      </c>
      <c r="D931" t="s">
        <v>27</v>
      </c>
      <c r="E931">
        <v>676000</v>
      </c>
      <c r="F931">
        <v>1124.79</v>
      </c>
      <c r="G931" t="s">
        <v>2813</v>
      </c>
      <c r="H931" t="s">
        <v>2814</v>
      </c>
      <c r="I931">
        <v>1</v>
      </c>
      <c r="J931">
        <v>0</v>
      </c>
      <c r="K931" t="s">
        <v>17</v>
      </c>
    </row>
    <row r="932" spans="1:11" x14ac:dyDescent="0.2">
      <c r="A932" t="s">
        <v>2815</v>
      </c>
      <c r="B932" t="s">
        <v>135</v>
      </c>
      <c r="C932" t="s">
        <v>51</v>
      </c>
      <c r="D932" t="s">
        <v>21</v>
      </c>
      <c r="E932">
        <v>96000</v>
      </c>
      <c r="F932">
        <v>159.72999999999999</v>
      </c>
      <c r="G932" t="s">
        <v>2816</v>
      </c>
      <c r="H932" t="s">
        <v>2817</v>
      </c>
      <c r="I932">
        <v>1</v>
      </c>
      <c r="J932">
        <v>0</v>
      </c>
      <c r="K932" t="s">
        <v>17</v>
      </c>
    </row>
    <row r="933" spans="1:11" x14ac:dyDescent="0.2">
      <c r="A933" t="s">
        <v>2818</v>
      </c>
      <c r="B933" t="s">
        <v>50</v>
      </c>
      <c r="C933" t="s">
        <v>20</v>
      </c>
      <c r="D933" t="s">
        <v>21</v>
      </c>
      <c r="E933">
        <v>90000</v>
      </c>
      <c r="F933">
        <v>149.75</v>
      </c>
      <c r="G933" t="s">
        <v>2819</v>
      </c>
      <c r="H933" t="s">
        <v>2820</v>
      </c>
      <c r="I933">
        <v>1</v>
      </c>
      <c r="J933">
        <v>0</v>
      </c>
      <c r="K933" t="s">
        <v>17</v>
      </c>
    </row>
    <row r="934" spans="1:11" x14ac:dyDescent="0.2">
      <c r="A934" t="s">
        <v>2821</v>
      </c>
      <c r="B934" t="s">
        <v>240</v>
      </c>
      <c r="C934" t="s">
        <v>26</v>
      </c>
      <c r="D934" t="s">
        <v>27</v>
      </c>
      <c r="E934">
        <v>1352000</v>
      </c>
      <c r="F934">
        <v>2249.58</v>
      </c>
      <c r="G934" t="s">
        <v>2822</v>
      </c>
      <c r="H934" t="s">
        <v>2823</v>
      </c>
      <c r="I934">
        <v>1</v>
      </c>
      <c r="J934">
        <v>0</v>
      </c>
      <c r="K934" t="s">
        <v>17</v>
      </c>
    </row>
    <row r="935" spans="1:11" x14ac:dyDescent="0.2">
      <c r="A935" t="s">
        <v>2824</v>
      </c>
      <c r="B935" t="s">
        <v>135</v>
      </c>
      <c r="C935" t="s">
        <v>26</v>
      </c>
      <c r="D935" t="s">
        <v>27</v>
      </c>
      <c r="E935">
        <v>517000</v>
      </c>
      <c r="F935">
        <v>860.23</v>
      </c>
      <c r="G935" t="s">
        <v>2825</v>
      </c>
      <c r="H935" t="s">
        <v>2826</v>
      </c>
      <c r="I935">
        <v>1</v>
      </c>
      <c r="J935">
        <v>0</v>
      </c>
      <c r="K935" t="s">
        <v>17</v>
      </c>
    </row>
    <row r="936" spans="1:11" x14ac:dyDescent="0.2">
      <c r="A936" t="s">
        <v>2827</v>
      </c>
      <c r="B936" t="s">
        <v>55</v>
      </c>
      <c r="C936" t="s">
        <v>20</v>
      </c>
      <c r="D936" t="s">
        <v>21</v>
      </c>
      <c r="E936">
        <v>354000</v>
      </c>
      <c r="F936">
        <v>589.02</v>
      </c>
      <c r="G936" t="s">
        <v>2828</v>
      </c>
      <c r="H936" t="s">
        <v>2829</v>
      </c>
      <c r="I936">
        <v>1</v>
      </c>
      <c r="J936">
        <v>0</v>
      </c>
      <c r="K936" t="s">
        <v>17</v>
      </c>
    </row>
    <row r="937" spans="1:11" x14ac:dyDescent="0.2">
      <c r="A937" t="s">
        <v>2830</v>
      </c>
      <c r="B937" t="s">
        <v>98</v>
      </c>
      <c r="C937" t="s">
        <v>42</v>
      </c>
      <c r="D937" t="s">
        <v>27</v>
      </c>
      <c r="E937">
        <v>234000</v>
      </c>
      <c r="F937">
        <v>389.35</v>
      </c>
      <c r="G937" t="s">
        <v>2831</v>
      </c>
      <c r="H937" t="s">
        <v>2832</v>
      </c>
      <c r="I937">
        <v>1</v>
      </c>
      <c r="J937">
        <v>0</v>
      </c>
      <c r="K937" t="s">
        <v>17</v>
      </c>
    </row>
    <row r="938" spans="1:11" x14ac:dyDescent="0.2">
      <c r="A938" t="s">
        <v>2833</v>
      </c>
      <c r="B938" t="s">
        <v>50</v>
      </c>
      <c r="C938" t="s">
        <v>42</v>
      </c>
      <c r="D938" t="s">
        <v>27</v>
      </c>
      <c r="E938">
        <v>2640000</v>
      </c>
      <c r="F938">
        <v>4392.68</v>
      </c>
      <c r="G938" t="s">
        <v>2834</v>
      </c>
      <c r="H938" t="s">
        <v>2835</v>
      </c>
      <c r="I938">
        <v>1</v>
      </c>
      <c r="J938">
        <v>29.95</v>
      </c>
      <c r="K938" t="s">
        <v>45</v>
      </c>
    </row>
    <row r="939" spans="1:11" x14ac:dyDescent="0.2">
      <c r="A939" t="s">
        <v>2836</v>
      </c>
      <c r="B939" t="s">
        <v>135</v>
      </c>
      <c r="C939" t="s">
        <v>13</v>
      </c>
      <c r="D939" t="s">
        <v>14</v>
      </c>
      <c r="E939">
        <v>1248000</v>
      </c>
      <c r="F939">
        <v>412.7</v>
      </c>
      <c r="G939" t="s">
        <v>2837</v>
      </c>
      <c r="H939" t="s">
        <v>2838</v>
      </c>
      <c r="I939">
        <v>1</v>
      </c>
      <c r="J939">
        <v>-0.66</v>
      </c>
      <c r="K939" t="s">
        <v>17</v>
      </c>
    </row>
    <row r="940" spans="1:11" x14ac:dyDescent="0.2">
      <c r="A940" t="s">
        <v>2839</v>
      </c>
      <c r="B940" t="s">
        <v>143</v>
      </c>
      <c r="C940" t="s">
        <v>26</v>
      </c>
      <c r="D940" t="s">
        <v>27</v>
      </c>
      <c r="E940">
        <v>1025000</v>
      </c>
      <c r="F940">
        <v>1705.49</v>
      </c>
      <c r="G940" t="s">
        <v>2840</v>
      </c>
      <c r="H940" t="s">
        <v>2841</v>
      </c>
      <c r="I940">
        <v>1</v>
      </c>
      <c r="J940">
        <v>0</v>
      </c>
      <c r="K940" t="s">
        <v>17</v>
      </c>
    </row>
    <row r="941" spans="1:11" x14ac:dyDescent="0.2">
      <c r="A941" t="s">
        <v>2842</v>
      </c>
      <c r="B941" t="s">
        <v>98</v>
      </c>
      <c r="C941" t="s">
        <v>20</v>
      </c>
      <c r="D941" t="s">
        <v>21</v>
      </c>
      <c r="E941">
        <v>638000</v>
      </c>
      <c r="F941">
        <v>1061.56</v>
      </c>
      <c r="G941" t="s">
        <v>2843</v>
      </c>
      <c r="H941" t="s">
        <v>2844</v>
      </c>
      <c r="I941">
        <v>1</v>
      </c>
      <c r="J941">
        <v>0</v>
      </c>
      <c r="K941" t="s">
        <v>17</v>
      </c>
    </row>
    <row r="942" spans="1:11" x14ac:dyDescent="0.2">
      <c r="A942" t="s">
        <v>2845</v>
      </c>
      <c r="B942" t="s">
        <v>240</v>
      </c>
      <c r="C942" t="s">
        <v>51</v>
      </c>
      <c r="D942" t="s">
        <v>21</v>
      </c>
      <c r="E942">
        <v>171000</v>
      </c>
      <c r="F942">
        <v>284.52999999999997</v>
      </c>
      <c r="G942" t="s">
        <v>2846</v>
      </c>
      <c r="H942" t="s">
        <v>2847</v>
      </c>
      <c r="I942">
        <v>1</v>
      </c>
      <c r="J942">
        <v>0</v>
      </c>
      <c r="K942" t="s">
        <v>17</v>
      </c>
    </row>
    <row r="943" spans="1:11" x14ac:dyDescent="0.2">
      <c r="A943" t="s">
        <v>2848</v>
      </c>
      <c r="B943" t="s">
        <v>25</v>
      </c>
      <c r="C943" t="s">
        <v>13</v>
      </c>
      <c r="D943" t="s">
        <v>14</v>
      </c>
      <c r="E943">
        <v>414000</v>
      </c>
      <c r="F943">
        <v>136.9</v>
      </c>
      <c r="G943" t="s">
        <v>2849</v>
      </c>
      <c r="H943" t="s">
        <v>2850</v>
      </c>
      <c r="I943">
        <v>1</v>
      </c>
      <c r="J943">
        <v>0</v>
      </c>
      <c r="K943" t="s">
        <v>17</v>
      </c>
    </row>
    <row r="944" spans="1:11" x14ac:dyDescent="0.2">
      <c r="A944" t="s">
        <v>2851</v>
      </c>
      <c r="B944" t="s">
        <v>55</v>
      </c>
      <c r="C944" t="s">
        <v>20</v>
      </c>
      <c r="D944" t="s">
        <v>21</v>
      </c>
      <c r="E944">
        <v>774000</v>
      </c>
      <c r="F944">
        <v>1287.8499999999999</v>
      </c>
      <c r="G944" t="s">
        <v>2852</v>
      </c>
      <c r="H944" t="s">
        <v>2853</v>
      </c>
      <c r="I944">
        <v>1</v>
      </c>
      <c r="J944">
        <v>0</v>
      </c>
      <c r="K944" t="s">
        <v>17</v>
      </c>
    </row>
    <row r="945" spans="1:11" x14ac:dyDescent="0.2">
      <c r="A945" t="s">
        <v>2854</v>
      </c>
      <c r="B945" t="s">
        <v>25</v>
      </c>
      <c r="C945" t="s">
        <v>13</v>
      </c>
      <c r="D945" t="s">
        <v>14</v>
      </c>
      <c r="E945">
        <v>19190000</v>
      </c>
      <c r="F945">
        <v>6345.9</v>
      </c>
      <c r="G945" t="s">
        <v>2855</v>
      </c>
      <c r="H945" t="s">
        <v>2856</v>
      </c>
      <c r="I945">
        <v>1</v>
      </c>
      <c r="J945">
        <v>0</v>
      </c>
      <c r="K945" t="s">
        <v>17</v>
      </c>
    </row>
    <row r="946" spans="1:11" x14ac:dyDescent="0.2">
      <c r="A946" t="s">
        <v>2857</v>
      </c>
      <c r="B946" t="s">
        <v>135</v>
      </c>
      <c r="C946" t="s">
        <v>42</v>
      </c>
      <c r="D946" t="s">
        <v>27</v>
      </c>
      <c r="E946">
        <v>352000</v>
      </c>
      <c r="F946">
        <v>585.69000000000005</v>
      </c>
      <c r="G946" t="s">
        <v>2858</v>
      </c>
      <c r="H946" t="s">
        <v>2859</v>
      </c>
      <c r="I946">
        <v>1</v>
      </c>
      <c r="J946">
        <v>0</v>
      </c>
      <c r="K946" t="s">
        <v>17</v>
      </c>
    </row>
    <row r="947" spans="1:11" x14ac:dyDescent="0.2">
      <c r="A947" t="s">
        <v>2860</v>
      </c>
      <c r="B947" t="s">
        <v>25</v>
      </c>
      <c r="C947" t="s">
        <v>102</v>
      </c>
      <c r="D947" t="s">
        <v>14</v>
      </c>
      <c r="E947">
        <v>1427000</v>
      </c>
      <c r="F947">
        <v>471.89</v>
      </c>
      <c r="G947" t="s">
        <v>2861</v>
      </c>
      <c r="H947" t="s">
        <v>2862</v>
      </c>
      <c r="I947">
        <v>1</v>
      </c>
      <c r="J947">
        <v>0</v>
      </c>
      <c r="K947" t="s">
        <v>17</v>
      </c>
    </row>
    <row r="948" spans="1:11" x14ac:dyDescent="0.2">
      <c r="A948" t="s">
        <v>2863</v>
      </c>
      <c r="B948" t="s">
        <v>55</v>
      </c>
      <c r="C948" t="s">
        <v>26</v>
      </c>
      <c r="D948" t="s">
        <v>27</v>
      </c>
      <c r="E948">
        <v>277000</v>
      </c>
      <c r="F948">
        <v>460.9</v>
      </c>
      <c r="G948" t="s">
        <v>2864</v>
      </c>
      <c r="H948" t="s">
        <v>2865</v>
      </c>
      <c r="I948">
        <v>1</v>
      </c>
      <c r="J948">
        <v>0</v>
      </c>
      <c r="K948" t="s">
        <v>17</v>
      </c>
    </row>
    <row r="949" spans="1:11" x14ac:dyDescent="0.2">
      <c r="A949" t="s">
        <v>2866</v>
      </c>
      <c r="B949" t="s">
        <v>143</v>
      </c>
      <c r="C949" t="s">
        <v>20</v>
      </c>
      <c r="D949" t="s">
        <v>21</v>
      </c>
      <c r="E949">
        <v>103000</v>
      </c>
      <c r="F949">
        <v>171.38</v>
      </c>
      <c r="G949" t="s">
        <v>2867</v>
      </c>
      <c r="H949" t="s">
        <v>2868</v>
      </c>
      <c r="I949">
        <v>1</v>
      </c>
      <c r="J949">
        <v>0</v>
      </c>
      <c r="K949" t="s">
        <v>17</v>
      </c>
    </row>
    <row r="950" spans="1:11" x14ac:dyDescent="0.2">
      <c r="A950" t="s">
        <v>2869</v>
      </c>
      <c r="B950" t="s">
        <v>25</v>
      </c>
      <c r="C950" t="s">
        <v>51</v>
      </c>
      <c r="D950" t="s">
        <v>21</v>
      </c>
      <c r="E950">
        <v>637000</v>
      </c>
      <c r="F950">
        <v>1059.9000000000001</v>
      </c>
      <c r="G950" t="s">
        <v>2870</v>
      </c>
      <c r="H950" t="s">
        <v>2871</v>
      </c>
      <c r="I950">
        <v>1</v>
      </c>
      <c r="J950">
        <v>0</v>
      </c>
      <c r="K950" t="s">
        <v>17</v>
      </c>
    </row>
    <row r="951" spans="1:11" x14ac:dyDescent="0.2">
      <c r="A951" t="s">
        <v>2872</v>
      </c>
      <c r="B951" t="s">
        <v>128</v>
      </c>
      <c r="C951" t="s">
        <v>102</v>
      </c>
      <c r="D951" t="s">
        <v>14</v>
      </c>
      <c r="E951">
        <v>623000</v>
      </c>
      <c r="F951">
        <v>206.02</v>
      </c>
      <c r="G951" t="s">
        <v>2873</v>
      </c>
      <c r="H951" t="s">
        <v>2874</v>
      </c>
      <c r="I951">
        <v>1</v>
      </c>
      <c r="J951">
        <v>0</v>
      </c>
      <c r="K951" t="s">
        <v>17</v>
      </c>
    </row>
    <row r="952" spans="1:11" x14ac:dyDescent="0.2">
      <c r="A952" t="s">
        <v>2875</v>
      </c>
      <c r="B952" t="s">
        <v>35</v>
      </c>
      <c r="C952" t="s">
        <v>102</v>
      </c>
      <c r="D952" t="s">
        <v>14</v>
      </c>
      <c r="E952">
        <v>492000</v>
      </c>
      <c r="F952">
        <v>162.69999999999999</v>
      </c>
      <c r="G952" t="s">
        <v>2876</v>
      </c>
      <c r="H952" t="s">
        <v>2877</v>
      </c>
      <c r="I952">
        <v>1</v>
      </c>
      <c r="J952">
        <v>0</v>
      </c>
      <c r="K952" t="s">
        <v>17</v>
      </c>
    </row>
    <row r="953" spans="1:11" x14ac:dyDescent="0.2">
      <c r="A953" t="s">
        <v>2878</v>
      </c>
      <c r="B953" t="s">
        <v>98</v>
      </c>
      <c r="C953" t="s">
        <v>42</v>
      </c>
      <c r="D953" t="s">
        <v>27</v>
      </c>
      <c r="E953">
        <v>720000</v>
      </c>
      <c r="F953">
        <v>1198</v>
      </c>
      <c r="G953" t="s">
        <v>2879</v>
      </c>
      <c r="H953" t="s">
        <v>2880</v>
      </c>
      <c r="I953">
        <v>1</v>
      </c>
      <c r="J953">
        <v>0</v>
      </c>
      <c r="K953" t="s">
        <v>17</v>
      </c>
    </row>
    <row r="954" spans="1:11" x14ac:dyDescent="0.2">
      <c r="A954" t="s">
        <v>2881</v>
      </c>
      <c r="B954" t="s">
        <v>240</v>
      </c>
      <c r="C954" t="s">
        <v>102</v>
      </c>
      <c r="D954" t="s">
        <v>14</v>
      </c>
      <c r="E954">
        <v>4917000</v>
      </c>
      <c r="F954">
        <v>1625.99</v>
      </c>
      <c r="G954" t="s">
        <v>2882</v>
      </c>
      <c r="H954" t="s">
        <v>2883</v>
      </c>
      <c r="I954">
        <v>1</v>
      </c>
      <c r="J954">
        <v>0</v>
      </c>
      <c r="K954" t="s">
        <v>17</v>
      </c>
    </row>
    <row r="955" spans="1:11" x14ac:dyDescent="0.2">
      <c r="A955" t="s">
        <v>2884</v>
      </c>
      <c r="B955" t="s">
        <v>87</v>
      </c>
      <c r="C955" t="s">
        <v>51</v>
      </c>
      <c r="D955" t="s">
        <v>21</v>
      </c>
      <c r="E955">
        <v>605000</v>
      </c>
      <c r="F955">
        <v>1006.66</v>
      </c>
      <c r="G955" t="s">
        <v>2885</v>
      </c>
      <c r="H955" t="s">
        <v>2886</v>
      </c>
      <c r="I955">
        <v>1</v>
      </c>
      <c r="J955">
        <v>0</v>
      </c>
      <c r="K955" t="s">
        <v>17</v>
      </c>
    </row>
    <row r="956" spans="1:11" x14ac:dyDescent="0.2">
      <c r="A956" t="s">
        <v>2887</v>
      </c>
      <c r="B956" t="s">
        <v>63</v>
      </c>
      <c r="C956" t="s">
        <v>51</v>
      </c>
      <c r="D956" t="s">
        <v>21</v>
      </c>
      <c r="E956">
        <v>868000</v>
      </c>
      <c r="F956">
        <v>1444.26</v>
      </c>
      <c r="G956" t="s">
        <v>2888</v>
      </c>
      <c r="H956" t="s">
        <v>2889</v>
      </c>
      <c r="I956">
        <v>1</v>
      </c>
      <c r="J956">
        <v>0</v>
      </c>
      <c r="K956" t="s">
        <v>17</v>
      </c>
    </row>
    <row r="957" spans="1:11" x14ac:dyDescent="0.2">
      <c r="A957" t="s">
        <v>2890</v>
      </c>
      <c r="B957" t="s">
        <v>143</v>
      </c>
      <c r="C957" t="s">
        <v>42</v>
      </c>
      <c r="D957" t="s">
        <v>27</v>
      </c>
      <c r="E957">
        <v>451000</v>
      </c>
      <c r="F957">
        <v>750.42</v>
      </c>
      <c r="G957" t="s">
        <v>2891</v>
      </c>
      <c r="H957" t="s">
        <v>2892</v>
      </c>
      <c r="I957">
        <v>1</v>
      </c>
      <c r="J957">
        <v>0</v>
      </c>
      <c r="K957" t="s">
        <v>17</v>
      </c>
    </row>
    <row r="958" spans="1:11" x14ac:dyDescent="0.2">
      <c r="A958" t="s">
        <v>2893</v>
      </c>
      <c r="B958" t="s">
        <v>59</v>
      </c>
      <c r="C958" t="s">
        <v>51</v>
      </c>
      <c r="D958" t="s">
        <v>21</v>
      </c>
      <c r="E958">
        <v>728000</v>
      </c>
      <c r="F958">
        <v>1211.31</v>
      </c>
      <c r="G958" t="s">
        <v>2894</v>
      </c>
      <c r="H958" t="s">
        <v>2895</v>
      </c>
      <c r="I958">
        <v>1</v>
      </c>
      <c r="J958">
        <v>0</v>
      </c>
      <c r="K958" t="s">
        <v>17</v>
      </c>
    </row>
    <row r="959" spans="1:11" x14ac:dyDescent="0.2">
      <c r="A959" t="s">
        <v>2896</v>
      </c>
      <c r="B959" t="s">
        <v>31</v>
      </c>
      <c r="C959" t="s">
        <v>20</v>
      </c>
      <c r="D959" t="s">
        <v>21</v>
      </c>
      <c r="E959">
        <v>271000</v>
      </c>
      <c r="F959">
        <v>450.92</v>
      </c>
      <c r="G959" t="s">
        <v>2897</v>
      </c>
      <c r="H959" t="s">
        <v>2898</v>
      </c>
      <c r="I959">
        <v>1</v>
      </c>
      <c r="J959">
        <v>0</v>
      </c>
      <c r="K959" t="s">
        <v>17</v>
      </c>
    </row>
    <row r="960" spans="1:11" x14ac:dyDescent="0.2">
      <c r="A960" t="s">
        <v>2899</v>
      </c>
      <c r="B960" t="s">
        <v>55</v>
      </c>
      <c r="C960" t="s">
        <v>20</v>
      </c>
      <c r="D960" t="s">
        <v>21</v>
      </c>
      <c r="E960">
        <v>583000</v>
      </c>
      <c r="F960">
        <v>970.05</v>
      </c>
      <c r="G960" t="s">
        <v>2900</v>
      </c>
      <c r="H960" t="s">
        <v>2901</v>
      </c>
      <c r="I960">
        <v>1</v>
      </c>
      <c r="J960">
        <v>0</v>
      </c>
      <c r="K960" t="s">
        <v>17</v>
      </c>
    </row>
    <row r="961" spans="1:11" x14ac:dyDescent="0.2">
      <c r="A961" t="s">
        <v>2902</v>
      </c>
      <c r="B961" t="s">
        <v>25</v>
      </c>
      <c r="C961" t="s">
        <v>20</v>
      </c>
      <c r="D961" t="s">
        <v>21</v>
      </c>
      <c r="E961">
        <v>320000</v>
      </c>
      <c r="F961">
        <v>532.45000000000005</v>
      </c>
      <c r="G961" t="s">
        <v>2903</v>
      </c>
      <c r="H961" t="s">
        <v>2904</v>
      </c>
      <c r="I961">
        <v>1</v>
      </c>
      <c r="J961">
        <v>0</v>
      </c>
      <c r="K961" t="s">
        <v>17</v>
      </c>
    </row>
    <row r="962" spans="1:11" x14ac:dyDescent="0.2">
      <c r="A962" t="s">
        <v>2905</v>
      </c>
      <c r="B962" t="s">
        <v>87</v>
      </c>
      <c r="C962" t="s">
        <v>26</v>
      </c>
      <c r="D962" t="s">
        <v>27</v>
      </c>
      <c r="E962">
        <v>336000</v>
      </c>
      <c r="F962">
        <v>559.07000000000005</v>
      </c>
      <c r="G962" t="s">
        <v>2906</v>
      </c>
      <c r="H962" t="s">
        <v>2907</v>
      </c>
      <c r="I962">
        <v>1</v>
      </c>
      <c r="J962">
        <v>0</v>
      </c>
      <c r="K962" t="s">
        <v>17</v>
      </c>
    </row>
    <row r="963" spans="1:11" x14ac:dyDescent="0.2">
      <c r="A963" t="s">
        <v>2908</v>
      </c>
      <c r="B963" t="s">
        <v>19</v>
      </c>
      <c r="C963" t="s">
        <v>42</v>
      </c>
      <c r="D963" t="s">
        <v>27</v>
      </c>
      <c r="E963">
        <v>51000</v>
      </c>
      <c r="F963">
        <v>84.86</v>
      </c>
      <c r="G963" t="s">
        <v>2909</v>
      </c>
      <c r="H963" t="s">
        <v>2910</v>
      </c>
      <c r="I963">
        <v>1</v>
      </c>
      <c r="J963">
        <v>0</v>
      </c>
      <c r="K963" t="s">
        <v>17</v>
      </c>
    </row>
    <row r="964" spans="1:11" x14ac:dyDescent="0.2">
      <c r="A964" t="s">
        <v>2911</v>
      </c>
      <c r="B964" t="s">
        <v>31</v>
      </c>
      <c r="C964" t="s">
        <v>102</v>
      </c>
      <c r="D964" t="s">
        <v>14</v>
      </c>
      <c r="E964">
        <v>3033000</v>
      </c>
      <c r="F964">
        <v>1002.98</v>
      </c>
      <c r="G964" t="s">
        <v>2912</v>
      </c>
      <c r="H964" t="s">
        <v>2913</v>
      </c>
      <c r="I964">
        <v>1</v>
      </c>
      <c r="J964">
        <v>0</v>
      </c>
      <c r="K964" t="s">
        <v>17</v>
      </c>
    </row>
    <row r="965" spans="1:11" x14ac:dyDescent="0.2">
      <c r="A965" t="s">
        <v>2914</v>
      </c>
      <c r="B965" t="s">
        <v>87</v>
      </c>
      <c r="C965" t="s">
        <v>102</v>
      </c>
      <c r="D965" t="s">
        <v>14</v>
      </c>
      <c r="E965">
        <v>1180000</v>
      </c>
      <c r="F965">
        <v>390.21</v>
      </c>
      <c r="G965" t="s">
        <v>2915</v>
      </c>
      <c r="H965" t="s">
        <v>2916</v>
      </c>
      <c r="I965">
        <v>1</v>
      </c>
      <c r="J965">
        <v>0</v>
      </c>
      <c r="K965" t="s">
        <v>17</v>
      </c>
    </row>
    <row r="966" spans="1:11" x14ac:dyDescent="0.2">
      <c r="A966" t="s">
        <v>2917</v>
      </c>
      <c r="B966" t="s">
        <v>50</v>
      </c>
      <c r="C966" t="s">
        <v>20</v>
      </c>
      <c r="D966" t="s">
        <v>21</v>
      </c>
      <c r="E966">
        <v>198000</v>
      </c>
      <c r="F966">
        <v>329.45</v>
      </c>
      <c r="G966" t="s">
        <v>2918</v>
      </c>
      <c r="H966" t="s">
        <v>2919</v>
      </c>
      <c r="I966">
        <v>1</v>
      </c>
      <c r="J966">
        <v>0</v>
      </c>
      <c r="K966" t="s">
        <v>17</v>
      </c>
    </row>
    <row r="967" spans="1:11" x14ac:dyDescent="0.2">
      <c r="A967" t="s">
        <v>2920</v>
      </c>
      <c r="B967" t="s">
        <v>139</v>
      </c>
      <c r="C967" t="s">
        <v>51</v>
      </c>
      <c r="D967" t="s">
        <v>21</v>
      </c>
      <c r="E967">
        <v>450000</v>
      </c>
      <c r="F967">
        <v>748.75</v>
      </c>
      <c r="G967" t="s">
        <v>2921</v>
      </c>
      <c r="H967" t="s">
        <v>2922</v>
      </c>
      <c r="I967">
        <v>1</v>
      </c>
      <c r="J967">
        <v>0</v>
      </c>
      <c r="K967" t="s">
        <v>17</v>
      </c>
    </row>
    <row r="968" spans="1:11" x14ac:dyDescent="0.2">
      <c r="A968" t="s">
        <v>2923</v>
      </c>
      <c r="B968" t="s">
        <v>55</v>
      </c>
      <c r="C968" t="s">
        <v>102</v>
      </c>
      <c r="D968" t="s">
        <v>14</v>
      </c>
      <c r="E968">
        <v>2674000</v>
      </c>
      <c r="F968">
        <v>884.26</v>
      </c>
      <c r="G968" t="s">
        <v>2924</v>
      </c>
      <c r="H968" t="s">
        <v>2925</v>
      </c>
      <c r="I968">
        <v>1</v>
      </c>
      <c r="J968">
        <v>0</v>
      </c>
      <c r="K968" t="s">
        <v>17</v>
      </c>
    </row>
    <row r="969" spans="1:11" x14ac:dyDescent="0.2">
      <c r="A969" t="s">
        <v>2926</v>
      </c>
      <c r="B969" t="s">
        <v>19</v>
      </c>
      <c r="C969" t="s">
        <v>13</v>
      </c>
      <c r="D969" t="s">
        <v>14</v>
      </c>
      <c r="E969">
        <v>1587000</v>
      </c>
      <c r="F969">
        <v>524.79999999999995</v>
      </c>
      <c r="G969" t="s">
        <v>2927</v>
      </c>
      <c r="H969" t="s">
        <v>2928</v>
      </c>
      <c r="I969">
        <v>1</v>
      </c>
      <c r="J969">
        <v>0</v>
      </c>
      <c r="K969" t="s">
        <v>17</v>
      </c>
    </row>
    <row r="970" spans="1:11" x14ac:dyDescent="0.2">
      <c r="A970" t="s">
        <v>2929</v>
      </c>
      <c r="B970" t="s">
        <v>12</v>
      </c>
      <c r="C970" t="s">
        <v>51</v>
      </c>
      <c r="D970" t="s">
        <v>21</v>
      </c>
      <c r="E970">
        <v>1416000</v>
      </c>
      <c r="F970">
        <v>2356.0700000000002</v>
      </c>
      <c r="G970" t="s">
        <v>2930</v>
      </c>
      <c r="H970" t="s">
        <v>2931</v>
      </c>
      <c r="I970">
        <v>1</v>
      </c>
      <c r="J970">
        <v>0</v>
      </c>
      <c r="K970" t="s">
        <v>17</v>
      </c>
    </row>
    <row r="971" spans="1:11" x14ac:dyDescent="0.2">
      <c r="A971" t="s">
        <v>2932</v>
      </c>
      <c r="B971" t="s">
        <v>98</v>
      </c>
      <c r="C971" t="s">
        <v>26</v>
      </c>
      <c r="D971" t="s">
        <v>27</v>
      </c>
      <c r="E971">
        <v>6986000</v>
      </c>
      <c r="F971">
        <v>11623.96</v>
      </c>
      <c r="G971" t="s">
        <v>2933</v>
      </c>
      <c r="H971" t="s">
        <v>2934</v>
      </c>
      <c r="I971">
        <v>1</v>
      </c>
      <c r="J971">
        <v>0</v>
      </c>
      <c r="K971" t="s">
        <v>17</v>
      </c>
    </row>
    <row r="972" spans="1:11" x14ac:dyDescent="0.2">
      <c r="A972" t="s">
        <v>2935</v>
      </c>
      <c r="B972" t="s">
        <v>59</v>
      </c>
      <c r="C972" t="s">
        <v>102</v>
      </c>
      <c r="D972" t="s">
        <v>14</v>
      </c>
      <c r="E972">
        <v>470000</v>
      </c>
      <c r="F972">
        <v>155.41999999999999</v>
      </c>
      <c r="G972" t="s">
        <v>2936</v>
      </c>
      <c r="H972" t="s">
        <v>2937</v>
      </c>
      <c r="I972">
        <v>1</v>
      </c>
      <c r="J972">
        <v>0</v>
      </c>
      <c r="K972" t="s">
        <v>17</v>
      </c>
    </row>
    <row r="973" spans="1:11" x14ac:dyDescent="0.2">
      <c r="A973" t="s">
        <v>2938</v>
      </c>
      <c r="B973" t="s">
        <v>91</v>
      </c>
      <c r="C973" t="s">
        <v>42</v>
      </c>
      <c r="D973" t="s">
        <v>27</v>
      </c>
      <c r="E973">
        <v>543000</v>
      </c>
      <c r="F973">
        <v>903.49</v>
      </c>
      <c r="G973" t="s">
        <v>2939</v>
      </c>
      <c r="H973" t="s">
        <v>2940</v>
      </c>
      <c r="I973">
        <v>1</v>
      </c>
      <c r="J973">
        <v>0</v>
      </c>
      <c r="K973" t="s">
        <v>17</v>
      </c>
    </row>
    <row r="974" spans="1:11" x14ac:dyDescent="0.2">
      <c r="A974" t="s">
        <v>2941</v>
      </c>
      <c r="B974" t="s">
        <v>67</v>
      </c>
      <c r="C974" t="s">
        <v>13</v>
      </c>
      <c r="D974" t="s">
        <v>14</v>
      </c>
      <c r="E974">
        <v>9347000</v>
      </c>
      <c r="F974">
        <v>3090.94</v>
      </c>
      <c r="G974" t="s">
        <v>2942</v>
      </c>
      <c r="H974" t="s">
        <v>2943</v>
      </c>
      <c r="I974">
        <v>1</v>
      </c>
      <c r="J974">
        <v>0</v>
      </c>
      <c r="K974" t="s">
        <v>17</v>
      </c>
    </row>
    <row r="975" spans="1:11" x14ac:dyDescent="0.2">
      <c r="A975" t="s">
        <v>2944</v>
      </c>
      <c r="B975" t="s">
        <v>87</v>
      </c>
      <c r="C975" t="s">
        <v>42</v>
      </c>
      <c r="D975" t="s">
        <v>27</v>
      </c>
      <c r="E975">
        <v>497000</v>
      </c>
      <c r="F975">
        <v>826.96</v>
      </c>
      <c r="G975" t="s">
        <v>2945</v>
      </c>
      <c r="H975" t="s">
        <v>2946</v>
      </c>
      <c r="I975">
        <v>1</v>
      </c>
      <c r="J975">
        <v>0</v>
      </c>
      <c r="K975" t="s">
        <v>17</v>
      </c>
    </row>
    <row r="976" spans="1:11" x14ac:dyDescent="0.2">
      <c r="A976" t="s">
        <v>2947</v>
      </c>
      <c r="B976" t="s">
        <v>135</v>
      </c>
      <c r="C976" t="s">
        <v>42</v>
      </c>
      <c r="D976" t="s">
        <v>27</v>
      </c>
      <c r="E976">
        <v>278000</v>
      </c>
      <c r="F976">
        <v>462.56</v>
      </c>
      <c r="G976" t="s">
        <v>2948</v>
      </c>
      <c r="H976" t="s">
        <v>2949</v>
      </c>
      <c r="I976">
        <v>1</v>
      </c>
      <c r="J976">
        <v>0</v>
      </c>
      <c r="K976" t="s">
        <v>17</v>
      </c>
    </row>
    <row r="977" spans="1:11" x14ac:dyDescent="0.2">
      <c r="A977" t="s">
        <v>2950</v>
      </c>
      <c r="B977" t="s">
        <v>135</v>
      </c>
      <c r="C977" t="s">
        <v>102</v>
      </c>
      <c r="D977" t="s">
        <v>14</v>
      </c>
      <c r="E977">
        <v>1440000</v>
      </c>
      <c r="F977">
        <v>476.19</v>
      </c>
      <c r="G977" t="s">
        <v>2951</v>
      </c>
      <c r="H977" t="s">
        <v>2952</v>
      </c>
      <c r="I977">
        <v>1</v>
      </c>
      <c r="J977">
        <v>0</v>
      </c>
      <c r="K977" t="s">
        <v>17</v>
      </c>
    </row>
    <row r="978" spans="1:11" x14ac:dyDescent="0.2">
      <c r="A978" t="s">
        <v>2953</v>
      </c>
      <c r="B978" t="s">
        <v>35</v>
      </c>
      <c r="C978" t="s">
        <v>42</v>
      </c>
      <c r="D978" t="s">
        <v>27</v>
      </c>
      <c r="E978">
        <v>1862000</v>
      </c>
      <c r="F978">
        <v>3098.17</v>
      </c>
      <c r="G978" t="s">
        <v>2954</v>
      </c>
      <c r="H978" t="s">
        <v>2955</v>
      </c>
      <c r="I978">
        <v>1</v>
      </c>
      <c r="J978">
        <v>0</v>
      </c>
      <c r="K978" t="s">
        <v>17</v>
      </c>
    </row>
    <row r="979" spans="1:11" x14ac:dyDescent="0.2">
      <c r="A979" t="s">
        <v>2956</v>
      </c>
      <c r="B979" t="s">
        <v>240</v>
      </c>
      <c r="C979" t="s">
        <v>42</v>
      </c>
      <c r="D979" t="s">
        <v>27</v>
      </c>
      <c r="E979">
        <v>321000</v>
      </c>
      <c r="F979">
        <v>534.11</v>
      </c>
      <c r="G979" t="s">
        <v>2957</v>
      </c>
      <c r="H979" t="s">
        <v>2958</v>
      </c>
      <c r="I979">
        <v>1</v>
      </c>
      <c r="J979">
        <v>0</v>
      </c>
      <c r="K979" t="s">
        <v>17</v>
      </c>
    </row>
    <row r="980" spans="1:11" x14ac:dyDescent="0.2">
      <c r="A980" t="s">
        <v>2959</v>
      </c>
      <c r="B980" t="s">
        <v>98</v>
      </c>
      <c r="C980" t="s">
        <v>20</v>
      </c>
      <c r="D980" t="s">
        <v>21</v>
      </c>
      <c r="E980">
        <v>241000</v>
      </c>
      <c r="F980">
        <v>401</v>
      </c>
      <c r="G980" t="s">
        <v>2960</v>
      </c>
      <c r="H980" t="s">
        <v>2961</v>
      </c>
      <c r="I980">
        <v>1</v>
      </c>
      <c r="J980">
        <v>0</v>
      </c>
      <c r="K980" t="s">
        <v>17</v>
      </c>
    </row>
    <row r="981" spans="1:11" x14ac:dyDescent="0.2">
      <c r="A981" t="s">
        <v>2962</v>
      </c>
      <c r="B981" t="s">
        <v>59</v>
      </c>
      <c r="C981" t="s">
        <v>13</v>
      </c>
      <c r="D981" t="s">
        <v>14</v>
      </c>
      <c r="E981">
        <v>1485000</v>
      </c>
      <c r="F981">
        <v>491.07</v>
      </c>
      <c r="G981" t="s">
        <v>2963</v>
      </c>
      <c r="H981" t="s">
        <v>2964</v>
      </c>
      <c r="I981">
        <v>1</v>
      </c>
      <c r="J981">
        <v>0</v>
      </c>
      <c r="K981" t="s">
        <v>17</v>
      </c>
    </row>
    <row r="982" spans="1:11" x14ac:dyDescent="0.2">
      <c r="A982" t="s">
        <v>2965</v>
      </c>
      <c r="B982" t="s">
        <v>91</v>
      </c>
      <c r="C982" t="s">
        <v>42</v>
      </c>
      <c r="D982" t="s">
        <v>27</v>
      </c>
      <c r="E982">
        <v>1103000</v>
      </c>
      <c r="F982">
        <v>1835.27</v>
      </c>
      <c r="G982" t="s">
        <v>2966</v>
      </c>
      <c r="H982" t="s">
        <v>2967</v>
      </c>
      <c r="I982">
        <v>1</v>
      </c>
      <c r="J982">
        <v>0</v>
      </c>
      <c r="K982" t="s">
        <v>17</v>
      </c>
    </row>
    <row r="983" spans="1:11" x14ac:dyDescent="0.2">
      <c r="A983" t="s">
        <v>2968</v>
      </c>
      <c r="B983" t="s">
        <v>91</v>
      </c>
      <c r="C983" t="s">
        <v>102</v>
      </c>
      <c r="D983" t="s">
        <v>14</v>
      </c>
      <c r="E983">
        <v>2325000</v>
      </c>
      <c r="F983">
        <v>768.85</v>
      </c>
      <c r="G983" t="s">
        <v>2969</v>
      </c>
      <c r="H983" t="s">
        <v>2970</v>
      </c>
      <c r="I983">
        <v>1</v>
      </c>
      <c r="J983">
        <v>0</v>
      </c>
      <c r="K983" t="s">
        <v>17</v>
      </c>
    </row>
    <row r="984" spans="1:11" x14ac:dyDescent="0.2">
      <c r="A984" t="s">
        <v>2971</v>
      </c>
      <c r="B984" t="s">
        <v>106</v>
      </c>
      <c r="C984" t="s">
        <v>42</v>
      </c>
      <c r="D984" t="s">
        <v>27</v>
      </c>
      <c r="E984">
        <v>198000</v>
      </c>
      <c r="F984">
        <v>329.45</v>
      </c>
      <c r="G984" t="s">
        <v>2972</v>
      </c>
      <c r="H984" t="s">
        <v>2973</v>
      </c>
      <c r="I984">
        <v>1</v>
      </c>
      <c r="J984">
        <v>0</v>
      </c>
      <c r="K984" t="s">
        <v>17</v>
      </c>
    </row>
    <row r="985" spans="1:11" x14ac:dyDescent="0.2">
      <c r="A985" t="s">
        <v>2974</v>
      </c>
      <c r="B985" t="s">
        <v>106</v>
      </c>
      <c r="C985" t="s">
        <v>51</v>
      </c>
      <c r="D985" t="s">
        <v>21</v>
      </c>
      <c r="E985">
        <v>405000</v>
      </c>
      <c r="F985">
        <v>673.88</v>
      </c>
      <c r="G985" t="s">
        <v>2975</v>
      </c>
      <c r="H985" t="s">
        <v>2976</v>
      </c>
      <c r="I985">
        <v>1</v>
      </c>
      <c r="J985">
        <v>0</v>
      </c>
      <c r="K985" t="s">
        <v>17</v>
      </c>
    </row>
    <row r="986" spans="1:11" x14ac:dyDescent="0.2">
      <c r="A986" t="s">
        <v>2977</v>
      </c>
      <c r="B986" t="s">
        <v>35</v>
      </c>
      <c r="C986" t="s">
        <v>20</v>
      </c>
      <c r="D986" t="s">
        <v>21</v>
      </c>
      <c r="E986">
        <v>112000</v>
      </c>
      <c r="F986">
        <v>186.36</v>
      </c>
      <c r="G986" t="s">
        <v>2978</v>
      </c>
      <c r="H986" t="s">
        <v>2979</v>
      </c>
      <c r="I986">
        <v>1</v>
      </c>
      <c r="J986">
        <v>0</v>
      </c>
      <c r="K986" t="s">
        <v>17</v>
      </c>
    </row>
    <row r="987" spans="1:11" x14ac:dyDescent="0.2">
      <c r="A987" t="s">
        <v>2980</v>
      </c>
      <c r="B987" t="s">
        <v>67</v>
      </c>
      <c r="C987" t="s">
        <v>102</v>
      </c>
      <c r="D987" t="s">
        <v>14</v>
      </c>
      <c r="E987">
        <v>1822000</v>
      </c>
      <c r="F987">
        <v>602.51</v>
      </c>
      <c r="G987" t="s">
        <v>2981</v>
      </c>
      <c r="H987" t="s">
        <v>2982</v>
      </c>
      <c r="I987">
        <v>1</v>
      </c>
      <c r="J987">
        <v>0</v>
      </c>
      <c r="K987" t="s">
        <v>17</v>
      </c>
    </row>
    <row r="988" spans="1:11" x14ac:dyDescent="0.2">
      <c r="A988" t="s">
        <v>2983</v>
      </c>
      <c r="B988" t="s">
        <v>25</v>
      </c>
      <c r="C988" t="s">
        <v>51</v>
      </c>
      <c r="D988" t="s">
        <v>21</v>
      </c>
      <c r="E988">
        <v>701000</v>
      </c>
      <c r="F988">
        <v>1166.3900000000001</v>
      </c>
      <c r="G988" t="s">
        <v>2984</v>
      </c>
      <c r="H988" t="s">
        <v>2985</v>
      </c>
      <c r="I988">
        <v>1</v>
      </c>
      <c r="J988">
        <v>0</v>
      </c>
      <c r="K988" t="s">
        <v>17</v>
      </c>
    </row>
    <row r="989" spans="1:11" x14ac:dyDescent="0.2">
      <c r="A989" t="s">
        <v>2986</v>
      </c>
      <c r="B989" t="s">
        <v>91</v>
      </c>
      <c r="C989" t="s">
        <v>13</v>
      </c>
      <c r="D989" t="s">
        <v>14</v>
      </c>
      <c r="E989">
        <v>2811000</v>
      </c>
      <c r="F989">
        <v>929.56</v>
      </c>
      <c r="G989" t="s">
        <v>2987</v>
      </c>
      <c r="H989" t="s">
        <v>2988</v>
      </c>
      <c r="I989">
        <v>1</v>
      </c>
      <c r="J989">
        <v>0</v>
      </c>
      <c r="K989" t="s">
        <v>17</v>
      </c>
    </row>
    <row r="990" spans="1:11" x14ac:dyDescent="0.2">
      <c r="A990" t="s">
        <v>2989</v>
      </c>
      <c r="B990" t="s">
        <v>67</v>
      </c>
      <c r="C990" t="s">
        <v>13</v>
      </c>
      <c r="D990" t="s">
        <v>14</v>
      </c>
      <c r="E990">
        <v>1800000</v>
      </c>
      <c r="F990">
        <v>595.24</v>
      </c>
      <c r="G990" t="s">
        <v>2990</v>
      </c>
      <c r="H990" t="s">
        <v>2991</v>
      </c>
      <c r="I990">
        <v>1</v>
      </c>
      <c r="J990">
        <v>0</v>
      </c>
      <c r="K990" t="s">
        <v>17</v>
      </c>
    </row>
    <row r="991" spans="1:11" x14ac:dyDescent="0.2">
      <c r="A991" t="s">
        <v>2992</v>
      </c>
      <c r="B991" t="s">
        <v>19</v>
      </c>
      <c r="C991" t="s">
        <v>51</v>
      </c>
      <c r="D991" t="s">
        <v>21</v>
      </c>
      <c r="E991">
        <v>256000</v>
      </c>
      <c r="F991">
        <v>425.96</v>
      </c>
      <c r="G991" t="s">
        <v>2993</v>
      </c>
      <c r="H991" t="s">
        <v>2994</v>
      </c>
      <c r="I991">
        <v>1</v>
      </c>
      <c r="J991">
        <v>0</v>
      </c>
      <c r="K991" t="s">
        <v>17</v>
      </c>
    </row>
    <row r="992" spans="1:11" x14ac:dyDescent="0.2">
      <c r="A992" t="s">
        <v>2995</v>
      </c>
      <c r="B992" t="s">
        <v>87</v>
      </c>
      <c r="C992" t="s">
        <v>102</v>
      </c>
      <c r="D992" t="s">
        <v>14</v>
      </c>
      <c r="E992">
        <v>2158000</v>
      </c>
      <c r="F992">
        <v>713.62</v>
      </c>
      <c r="G992" t="s">
        <v>2996</v>
      </c>
      <c r="H992" t="s">
        <v>2997</v>
      </c>
      <c r="I992">
        <v>1</v>
      </c>
      <c r="J992">
        <v>0</v>
      </c>
      <c r="K992" t="s">
        <v>17</v>
      </c>
    </row>
    <row r="993" spans="1:11" x14ac:dyDescent="0.2">
      <c r="A993" t="s">
        <v>2998</v>
      </c>
      <c r="B993" t="s">
        <v>98</v>
      </c>
      <c r="C993" t="s">
        <v>13</v>
      </c>
      <c r="D993" t="s">
        <v>14</v>
      </c>
      <c r="E993">
        <v>1299000</v>
      </c>
      <c r="F993">
        <v>429.56</v>
      </c>
      <c r="G993" t="s">
        <v>2999</v>
      </c>
      <c r="H993" t="s">
        <v>3000</v>
      </c>
      <c r="I993">
        <v>1</v>
      </c>
      <c r="J993">
        <v>0</v>
      </c>
      <c r="K993" t="s">
        <v>17</v>
      </c>
    </row>
    <row r="994" spans="1:11" x14ac:dyDescent="0.2">
      <c r="A994" t="s">
        <v>3001</v>
      </c>
      <c r="B994" t="s">
        <v>50</v>
      </c>
      <c r="C994" t="s">
        <v>13</v>
      </c>
      <c r="D994" t="s">
        <v>14</v>
      </c>
      <c r="E994">
        <v>7484000</v>
      </c>
      <c r="F994">
        <v>2474.87</v>
      </c>
      <c r="G994" t="s">
        <v>3002</v>
      </c>
      <c r="H994" t="s">
        <v>3003</v>
      </c>
      <c r="I994">
        <v>1</v>
      </c>
      <c r="J994">
        <v>0</v>
      </c>
      <c r="K994" t="s">
        <v>17</v>
      </c>
    </row>
    <row r="995" spans="1:11" x14ac:dyDescent="0.2">
      <c r="A995" t="s">
        <v>3004</v>
      </c>
      <c r="B995" t="s">
        <v>35</v>
      </c>
      <c r="C995" t="s">
        <v>51</v>
      </c>
      <c r="D995" t="s">
        <v>21</v>
      </c>
      <c r="E995">
        <v>396000</v>
      </c>
      <c r="F995">
        <v>658.9</v>
      </c>
      <c r="G995" t="s">
        <v>3005</v>
      </c>
      <c r="H995" t="s">
        <v>3006</v>
      </c>
      <c r="I995">
        <v>1</v>
      </c>
      <c r="J995">
        <v>0</v>
      </c>
      <c r="K995" t="s">
        <v>17</v>
      </c>
    </row>
    <row r="996" spans="1:11" x14ac:dyDescent="0.2">
      <c r="A996" t="s">
        <v>3007</v>
      </c>
      <c r="B996" t="s">
        <v>31</v>
      </c>
      <c r="C996" t="s">
        <v>26</v>
      </c>
      <c r="D996" t="s">
        <v>27</v>
      </c>
      <c r="E996">
        <v>1625000</v>
      </c>
      <c r="F996">
        <v>2703.83</v>
      </c>
      <c r="G996" t="s">
        <v>3008</v>
      </c>
      <c r="H996" t="s">
        <v>3009</v>
      </c>
      <c r="I996">
        <v>1</v>
      </c>
      <c r="J996">
        <v>0</v>
      </c>
      <c r="K996" t="s">
        <v>17</v>
      </c>
    </row>
    <row r="997" spans="1:11" x14ac:dyDescent="0.2">
      <c r="A997" t="s">
        <v>3010</v>
      </c>
      <c r="B997" t="s">
        <v>67</v>
      </c>
      <c r="C997" t="s">
        <v>20</v>
      </c>
      <c r="D997" t="s">
        <v>21</v>
      </c>
      <c r="E997">
        <v>97000</v>
      </c>
      <c r="F997">
        <v>161.4</v>
      </c>
      <c r="G997" t="s">
        <v>3011</v>
      </c>
      <c r="H997" t="s">
        <v>3012</v>
      </c>
      <c r="I997">
        <v>1</v>
      </c>
      <c r="J997">
        <v>0</v>
      </c>
      <c r="K997" t="s">
        <v>17</v>
      </c>
    </row>
    <row r="998" spans="1:11" x14ac:dyDescent="0.2">
      <c r="A998" t="s">
        <v>3013</v>
      </c>
      <c r="B998" t="s">
        <v>139</v>
      </c>
      <c r="C998" t="s">
        <v>42</v>
      </c>
      <c r="D998" t="s">
        <v>27</v>
      </c>
      <c r="E998">
        <v>751000</v>
      </c>
      <c r="F998">
        <v>1249.58</v>
      </c>
      <c r="G998" t="s">
        <v>3014</v>
      </c>
      <c r="H998" t="s">
        <v>3015</v>
      </c>
      <c r="I998">
        <v>1</v>
      </c>
      <c r="J998">
        <v>0</v>
      </c>
      <c r="K998" t="s">
        <v>17</v>
      </c>
    </row>
    <row r="999" spans="1:11" x14ac:dyDescent="0.2">
      <c r="A999" t="s">
        <v>3016</v>
      </c>
      <c r="B999" t="s">
        <v>139</v>
      </c>
      <c r="C999" t="s">
        <v>13</v>
      </c>
      <c r="D999" t="s">
        <v>14</v>
      </c>
      <c r="E999">
        <v>4484000</v>
      </c>
      <c r="F999">
        <v>1482.8</v>
      </c>
      <c r="G999" t="s">
        <v>3017</v>
      </c>
      <c r="H999" t="s">
        <v>3018</v>
      </c>
      <c r="I999">
        <v>1</v>
      </c>
      <c r="J999">
        <v>0</v>
      </c>
      <c r="K999" t="s">
        <v>17</v>
      </c>
    </row>
    <row r="1000" spans="1:11" x14ac:dyDescent="0.2">
      <c r="A1000" t="s">
        <v>3019</v>
      </c>
      <c r="B1000" t="s">
        <v>19</v>
      </c>
      <c r="C1000" t="s">
        <v>51</v>
      </c>
      <c r="D1000" t="s">
        <v>21</v>
      </c>
      <c r="E1000">
        <v>401000</v>
      </c>
      <c r="F1000">
        <v>667.22</v>
      </c>
      <c r="G1000" t="s">
        <v>3020</v>
      </c>
      <c r="H1000" t="s">
        <v>3021</v>
      </c>
      <c r="I1000">
        <v>1</v>
      </c>
      <c r="J1000">
        <v>0</v>
      </c>
      <c r="K1000" t="s">
        <v>17</v>
      </c>
    </row>
    <row r="1001" spans="1:11" x14ac:dyDescent="0.2">
      <c r="A1001" t="s">
        <v>3022</v>
      </c>
      <c r="B1001" t="s">
        <v>91</v>
      </c>
      <c r="C1001" t="s">
        <v>42</v>
      </c>
      <c r="D1001" t="s">
        <v>27</v>
      </c>
      <c r="E1001">
        <v>631000</v>
      </c>
      <c r="F1001">
        <v>1049.92</v>
      </c>
      <c r="G1001" t="s">
        <v>3023</v>
      </c>
      <c r="H1001" t="s">
        <v>3024</v>
      </c>
      <c r="I1001">
        <v>1</v>
      </c>
      <c r="J1001">
        <v>0</v>
      </c>
      <c r="K1001" t="s">
        <v>17</v>
      </c>
    </row>
    <row r="1002" spans="1:11" x14ac:dyDescent="0.2">
      <c r="A1002" t="s">
        <v>3025</v>
      </c>
      <c r="B1002" t="s">
        <v>12</v>
      </c>
      <c r="C1002" t="s">
        <v>13</v>
      </c>
      <c r="D1002" t="s">
        <v>14</v>
      </c>
      <c r="E1002">
        <v>1855000</v>
      </c>
      <c r="F1002">
        <v>613.42999999999995</v>
      </c>
      <c r="G1002" t="s">
        <v>3026</v>
      </c>
      <c r="H1002" t="s">
        <v>3027</v>
      </c>
      <c r="I1002">
        <v>1</v>
      </c>
      <c r="J1002">
        <v>0</v>
      </c>
      <c r="K1002" t="s">
        <v>17</v>
      </c>
    </row>
    <row r="1003" spans="1:11" x14ac:dyDescent="0.2">
      <c r="A1003" t="s">
        <v>3028</v>
      </c>
      <c r="B1003" t="s">
        <v>128</v>
      </c>
      <c r="C1003" t="s">
        <v>26</v>
      </c>
      <c r="D1003" t="s">
        <v>27</v>
      </c>
      <c r="E1003">
        <v>554000</v>
      </c>
      <c r="F1003">
        <v>921.8</v>
      </c>
      <c r="G1003" t="s">
        <v>3029</v>
      </c>
      <c r="H1003" t="s">
        <v>3030</v>
      </c>
      <c r="I1003">
        <v>1</v>
      </c>
      <c r="J1003">
        <v>0</v>
      </c>
      <c r="K1003" t="s">
        <v>17</v>
      </c>
    </row>
    <row r="1004" spans="1:11" x14ac:dyDescent="0.2">
      <c r="A1004" t="s">
        <v>3031</v>
      </c>
      <c r="B1004" t="s">
        <v>25</v>
      </c>
      <c r="C1004" t="s">
        <v>13</v>
      </c>
      <c r="D1004" t="s">
        <v>14</v>
      </c>
      <c r="E1004">
        <v>4365000</v>
      </c>
      <c r="F1004">
        <v>1443.45</v>
      </c>
      <c r="G1004" t="s">
        <v>3032</v>
      </c>
      <c r="H1004" t="s">
        <v>3033</v>
      </c>
      <c r="I1004">
        <v>1</v>
      </c>
      <c r="J1004">
        <v>0</v>
      </c>
      <c r="K1004" t="s">
        <v>17</v>
      </c>
    </row>
    <row r="1005" spans="1:11" x14ac:dyDescent="0.2">
      <c r="A1005" t="s">
        <v>3034</v>
      </c>
      <c r="B1005" t="s">
        <v>77</v>
      </c>
      <c r="C1005" t="s">
        <v>42</v>
      </c>
      <c r="D1005" t="s">
        <v>27</v>
      </c>
      <c r="E1005">
        <v>865000</v>
      </c>
      <c r="F1005">
        <v>1439.27</v>
      </c>
      <c r="G1005" t="s">
        <v>3035</v>
      </c>
      <c r="H1005" t="s">
        <v>3036</v>
      </c>
      <c r="I1005">
        <v>1</v>
      </c>
      <c r="J1005">
        <v>0</v>
      </c>
      <c r="K1005" t="s">
        <v>17</v>
      </c>
    </row>
    <row r="1006" spans="1:11" x14ac:dyDescent="0.2">
      <c r="A1006" t="s">
        <v>3037</v>
      </c>
      <c r="B1006" t="s">
        <v>67</v>
      </c>
      <c r="C1006" t="s">
        <v>13</v>
      </c>
      <c r="D1006" t="s">
        <v>14</v>
      </c>
      <c r="E1006">
        <v>2395000</v>
      </c>
      <c r="F1006">
        <v>792</v>
      </c>
      <c r="G1006" t="s">
        <v>3038</v>
      </c>
      <c r="H1006" t="s">
        <v>3039</v>
      </c>
      <c r="I1006">
        <v>1</v>
      </c>
      <c r="J1006">
        <v>0</v>
      </c>
      <c r="K1006" t="s">
        <v>17</v>
      </c>
    </row>
    <row r="1007" spans="1:11" x14ac:dyDescent="0.2">
      <c r="A1007" t="s">
        <v>3040</v>
      </c>
      <c r="B1007" t="s">
        <v>91</v>
      </c>
      <c r="C1007" t="s">
        <v>102</v>
      </c>
      <c r="D1007" t="s">
        <v>14</v>
      </c>
      <c r="E1007">
        <v>1806000</v>
      </c>
      <c r="F1007">
        <v>597.22</v>
      </c>
      <c r="G1007" t="s">
        <v>3041</v>
      </c>
      <c r="H1007" t="s">
        <v>3042</v>
      </c>
      <c r="I1007">
        <v>1</v>
      </c>
      <c r="J1007">
        <v>0</v>
      </c>
      <c r="K1007" t="s">
        <v>17</v>
      </c>
    </row>
    <row r="1008" spans="1:11" x14ac:dyDescent="0.2">
      <c r="A1008" t="s">
        <v>3043</v>
      </c>
      <c r="B1008" t="s">
        <v>19</v>
      </c>
      <c r="C1008" t="s">
        <v>20</v>
      </c>
      <c r="D1008" t="s">
        <v>21</v>
      </c>
      <c r="E1008">
        <v>1655000</v>
      </c>
      <c r="F1008">
        <v>2753.74</v>
      </c>
      <c r="G1008" t="s">
        <v>3044</v>
      </c>
      <c r="H1008" t="s">
        <v>3045</v>
      </c>
      <c r="I1008">
        <v>1</v>
      </c>
      <c r="J1008">
        <v>-196.34</v>
      </c>
      <c r="K1008" t="s">
        <v>45</v>
      </c>
    </row>
    <row r="1009" spans="1:11" x14ac:dyDescent="0.2">
      <c r="A1009" t="s">
        <v>3046</v>
      </c>
      <c r="B1009" t="s">
        <v>55</v>
      </c>
      <c r="C1009" t="s">
        <v>20</v>
      </c>
      <c r="D1009" t="s">
        <v>21</v>
      </c>
      <c r="E1009">
        <v>221000</v>
      </c>
      <c r="F1009">
        <v>367.72</v>
      </c>
      <c r="I1009">
        <v>0</v>
      </c>
      <c r="J1009">
        <v>0</v>
      </c>
      <c r="K1009" t="s">
        <v>376</v>
      </c>
    </row>
    <row r="1010" spans="1:11" x14ac:dyDescent="0.2">
      <c r="A1010" t="s">
        <v>3047</v>
      </c>
      <c r="B1010" t="s">
        <v>98</v>
      </c>
      <c r="C1010" t="s">
        <v>51</v>
      </c>
      <c r="D1010" t="s">
        <v>21</v>
      </c>
      <c r="E1010">
        <v>310000</v>
      </c>
      <c r="F1010">
        <v>515.80999999999995</v>
      </c>
      <c r="G1010" t="s">
        <v>3048</v>
      </c>
      <c r="H1010" t="s">
        <v>3049</v>
      </c>
      <c r="I1010">
        <v>1</v>
      </c>
      <c r="J1010">
        <v>0</v>
      </c>
      <c r="K1010" t="s">
        <v>17</v>
      </c>
    </row>
    <row r="1011" spans="1:11" x14ac:dyDescent="0.2">
      <c r="A1011" t="s">
        <v>3050</v>
      </c>
      <c r="B1011" t="s">
        <v>135</v>
      </c>
      <c r="C1011" t="s">
        <v>42</v>
      </c>
      <c r="D1011" t="s">
        <v>27</v>
      </c>
      <c r="E1011">
        <v>236000</v>
      </c>
      <c r="F1011">
        <v>392.68</v>
      </c>
      <c r="G1011" t="s">
        <v>3051</v>
      </c>
      <c r="H1011" t="s">
        <v>3052</v>
      </c>
      <c r="I1011">
        <v>1</v>
      </c>
      <c r="J1011">
        <v>0</v>
      </c>
      <c r="K1011" t="s">
        <v>17</v>
      </c>
    </row>
    <row r="1012" spans="1:11" x14ac:dyDescent="0.2">
      <c r="A1012" t="s">
        <v>3053</v>
      </c>
      <c r="B1012" t="s">
        <v>135</v>
      </c>
      <c r="C1012" t="s">
        <v>13</v>
      </c>
      <c r="D1012" t="s">
        <v>14</v>
      </c>
      <c r="E1012">
        <v>5664000</v>
      </c>
      <c r="F1012">
        <v>1873.02</v>
      </c>
      <c r="G1012" t="s">
        <v>3054</v>
      </c>
      <c r="H1012" t="s">
        <v>3055</v>
      </c>
      <c r="I1012">
        <v>1</v>
      </c>
      <c r="J1012">
        <v>0</v>
      </c>
      <c r="K1012" t="s">
        <v>17</v>
      </c>
    </row>
    <row r="1013" spans="1:11" x14ac:dyDescent="0.2">
      <c r="A1013" t="s">
        <v>3056</v>
      </c>
      <c r="B1013" t="s">
        <v>59</v>
      </c>
      <c r="C1013" t="s">
        <v>26</v>
      </c>
      <c r="D1013" t="s">
        <v>27</v>
      </c>
      <c r="E1013">
        <v>95000</v>
      </c>
      <c r="F1013">
        <v>158.07</v>
      </c>
      <c r="G1013" t="s">
        <v>3057</v>
      </c>
      <c r="H1013" t="s">
        <v>3058</v>
      </c>
      <c r="I1013">
        <v>1</v>
      </c>
      <c r="J1013">
        <v>0</v>
      </c>
      <c r="K1013" t="s">
        <v>17</v>
      </c>
    </row>
    <row r="1014" spans="1:11" x14ac:dyDescent="0.2">
      <c r="A1014" t="s">
        <v>3059</v>
      </c>
      <c r="B1014" t="s">
        <v>19</v>
      </c>
      <c r="C1014" t="s">
        <v>13</v>
      </c>
      <c r="D1014" t="s">
        <v>14</v>
      </c>
      <c r="E1014">
        <v>3042000</v>
      </c>
      <c r="F1014">
        <v>1005.95</v>
      </c>
      <c r="G1014" t="s">
        <v>3060</v>
      </c>
      <c r="H1014" t="s">
        <v>3061</v>
      </c>
      <c r="I1014">
        <v>1</v>
      </c>
      <c r="J1014">
        <v>0</v>
      </c>
      <c r="K1014" t="s">
        <v>17</v>
      </c>
    </row>
    <row r="1015" spans="1:11" x14ac:dyDescent="0.2">
      <c r="A1015" t="s">
        <v>3062</v>
      </c>
      <c r="B1015" t="s">
        <v>19</v>
      </c>
      <c r="C1015" t="s">
        <v>26</v>
      </c>
      <c r="D1015" t="s">
        <v>27</v>
      </c>
      <c r="E1015">
        <v>507000</v>
      </c>
      <c r="F1015">
        <v>843.59</v>
      </c>
      <c r="G1015" t="s">
        <v>3063</v>
      </c>
      <c r="H1015" t="s">
        <v>3064</v>
      </c>
      <c r="I1015">
        <v>1</v>
      </c>
      <c r="J1015">
        <v>0</v>
      </c>
      <c r="K1015" t="s">
        <v>17</v>
      </c>
    </row>
    <row r="1016" spans="1:11" x14ac:dyDescent="0.2">
      <c r="A1016" t="s">
        <v>3065</v>
      </c>
      <c r="B1016" t="s">
        <v>55</v>
      </c>
      <c r="C1016" t="s">
        <v>20</v>
      </c>
      <c r="D1016" t="s">
        <v>21</v>
      </c>
      <c r="E1016">
        <v>1135000</v>
      </c>
      <c r="F1016">
        <v>1888.52</v>
      </c>
      <c r="G1016" t="s">
        <v>3066</v>
      </c>
      <c r="H1016" t="s">
        <v>3067</v>
      </c>
      <c r="I1016">
        <v>1</v>
      </c>
      <c r="J1016">
        <v>0</v>
      </c>
      <c r="K1016" t="s">
        <v>17</v>
      </c>
    </row>
    <row r="1017" spans="1:11" x14ac:dyDescent="0.2">
      <c r="A1017" t="s">
        <v>3068</v>
      </c>
      <c r="B1017" t="s">
        <v>25</v>
      </c>
      <c r="C1017" t="s">
        <v>13</v>
      </c>
      <c r="D1017" t="s">
        <v>14</v>
      </c>
      <c r="E1017">
        <v>1599000</v>
      </c>
      <c r="F1017">
        <v>528.77</v>
      </c>
      <c r="G1017" t="s">
        <v>3069</v>
      </c>
      <c r="H1017" t="s">
        <v>3070</v>
      </c>
      <c r="I1017">
        <v>1</v>
      </c>
      <c r="J1017">
        <v>0</v>
      </c>
      <c r="K1017" t="s">
        <v>17</v>
      </c>
    </row>
    <row r="1018" spans="1:11" x14ac:dyDescent="0.2">
      <c r="A1018" t="s">
        <v>3071</v>
      </c>
      <c r="B1018" t="s">
        <v>12</v>
      </c>
      <c r="C1018" t="s">
        <v>51</v>
      </c>
      <c r="D1018" t="s">
        <v>21</v>
      </c>
      <c r="E1018">
        <v>741000</v>
      </c>
      <c r="F1018">
        <v>1232.95</v>
      </c>
      <c r="G1018" t="s">
        <v>3072</v>
      </c>
      <c r="H1018" t="s">
        <v>3073</v>
      </c>
      <c r="I1018">
        <v>1</v>
      </c>
      <c r="J1018">
        <v>0</v>
      </c>
      <c r="K1018" t="s">
        <v>17</v>
      </c>
    </row>
    <row r="1019" spans="1:11" x14ac:dyDescent="0.2">
      <c r="A1019" t="s">
        <v>3074</v>
      </c>
      <c r="B1019" t="s">
        <v>35</v>
      </c>
      <c r="C1019" t="s">
        <v>102</v>
      </c>
      <c r="D1019" t="s">
        <v>14</v>
      </c>
      <c r="E1019">
        <v>1700000</v>
      </c>
      <c r="F1019">
        <v>562.16999999999996</v>
      </c>
      <c r="G1019" t="s">
        <v>3075</v>
      </c>
      <c r="H1019" t="s">
        <v>3076</v>
      </c>
      <c r="I1019">
        <v>1</v>
      </c>
      <c r="J1019">
        <v>0</v>
      </c>
      <c r="K1019" t="s">
        <v>17</v>
      </c>
    </row>
    <row r="1020" spans="1:11" x14ac:dyDescent="0.2">
      <c r="A1020" t="s">
        <v>3077</v>
      </c>
      <c r="B1020" t="s">
        <v>50</v>
      </c>
      <c r="C1020" t="s">
        <v>102</v>
      </c>
      <c r="D1020" t="s">
        <v>14</v>
      </c>
      <c r="E1020">
        <v>1700000</v>
      </c>
      <c r="F1020">
        <v>562.16999999999996</v>
      </c>
      <c r="G1020" t="s">
        <v>3078</v>
      </c>
      <c r="H1020" t="s">
        <v>3079</v>
      </c>
      <c r="I1020">
        <v>1</v>
      </c>
      <c r="J1020">
        <v>0</v>
      </c>
      <c r="K1020" t="s">
        <v>17</v>
      </c>
    </row>
    <row r="1021" spans="1:11" x14ac:dyDescent="0.2">
      <c r="A1021" t="s">
        <v>3080</v>
      </c>
      <c r="B1021" t="s">
        <v>128</v>
      </c>
      <c r="C1021" t="s">
        <v>42</v>
      </c>
      <c r="D1021" t="s">
        <v>27</v>
      </c>
      <c r="E1021">
        <v>586000</v>
      </c>
      <c r="F1021">
        <v>975.04</v>
      </c>
      <c r="G1021" t="s">
        <v>3081</v>
      </c>
      <c r="H1021" t="s">
        <v>3082</v>
      </c>
      <c r="I1021">
        <v>1</v>
      </c>
      <c r="J1021">
        <v>0</v>
      </c>
      <c r="K1021" t="s">
        <v>17</v>
      </c>
    </row>
    <row r="1022" spans="1:11" x14ac:dyDescent="0.2">
      <c r="A1022" t="s">
        <v>3083</v>
      </c>
      <c r="B1022" t="s">
        <v>98</v>
      </c>
      <c r="C1022" t="s">
        <v>13</v>
      </c>
      <c r="D1022" t="s">
        <v>14</v>
      </c>
      <c r="E1022">
        <v>4201000</v>
      </c>
      <c r="F1022">
        <v>1389.22</v>
      </c>
      <c r="G1022" t="s">
        <v>3084</v>
      </c>
      <c r="H1022" t="s">
        <v>3085</v>
      </c>
      <c r="I1022">
        <v>1</v>
      </c>
      <c r="J1022">
        <v>0</v>
      </c>
      <c r="K1022" t="s">
        <v>17</v>
      </c>
    </row>
    <row r="1023" spans="1:11" x14ac:dyDescent="0.2">
      <c r="A1023" t="s">
        <v>3086</v>
      </c>
      <c r="B1023" t="s">
        <v>139</v>
      </c>
      <c r="C1023" t="s">
        <v>20</v>
      </c>
      <c r="D1023" t="s">
        <v>21</v>
      </c>
      <c r="E1023">
        <v>304000</v>
      </c>
      <c r="F1023">
        <v>505.82</v>
      </c>
      <c r="G1023" t="s">
        <v>3087</v>
      </c>
      <c r="H1023" t="s">
        <v>3088</v>
      </c>
      <c r="I1023">
        <v>1</v>
      </c>
      <c r="J1023">
        <v>0</v>
      </c>
      <c r="K1023" t="s">
        <v>17</v>
      </c>
    </row>
    <row r="1024" spans="1:11" x14ac:dyDescent="0.2">
      <c r="A1024" t="s">
        <v>3089</v>
      </c>
      <c r="B1024" t="s">
        <v>91</v>
      </c>
      <c r="C1024" t="s">
        <v>20</v>
      </c>
      <c r="D1024" t="s">
        <v>21</v>
      </c>
      <c r="E1024">
        <v>5852000</v>
      </c>
      <c r="F1024">
        <v>9737.1</v>
      </c>
      <c r="G1024" t="s">
        <v>3090</v>
      </c>
      <c r="H1024" t="s">
        <v>3091</v>
      </c>
      <c r="I1024">
        <v>1</v>
      </c>
      <c r="J1024">
        <v>0</v>
      </c>
      <c r="K1024" t="s">
        <v>17</v>
      </c>
    </row>
    <row r="1025" spans="1:11" x14ac:dyDescent="0.2">
      <c r="A1025" t="s">
        <v>3092</v>
      </c>
      <c r="B1025" t="s">
        <v>240</v>
      </c>
      <c r="C1025" t="s">
        <v>102</v>
      </c>
      <c r="D1025" t="s">
        <v>14</v>
      </c>
      <c r="E1025">
        <v>1047000</v>
      </c>
      <c r="F1025">
        <v>346.23</v>
      </c>
      <c r="G1025" t="s">
        <v>3093</v>
      </c>
      <c r="H1025" t="s">
        <v>3094</v>
      </c>
      <c r="I1025">
        <v>1</v>
      </c>
      <c r="J1025">
        <v>0</v>
      </c>
      <c r="K1025" t="s">
        <v>17</v>
      </c>
    </row>
    <row r="1026" spans="1:11" x14ac:dyDescent="0.2">
      <c r="A1026" t="s">
        <v>3095</v>
      </c>
      <c r="B1026" t="s">
        <v>240</v>
      </c>
      <c r="C1026" t="s">
        <v>102</v>
      </c>
      <c r="D1026" t="s">
        <v>14</v>
      </c>
      <c r="E1026">
        <v>7554000</v>
      </c>
      <c r="F1026">
        <v>2498.02</v>
      </c>
      <c r="G1026" t="s">
        <v>3096</v>
      </c>
      <c r="H1026" t="s">
        <v>3097</v>
      </c>
      <c r="I1026">
        <v>1</v>
      </c>
      <c r="J1026">
        <v>0</v>
      </c>
      <c r="K1026" t="s">
        <v>17</v>
      </c>
    </row>
    <row r="1027" spans="1:11" x14ac:dyDescent="0.2">
      <c r="A1027" t="s">
        <v>3098</v>
      </c>
      <c r="B1027" t="s">
        <v>59</v>
      </c>
      <c r="C1027" t="s">
        <v>42</v>
      </c>
      <c r="D1027" t="s">
        <v>27</v>
      </c>
      <c r="E1027">
        <v>427000</v>
      </c>
      <c r="F1027">
        <v>710.48</v>
      </c>
      <c r="G1027" t="s">
        <v>3099</v>
      </c>
      <c r="H1027" t="s">
        <v>3100</v>
      </c>
      <c r="I1027">
        <v>1</v>
      </c>
      <c r="J1027">
        <v>0</v>
      </c>
      <c r="K1027" t="s">
        <v>17</v>
      </c>
    </row>
    <row r="1028" spans="1:11" x14ac:dyDescent="0.2">
      <c r="A1028" t="s">
        <v>3101</v>
      </c>
      <c r="B1028" t="s">
        <v>91</v>
      </c>
      <c r="C1028" t="s">
        <v>20</v>
      </c>
      <c r="D1028" t="s">
        <v>21</v>
      </c>
      <c r="E1028">
        <v>272000</v>
      </c>
      <c r="F1028">
        <v>452.58</v>
      </c>
      <c r="G1028" t="s">
        <v>3102</v>
      </c>
      <c r="H1028" t="s">
        <v>3103</v>
      </c>
      <c r="I1028">
        <v>1</v>
      </c>
      <c r="J1028">
        <v>0</v>
      </c>
      <c r="K1028" t="s">
        <v>17</v>
      </c>
    </row>
    <row r="1029" spans="1:11" x14ac:dyDescent="0.2">
      <c r="A1029" t="s">
        <v>3104</v>
      </c>
      <c r="B1029" t="s">
        <v>77</v>
      </c>
      <c r="C1029" t="s">
        <v>20</v>
      </c>
      <c r="D1029" t="s">
        <v>21</v>
      </c>
      <c r="E1029">
        <v>1876000</v>
      </c>
      <c r="F1029">
        <v>3121.46</v>
      </c>
      <c r="I1029">
        <v>0</v>
      </c>
      <c r="J1029">
        <v>0</v>
      </c>
      <c r="K1029" t="s">
        <v>376</v>
      </c>
    </row>
    <row r="1030" spans="1:11" x14ac:dyDescent="0.2">
      <c r="A1030" t="s">
        <v>3105</v>
      </c>
      <c r="B1030" t="s">
        <v>25</v>
      </c>
      <c r="C1030" t="s">
        <v>102</v>
      </c>
      <c r="D1030" t="s">
        <v>14</v>
      </c>
      <c r="E1030">
        <v>12767000</v>
      </c>
      <c r="F1030">
        <v>4221.8900000000003</v>
      </c>
      <c r="G1030" t="s">
        <v>3106</v>
      </c>
      <c r="H1030" t="s">
        <v>3107</v>
      </c>
      <c r="I1030">
        <v>1</v>
      </c>
      <c r="J1030">
        <v>0</v>
      </c>
      <c r="K1030" t="s">
        <v>17</v>
      </c>
    </row>
    <row r="1031" spans="1:11" x14ac:dyDescent="0.2">
      <c r="A1031" t="s">
        <v>3108</v>
      </c>
      <c r="B1031" t="s">
        <v>31</v>
      </c>
      <c r="C1031" t="s">
        <v>13</v>
      </c>
      <c r="D1031" t="s">
        <v>14</v>
      </c>
      <c r="E1031">
        <v>707000</v>
      </c>
      <c r="F1031">
        <v>233.8</v>
      </c>
      <c r="G1031" t="s">
        <v>3109</v>
      </c>
      <c r="H1031" t="s">
        <v>3110</v>
      </c>
      <c r="I1031">
        <v>1</v>
      </c>
      <c r="J1031">
        <v>0</v>
      </c>
      <c r="K1031" t="s">
        <v>17</v>
      </c>
    </row>
    <row r="1032" spans="1:11" x14ac:dyDescent="0.2">
      <c r="A1032" t="s">
        <v>3111</v>
      </c>
      <c r="B1032" t="s">
        <v>55</v>
      </c>
      <c r="C1032" t="s">
        <v>13</v>
      </c>
      <c r="D1032" t="s">
        <v>14</v>
      </c>
      <c r="E1032">
        <v>2408000</v>
      </c>
      <c r="F1032">
        <v>796.3</v>
      </c>
      <c r="G1032" t="s">
        <v>3112</v>
      </c>
      <c r="H1032" t="s">
        <v>3113</v>
      </c>
      <c r="I1032">
        <v>1</v>
      </c>
      <c r="J1032">
        <v>0</v>
      </c>
      <c r="K1032" t="s">
        <v>17</v>
      </c>
    </row>
    <row r="1033" spans="1:11" x14ac:dyDescent="0.2">
      <c r="A1033" t="s">
        <v>3114</v>
      </c>
      <c r="B1033" t="s">
        <v>67</v>
      </c>
      <c r="C1033" t="s">
        <v>26</v>
      </c>
      <c r="D1033" t="s">
        <v>27</v>
      </c>
      <c r="E1033">
        <v>1787000</v>
      </c>
      <c r="F1033">
        <v>2973.38</v>
      </c>
      <c r="G1033" t="s">
        <v>3115</v>
      </c>
      <c r="H1033" t="s">
        <v>3116</v>
      </c>
      <c r="I1033">
        <v>1</v>
      </c>
      <c r="J1033">
        <v>0</v>
      </c>
      <c r="K1033" t="s">
        <v>17</v>
      </c>
    </row>
    <row r="1034" spans="1:11" x14ac:dyDescent="0.2">
      <c r="A1034" t="s">
        <v>3117</v>
      </c>
      <c r="B1034" t="s">
        <v>143</v>
      </c>
      <c r="C1034" t="s">
        <v>13</v>
      </c>
      <c r="D1034" t="s">
        <v>14</v>
      </c>
      <c r="E1034">
        <v>2373000</v>
      </c>
      <c r="F1034">
        <v>784.72</v>
      </c>
      <c r="G1034" t="s">
        <v>3118</v>
      </c>
      <c r="H1034" t="s">
        <v>3119</v>
      </c>
      <c r="I1034">
        <v>1</v>
      </c>
      <c r="J1034">
        <v>0</v>
      </c>
      <c r="K1034" t="s">
        <v>17</v>
      </c>
    </row>
    <row r="1035" spans="1:11" x14ac:dyDescent="0.2">
      <c r="A1035" t="s">
        <v>3120</v>
      </c>
      <c r="B1035" t="s">
        <v>55</v>
      </c>
      <c r="C1035" t="s">
        <v>102</v>
      </c>
      <c r="D1035" t="s">
        <v>14</v>
      </c>
      <c r="E1035">
        <v>4079000</v>
      </c>
      <c r="F1035">
        <v>1348.88</v>
      </c>
      <c r="G1035" t="s">
        <v>3121</v>
      </c>
      <c r="H1035" t="s">
        <v>3122</v>
      </c>
      <c r="I1035">
        <v>1</v>
      </c>
      <c r="J1035">
        <v>0</v>
      </c>
      <c r="K1035" t="s">
        <v>17</v>
      </c>
    </row>
    <row r="1036" spans="1:11" x14ac:dyDescent="0.2">
      <c r="A1036" t="s">
        <v>3123</v>
      </c>
      <c r="B1036" t="s">
        <v>106</v>
      </c>
      <c r="C1036" t="s">
        <v>42</v>
      </c>
      <c r="D1036" t="s">
        <v>27</v>
      </c>
      <c r="E1036">
        <v>144000</v>
      </c>
      <c r="F1036">
        <v>239.6</v>
      </c>
      <c r="G1036" t="s">
        <v>3124</v>
      </c>
      <c r="H1036" t="s">
        <v>3125</v>
      </c>
      <c r="I1036">
        <v>1</v>
      </c>
      <c r="J1036">
        <v>0</v>
      </c>
      <c r="K1036" t="s">
        <v>17</v>
      </c>
    </row>
    <row r="1037" spans="1:11" x14ac:dyDescent="0.2">
      <c r="A1037" t="s">
        <v>3126</v>
      </c>
      <c r="B1037" t="s">
        <v>59</v>
      </c>
      <c r="C1037" t="s">
        <v>51</v>
      </c>
      <c r="D1037" t="s">
        <v>21</v>
      </c>
      <c r="E1037">
        <v>741000</v>
      </c>
      <c r="F1037">
        <v>1232.95</v>
      </c>
      <c r="G1037" t="s">
        <v>3127</v>
      </c>
      <c r="H1037" t="s">
        <v>3128</v>
      </c>
      <c r="I1037">
        <v>1</v>
      </c>
      <c r="J1037">
        <v>0</v>
      </c>
      <c r="K1037" t="s">
        <v>17</v>
      </c>
    </row>
    <row r="1038" spans="1:11" x14ac:dyDescent="0.2">
      <c r="A1038" t="s">
        <v>3129</v>
      </c>
      <c r="B1038" t="s">
        <v>50</v>
      </c>
      <c r="C1038" t="s">
        <v>42</v>
      </c>
      <c r="D1038" t="s">
        <v>27</v>
      </c>
      <c r="E1038">
        <v>1389000</v>
      </c>
      <c r="F1038">
        <v>2311.15</v>
      </c>
      <c r="G1038" t="s">
        <v>3130</v>
      </c>
      <c r="H1038" t="s">
        <v>3131</v>
      </c>
      <c r="I1038">
        <v>1</v>
      </c>
      <c r="J1038">
        <v>0</v>
      </c>
      <c r="K1038" t="s">
        <v>17</v>
      </c>
    </row>
    <row r="1039" spans="1:11" x14ac:dyDescent="0.2">
      <c r="A1039" t="s">
        <v>3132</v>
      </c>
      <c r="B1039" t="s">
        <v>25</v>
      </c>
      <c r="C1039" t="s">
        <v>13</v>
      </c>
      <c r="D1039" t="s">
        <v>14</v>
      </c>
      <c r="E1039">
        <v>1448000</v>
      </c>
      <c r="F1039">
        <v>478.84</v>
      </c>
      <c r="G1039" t="s">
        <v>3133</v>
      </c>
      <c r="H1039" t="s">
        <v>3134</v>
      </c>
      <c r="I1039">
        <v>1</v>
      </c>
      <c r="J1039">
        <v>0</v>
      </c>
      <c r="K1039" t="s">
        <v>17</v>
      </c>
    </row>
    <row r="1040" spans="1:11" x14ac:dyDescent="0.2">
      <c r="A1040" t="s">
        <v>3135</v>
      </c>
      <c r="B1040" t="s">
        <v>67</v>
      </c>
      <c r="C1040" t="s">
        <v>51</v>
      </c>
      <c r="D1040" t="s">
        <v>21</v>
      </c>
      <c r="E1040">
        <v>1580000</v>
      </c>
      <c r="F1040">
        <v>2628.95</v>
      </c>
      <c r="G1040" t="s">
        <v>3136</v>
      </c>
      <c r="H1040" t="s">
        <v>3137</v>
      </c>
      <c r="I1040">
        <v>1</v>
      </c>
      <c r="J1040">
        <v>0</v>
      </c>
      <c r="K1040" t="s">
        <v>17</v>
      </c>
    </row>
    <row r="1041" spans="1:11" x14ac:dyDescent="0.2">
      <c r="A1041" t="s">
        <v>3138</v>
      </c>
      <c r="B1041" t="s">
        <v>67</v>
      </c>
      <c r="C1041" t="s">
        <v>13</v>
      </c>
      <c r="D1041" t="s">
        <v>14</v>
      </c>
      <c r="E1041">
        <v>1536000</v>
      </c>
      <c r="F1041">
        <v>507.94</v>
      </c>
      <c r="G1041" t="s">
        <v>3139</v>
      </c>
      <c r="H1041" t="s">
        <v>3140</v>
      </c>
      <c r="I1041">
        <v>1</v>
      </c>
      <c r="J1041">
        <v>0</v>
      </c>
      <c r="K1041" t="s">
        <v>17</v>
      </c>
    </row>
    <row r="1042" spans="1:11" x14ac:dyDescent="0.2">
      <c r="A1042" t="s">
        <v>3141</v>
      </c>
      <c r="B1042" t="s">
        <v>139</v>
      </c>
      <c r="C1042" t="s">
        <v>26</v>
      </c>
      <c r="D1042" t="s">
        <v>27</v>
      </c>
      <c r="E1042">
        <v>499000</v>
      </c>
      <c r="F1042">
        <v>830.28</v>
      </c>
      <c r="G1042" t="s">
        <v>3142</v>
      </c>
      <c r="H1042" t="s">
        <v>3143</v>
      </c>
      <c r="I1042">
        <v>1</v>
      </c>
      <c r="J1042">
        <v>0</v>
      </c>
      <c r="K1042" t="s">
        <v>17</v>
      </c>
    </row>
    <row r="1043" spans="1:11" x14ac:dyDescent="0.2">
      <c r="A1043" t="s">
        <v>3144</v>
      </c>
      <c r="B1043" t="s">
        <v>19</v>
      </c>
      <c r="C1043" t="s">
        <v>13</v>
      </c>
      <c r="D1043" t="s">
        <v>14</v>
      </c>
      <c r="E1043">
        <v>1142000</v>
      </c>
      <c r="F1043">
        <v>377.65</v>
      </c>
      <c r="G1043" t="s">
        <v>3145</v>
      </c>
      <c r="H1043" t="s">
        <v>3146</v>
      </c>
      <c r="I1043">
        <v>1</v>
      </c>
      <c r="J1043">
        <v>0</v>
      </c>
      <c r="K1043" t="s">
        <v>17</v>
      </c>
    </row>
    <row r="1044" spans="1:11" x14ac:dyDescent="0.2">
      <c r="A1044" t="s">
        <v>3147</v>
      </c>
      <c r="B1044" t="s">
        <v>63</v>
      </c>
      <c r="C1044" t="s">
        <v>51</v>
      </c>
      <c r="D1044" t="s">
        <v>21</v>
      </c>
      <c r="E1044">
        <v>772000</v>
      </c>
      <c r="F1044">
        <v>1284.53</v>
      </c>
      <c r="G1044" t="s">
        <v>3148</v>
      </c>
      <c r="H1044" t="s">
        <v>3149</v>
      </c>
      <c r="I1044">
        <v>1</v>
      </c>
      <c r="J1044">
        <v>0</v>
      </c>
      <c r="K1044" t="s">
        <v>17</v>
      </c>
    </row>
    <row r="1045" spans="1:11" x14ac:dyDescent="0.2">
      <c r="A1045" t="s">
        <v>3150</v>
      </c>
      <c r="B1045" t="s">
        <v>31</v>
      </c>
      <c r="C1045" t="s">
        <v>42</v>
      </c>
      <c r="D1045" t="s">
        <v>27</v>
      </c>
      <c r="E1045">
        <v>656000</v>
      </c>
      <c r="F1045">
        <v>1091.51</v>
      </c>
      <c r="G1045" t="s">
        <v>3151</v>
      </c>
      <c r="H1045" t="s">
        <v>3152</v>
      </c>
      <c r="I1045">
        <v>1</v>
      </c>
      <c r="J1045">
        <v>0</v>
      </c>
      <c r="K1045" t="s">
        <v>17</v>
      </c>
    </row>
    <row r="1046" spans="1:11" x14ac:dyDescent="0.2">
      <c r="A1046" t="s">
        <v>3153</v>
      </c>
      <c r="B1046" t="s">
        <v>240</v>
      </c>
      <c r="C1046" t="s">
        <v>26</v>
      </c>
      <c r="D1046" t="s">
        <v>27</v>
      </c>
      <c r="E1046">
        <v>168000</v>
      </c>
      <c r="F1046">
        <v>279.52999999999997</v>
      </c>
      <c r="G1046" t="s">
        <v>3154</v>
      </c>
      <c r="H1046" t="s">
        <v>3155</v>
      </c>
      <c r="I1046">
        <v>1</v>
      </c>
      <c r="J1046">
        <v>0</v>
      </c>
      <c r="K1046" t="s">
        <v>17</v>
      </c>
    </row>
    <row r="1047" spans="1:11" x14ac:dyDescent="0.2">
      <c r="A1047" t="s">
        <v>3156</v>
      </c>
      <c r="B1047" t="s">
        <v>106</v>
      </c>
      <c r="C1047" t="s">
        <v>13</v>
      </c>
      <c r="D1047" t="s">
        <v>14</v>
      </c>
      <c r="E1047">
        <v>434000</v>
      </c>
      <c r="F1047">
        <v>143.52000000000001</v>
      </c>
      <c r="G1047" t="s">
        <v>3157</v>
      </c>
      <c r="H1047" t="s">
        <v>3158</v>
      </c>
      <c r="I1047">
        <v>1</v>
      </c>
      <c r="J1047">
        <v>0</v>
      </c>
      <c r="K1047" t="s">
        <v>17</v>
      </c>
    </row>
    <row r="1048" spans="1:11" x14ac:dyDescent="0.2">
      <c r="A1048" t="s">
        <v>3159</v>
      </c>
      <c r="B1048" t="s">
        <v>67</v>
      </c>
      <c r="C1048" t="s">
        <v>42</v>
      </c>
      <c r="D1048" t="s">
        <v>27</v>
      </c>
      <c r="E1048">
        <v>1126000</v>
      </c>
      <c r="F1048">
        <v>1873.54</v>
      </c>
      <c r="G1048" t="s">
        <v>3160</v>
      </c>
      <c r="H1048" t="s">
        <v>3161</v>
      </c>
      <c r="I1048">
        <v>1</v>
      </c>
      <c r="J1048">
        <v>0</v>
      </c>
      <c r="K1048" t="s">
        <v>17</v>
      </c>
    </row>
    <row r="1049" spans="1:11" x14ac:dyDescent="0.2">
      <c r="A1049" t="s">
        <v>3162</v>
      </c>
      <c r="B1049" t="s">
        <v>50</v>
      </c>
      <c r="C1049" t="s">
        <v>42</v>
      </c>
      <c r="D1049" t="s">
        <v>27</v>
      </c>
      <c r="E1049">
        <v>881000</v>
      </c>
      <c r="F1049">
        <v>1465.89</v>
      </c>
      <c r="G1049" t="s">
        <v>3163</v>
      </c>
      <c r="H1049" t="s">
        <v>3164</v>
      </c>
      <c r="I1049">
        <v>1</v>
      </c>
      <c r="J1049">
        <v>0</v>
      </c>
      <c r="K1049" t="s">
        <v>17</v>
      </c>
    </row>
    <row r="1050" spans="1:11" x14ac:dyDescent="0.2">
      <c r="A1050" t="s">
        <v>3165</v>
      </c>
      <c r="B1050" t="s">
        <v>128</v>
      </c>
      <c r="C1050" t="s">
        <v>42</v>
      </c>
      <c r="D1050" t="s">
        <v>27</v>
      </c>
      <c r="E1050">
        <v>1768000</v>
      </c>
      <c r="F1050">
        <v>2941.76</v>
      </c>
      <c r="G1050" t="s">
        <v>3166</v>
      </c>
      <c r="H1050" t="s">
        <v>3167</v>
      </c>
      <c r="I1050">
        <v>1</v>
      </c>
      <c r="J1050">
        <v>0</v>
      </c>
      <c r="K1050" t="s">
        <v>17</v>
      </c>
    </row>
    <row r="1051" spans="1:11" x14ac:dyDescent="0.2">
      <c r="A1051" t="s">
        <v>3168</v>
      </c>
      <c r="B1051" t="s">
        <v>128</v>
      </c>
      <c r="C1051" t="s">
        <v>102</v>
      </c>
      <c r="D1051" t="s">
        <v>14</v>
      </c>
      <c r="E1051">
        <v>1839000</v>
      </c>
      <c r="F1051">
        <v>608.13</v>
      </c>
      <c r="G1051" t="s">
        <v>3169</v>
      </c>
      <c r="H1051" t="s">
        <v>3170</v>
      </c>
      <c r="I1051">
        <v>1</v>
      </c>
      <c r="J1051">
        <v>0</v>
      </c>
      <c r="K1051" t="s">
        <v>17</v>
      </c>
    </row>
    <row r="1052" spans="1:11" x14ac:dyDescent="0.2">
      <c r="A1052" t="s">
        <v>3171</v>
      </c>
      <c r="B1052" t="s">
        <v>59</v>
      </c>
      <c r="C1052" t="s">
        <v>26</v>
      </c>
      <c r="D1052" t="s">
        <v>27</v>
      </c>
      <c r="E1052">
        <v>400000</v>
      </c>
      <c r="F1052">
        <v>665.56</v>
      </c>
      <c r="G1052" t="s">
        <v>3172</v>
      </c>
      <c r="H1052" t="s">
        <v>3173</v>
      </c>
      <c r="I1052">
        <v>1</v>
      </c>
      <c r="J1052">
        <v>0</v>
      </c>
      <c r="K1052" t="s">
        <v>17</v>
      </c>
    </row>
    <row r="1053" spans="1:11" x14ac:dyDescent="0.2">
      <c r="A1053" t="s">
        <v>3174</v>
      </c>
      <c r="B1053" t="s">
        <v>67</v>
      </c>
      <c r="C1053" t="s">
        <v>42</v>
      </c>
      <c r="D1053" t="s">
        <v>27</v>
      </c>
      <c r="E1053">
        <v>486000</v>
      </c>
      <c r="F1053">
        <v>808.65</v>
      </c>
      <c r="G1053" t="s">
        <v>3175</v>
      </c>
      <c r="H1053" t="s">
        <v>3176</v>
      </c>
      <c r="I1053">
        <v>1</v>
      </c>
      <c r="J1053">
        <v>0</v>
      </c>
      <c r="K1053" t="s">
        <v>17</v>
      </c>
    </row>
    <row r="1054" spans="1:11" x14ac:dyDescent="0.2">
      <c r="A1054" t="s">
        <v>3177</v>
      </c>
      <c r="B1054" t="s">
        <v>63</v>
      </c>
      <c r="C1054" t="s">
        <v>26</v>
      </c>
      <c r="D1054" t="s">
        <v>27</v>
      </c>
      <c r="E1054">
        <v>698000</v>
      </c>
      <c r="F1054">
        <v>1161.4000000000001</v>
      </c>
      <c r="G1054" t="s">
        <v>3178</v>
      </c>
      <c r="H1054" t="s">
        <v>3179</v>
      </c>
      <c r="I1054">
        <v>1</v>
      </c>
      <c r="J1054">
        <v>0</v>
      </c>
      <c r="K1054" t="s">
        <v>17</v>
      </c>
    </row>
    <row r="1055" spans="1:11" x14ac:dyDescent="0.2">
      <c r="A1055" t="s">
        <v>3180</v>
      </c>
      <c r="B1055" t="s">
        <v>31</v>
      </c>
      <c r="C1055" t="s">
        <v>20</v>
      </c>
      <c r="D1055" t="s">
        <v>21</v>
      </c>
      <c r="E1055">
        <v>941000</v>
      </c>
      <c r="F1055">
        <v>1565.72</v>
      </c>
      <c r="G1055" t="s">
        <v>3181</v>
      </c>
      <c r="H1055" t="s">
        <v>3182</v>
      </c>
      <c r="I1055">
        <v>1</v>
      </c>
      <c r="J1055">
        <v>0</v>
      </c>
      <c r="K1055" t="s">
        <v>17</v>
      </c>
    </row>
    <row r="1056" spans="1:11" x14ac:dyDescent="0.2">
      <c r="A1056" t="s">
        <v>3183</v>
      </c>
      <c r="B1056" t="s">
        <v>35</v>
      </c>
      <c r="C1056" t="s">
        <v>42</v>
      </c>
      <c r="D1056" t="s">
        <v>27</v>
      </c>
      <c r="E1056">
        <v>1409000</v>
      </c>
      <c r="F1056">
        <v>2344.4299999999998</v>
      </c>
      <c r="G1056" t="s">
        <v>3184</v>
      </c>
      <c r="H1056" t="s">
        <v>3185</v>
      </c>
      <c r="I1056">
        <v>1</v>
      </c>
      <c r="J1056">
        <v>0</v>
      </c>
      <c r="K1056" t="s">
        <v>17</v>
      </c>
    </row>
    <row r="1057" spans="1:11" x14ac:dyDescent="0.2">
      <c r="A1057" t="s">
        <v>3186</v>
      </c>
      <c r="B1057" t="s">
        <v>55</v>
      </c>
      <c r="C1057" t="s">
        <v>51</v>
      </c>
      <c r="D1057" t="s">
        <v>21</v>
      </c>
      <c r="E1057">
        <v>244000</v>
      </c>
      <c r="F1057">
        <v>405.99</v>
      </c>
      <c r="G1057" t="s">
        <v>3187</v>
      </c>
      <c r="H1057" t="s">
        <v>3188</v>
      </c>
      <c r="I1057">
        <v>1</v>
      </c>
      <c r="J1057">
        <v>0</v>
      </c>
      <c r="K1057" t="s">
        <v>17</v>
      </c>
    </row>
    <row r="1058" spans="1:11" x14ac:dyDescent="0.2">
      <c r="A1058" t="s">
        <v>3189</v>
      </c>
      <c r="B1058" t="s">
        <v>77</v>
      </c>
      <c r="C1058" t="s">
        <v>51</v>
      </c>
      <c r="D1058" t="s">
        <v>21</v>
      </c>
      <c r="E1058">
        <v>304000</v>
      </c>
      <c r="F1058">
        <v>505.82</v>
      </c>
      <c r="G1058" t="s">
        <v>3190</v>
      </c>
      <c r="H1058" t="s">
        <v>3191</v>
      </c>
      <c r="I1058">
        <v>1</v>
      </c>
      <c r="J1058">
        <v>0</v>
      </c>
      <c r="K1058" t="s">
        <v>17</v>
      </c>
    </row>
    <row r="1059" spans="1:11" x14ac:dyDescent="0.2">
      <c r="A1059" t="s">
        <v>3192</v>
      </c>
      <c r="B1059" t="s">
        <v>143</v>
      </c>
      <c r="C1059" t="s">
        <v>13</v>
      </c>
      <c r="D1059" t="s">
        <v>14</v>
      </c>
      <c r="E1059">
        <v>5846000</v>
      </c>
      <c r="F1059">
        <v>1933.2</v>
      </c>
      <c r="G1059" t="s">
        <v>3193</v>
      </c>
      <c r="H1059" t="s">
        <v>3194</v>
      </c>
      <c r="I1059">
        <v>1</v>
      </c>
      <c r="J1059">
        <v>0</v>
      </c>
      <c r="K1059" t="s">
        <v>17</v>
      </c>
    </row>
    <row r="1060" spans="1:11" x14ac:dyDescent="0.2">
      <c r="A1060" t="s">
        <v>3195</v>
      </c>
      <c r="B1060" t="s">
        <v>128</v>
      </c>
      <c r="C1060" t="s">
        <v>102</v>
      </c>
      <c r="D1060" t="s">
        <v>14</v>
      </c>
      <c r="E1060">
        <v>5760000</v>
      </c>
      <c r="F1060">
        <v>1904.76</v>
      </c>
      <c r="G1060" t="s">
        <v>3196</v>
      </c>
      <c r="H1060" t="s">
        <v>3197</v>
      </c>
      <c r="I1060">
        <v>1</v>
      </c>
      <c r="J1060">
        <v>0</v>
      </c>
      <c r="K1060" t="s">
        <v>17</v>
      </c>
    </row>
    <row r="1061" spans="1:11" x14ac:dyDescent="0.2">
      <c r="A1061" t="s">
        <v>3198</v>
      </c>
      <c r="B1061" t="s">
        <v>87</v>
      </c>
      <c r="C1061" t="s">
        <v>102</v>
      </c>
      <c r="D1061" t="s">
        <v>14</v>
      </c>
      <c r="E1061">
        <v>3453000</v>
      </c>
      <c r="F1061">
        <v>1141.8699999999999</v>
      </c>
      <c r="G1061" t="s">
        <v>3199</v>
      </c>
      <c r="H1061" t="s">
        <v>3200</v>
      </c>
      <c r="I1061">
        <v>1</v>
      </c>
      <c r="J1061">
        <v>0</v>
      </c>
      <c r="K1061" t="s">
        <v>17</v>
      </c>
    </row>
    <row r="1062" spans="1:11" x14ac:dyDescent="0.2">
      <c r="A1062" t="s">
        <v>3201</v>
      </c>
      <c r="B1062" t="s">
        <v>19</v>
      </c>
      <c r="C1062" t="s">
        <v>51</v>
      </c>
      <c r="D1062" t="s">
        <v>21</v>
      </c>
      <c r="E1062">
        <v>1343000</v>
      </c>
      <c r="F1062">
        <v>2234.61</v>
      </c>
      <c r="G1062" t="s">
        <v>3202</v>
      </c>
      <c r="H1062" t="s">
        <v>3203</v>
      </c>
      <c r="I1062">
        <v>1</v>
      </c>
      <c r="J1062">
        <v>0</v>
      </c>
      <c r="K1062" t="s">
        <v>17</v>
      </c>
    </row>
    <row r="1063" spans="1:11" x14ac:dyDescent="0.2">
      <c r="A1063" t="s">
        <v>3204</v>
      </c>
      <c r="B1063" t="s">
        <v>143</v>
      </c>
      <c r="C1063" t="s">
        <v>13</v>
      </c>
      <c r="D1063" t="s">
        <v>14</v>
      </c>
      <c r="E1063">
        <v>1967000</v>
      </c>
      <c r="F1063">
        <v>650.46</v>
      </c>
      <c r="G1063" t="s">
        <v>3205</v>
      </c>
      <c r="H1063" t="s">
        <v>3206</v>
      </c>
      <c r="I1063">
        <v>1</v>
      </c>
      <c r="J1063">
        <v>0</v>
      </c>
      <c r="K1063" t="s">
        <v>17</v>
      </c>
    </row>
    <row r="1064" spans="1:11" x14ac:dyDescent="0.2">
      <c r="A1064" t="s">
        <v>3207</v>
      </c>
      <c r="B1064" t="s">
        <v>135</v>
      </c>
      <c r="C1064" t="s">
        <v>42</v>
      </c>
      <c r="D1064" t="s">
        <v>27</v>
      </c>
      <c r="E1064">
        <v>832000</v>
      </c>
      <c r="F1064">
        <v>1384.36</v>
      </c>
      <c r="G1064" t="s">
        <v>3208</v>
      </c>
      <c r="H1064" t="s">
        <v>3209</v>
      </c>
      <c r="I1064">
        <v>1</v>
      </c>
      <c r="J1064">
        <v>0</v>
      </c>
      <c r="K1064" t="s">
        <v>17</v>
      </c>
    </row>
    <row r="1065" spans="1:11" x14ac:dyDescent="0.2">
      <c r="A1065" t="s">
        <v>3210</v>
      </c>
      <c r="B1065" t="s">
        <v>106</v>
      </c>
      <c r="C1065" t="s">
        <v>26</v>
      </c>
      <c r="D1065" t="s">
        <v>27</v>
      </c>
      <c r="E1065">
        <v>189000</v>
      </c>
      <c r="F1065">
        <v>314.48</v>
      </c>
      <c r="G1065" t="s">
        <v>3211</v>
      </c>
      <c r="H1065" t="s">
        <v>3212</v>
      </c>
      <c r="I1065">
        <v>1</v>
      </c>
      <c r="J1065">
        <v>0</v>
      </c>
      <c r="K1065" t="s">
        <v>17</v>
      </c>
    </row>
    <row r="1066" spans="1:11" x14ac:dyDescent="0.2">
      <c r="A1066" t="s">
        <v>3213</v>
      </c>
      <c r="B1066" t="s">
        <v>87</v>
      </c>
      <c r="C1066" t="s">
        <v>102</v>
      </c>
      <c r="D1066" t="s">
        <v>14</v>
      </c>
      <c r="E1066">
        <v>2299000</v>
      </c>
      <c r="F1066">
        <v>760.25</v>
      </c>
      <c r="G1066" t="s">
        <v>3214</v>
      </c>
      <c r="H1066" t="s">
        <v>3215</v>
      </c>
      <c r="I1066">
        <v>1</v>
      </c>
      <c r="J1066">
        <v>0</v>
      </c>
      <c r="K1066" t="s">
        <v>17</v>
      </c>
    </row>
    <row r="1067" spans="1:11" x14ac:dyDescent="0.2">
      <c r="A1067" t="s">
        <v>3216</v>
      </c>
      <c r="B1067" t="s">
        <v>50</v>
      </c>
      <c r="C1067" t="s">
        <v>26</v>
      </c>
      <c r="D1067" t="s">
        <v>27</v>
      </c>
      <c r="E1067">
        <v>295000</v>
      </c>
      <c r="F1067">
        <v>490.85</v>
      </c>
      <c r="G1067" t="s">
        <v>3217</v>
      </c>
      <c r="H1067" t="s">
        <v>3218</v>
      </c>
      <c r="I1067">
        <v>1</v>
      </c>
      <c r="J1067">
        <v>0</v>
      </c>
      <c r="K1067" t="s">
        <v>17</v>
      </c>
    </row>
    <row r="1068" spans="1:11" x14ac:dyDescent="0.2">
      <c r="A1068" t="s">
        <v>3219</v>
      </c>
      <c r="B1068" t="s">
        <v>77</v>
      </c>
      <c r="C1068" t="s">
        <v>51</v>
      </c>
      <c r="D1068" t="s">
        <v>21</v>
      </c>
      <c r="E1068">
        <v>401000</v>
      </c>
      <c r="F1068">
        <v>667.22</v>
      </c>
      <c r="G1068" t="s">
        <v>3220</v>
      </c>
      <c r="H1068" t="s">
        <v>3221</v>
      </c>
      <c r="I1068">
        <v>1</v>
      </c>
      <c r="J1068">
        <v>0</v>
      </c>
      <c r="K1068" t="s">
        <v>17</v>
      </c>
    </row>
    <row r="1069" spans="1:11" x14ac:dyDescent="0.2">
      <c r="A1069" t="s">
        <v>3222</v>
      </c>
      <c r="B1069" t="s">
        <v>240</v>
      </c>
      <c r="C1069" t="s">
        <v>13</v>
      </c>
      <c r="D1069" t="s">
        <v>14</v>
      </c>
      <c r="E1069">
        <v>5401000</v>
      </c>
      <c r="F1069">
        <v>1786.04</v>
      </c>
      <c r="G1069" t="s">
        <v>3223</v>
      </c>
      <c r="H1069" t="s">
        <v>3224</v>
      </c>
      <c r="I1069">
        <v>1</v>
      </c>
      <c r="J1069">
        <v>0</v>
      </c>
      <c r="K1069" t="s">
        <v>17</v>
      </c>
    </row>
    <row r="1070" spans="1:11" x14ac:dyDescent="0.2">
      <c r="A1070" t="s">
        <v>3225</v>
      </c>
      <c r="B1070" t="s">
        <v>106</v>
      </c>
      <c r="C1070" t="s">
        <v>102</v>
      </c>
      <c r="D1070" t="s">
        <v>14</v>
      </c>
      <c r="E1070">
        <v>1709000</v>
      </c>
      <c r="F1070">
        <v>565.15</v>
      </c>
      <c r="G1070" t="s">
        <v>3226</v>
      </c>
      <c r="H1070" t="s">
        <v>3227</v>
      </c>
      <c r="I1070">
        <v>1</v>
      </c>
      <c r="J1070">
        <v>0</v>
      </c>
      <c r="K1070" t="s">
        <v>17</v>
      </c>
    </row>
    <row r="1071" spans="1:11" x14ac:dyDescent="0.2">
      <c r="A1071" t="s">
        <v>3228</v>
      </c>
      <c r="B1071" t="s">
        <v>128</v>
      </c>
      <c r="C1071" t="s">
        <v>20</v>
      </c>
      <c r="D1071" t="s">
        <v>21</v>
      </c>
      <c r="E1071">
        <v>1297000</v>
      </c>
      <c r="F1071">
        <v>2158.0700000000002</v>
      </c>
      <c r="G1071" t="s">
        <v>3229</v>
      </c>
      <c r="H1071" t="s">
        <v>3230</v>
      </c>
      <c r="I1071">
        <v>1</v>
      </c>
      <c r="J1071">
        <v>0</v>
      </c>
      <c r="K1071" t="s">
        <v>17</v>
      </c>
    </row>
    <row r="1072" spans="1:11" x14ac:dyDescent="0.2">
      <c r="A1072" t="s">
        <v>3231</v>
      </c>
      <c r="B1072" t="s">
        <v>63</v>
      </c>
      <c r="C1072" t="s">
        <v>42</v>
      </c>
      <c r="D1072" t="s">
        <v>27</v>
      </c>
      <c r="E1072">
        <v>463000</v>
      </c>
      <c r="F1072">
        <v>770.38</v>
      </c>
      <c r="G1072" t="s">
        <v>3232</v>
      </c>
      <c r="H1072" t="s">
        <v>3233</v>
      </c>
      <c r="I1072">
        <v>1</v>
      </c>
      <c r="J1072">
        <v>0</v>
      </c>
      <c r="K1072" t="s">
        <v>17</v>
      </c>
    </row>
    <row r="1073" spans="1:11" x14ac:dyDescent="0.2">
      <c r="A1073" t="s">
        <v>3234</v>
      </c>
      <c r="B1073" t="s">
        <v>63</v>
      </c>
      <c r="C1073" t="s">
        <v>42</v>
      </c>
      <c r="D1073" t="s">
        <v>27</v>
      </c>
      <c r="E1073">
        <v>2092000</v>
      </c>
      <c r="F1073">
        <v>3480.87</v>
      </c>
      <c r="G1073" t="s">
        <v>3235</v>
      </c>
      <c r="H1073" t="s">
        <v>3236</v>
      </c>
      <c r="I1073">
        <v>1</v>
      </c>
      <c r="J1073">
        <v>0</v>
      </c>
      <c r="K1073" t="s">
        <v>17</v>
      </c>
    </row>
    <row r="1074" spans="1:11" x14ac:dyDescent="0.2">
      <c r="A1074" t="s">
        <v>3237</v>
      </c>
      <c r="B1074" t="s">
        <v>25</v>
      </c>
      <c r="C1074" t="s">
        <v>102</v>
      </c>
      <c r="D1074" t="s">
        <v>14</v>
      </c>
      <c r="E1074">
        <v>1960000</v>
      </c>
      <c r="F1074">
        <v>648.15</v>
      </c>
      <c r="G1074" t="s">
        <v>3238</v>
      </c>
      <c r="H1074" t="s">
        <v>3239</v>
      </c>
      <c r="I1074">
        <v>1</v>
      </c>
      <c r="J1074">
        <v>0</v>
      </c>
      <c r="K1074" t="s">
        <v>17</v>
      </c>
    </row>
    <row r="1075" spans="1:11" x14ac:dyDescent="0.2">
      <c r="A1075" t="s">
        <v>3240</v>
      </c>
      <c r="B1075" t="s">
        <v>128</v>
      </c>
      <c r="C1075" t="s">
        <v>26</v>
      </c>
      <c r="D1075" t="s">
        <v>27</v>
      </c>
      <c r="E1075">
        <v>1252000</v>
      </c>
      <c r="F1075">
        <v>2083.19</v>
      </c>
      <c r="G1075" t="s">
        <v>3241</v>
      </c>
      <c r="H1075" t="s">
        <v>3242</v>
      </c>
      <c r="I1075">
        <v>1</v>
      </c>
      <c r="J1075">
        <v>0</v>
      </c>
      <c r="K1075" t="s">
        <v>17</v>
      </c>
    </row>
    <row r="1076" spans="1:11" x14ac:dyDescent="0.2">
      <c r="A1076" t="s">
        <v>3243</v>
      </c>
      <c r="B1076" t="s">
        <v>19</v>
      </c>
      <c r="C1076" t="s">
        <v>42</v>
      </c>
      <c r="D1076" t="s">
        <v>27</v>
      </c>
      <c r="E1076">
        <v>111000</v>
      </c>
      <c r="F1076">
        <v>184.69</v>
      </c>
      <c r="G1076" t="s">
        <v>3244</v>
      </c>
      <c r="H1076" t="s">
        <v>3245</v>
      </c>
      <c r="I1076">
        <v>1</v>
      </c>
      <c r="J1076">
        <v>0</v>
      </c>
      <c r="K1076" t="s">
        <v>17</v>
      </c>
    </row>
    <row r="1077" spans="1:11" x14ac:dyDescent="0.2">
      <c r="A1077" t="s">
        <v>3246</v>
      </c>
      <c r="B1077" t="s">
        <v>55</v>
      </c>
      <c r="C1077" t="s">
        <v>26</v>
      </c>
      <c r="D1077" t="s">
        <v>27</v>
      </c>
      <c r="E1077">
        <v>811000</v>
      </c>
      <c r="F1077">
        <v>1349.42</v>
      </c>
      <c r="G1077" t="s">
        <v>3247</v>
      </c>
      <c r="H1077" t="s">
        <v>3248</v>
      </c>
      <c r="I1077">
        <v>1</v>
      </c>
      <c r="J1077">
        <v>0</v>
      </c>
      <c r="K1077" t="s">
        <v>17</v>
      </c>
    </row>
    <row r="1078" spans="1:11" x14ac:dyDescent="0.2">
      <c r="A1078" t="s">
        <v>3249</v>
      </c>
      <c r="B1078" t="s">
        <v>87</v>
      </c>
      <c r="C1078" t="s">
        <v>42</v>
      </c>
      <c r="D1078" t="s">
        <v>27</v>
      </c>
      <c r="E1078">
        <v>883000</v>
      </c>
      <c r="F1078">
        <v>1469.22</v>
      </c>
      <c r="G1078" t="s">
        <v>3250</v>
      </c>
      <c r="H1078" t="s">
        <v>3251</v>
      </c>
      <c r="I1078">
        <v>1</v>
      </c>
      <c r="J1078">
        <v>0</v>
      </c>
      <c r="K1078" t="s">
        <v>17</v>
      </c>
    </row>
    <row r="1079" spans="1:11" x14ac:dyDescent="0.2">
      <c r="A1079" t="s">
        <v>3252</v>
      </c>
      <c r="B1079" t="s">
        <v>59</v>
      </c>
      <c r="C1079" t="s">
        <v>20</v>
      </c>
      <c r="D1079" t="s">
        <v>21</v>
      </c>
      <c r="E1079">
        <v>1288000</v>
      </c>
      <c r="F1079">
        <v>2143.09</v>
      </c>
      <c r="G1079" t="s">
        <v>3253</v>
      </c>
      <c r="H1079" t="s">
        <v>3254</v>
      </c>
      <c r="I1079">
        <v>1</v>
      </c>
      <c r="J1079">
        <v>0</v>
      </c>
      <c r="K1079" t="s">
        <v>17</v>
      </c>
    </row>
    <row r="1080" spans="1:11" x14ac:dyDescent="0.2">
      <c r="A1080" t="s">
        <v>3255</v>
      </c>
      <c r="B1080" t="s">
        <v>59</v>
      </c>
      <c r="C1080" t="s">
        <v>102</v>
      </c>
      <c r="D1080" t="s">
        <v>14</v>
      </c>
      <c r="E1080">
        <v>904000</v>
      </c>
      <c r="F1080">
        <v>298.94</v>
      </c>
      <c r="G1080" t="s">
        <v>3256</v>
      </c>
      <c r="H1080" t="s">
        <v>3257</v>
      </c>
      <c r="I1080">
        <v>1</v>
      </c>
      <c r="J1080">
        <v>0</v>
      </c>
      <c r="K1080" t="s">
        <v>17</v>
      </c>
    </row>
    <row r="1081" spans="1:11" x14ac:dyDescent="0.2">
      <c r="A1081" t="s">
        <v>3258</v>
      </c>
      <c r="B1081" t="s">
        <v>31</v>
      </c>
      <c r="C1081" t="s">
        <v>51</v>
      </c>
      <c r="D1081" t="s">
        <v>21</v>
      </c>
      <c r="E1081">
        <v>1015000</v>
      </c>
      <c r="F1081">
        <v>1688.85</v>
      </c>
      <c r="G1081" t="s">
        <v>3259</v>
      </c>
      <c r="H1081" t="s">
        <v>3260</v>
      </c>
      <c r="I1081">
        <v>1</v>
      </c>
      <c r="J1081">
        <v>0</v>
      </c>
      <c r="K1081" t="s">
        <v>17</v>
      </c>
    </row>
    <row r="1082" spans="1:11" x14ac:dyDescent="0.2">
      <c r="A1082" t="s">
        <v>3261</v>
      </c>
      <c r="B1082" t="s">
        <v>55</v>
      </c>
      <c r="C1082" t="s">
        <v>42</v>
      </c>
      <c r="D1082" t="s">
        <v>27</v>
      </c>
      <c r="E1082">
        <v>364000</v>
      </c>
      <c r="F1082">
        <v>605.66</v>
      </c>
      <c r="G1082" t="s">
        <v>3262</v>
      </c>
      <c r="H1082" t="s">
        <v>3263</v>
      </c>
      <c r="I1082">
        <v>1</v>
      </c>
      <c r="J1082">
        <v>0</v>
      </c>
      <c r="K1082" t="s">
        <v>17</v>
      </c>
    </row>
    <row r="1083" spans="1:11" x14ac:dyDescent="0.2">
      <c r="A1083" t="s">
        <v>3264</v>
      </c>
      <c r="B1083" t="s">
        <v>87</v>
      </c>
      <c r="C1083" t="s">
        <v>51</v>
      </c>
      <c r="D1083" t="s">
        <v>21</v>
      </c>
      <c r="E1083">
        <v>676000</v>
      </c>
      <c r="F1083">
        <v>1124.79</v>
      </c>
      <c r="G1083" t="s">
        <v>3265</v>
      </c>
      <c r="H1083" t="s">
        <v>3266</v>
      </c>
      <c r="I1083">
        <v>1</v>
      </c>
      <c r="J1083">
        <v>0</v>
      </c>
      <c r="K1083" t="s">
        <v>17</v>
      </c>
    </row>
    <row r="1084" spans="1:11" x14ac:dyDescent="0.2">
      <c r="A1084" t="s">
        <v>3267</v>
      </c>
      <c r="B1084" t="s">
        <v>19</v>
      </c>
      <c r="C1084" t="s">
        <v>102</v>
      </c>
      <c r="D1084" t="s">
        <v>14</v>
      </c>
      <c r="E1084">
        <v>1153000</v>
      </c>
      <c r="F1084">
        <v>381.28</v>
      </c>
      <c r="G1084" t="s">
        <v>3268</v>
      </c>
      <c r="H1084" t="s">
        <v>3269</v>
      </c>
      <c r="I1084">
        <v>1</v>
      </c>
      <c r="J1084">
        <v>0</v>
      </c>
      <c r="K1084" t="s">
        <v>17</v>
      </c>
    </row>
    <row r="1085" spans="1:11" x14ac:dyDescent="0.2">
      <c r="A1085" t="s">
        <v>3270</v>
      </c>
      <c r="B1085" t="s">
        <v>128</v>
      </c>
      <c r="C1085" t="s">
        <v>13</v>
      </c>
      <c r="D1085" t="s">
        <v>14</v>
      </c>
      <c r="E1085">
        <v>2759000</v>
      </c>
      <c r="F1085">
        <v>912.37</v>
      </c>
      <c r="G1085" t="s">
        <v>3271</v>
      </c>
      <c r="H1085" t="s">
        <v>3272</v>
      </c>
      <c r="I1085">
        <v>1</v>
      </c>
      <c r="J1085">
        <v>0</v>
      </c>
      <c r="K1085" t="s">
        <v>17</v>
      </c>
    </row>
    <row r="1086" spans="1:11" x14ac:dyDescent="0.2">
      <c r="A1086" t="s">
        <v>3273</v>
      </c>
      <c r="B1086" t="s">
        <v>35</v>
      </c>
      <c r="C1086" t="s">
        <v>42</v>
      </c>
      <c r="D1086" t="s">
        <v>27</v>
      </c>
      <c r="E1086">
        <v>357000</v>
      </c>
      <c r="F1086">
        <v>594.01</v>
      </c>
      <c r="G1086" t="s">
        <v>3274</v>
      </c>
      <c r="H1086" t="s">
        <v>3275</v>
      </c>
      <c r="I1086">
        <v>1</v>
      </c>
      <c r="J1086">
        <v>0</v>
      </c>
      <c r="K1086" t="s">
        <v>17</v>
      </c>
    </row>
    <row r="1087" spans="1:11" x14ac:dyDescent="0.2">
      <c r="A1087" t="s">
        <v>3276</v>
      </c>
      <c r="B1087" t="s">
        <v>139</v>
      </c>
      <c r="C1087" t="s">
        <v>42</v>
      </c>
      <c r="D1087" t="s">
        <v>27</v>
      </c>
      <c r="E1087">
        <v>226000</v>
      </c>
      <c r="F1087">
        <v>376.04</v>
      </c>
      <c r="G1087" t="s">
        <v>3277</v>
      </c>
      <c r="H1087" t="s">
        <v>3278</v>
      </c>
      <c r="I1087">
        <v>1</v>
      </c>
      <c r="J1087">
        <v>0</v>
      </c>
      <c r="K1087" t="s">
        <v>17</v>
      </c>
    </row>
    <row r="1088" spans="1:11" x14ac:dyDescent="0.2">
      <c r="A1088" t="s">
        <v>3279</v>
      </c>
      <c r="B1088" t="s">
        <v>25</v>
      </c>
      <c r="C1088" t="s">
        <v>102</v>
      </c>
      <c r="D1088" t="s">
        <v>14</v>
      </c>
      <c r="E1088">
        <v>1963000</v>
      </c>
      <c r="F1088">
        <v>649.14</v>
      </c>
      <c r="G1088" t="s">
        <v>3280</v>
      </c>
      <c r="H1088" t="s">
        <v>3281</v>
      </c>
      <c r="I1088">
        <v>1</v>
      </c>
      <c r="J1088">
        <v>0</v>
      </c>
      <c r="K1088" t="s">
        <v>17</v>
      </c>
    </row>
    <row r="1089" spans="1:11" x14ac:dyDescent="0.2">
      <c r="A1089" t="s">
        <v>3282</v>
      </c>
      <c r="B1089" t="s">
        <v>63</v>
      </c>
      <c r="C1089" t="s">
        <v>42</v>
      </c>
      <c r="D1089" t="s">
        <v>27</v>
      </c>
      <c r="E1089">
        <v>188000</v>
      </c>
      <c r="F1089">
        <v>312.81</v>
      </c>
      <c r="G1089" t="s">
        <v>3283</v>
      </c>
      <c r="H1089" t="s">
        <v>3284</v>
      </c>
      <c r="I1089">
        <v>1</v>
      </c>
      <c r="J1089">
        <v>0</v>
      </c>
      <c r="K1089" t="s">
        <v>17</v>
      </c>
    </row>
    <row r="1090" spans="1:11" x14ac:dyDescent="0.2">
      <c r="A1090" t="s">
        <v>3285</v>
      </c>
      <c r="B1090" t="s">
        <v>139</v>
      </c>
      <c r="C1090" t="s">
        <v>20</v>
      </c>
      <c r="D1090" t="s">
        <v>21</v>
      </c>
      <c r="E1090">
        <v>1113000</v>
      </c>
      <c r="F1090">
        <v>1851.91</v>
      </c>
      <c r="G1090" t="s">
        <v>3286</v>
      </c>
      <c r="H1090" t="s">
        <v>3287</v>
      </c>
      <c r="I1090">
        <v>1</v>
      </c>
      <c r="J1090">
        <v>0</v>
      </c>
      <c r="K1090" t="s">
        <v>17</v>
      </c>
    </row>
    <row r="1091" spans="1:11" x14ac:dyDescent="0.2">
      <c r="A1091" t="s">
        <v>3288</v>
      </c>
      <c r="B1091" t="s">
        <v>240</v>
      </c>
      <c r="C1091" t="s">
        <v>102</v>
      </c>
      <c r="D1091" t="s">
        <v>14</v>
      </c>
      <c r="E1091">
        <v>2015000</v>
      </c>
      <c r="F1091">
        <v>666.34</v>
      </c>
      <c r="G1091" t="s">
        <v>3289</v>
      </c>
      <c r="H1091" t="s">
        <v>3290</v>
      </c>
      <c r="I1091">
        <v>1</v>
      </c>
      <c r="J1091">
        <v>0</v>
      </c>
      <c r="K1091" t="s">
        <v>17</v>
      </c>
    </row>
    <row r="1092" spans="1:11" x14ac:dyDescent="0.2">
      <c r="A1092" t="s">
        <v>3291</v>
      </c>
      <c r="B1092" t="s">
        <v>19</v>
      </c>
      <c r="C1092" t="s">
        <v>42</v>
      </c>
      <c r="D1092" t="s">
        <v>27</v>
      </c>
      <c r="E1092">
        <v>147000</v>
      </c>
      <c r="F1092">
        <v>244.59</v>
      </c>
      <c r="G1092" t="s">
        <v>3292</v>
      </c>
      <c r="H1092" t="s">
        <v>3293</v>
      </c>
      <c r="I1092">
        <v>1</v>
      </c>
      <c r="J1092">
        <v>0</v>
      </c>
      <c r="K1092" t="s">
        <v>17</v>
      </c>
    </row>
    <row r="1093" spans="1:11" x14ac:dyDescent="0.2">
      <c r="A1093" t="s">
        <v>3294</v>
      </c>
      <c r="B1093" t="s">
        <v>106</v>
      </c>
      <c r="C1093" t="s">
        <v>51</v>
      </c>
      <c r="D1093" t="s">
        <v>21</v>
      </c>
      <c r="E1093">
        <v>231000</v>
      </c>
      <c r="F1093">
        <v>384.36</v>
      </c>
      <c r="G1093" t="s">
        <v>3295</v>
      </c>
      <c r="H1093" t="s">
        <v>3296</v>
      </c>
      <c r="I1093">
        <v>1</v>
      </c>
      <c r="J1093">
        <v>0</v>
      </c>
      <c r="K1093" t="s">
        <v>17</v>
      </c>
    </row>
    <row r="1094" spans="1:11" x14ac:dyDescent="0.2">
      <c r="A1094" t="s">
        <v>3297</v>
      </c>
      <c r="B1094" t="s">
        <v>135</v>
      </c>
      <c r="C1094" t="s">
        <v>26</v>
      </c>
      <c r="D1094" t="s">
        <v>27</v>
      </c>
      <c r="E1094">
        <v>399000</v>
      </c>
      <c r="F1094">
        <v>663.89</v>
      </c>
      <c r="G1094" t="s">
        <v>3298</v>
      </c>
      <c r="H1094" t="s">
        <v>3299</v>
      </c>
      <c r="I1094">
        <v>1</v>
      </c>
      <c r="J1094">
        <v>0</v>
      </c>
      <c r="K1094" t="s">
        <v>17</v>
      </c>
    </row>
    <row r="1095" spans="1:11" x14ac:dyDescent="0.2">
      <c r="A1095" t="s">
        <v>3300</v>
      </c>
      <c r="B1095" t="s">
        <v>87</v>
      </c>
      <c r="C1095" t="s">
        <v>20</v>
      </c>
      <c r="D1095" t="s">
        <v>21</v>
      </c>
      <c r="E1095">
        <v>523000</v>
      </c>
      <c r="F1095">
        <v>870.22</v>
      </c>
      <c r="G1095" t="s">
        <v>3301</v>
      </c>
      <c r="H1095" t="s">
        <v>3302</v>
      </c>
      <c r="I1095">
        <v>1</v>
      </c>
      <c r="J1095">
        <v>-6.66</v>
      </c>
      <c r="K1095" t="s">
        <v>17</v>
      </c>
    </row>
    <row r="1096" spans="1:11" x14ac:dyDescent="0.2">
      <c r="A1096" t="s">
        <v>3303</v>
      </c>
      <c r="B1096" t="s">
        <v>77</v>
      </c>
      <c r="C1096" t="s">
        <v>42</v>
      </c>
      <c r="D1096" t="s">
        <v>27</v>
      </c>
      <c r="E1096">
        <v>825000</v>
      </c>
      <c r="F1096">
        <v>1372.71</v>
      </c>
      <c r="G1096" t="s">
        <v>3304</v>
      </c>
      <c r="H1096" t="s">
        <v>3305</v>
      </c>
      <c r="I1096">
        <v>1</v>
      </c>
      <c r="J1096">
        <v>0</v>
      </c>
      <c r="K1096" t="s">
        <v>17</v>
      </c>
    </row>
    <row r="1097" spans="1:11" x14ac:dyDescent="0.2">
      <c r="A1097" t="s">
        <v>3306</v>
      </c>
      <c r="B1097" t="s">
        <v>135</v>
      </c>
      <c r="C1097" t="s">
        <v>26</v>
      </c>
      <c r="D1097" t="s">
        <v>27</v>
      </c>
      <c r="E1097">
        <v>103000</v>
      </c>
      <c r="F1097">
        <v>171.38</v>
      </c>
      <c r="G1097" t="s">
        <v>3307</v>
      </c>
      <c r="H1097" t="s">
        <v>3308</v>
      </c>
      <c r="I1097">
        <v>1</v>
      </c>
      <c r="J1097">
        <v>0</v>
      </c>
      <c r="K1097" t="s">
        <v>17</v>
      </c>
    </row>
    <row r="1098" spans="1:11" x14ac:dyDescent="0.2">
      <c r="A1098" t="s">
        <v>3309</v>
      </c>
      <c r="B1098" t="s">
        <v>106</v>
      </c>
      <c r="C1098" t="s">
        <v>26</v>
      </c>
      <c r="D1098" t="s">
        <v>27</v>
      </c>
      <c r="E1098">
        <v>108000</v>
      </c>
      <c r="F1098">
        <v>179.7</v>
      </c>
      <c r="G1098" t="s">
        <v>3310</v>
      </c>
      <c r="H1098" t="s">
        <v>3311</v>
      </c>
      <c r="I1098">
        <v>1</v>
      </c>
      <c r="J1098">
        <v>0</v>
      </c>
      <c r="K1098" t="s">
        <v>17</v>
      </c>
    </row>
    <row r="1099" spans="1:11" x14ac:dyDescent="0.2">
      <c r="A1099" t="s">
        <v>3312</v>
      </c>
      <c r="B1099" t="s">
        <v>19</v>
      </c>
      <c r="C1099" t="s">
        <v>42</v>
      </c>
      <c r="D1099" t="s">
        <v>27</v>
      </c>
      <c r="E1099">
        <v>569000</v>
      </c>
      <c r="F1099">
        <v>946.76</v>
      </c>
      <c r="G1099" t="s">
        <v>3313</v>
      </c>
      <c r="H1099" t="s">
        <v>3314</v>
      </c>
      <c r="I1099">
        <v>1</v>
      </c>
      <c r="J1099">
        <v>0</v>
      </c>
      <c r="K1099" t="s">
        <v>17</v>
      </c>
    </row>
    <row r="1100" spans="1:11" x14ac:dyDescent="0.2">
      <c r="A1100" t="s">
        <v>3315</v>
      </c>
      <c r="B1100" t="s">
        <v>240</v>
      </c>
      <c r="C1100" t="s">
        <v>20</v>
      </c>
      <c r="D1100" t="s">
        <v>21</v>
      </c>
      <c r="E1100">
        <v>872000</v>
      </c>
      <c r="F1100">
        <v>1450.92</v>
      </c>
      <c r="G1100" t="s">
        <v>3316</v>
      </c>
      <c r="H1100" t="s">
        <v>3317</v>
      </c>
      <c r="I1100">
        <v>1</v>
      </c>
      <c r="J1100">
        <v>0</v>
      </c>
      <c r="K1100" t="s">
        <v>17</v>
      </c>
    </row>
    <row r="1101" spans="1:11" x14ac:dyDescent="0.2">
      <c r="A1101" t="s">
        <v>3318</v>
      </c>
      <c r="B1101" t="s">
        <v>106</v>
      </c>
      <c r="C1101" t="s">
        <v>26</v>
      </c>
      <c r="D1101" t="s">
        <v>27</v>
      </c>
      <c r="E1101">
        <v>3080000</v>
      </c>
      <c r="F1101">
        <v>5124.79</v>
      </c>
      <c r="G1101" t="s">
        <v>3319</v>
      </c>
      <c r="H1101" t="s">
        <v>3320</v>
      </c>
      <c r="I1101">
        <v>1</v>
      </c>
      <c r="J1101">
        <v>0</v>
      </c>
      <c r="K1101" t="s">
        <v>17</v>
      </c>
    </row>
    <row r="1102" spans="1:11" x14ac:dyDescent="0.2">
      <c r="A1102" t="s">
        <v>3321</v>
      </c>
      <c r="B1102" t="s">
        <v>98</v>
      </c>
      <c r="C1102" t="s">
        <v>26</v>
      </c>
      <c r="D1102" t="s">
        <v>27</v>
      </c>
      <c r="E1102">
        <v>112000</v>
      </c>
      <c r="F1102">
        <v>186.36</v>
      </c>
      <c r="G1102" t="s">
        <v>3322</v>
      </c>
      <c r="H1102" t="s">
        <v>3323</v>
      </c>
      <c r="I1102">
        <v>1</v>
      </c>
      <c r="J1102">
        <v>0</v>
      </c>
      <c r="K1102" t="s">
        <v>17</v>
      </c>
    </row>
    <row r="1103" spans="1:11" x14ac:dyDescent="0.2">
      <c r="A1103" t="s">
        <v>3324</v>
      </c>
      <c r="B1103" t="s">
        <v>31</v>
      </c>
      <c r="C1103" t="s">
        <v>51</v>
      </c>
      <c r="D1103" t="s">
        <v>21</v>
      </c>
      <c r="E1103">
        <v>132000</v>
      </c>
      <c r="F1103">
        <v>219.63</v>
      </c>
      <c r="G1103" t="s">
        <v>3325</v>
      </c>
      <c r="H1103" t="s">
        <v>3326</v>
      </c>
      <c r="I1103">
        <v>1</v>
      </c>
      <c r="J1103">
        <v>0</v>
      </c>
      <c r="K1103" t="s">
        <v>17</v>
      </c>
    </row>
    <row r="1104" spans="1:11" x14ac:dyDescent="0.2">
      <c r="A1104" t="s">
        <v>3327</v>
      </c>
      <c r="B1104" t="s">
        <v>128</v>
      </c>
      <c r="C1104" t="s">
        <v>20</v>
      </c>
      <c r="D1104" t="s">
        <v>21</v>
      </c>
      <c r="E1104">
        <v>246000</v>
      </c>
      <c r="F1104">
        <v>409.32</v>
      </c>
      <c r="G1104" t="s">
        <v>3328</v>
      </c>
      <c r="H1104" t="s">
        <v>3329</v>
      </c>
      <c r="I1104">
        <v>1</v>
      </c>
      <c r="J1104">
        <v>0</v>
      </c>
      <c r="K1104" t="s">
        <v>17</v>
      </c>
    </row>
    <row r="1105" spans="1:11" x14ac:dyDescent="0.2">
      <c r="A1105" t="s">
        <v>3330</v>
      </c>
      <c r="B1105" t="s">
        <v>128</v>
      </c>
      <c r="C1105" t="s">
        <v>20</v>
      </c>
      <c r="D1105" t="s">
        <v>21</v>
      </c>
      <c r="E1105">
        <v>655000</v>
      </c>
      <c r="F1105">
        <v>1089.8499999999999</v>
      </c>
      <c r="G1105" t="s">
        <v>3331</v>
      </c>
      <c r="H1105" t="s">
        <v>3332</v>
      </c>
      <c r="I1105">
        <v>1</v>
      </c>
      <c r="J1105">
        <v>0</v>
      </c>
      <c r="K1105" t="s">
        <v>17</v>
      </c>
    </row>
    <row r="1106" spans="1:11" x14ac:dyDescent="0.2">
      <c r="A1106" t="s">
        <v>3333</v>
      </c>
      <c r="B1106" t="s">
        <v>25</v>
      </c>
      <c r="C1106" t="s">
        <v>42</v>
      </c>
      <c r="D1106" t="s">
        <v>27</v>
      </c>
      <c r="E1106">
        <v>2486000</v>
      </c>
      <c r="F1106">
        <v>4136.4399999999996</v>
      </c>
      <c r="G1106" t="s">
        <v>3334</v>
      </c>
      <c r="H1106" t="s">
        <v>3335</v>
      </c>
      <c r="I1106">
        <v>1</v>
      </c>
      <c r="J1106">
        <v>0</v>
      </c>
      <c r="K1106" t="s">
        <v>17</v>
      </c>
    </row>
    <row r="1107" spans="1:11" x14ac:dyDescent="0.2">
      <c r="A1107" t="s">
        <v>3336</v>
      </c>
      <c r="B1107" t="s">
        <v>35</v>
      </c>
      <c r="C1107" t="s">
        <v>20</v>
      </c>
      <c r="D1107" t="s">
        <v>21</v>
      </c>
      <c r="E1107">
        <v>1427000</v>
      </c>
      <c r="F1107">
        <v>2374.38</v>
      </c>
      <c r="G1107" t="s">
        <v>3337</v>
      </c>
      <c r="H1107" t="s">
        <v>3338</v>
      </c>
      <c r="I1107">
        <v>1</v>
      </c>
      <c r="J1107">
        <v>0</v>
      </c>
      <c r="K1107" t="s">
        <v>17</v>
      </c>
    </row>
    <row r="1108" spans="1:11" x14ac:dyDescent="0.2">
      <c r="A1108" t="s">
        <v>3339</v>
      </c>
      <c r="B1108" t="s">
        <v>50</v>
      </c>
      <c r="C1108" t="s">
        <v>42</v>
      </c>
      <c r="D1108" t="s">
        <v>27</v>
      </c>
      <c r="E1108">
        <v>1223000</v>
      </c>
      <c r="F1108">
        <v>2034.94</v>
      </c>
      <c r="G1108" t="s">
        <v>3340</v>
      </c>
      <c r="H1108" t="s">
        <v>3341</v>
      </c>
      <c r="I1108">
        <v>1</v>
      </c>
      <c r="J1108">
        <v>0</v>
      </c>
      <c r="K1108" t="s">
        <v>17</v>
      </c>
    </row>
    <row r="1109" spans="1:11" x14ac:dyDescent="0.2">
      <c r="A1109" t="s">
        <v>3342</v>
      </c>
      <c r="B1109" t="s">
        <v>67</v>
      </c>
      <c r="C1109" t="s">
        <v>13</v>
      </c>
      <c r="D1109" t="s">
        <v>14</v>
      </c>
      <c r="E1109">
        <v>918000</v>
      </c>
      <c r="F1109">
        <v>303.57</v>
      </c>
      <c r="G1109" t="s">
        <v>3343</v>
      </c>
      <c r="H1109" t="s">
        <v>3344</v>
      </c>
      <c r="I1109">
        <v>1</v>
      </c>
      <c r="J1109">
        <v>0</v>
      </c>
      <c r="K1109" t="s">
        <v>17</v>
      </c>
    </row>
    <row r="1110" spans="1:11" x14ac:dyDescent="0.2">
      <c r="A1110" t="s">
        <v>3345</v>
      </c>
      <c r="B1110" t="s">
        <v>25</v>
      </c>
      <c r="C1110" t="s">
        <v>42</v>
      </c>
      <c r="D1110" t="s">
        <v>27</v>
      </c>
      <c r="E1110">
        <v>519000</v>
      </c>
      <c r="F1110">
        <v>863.56</v>
      </c>
      <c r="G1110" t="s">
        <v>3346</v>
      </c>
      <c r="H1110" t="s">
        <v>3347</v>
      </c>
      <c r="I1110">
        <v>1</v>
      </c>
      <c r="J1110">
        <v>0</v>
      </c>
      <c r="K1110" t="s">
        <v>17</v>
      </c>
    </row>
    <row r="1111" spans="1:11" x14ac:dyDescent="0.2">
      <c r="A1111" t="s">
        <v>3348</v>
      </c>
      <c r="B1111" t="s">
        <v>143</v>
      </c>
      <c r="C1111" t="s">
        <v>102</v>
      </c>
      <c r="D1111" t="s">
        <v>14</v>
      </c>
      <c r="E1111">
        <v>387000</v>
      </c>
      <c r="F1111">
        <v>127.98</v>
      </c>
      <c r="G1111" t="s">
        <v>3349</v>
      </c>
      <c r="H1111" t="s">
        <v>3350</v>
      </c>
      <c r="I1111">
        <v>1</v>
      </c>
      <c r="J1111">
        <v>0</v>
      </c>
      <c r="K1111" t="s">
        <v>17</v>
      </c>
    </row>
    <row r="1112" spans="1:11" x14ac:dyDescent="0.2">
      <c r="A1112" t="s">
        <v>3351</v>
      </c>
      <c r="B1112" t="s">
        <v>98</v>
      </c>
      <c r="C1112" t="s">
        <v>26</v>
      </c>
      <c r="D1112" t="s">
        <v>27</v>
      </c>
      <c r="E1112">
        <v>1885000</v>
      </c>
      <c r="F1112">
        <v>3136.44</v>
      </c>
      <c r="G1112" t="s">
        <v>3352</v>
      </c>
      <c r="H1112" t="s">
        <v>3353</v>
      </c>
      <c r="I1112">
        <v>1</v>
      </c>
      <c r="J1112">
        <v>0</v>
      </c>
      <c r="K1112" t="s">
        <v>17</v>
      </c>
    </row>
    <row r="1113" spans="1:11" x14ac:dyDescent="0.2">
      <c r="A1113" t="s">
        <v>3354</v>
      </c>
      <c r="B1113" t="s">
        <v>143</v>
      </c>
      <c r="C1113" t="s">
        <v>51</v>
      </c>
      <c r="D1113" t="s">
        <v>21</v>
      </c>
      <c r="E1113">
        <v>407000</v>
      </c>
      <c r="F1113">
        <v>677.2</v>
      </c>
      <c r="G1113" t="s">
        <v>3355</v>
      </c>
      <c r="H1113" t="s">
        <v>3356</v>
      </c>
      <c r="I1113">
        <v>1</v>
      </c>
      <c r="J1113">
        <v>0</v>
      </c>
      <c r="K1113" t="s">
        <v>17</v>
      </c>
    </row>
    <row r="1114" spans="1:11" x14ac:dyDescent="0.2">
      <c r="A1114" t="s">
        <v>3357</v>
      </c>
      <c r="B1114" t="s">
        <v>35</v>
      </c>
      <c r="C1114" t="s">
        <v>102</v>
      </c>
      <c r="D1114" t="s">
        <v>14</v>
      </c>
      <c r="E1114">
        <v>861000</v>
      </c>
      <c r="F1114">
        <v>284.72000000000003</v>
      </c>
      <c r="G1114" t="s">
        <v>3358</v>
      </c>
      <c r="H1114" t="s">
        <v>3359</v>
      </c>
      <c r="I1114">
        <v>1</v>
      </c>
      <c r="J1114">
        <v>0</v>
      </c>
      <c r="K1114" t="s">
        <v>17</v>
      </c>
    </row>
    <row r="1115" spans="1:11" x14ac:dyDescent="0.2">
      <c r="A1115" t="s">
        <v>3360</v>
      </c>
      <c r="B1115" t="s">
        <v>12</v>
      </c>
      <c r="C1115" t="s">
        <v>102</v>
      </c>
      <c r="D1115" t="s">
        <v>14</v>
      </c>
      <c r="E1115">
        <v>3469000</v>
      </c>
      <c r="F1115">
        <v>1147.1600000000001</v>
      </c>
      <c r="G1115" t="s">
        <v>3361</v>
      </c>
      <c r="H1115" t="s">
        <v>3362</v>
      </c>
      <c r="I1115">
        <v>1</v>
      </c>
      <c r="J1115">
        <v>0</v>
      </c>
      <c r="K1115" t="s">
        <v>17</v>
      </c>
    </row>
    <row r="1116" spans="1:11" x14ac:dyDescent="0.2">
      <c r="A1116" t="s">
        <v>3363</v>
      </c>
      <c r="B1116" t="s">
        <v>67</v>
      </c>
      <c r="C1116" t="s">
        <v>102</v>
      </c>
      <c r="D1116" t="s">
        <v>14</v>
      </c>
      <c r="E1116">
        <v>880000</v>
      </c>
      <c r="F1116">
        <v>291.01</v>
      </c>
      <c r="G1116" t="s">
        <v>3364</v>
      </c>
      <c r="H1116" t="s">
        <v>3365</v>
      </c>
      <c r="I1116">
        <v>1</v>
      </c>
      <c r="J1116">
        <v>0</v>
      </c>
      <c r="K1116" t="s">
        <v>17</v>
      </c>
    </row>
    <row r="1117" spans="1:11" x14ac:dyDescent="0.2">
      <c r="A1117" t="s">
        <v>3366</v>
      </c>
      <c r="B1117" t="s">
        <v>135</v>
      </c>
      <c r="C1117" t="s">
        <v>26</v>
      </c>
      <c r="D1117" t="s">
        <v>27</v>
      </c>
      <c r="E1117">
        <v>409000</v>
      </c>
      <c r="F1117">
        <v>680.53</v>
      </c>
      <c r="G1117" t="s">
        <v>3367</v>
      </c>
      <c r="H1117" t="s">
        <v>3368</v>
      </c>
      <c r="I1117">
        <v>1</v>
      </c>
      <c r="J1117">
        <v>0</v>
      </c>
      <c r="K1117" t="s">
        <v>17</v>
      </c>
    </row>
    <row r="1118" spans="1:11" x14ac:dyDescent="0.2">
      <c r="A1118" t="s">
        <v>3369</v>
      </c>
      <c r="B1118" t="s">
        <v>98</v>
      </c>
      <c r="C1118" t="s">
        <v>42</v>
      </c>
      <c r="D1118" t="s">
        <v>27</v>
      </c>
      <c r="E1118">
        <v>293000</v>
      </c>
      <c r="F1118">
        <v>487.52</v>
      </c>
      <c r="G1118" t="s">
        <v>3370</v>
      </c>
      <c r="H1118" t="s">
        <v>3371</v>
      </c>
      <c r="I1118">
        <v>1</v>
      </c>
      <c r="J1118">
        <v>0</v>
      </c>
      <c r="K1118" t="s">
        <v>17</v>
      </c>
    </row>
    <row r="1119" spans="1:11" x14ac:dyDescent="0.2">
      <c r="A1119" t="s">
        <v>3372</v>
      </c>
      <c r="B1119" t="s">
        <v>91</v>
      </c>
      <c r="C1119" t="s">
        <v>42</v>
      </c>
      <c r="D1119" t="s">
        <v>27</v>
      </c>
      <c r="E1119">
        <v>187000</v>
      </c>
      <c r="F1119">
        <v>311.14999999999998</v>
      </c>
      <c r="G1119" t="s">
        <v>3373</v>
      </c>
      <c r="H1119" t="s">
        <v>3374</v>
      </c>
      <c r="I1119">
        <v>1</v>
      </c>
      <c r="J1119">
        <v>0</v>
      </c>
      <c r="K1119" t="s">
        <v>17</v>
      </c>
    </row>
    <row r="1120" spans="1:11" x14ac:dyDescent="0.2">
      <c r="A1120" t="s">
        <v>3375</v>
      </c>
      <c r="B1120" t="s">
        <v>240</v>
      </c>
      <c r="C1120" t="s">
        <v>20</v>
      </c>
      <c r="D1120" t="s">
        <v>21</v>
      </c>
      <c r="E1120">
        <v>467000</v>
      </c>
      <c r="F1120">
        <v>777.04</v>
      </c>
      <c r="G1120" t="s">
        <v>3376</v>
      </c>
      <c r="H1120" t="s">
        <v>3377</v>
      </c>
      <c r="I1120">
        <v>1</v>
      </c>
      <c r="J1120">
        <v>0</v>
      </c>
      <c r="K1120" t="s">
        <v>17</v>
      </c>
    </row>
    <row r="1121" spans="1:11" x14ac:dyDescent="0.2">
      <c r="A1121" t="s">
        <v>3378</v>
      </c>
      <c r="B1121" t="s">
        <v>106</v>
      </c>
      <c r="C1121" t="s">
        <v>20</v>
      </c>
      <c r="D1121" t="s">
        <v>21</v>
      </c>
      <c r="E1121">
        <v>441000</v>
      </c>
      <c r="F1121">
        <v>733.78</v>
      </c>
      <c r="G1121" t="s">
        <v>3379</v>
      </c>
      <c r="H1121" t="s">
        <v>3380</v>
      </c>
      <c r="I1121">
        <v>1</v>
      </c>
      <c r="J1121">
        <v>0</v>
      </c>
      <c r="K1121" t="s">
        <v>17</v>
      </c>
    </row>
    <row r="1122" spans="1:11" x14ac:dyDescent="0.2">
      <c r="A1122" t="s">
        <v>3381</v>
      </c>
      <c r="B1122" t="s">
        <v>128</v>
      </c>
      <c r="C1122" t="s">
        <v>13</v>
      </c>
      <c r="D1122" t="s">
        <v>14</v>
      </c>
      <c r="E1122">
        <v>27209000</v>
      </c>
      <c r="F1122">
        <v>8997.69</v>
      </c>
      <c r="G1122" t="s">
        <v>3382</v>
      </c>
      <c r="H1122" t="s">
        <v>3383</v>
      </c>
      <c r="I1122">
        <v>1</v>
      </c>
      <c r="J1122">
        <v>0</v>
      </c>
      <c r="K1122" t="s">
        <v>17</v>
      </c>
    </row>
    <row r="1123" spans="1:11" x14ac:dyDescent="0.2">
      <c r="A1123" t="s">
        <v>3384</v>
      </c>
      <c r="B1123" t="s">
        <v>91</v>
      </c>
      <c r="C1123" t="s">
        <v>51</v>
      </c>
      <c r="D1123" t="s">
        <v>21</v>
      </c>
      <c r="E1123">
        <v>484000</v>
      </c>
      <c r="F1123">
        <v>805.32</v>
      </c>
      <c r="G1123" t="s">
        <v>3385</v>
      </c>
      <c r="H1123" t="s">
        <v>3386</v>
      </c>
      <c r="I1123">
        <v>1</v>
      </c>
      <c r="J1123">
        <v>0</v>
      </c>
      <c r="K1123" t="s">
        <v>17</v>
      </c>
    </row>
    <row r="1124" spans="1:11" x14ac:dyDescent="0.2">
      <c r="A1124" t="s">
        <v>3387</v>
      </c>
      <c r="B1124" t="s">
        <v>87</v>
      </c>
      <c r="C1124" t="s">
        <v>13</v>
      </c>
      <c r="D1124" t="s">
        <v>14</v>
      </c>
      <c r="E1124">
        <v>1963000</v>
      </c>
      <c r="F1124">
        <v>649.14</v>
      </c>
      <c r="G1124" t="s">
        <v>3388</v>
      </c>
      <c r="H1124" t="s">
        <v>3389</v>
      </c>
      <c r="I1124">
        <v>1</v>
      </c>
      <c r="J1124">
        <v>0</v>
      </c>
      <c r="K1124" t="s">
        <v>17</v>
      </c>
    </row>
    <row r="1125" spans="1:11" x14ac:dyDescent="0.2">
      <c r="A1125" t="s">
        <v>3390</v>
      </c>
      <c r="B1125" t="s">
        <v>35</v>
      </c>
      <c r="C1125" t="s">
        <v>13</v>
      </c>
      <c r="D1125" t="s">
        <v>14</v>
      </c>
      <c r="E1125">
        <v>398000</v>
      </c>
      <c r="F1125">
        <v>131.61000000000001</v>
      </c>
      <c r="G1125" t="s">
        <v>3391</v>
      </c>
      <c r="H1125" t="s">
        <v>3392</v>
      </c>
      <c r="I1125">
        <v>1</v>
      </c>
      <c r="J1125">
        <v>0</v>
      </c>
      <c r="K1125" t="s">
        <v>17</v>
      </c>
    </row>
    <row r="1126" spans="1:11" x14ac:dyDescent="0.2">
      <c r="A1126" t="s">
        <v>3393</v>
      </c>
      <c r="B1126" t="s">
        <v>35</v>
      </c>
      <c r="C1126" t="s">
        <v>13</v>
      </c>
      <c r="D1126" t="s">
        <v>14</v>
      </c>
      <c r="E1126">
        <v>5790000</v>
      </c>
      <c r="F1126">
        <v>1914.68</v>
      </c>
      <c r="G1126" t="s">
        <v>3394</v>
      </c>
      <c r="H1126" t="s">
        <v>3395</v>
      </c>
      <c r="I1126">
        <v>1</v>
      </c>
      <c r="J1126">
        <v>0</v>
      </c>
      <c r="K1126" t="s">
        <v>17</v>
      </c>
    </row>
    <row r="1127" spans="1:11" x14ac:dyDescent="0.2">
      <c r="A1127" t="s">
        <v>3396</v>
      </c>
      <c r="B1127" t="s">
        <v>98</v>
      </c>
      <c r="C1127" t="s">
        <v>102</v>
      </c>
      <c r="D1127" t="s">
        <v>14</v>
      </c>
      <c r="E1127">
        <v>4966000</v>
      </c>
      <c r="F1127">
        <v>1642.2</v>
      </c>
      <c r="G1127" t="s">
        <v>3397</v>
      </c>
      <c r="H1127" t="s">
        <v>3398</v>
      </c>
      <c r="I1127">
        <v>1</v>
      </c>
      <c r="J1127">
        <v>0</v>
      </c>
      <c r="K1127" t="s">
        <v>17</v>
      </c>
    </row>
    <row r="1128" spans="1:11" x14ac:dyDescent="0.2">
      <c r="A1128" t="s">
        <v>3399</v>
      </c>
      <c r="B1128" t="s">
        <v>91</v>
      </c>
      <c r="C1128" t="s">
        <v>20</v>
      </c>
      <c r="D1128" t="s">
        <v>21</v>
      </c>
      <c r="E1128">
        <v>465000</v>
      </c>
      <c r="F1128">
        <v>773.71</v>
      </c>
      <c r="G1128" t="s">
        <v>3400</v>
      </c>
      <c r="H1128" t="s">
        <v>3401</v>
      </c>
      <c r="I1128">
        <v>1</v>
      </c>
      <c r="J1128">
        <v>0</v>
      </c>
      <c r="K1128" t="s">
        <v>17</v>
      </c>
    </row>
    <row r="1129" spans="1:11" x14ac:dyDescent="0.2">
      <c r="A1129" t="s">
        <v>3402</v>
      </c>
      <c r="B1129" t="s">
        <v>55</v>
      </c>
      <c r="C1129" t="s">
        <v>102</v>
      </c>
      <c r="D1129" t="s">
        <v>14</v>
      </c>
      <c r="E1129">
        <v>3179000</v>
      </c>
      <c r="F1129">
        <v>1051.26</v>
      </c>
      <c r="G1129" t="s">
        <v>3403</v>
      </c>
      <c r="H1129" t="s">
        <v>3404</v>
      </c>
      <c r="I1129">
        <v>1</v>
      </c>
      <c r="J1129">
        <v>0</v>
      </c>
      <c r="K1129" t="s">
        <v>17</v>
      </c>
    </row>
    <row r="1130" spans="1:11" x14ac:dyDescent="0.2">
      <c r="A1130" t="s">
        <v>3405</v>
      </c>
      <c r="B1130" t="s">
        <v>67</v>
      </c>
      <c r="C1130" t="s">
        <v>20</v>
      </c>
      <c r="D1130" t="s">
        <v>21</v>
      </c>
      <c r="E1130">
        <v>72000</v>
      </c>
      <c r="F1130">
        <v>119.8</v>
      </c>
      <c r="G1130" t="s">
        <v>3406</v>
      </c>
      <c r="H1130" t="s">
        <v>3407</v>
      </c>
      <c r="I1130">
        <v>1</v>
      </c>
      <c r="J1130">
        <v>0</v>
      </c>
      <c r="K1130" t="s">
        <v>17</v>
      </c>
    </row>
    <row r="1131" spans="1:11" x14ac:dyDescent="0.2">
      <c r="A1131" t="s">
        <v>3408</v>
      </c>
      <c r="B1131" t="s">
        <v>240</v>
      </c>
      <c r="C1131" t="s">
        <v>42</v>
      </c>
      <c r="D1131" t="s">
        <v>27</v>
      </c>
      <c r="E1131">
        <v>385000</v>
      </c>
      <c r="F1131">
        <v>640.6</v>
      </c>
      <c r="G1131" t="s">
        <v>3409</v>
      </c>
      <c r="H1131" t="s">
        <v>3410</v>
      </c>
      <c r="I1131">
        <v>1</v>
      </c>
      <c r="J1131">
        <v>0</v>
      </c>
      <c r="K1131" t="s">
        <v>17</v>
      </c>
    </row>
    <row r="1132" spans="1:11" x14ac:dyDescent="0.2">
      <c r="A1132" t="s">
        <v>3411</v>
      </c>
      <c r="B1132" t="s">
        <v>67</v>
      </c>
      <c r="C1132" t="s">
        <v>13</v>
      </c>
      <c r="D1132" t="s">
        <v>14</v>
      </c>
      <c r="E1132">
        <v>1751000</v>
      </c>
      <c r="F1132">
        <v>579.03</v>
      </c>
      <c r="G1132" t="s">
        <v>3412</v>
      </c>
      <c r="H1132" t="s">
        <v>3413</v>
      </c>
      <c r="I1132">
        <v>1</v>
      </c>
      <c r="J1132">
        <v>0</v>
      </c>
      <c r="K1132" t="s">
        <v>17</v>
      </c>
    </row>
    <row r="1133" spans="1:11" x14ac:dyDescent="0.2">
      <c r="A1133" t="s">
        <v>3414</v>
      </c>
      <c r="B1133" t="s">
        <v>87</v>
      </c>
      <c r="C1133" t="s">
        <v>42</v>
      </c>
      <c r="D1133" t="s">
        <v>27</v>
      </c>
      <c r="E1133">
        <v>1082000</v>
      </c>
      <c r="F1133">
        <v>1800.33</v>
      </c>
      <c r="G1133" t="s">
        <v>3415</v>
      </c>
      <c r="H1133" t="s">
        <v>3416</v>
      </c>
      <c r="I1133">
        <v>1</v>
      </c>
      <c r="J1133">
        <v>0</v>
      </c>
      <c r="K1133" t="s">
        <v>17</v>
      </c>
    </row>
    <row r="1134" spans="1:11" x14ac:dyDescent="0.2">
      <c r="A1134" t="s">
        <v>3417</v>
      </c>
      <c r="B1134" t="s">
        <v>240</v>
      </c>
      <c r="C1134" t="s">
        <v>42</v>
      </c>
      <c r="D1134" t="s">
        <v>27</v>
      </c>
      <c r="E1134">
        <v>478000</v>
      </c>
      <c r="F1134">
        <v>795.34</v>
      </c>
      <c r="G1134" t="s">
        <v>3418</v>
      </c>
      <c r="H1134" t="s">
        <v>3419</v>
      </c>
      <c r="I1134">
        <v>1</v>
      </c>
      <c r="J1134">
        <v>0</v>
      </c>
      <c r="K1134" t="s">
        <v>17</v>
      </c>
    </row>
    <row r="1135" spans="1:11" x14ac:dyDescent="0.2">
      <c r="A1135" t="s">
        <v>3420</v>
      </c>
      <c r="B1135" t="s">
        <v>91</v>
      </c>
      <c r="C1135" t="s">
        <v>20</v>
      </c>
      <c r="D1135" t="s">
        <v>21</v>
      </c>
      <c r="E1135">
        <v>334000</v>
      </c>
      <c r="F1135">
        <v>555.74</v>
      </c>
      <c r="G1135" t="s">
        <v>3421</v>
      </c>
      <c r="H1135" t="s">
        <v>3422</v>
      </c>
      <c r="I1135">
        <v>1</v>
      </c>
      <c r="J1135">
        <v>0</v>
      </c>
      <c r="K1135" t="s">
        <v>17</v>
      </c>
    </row>
    <row r="1136" spans="1:11" x14ac:dyDescent="0.2">
      <c r="A1136" t="s">
        <v>3423</v>
      </c>
      <c r="B1136" t="s">
        <v>128</v>
      </c>
      <c r="C1136" t="s">
        <v>102</v>
      </c>
      <c r="D1136" t="s">
        <v>14</v>
      </c>
      <c r="E1136">
        <v>2437000</v>
      </c>
      <c r="F1136">
        <v>805.89</v>
      </c>
      <c r="G1136" t="s">
        <v>3424</v>
      </c>
      <c r="H1136" t="s">
        <v>3425</v>
      </c>
      <c r="I1136">
        <v>1</v>
      </c>
      <c r="J1136">
        <v>0</v>
      </c>
      <c r="K1136" t="s">
        <v>17</v>
      </c>
    </row>
    <row r="1137" spans="1:11" x14ac:dyDescent="0.2">
      <c r="A1137" t="s">
        <v>3426</v>
      </c>
      <c r="B1137" t="s">
        <v>143</v>
      </c>
      <c r="C1137" t="s">
        <v>51</v>
      </c>
      <c r="D1137" t="s">
        <v>21</v>
      </c>
      <c r="E1137">
        <v>1016000</v>
      </c>
      <c r="F1137">
        <v>1690.52</v>
      </c>
      <c r="G1137" t="s">
        <v>3427</v>
      </c>
      <c r="H1137" t="s">
        <v>3428</v>
      </c>
      <c r="I1137">
        <v>1</v>
      </c>
      <c r="J1137">
        <v>0</v>
      </c>
      <c r="K1137" t="s">
        <v>17</v>
      </c>
    </row>
    <row r="1138" spans="1:11" x14ac:dyDescent="0.2">
      <c r="A1138" t="s">
        <v>3429</v>
      </c>
      <c r="B1138" t="s">
        <v>12</v>
      </c>
      <c r="C1138" t="s">
        <v>13</v>
      </c>
      <c r="D1138" t="s">
        <v>14</v>
      </c>
      <c r="E1138">
        <v>1718000</v>
      </c>
      <c r="F1138">
        <v>568.12</v>
      </c>
      <c r="G1138" t="s">
        <v>3430</v>
      </c>
      <c r="H1138" t="s">
        <v>3431</v>
      </c>
      <c r="I1138">
        <v>1</v>
      </c>
      <c r="J1138">
        <v>0</v>
      </c>
      <c r="K1138" t="s">
        <v>17</v>
      </c>
    </row>
    <row r="1139" spans="1:11" x14ac:dyDescent="0.2">
      <c r="A1139" t="s">
        <v>3432</v>
      </c>
      <c r="B1139" t="s">
        <v>91</v>
      </c>
      <c r="C1139" t="s">
        <v>42</v>
      </c>
      <c r="D1139" t="s">
        <v>27</v>
      </c>
      <c r="E1139">
        <v>82000</v>
      </c>
      <c r="F1139">
        <v>136.44</v>
      </c>
      <c r="G1139" t="s">
        <v>3433</v>
      </c>
      <c r="H1139" t="s">
        <v>3434</v>
      </c>
      <c r="I1139">
        <v>1</v>
      </c>
      <c r="J1139">
        <v>0</v>
      </c>
      <c r="K1139" t="s">
        <v>17</v>
      </c>
    </row>
    <row r="1140" spans="1:11" x14ac:dyDescent="0.2">
      <c r="A1140" t="s">
        <v>3435</v>
      </c>
      <c r="B1140" t="s">
        <v>128</v>
      </c>
      <c r="C1140" t="s">
        <v>20</v>
      </c>
      <c r="D1140" t="s">
        <v>21</v>
      </c>
      <c r="E1140">
        <v>577000</v>
      </c>
      <c r="F1140">
        <v>960.07</v>
      </c>
      <c r="G1140" t="s">
        <v>3436</v>
      </c>
      <c r="H1140" t="s">
        <v>3437</v>
      </c>
      <c r="I1140">
        <v>1</v>
      </c>
      <c r="J1140">
        <v>0</v>
      </c>
      <c r="K1140" t="s">
        <v>17</v>
      </c>
    </row>
    <row r="1141" spans="1:11" x14ac:dyDescent="0.2">
      <c r="A1141" t="s">
        <v>3438</v>
      </c>
      <c r="B1141" t="s">
        <v>35</v>
      </c>
      <c r="C1141" t="s">
        <v>102</v>
      </c>
      <c r="D1141" t="s">
        <v>14</v>
      </c>
      <c r="E1141">
        <v>1855000</v>
      </c>
      <c r="F1141">
        <v>613.42999999999995</v>
      </c>
      <c r="G1141" t="s">
        <v>3439</v>
      </c>
      <c r="H1141" t="s">
        <v>3440</v>
      </c>
      <c r="I1141">
        <v>1</v>
      </c>
      <c r="J1141">
        <v>0</v>
      </c>
      <c r="K1141" t="s">
        <v>17</v>
      </c>
    </row>
    <row r="1142" spans="1:11" x14ac:dyDescent="0.2">
      <c r="A1142" t="s">
        <v>3441</v>
      </c>
      <c r="B1142" t="s">
        <v>35</v>
      </c>
      <c r="C1142" t="s">
        <v>20</v>
      </c>
      <c r="D1142" t="s">
        <v>21</v>
      </c>
      <c r="E1142">
        <v>487000</v>
      </c>
      <c r="F1142">
        <v>810.32</v>
      </c>
      <c r="G1142" t="s">
        <v>3442</v>
      </c>
      <c r="H1142" t="s">
        <v>3443</v>
      </c>
      <c r="I1142">
        <v>1</v>
      </c>
      <c r="J1142">
        <v>0</v>
      </c>
      <c r="K1142" t="s">
        <v>17</v>
      </c>
    </row>
    <row r="1143" spans="1:11" x14ac:dyDescent="0.2">
      <c r="A1143" t="s">
        <v>3444</v>
      </c>
      <c r="B1143" t="s">
        <v>106</v>
      </c>
      <c r="C1143" t="s">
        <v>26</v>
      </c>
      <c r="D1143" t="s">
        <v>27</v>
      </c>
      <c r="E1143">
        <v>217000</v>
      </c>
      <c r="F1143">
        <v>361.06</v>
      </c>
      <c r="G1143" t="s">
        <v>3445</v>
      </c>
      <c r="H1143" t="s">
        <v>3446</v>
      </c>
      <c r="I1143">
        <v>1</v>
      </c>
      <c r="J1143">
        <v>0</v>
      </c>
      <c r="K1143" t="s">
        <v>17</v>
      </c>
    </row>
    <row r="1144" spans="1:11" x14ac:dyDescent="0.2">
      <c r="A1144" t="s">
        <v>3447</v>
      </c>
      <c r="B1144" t="s">
        <v>98</v>
      </c>
      <c r="C1144" t="s">
        <v>20</v>
      </c>
      <c r="D1144" t="s">
        <v>21</v>
      </c>
      <c r="E1144">
        <v>746000</v>
      </c>
      <c r="F1144">
        <v>1241.26</v>
      </c>
      <c r="G1144" t="s">
        <v>3448</v>
      </c>
      <c r="H1144" t="s">
        <v>3449</v>
      </c>
      <c r="I1144">
        <v>1</v>
      </c>
      <c r="J1144">
        <v>0</v>
      </c>
      <c r="K1144" t="s">
        <v>17</v>
      </c>
    </row>
    <row r="1145" spans="1:11" x14ac:dyDescent="0.2">
      <c r="A1145" t="s">
        <v>3450</v>
      </c>
      <c r="B1145" t="s">
        <v>31</v>
      </c>
      <c r="C1145" t="s">
        <v>13</v>
      </c>
      <c r="D1145" t="s">
        <v>14</v>
      </c>
      <c r="E1145">
        <v>7937000</v>
      </c>
      <c r="F1145">
        <v>2624.67</v>
      </c>
      <c r="G1145" t="s">
        <v>3451</v>
      </c>
      <c r="H1145" t="s">
        <v>3452</v>
      </c>
      <c r="I1145">
        <v>1</v>
      </c>
      <c r="J1145">
        <v>0</v>
      </c>
      <c r="K1145" t="s">
        <v>17</v>
      </c>
    </row>
    <row r="1146" spans="1:11" x14ac:dyDescent="0.2">
      <c r="A1146" t="s">
        <v>3453</v>
      </c>
      <c r="B1146" t="s">
        <v>128</v>
      </c>
      <c r="C1146" t="s">
        <v>26</v>
      </c>
      <c r="D1146" t="s">
        <v>27</v>
      </c>
      <c r="E1146">
        <v>4044000</v>
      </c>
      <c r="F1146">
        <v>6728.79</v>
      </c>
      <c r="G1146" t="s">
        <v>3454</v>
      </c>
      <c r="H1146" t="s">
        <v>3455</v>
      </c>
      <c r="I1146">
        <v>1</v>
      </c>
      <c r="J1146">
        <v>0</v>
      </c>
      <c r="K1146" t="s">
        <v>17</v>
      </c>
    </row>
    <row r="1147" spans="1:11" x14ac:dyDescent="0.2">
      <c r="A1147" t="s">
        <v>3456</v>
      </c>
      <c r="B1147" t="s">
        <v>91</v>
      </c>
      <c r="C1147" t="s">
        <v>13</v>
      </c>
      <c r="D1147" t="s">
        <v>14</v>
      </c>
      <c r="E1147">
        <v>4234000</v>
      </c>
      <c r="F1147">
        <v>1400.13</v>
      </c>
      <c r="G1147" t="s">
        <v>3457</v>
      </c>
      <c r="H1147" t="s">
        <v>3458</v>
      </c>
      <c r="I1147">
        <v>1</v>
      </c>
      <c r="J1147">
        <v>0</v>
      </c>
      <c r="K1147" t="s">
        <v>17</v>
      </c>
    </row>
    <row r="1148" spans="1:11" x14ac:dyDescent="0.2">
      <c r="A1148" t="s">
        <v>3459</v>
      </c>
      <c r="B1148" t="s">
        <v>139</v>
      </c>
      <c r="C1148" t="s">
        <v>26</v>
      </c>
      <c r="D1148" t="s">
        <v>27</v>
      </c>
      <c r="E1148">
        <v>176000</v>
      </c>
      <c r="F1148">
        <v>292.85000000000002</v>
      </c>
      <c r="G1148" t="s">
        <v>3460</v>
      </c>
      <c r="H1148" t="s">
        <v>3461</v>
      </c>
      <c r="I1148">
        <v>1</v>
      </c>
      <c r="J1148">
        <v>0</v>
      </c>
      <c r="K1148" t="s">
        <v>17</v>
      </c>
    </row>
    <row r="1149" spans="1:11" x14ac:dyDescent="0.2">
      <c r="A1149" t="s">
        <v>3462</v>
      </c>
      <c r="B1149" t="s">
        <v>67</v>
      </c>
      <c r="C1149" t="s">
        <v>26</v>
      </c>
      <c r="D1149" t="s">
        <v>27</v>
      </c>
      <c r="E1149">
        <v>659000</v>
      </c>
      <c r="F1149">
        <v>1096.51</v>
      </c>
      <c r="I1149">
        <v>0</v>
      </c>
      <c r="J1149">
        <v>0</v>
      </c>
      <c r="K1149" t="s">
        <v>376</v>
      </c>
    </row>
    <row r="1150" spans="1:11" x14ac:dyDescent="0.2">
      <c r="A1150" t="s">
        <v>3463</v>
      </c>
      <c r="B1150" t="s">
        <v>135</v>
      </c>
      <c r="C1150" t="s">
        <v>51</v>
      </c>
      <c r="D1150" t="s">
        <v>21</v>
      </c>
      <c r="E1150">
        <v>1064000</v>
      </c>
      <c r="F1150">
        <v>1770.38</v>
      </c>
      <c r="G1150" t="s">
        <v>3464</v>
      </c>
      <c r="H1150" t="s">
        <v>3465</v>
      </c>
      <c r="I1150">
        <v>1</v>
      </c>
      <c r="J1150">
        <v>0</v>
      </c>
      <c r="K1150" t="s">
        <v>17</v>
      </c>
    </row>
    <row r="1151" spans="1:11" x14ac:dyDescent="0.2">
      <c r="A1151" t="s">
        <v>3466</v>
      </c>
      <c r="B1151" t="s">
        <v>98</v>
      </c>
      <c r="C1151" t="s">
        <v>51</v>
      </c>
      <c r="D1151" t="s">
        <v>21</v>
      </c>
      <c r="E1151">
        <v>800000</v>
      </c>
      <c r="F1151">
        <v>1331.11</v>
      </c>
      <c r="G1151" t="s">
        <v>3467</v>
      </c>
      <c r="H1151" t="s">
        <v>3468</v>
      </c>
      <c r="I1151">
        <v>1</v>
      </c>
      <c r="J1151">
        <v>0</v>
      </c>
      <c r="K1151" t="s">
        <v>17</v>
      </c>
    </row>
    <row r="1152" spans="1:11" x14ac:dyDescent="0.2">
      <c r="A1152" t="s">
        <v>3469</v>
      </c>
      <c r="B1152" t="s">
        <v>91</v>
      </c>
      <c r="C1152" t="s">
        <v>13</v>
      </c>
      <c r="D1152" t="s">
        <v>14</v>
      </c>
      <c r="E1152">
        <v>3475000</v>
      </c>
      <c r="F1152">
        <v>1149.1400000000001</v>
      </c>
      <c r="G1152" t="s">
        <v>3470</v>
      </c>
      <c r="H1152" t="s">
        <v>3471</v>
      </c>
      <c r="I1152">
        <v>1</v>
      </c>
      <c r="J1152">
        <v>0</v>
      </c>
      <c r="K1152" t="s">
        <v>17</v>
      </c>
    </row>
    <row r="1153" spans="1:11" x14ac:dyDescent="0.2">
      <c r="A1153" t="s">
        <v>3472</v>
      </c>
      <c r="B1153" t="s">
        <v>240</v>
      </c>
      <c r="C1153" t="s">
        <v>51</v>
      </c>
      <c r="D1153" t="s">
        <v>21</v>
      </c>
      <c r="E1153">
        <v>170000</v>
      </c>
      <c r="F1153">
        <v>282.86</v>
      </c>
      <c r="G1153" t="s">
        <v>3473</v>
      </c>
      <c r="H1153" t="s">
        <v>3474</v>
      </c>
      <c r="I1153">
        <v>1</v>
      </c>
      <c r="J1153">
        <v>0</v>
      </c>
      <c r="K1153" t="s">
        <v>17</v>
      </c>
    </row>
    <row r="1154" spans="1:11" x14ac:dyDescent="0.2">
      <c r="A1154" t="s">
        <v>3475</v>
      </c>
      <c r="B1154" t="s">
        <v>35</v>
      </c>
      <c r="C1154" t="s">
        <v>51</v>
      </c>
      <c r="D1154" t="s">
        <v>21</v>
      </c>
      <c r="E1154">
        <v>324000</v>
      </c>
      <c r="F1154">
        <v>539.1</v>
      </c>
      <c r="G1154" t="s">
        <v>3476</v>
      </c>
      <c r="H1154" t="s">
        <v>3477</v>
      </c>
      <c r="I1154">
        <v>1</v>
      </c>
      <c r="J1154">
        <v>0</v>
      </c>
      <c r="K1154" t="s">
        <v>17</v>
      </c>
    </row>
    <row r="1155" spans="1:11" x14ac:dyDescent="0.2">
      <c r="A1155" t="s">
        <v>3478</v>
      </c>
      <c r="B1155" t="s">
        <v>25</v>
      </c>
      <c r="C1155" t="s">
        <v>42</v>
      </c>
      <c r="D1155" t="s">
        <v>27</v>
      </c>
      <c r="E1155">
        <v>236000</v>
      </c>
      <c r="F1155">
        <v>392.68</v>
      </c>
      <c r="G1155" t="s">
        <v>3479</v>
      </c>
      <c r="H1155" t="s">
        <v>3480</v>
      </c>
      <c r="I1155">
        <v>1</v>
      </c>
      <c r="J1155">
        <v>0</v>
      </c>
      <c r="K1155" t="s">
        <v>17</v>
      </c>
    </row>
    <row r="1156" spans="1:11" x14ac:dyDescent="0.2">
      <c r="A1156" t="s">
        <v>3481</v>
      </c>
      <c r="B1156" t="s">
        <v>143</v>
      </c>
      <c r="C1156" t="s">
        <v>13</v>
      </c>
      <c r="D1156" t="s">
        <v>14</v>
      </c>
      <c r="E1156">
        <v>2094000</v>
      </c>
      <c r="F1156">
        <v>692.46</v>
      </c>
      <c r="G1156" t="s">
        <v>3482</v>
      </c>
      <c r="H1156" t="s">
        <v>3483</v>
      </c>
      <c r="I1156">
        <v>1</v>
      </c>
      <c r="J1156">
        <v>0</v>
      </c>
      <c r="K1156" t="s">
        <v>17</v>
      </c>
    </row>
    <row r="1157" spans="1:11" x14ac:dyDescent="0.2">
      <c r="A1157" t="s">
        <v>3484</v>
      </c>
      <c r="B1157" t="s">
        <v>19</v>
      </c>
      <c r="C1157" t="s">
        <v>13</v>
      </c>
      <c r="D1157" t="s">
        <v>14</v>
      </c>
      <c r="E1157">
        <v>6407000</v>
      </c>
      <c r="F1157">
        <v>2118.7199999999998</v>
      </c>
      <c r="I1157">
        <v>0</v>
      </c>
      <c r="J1157">
        <v>0</v>
      </c>
      <c r="K1157" t="s">
        <v>376</v>
      </c>
    </row>
    <row r="1158" spans="1:11" x14ac:dyDescent="0.2">
      <c r="A1158" t="s">
        <v>3485</v>
      </c>
      <c r="B1158" t="s">
        <v>143</v>
      </c>
      <c r="C1158" t="s">
        <v>102</v>
      </c>
      <c r="D1158" t="s">
        <v>14</v>
      </c>
      <c r="E1158">
        <v>851000</v>
      </c>
      <c r="F1158">
        <v>281.42</v>
      </c>
      <c r="G1158" t="s">
        <v>3486</v>
      </c>
      <c r="H1158" t="s">
        <v>3487</v>
      </c>
      <c r="I1158">
        <v>1</v>
      </c>
      <c r="J1158">
        <v>0</v>
      </c>
      <c r="K1158" t="s">
        <v>17</v>
      </c>
    </row>
    <row r="1159" spans="1:11" x14ac:dyDescent="0.2">
      <c r="A1159" t="s">
        <v>3488</v>
      </c>
      <c r="B1159" t="s">
        <v>12</v>
      </c>
      <c r="C1159" t="s">
        <v>20</v>
      </c>
      <c r="D1159" t="s">
        <v>21</v>
      </c>
      <c r="E1159">
        <v>144000</v>
      </c>
      <c r="F1159">
        <v>239.6</v>
      </c>
      <c r="G1159" t="s">
        <v>3489</v>
      </c>
      <c r="H1159" t="s">
        <v>3490</v>
      </c>
      <c r="I1159">
        <v>1</v>
      </c>
      <c r="J1159">
        <v>-13.31</v>
      </c>
      <c r="K1159" t="s">
        <v>17</v>
      </c>
    </row>
    <row r="1160" spans="1:11" x14ac:dyDescent="0.2">
      <c r="A1160" t="s">
        <v>3491</v>
      </c>
      <c r="B1160" t="s">
        <v>135</v>
      </c>
      <c r="C1160" t="s">
        <v>13</v>
      </c>
      <c r="D1160" t="s">
        <v>14</v>
      </c>
      <c r="E1160">
        <v>3324000</v>
      </c>
      <c r="F1160">
        <v>1099.21</v>
      </c>
      <c r="G1160" t="s">
        <v>3492</v>
      </c>
      <c r="H1160" t="s">
        <v>3493</v>
      </c>
      <c r="I1160">
        <v>1</v>
      </c>
      <c r="J1160">
        <v>0</v>
      </c>
      <c r="K1160" t="s">
        <v>17</v>
      </c>
    </row>
    <row r="1161" spans="1:11" x14ac:dyDescent="0.2">
      <c r="A1161" t="s">
        <v>3494</v>
      </c>
      <c r="B1161" t="s">
        <v>67</v>
      </c>
      <c r="C1161" t="s">
        <v>20</v>
      </c>
      <c r="D1161" t="s">
        <v>21</v>
      </c>
      <c r="E1161">
        <v>693000</v>
      </c>
      <c r="F1161">
        <v>1153.08</v>
      </c>
      <c r="G1161" t="s">
        <v>3495</v>
      </c>
      <c r="H1161" t="s">
        <v>3496</v>
      </c>
      <c r="I1161">
        <v>1</v>
      </c>
      <c r="J1161">
        <v>74.88</v>
      </c>
      <c r="K1161" t="s">
        <v>45</v>
      </c>
    </row>
    <row r="1162" spans="1:11" x14ac:dyDescent="0.2">
      <c r="A1162" t="s">
        <v>3497</v>
      </c>
      <c r="B1162" t="s">
        <v>128</v>
      </c>
      <c r="C1162" t="s">
        <v>102</v>
      </c>
      <c r="D1162" t="s">
        <v>14</v>
      </c>
      <c r="E1162">
        <v>1781000</v>
      </c>
      <c r="F1162">
        <v>588.96</v>
      </c>
      <c r="G1162" t="s">
        <v>3498</v>
      </c>
      <c r="H1162" t="s">
        <v>3499</v>
      </c>
      <c r="I1162">
        <v>1</v>
      </c>
      <c r="J1162">
        <v>0</v>
      </c>
      <c r="K1162" t="s">
        <v>17</v>
      </c>
    </row>
    <row r="1163" spans="1:11" x14ac:dyDescent="0.2">
      <c r="A1163" t="s">
        <v>3500</v>
      </c>
      <c r="B1163" t="s">
        <v>50</v>
      </c>
      <c r="C1163" t="s">
        <v>102</v>
      </c>
      <c r="D1163" t="s">
        <v>14</v>
      </c>
      <c r="E1163">
        <v>1061000</v>
      </c>
      <c r="F1163">
        <v>350.86</v>
      </c>
      <c r="G1163" t="s">
        <v>3501</v>
      </c>
      <c r="H1163" t="s">
        <v>3502</v>
      </c>
      <c r="I1163">
        <v>1</v>
      </c>
      <c r="J1163">
        <v>0</v>
      </c>
      <c r="K1163" t="s">
        <v>17</v>
      </c>
    </row>
    <row r="1164" spans="1:11" x14ac:dyDescent="0.2">
      <c r="A1164" t="s">
        <v>3503</v>
      </c>
      <c r="B1164" t="s">
        <v>91</v>
      </c>
      <c r="C1164" t="s">
        <v>102</v>
      </c>
      <c r="D1164" t="s">
        <v>14</v>
      </c>
      <c r="E1164">
        <v>4124000</v>
      </c>
      <c r="F1164">
        <v>1363.76</v>
      </c>
      <c r="G1164" t="s">
        <v>3504</v>
      </c>
      <c r="H1164" t="s">
        <v>3505</v>
      </c>
      <c r="I1164">
        <v>1</v>
      </c>
      <c r="J1164">
        <v>0</v>
      </c>
      <c r="K1164" t="s">
        <v>17</v>
      </c>
    </row>
    <row r="1165" spans="1:11" x14ac:dyDescent="0.2">
      <c r="A1165" t="s">
        <v>3506</v>
      </c>
      <c r="B1165" t="s">
        <v>19</v>
      </c>
      <c r="C1165" t="s">
        <v>102</v>
      </c>
      <c r="D1165" t="s">
        <v>14</v>
      </c>
      <c r="E1165">
        <v>2266000</v>
      </c>
      <c r="F1165">
        <v>749.34</v>
      </c>
      <c r="G1165" t="s">
        <v>3507</v>
      </c>
      <c r="H1165" t="s">
        <v>3508</v>
      </c>
      <c r="I1165">
        <v>1</v>
      </c>
      <c r="J1165">
        <v>0</v>
      </c>
      <c r="K1165" t="s">
        <v>17</v>
      </c>
    </row>
    <row r="1166" spans="1:11" x14ac:dyDescent="0.2">
      <c r="A1166" t="s">
        <v>3509</v>
      </c>
      <c r="B1166" t="s">
        <v>106</v>
      </c>
      <c r="C1166" t="s">
        <v>13</v>
      </c>
      <c r="D1166" t="s">
        <v>14</v>
      </c>
      <c r="E1166">
        <v>2133000</v>
      </c>
      <c r="F1166">
        <v>705.36</v>
      </c>
      <c r="G1166" t="s">
        <v>3510</v>
      </c>
      <c r="H1166" t="s">
        <v>3511</v>
      </c>
      <c r="I1166">
        <v>1</v>
      </c>
      <c r="J1166">
        <v>0</v>
      </c>
      <c r="K1166" t="s">
        <v>17</v>
      </c>
    </row>
    <row r="1167" spans="1:11" x14ac:dyDescent="0.2">
      <c r="A1167" t="s">
        <v>3512</v>
      </c>
      <c r="B1167" t="s">
        <v>135</v>
      </c>
      <c r="C1167" t="s">
        <v>20</v>
      </c>
      <c r="D1167" t="s">
        <v>21</v>
      </c>
      <c r="E1167">
        <v>314000</v>
      </c>
      <c r="F1167">
        <v>522.46</v>
      </c>
      <c r="G1167" t="s">
        <v>3513</v>
      </c>
      <c r="H1167" t="s">
        <v>3514</v>
      </c>
      <c r="I1167">
        <v>1</v>
      </c>
      <c r="J1167">
        <v>0</v>
      </c>
      <c r="K1167" t="s">
        <v>17</v>
      </c>
    </row>
    <row r="1168" spans="1:11" x14ac:dyDescent="0.2">
      <c r="A1168" t="s">
        <v>3515</v>
      </c>
      <c r="B1168" t="s">
        <v>59</v>
      </c>
      <c r="C1168" t="s">
        <v>26</v>
      </c>
      <c r="D1168" t="s">
        <v>27</v>
      </c>
      <c r="E1168">
        <v>1140000</v>
      </c>
      <c r="F1168">
        <v>1896.84</v>
      </c>
      <c r="G1168" t="s">
        <v>3516</v>
      </c>
      <c r="H1168" t="s">
        <v>3517</v>
      </c>
      <c r="I1168">
        <v>1</v>
      </c>
      <c r="J1168">
        <v>0</v>
      </c>
      <c r="K1168" t="s">
        <v>17</v>
      </c>
    </row>
    <row r="1169" spans="1:11" x14ac:dyDescent="0.2">
      <c r="A1169" t="s">
        <v>3518</v>
      </c>
      <c r="B1169" t="s">
        <v>31</v>
      </c>
      <c r="C1169" t="s">
        <v>42</v>
      </c>
      <c r="D1169" t="s">
        <v>27</v>
      </c>
      <c r="E1169">
        <v>145000</v>
      </c>
      <c r="F1169">
        <v>241.26</v>
      </c>
      <c r="G1169" t="s">
        <v>3519</v>
      </c>
      <c r="H1169" t="s">
        <v>3520</v>
      </c>
      <c r="I1169">
        <v>1</v>
      </c>
      <c r="J1169">
        <v>0</v>
      </c>
      <c r="K1169" t="s">
        <v>17</v>
      </c>
    </row>
    <row r="1170" spans="1:11" x14ac:dyDescent="0.2">
      <c r="A1170" t="s">
        <v>3521</v>
      </c>
      <c r="B1170" t="s">
        <v>59</v>
      </c>
      <c r="C1170" t="s">
        <v>51</v>
      </c>
      <c r="D1170" t="s">
        <v>21</v>
      </c>
      <c r="E1170">
        <v>312000</v>
      </c>
      <c r="F1170">
        <v>519.13</v>
      </c>
      <c r="G1170" t="s">
        <v>3522</v>
      </c>
      <c r="H1170" t="s">
        <v>3523</v>
      </c>
      <c r="I1170">
        <v>1</v>
      </c>
      <c r="J1170">
        <v>0</v>
      </c>
      <c r="K1170" t="s">
        <v>17</v>
      </c>
    </row>
    <row r="1171" spans="1:11" x14ac:dyDescent="0.2">
      <c r="A1171" t="s">
        <v>3524</v>
      </c>
      <c r="B1171" t="s">
        <v>50</v>
      </c>
      <c r="C1171" t="s">
        <v>26</v>
      </c>
      <c r="D1171" t="s">
        <v>27</v>
      </c>
      <c r="E1171">
        <v>144000</v>
      </c>
      <c r="F1171">
        <v>239.6</v>
      </c>
      <c r="G1171" t="s">
        <v>3525</v>
      </c>
      <c r="H1171" t="s">
        <v>3526</v>
      </c>
      <c r="I1171">
        <v>1</v>
      </c>
      <c r="J1171">
        <v>0</v>
      </c>
      <c r="K1171" t="s">
        <v>17</v>
      </c>
    </row>
    <row r="1172" spans="1:11" x14ac:dyDescent="0.2">
      <c r="A1172" t="s">
        <v>3527</v>
      </c>
      <c r="B1172" t="s">
        <v>19</v>
      </c>
      <c r="C1172" t="s">
        <v>13</v>
      </c>
      <c r="D1172" t="s">
        <v>14</v>
      </c>
      <c r="E1172">
        <v>2892000</v>
      </c>
      <c r="F1172">
        <v>956.35</v>
      </c>
      <c r="G1172" t="s">
        <v>3528</v>
      </c>
      <c r="H1172" t="s">
        <v>3529</v>
      </c>
      <c r="I1172">
        <v>1</v>
      </c>
      <c r="J1172">
        <v>0</v>
      </c>
      <c r="K1172" t="s">
        <v>17</v>
      </c>
    </row>
    <row r="1173" spans="1:11" x14ac:dyDescent="0.2">
      <c r="A1173" t="s">
        <v>3530</v>
      </c>
      <c r="B1173" t="s">
        <v>19</v>
      </c>
      <c r="C1173" t="s">
        <v>51</v>
      </c>
      <c r="D1173" t="s">
        <v>21</v>
      </c>
      <c r="E1173">
        <v>180000</v>
      </c>
      <c r="F1173">
        <v>299.5</v>
      </c>
      <c r="G1173" t="s">
        <v>3531</v>
      </c>
      <c r="H1173" t="s">
        <v>3532</v>
      </c>
      <c r="I1173">
        <v>1</v>
      </c>
      <c r="J1173">
        <v>0</v>
      </c>
      <c r="K1173" t="s">
        <v>17</v>
      </c>
    </row>
    <row r="1174" spans="1:11" x14ac:dyDescent="0.2">
      <c r="A1174" t="s">
        <v>3533</v>
      </c>
      <c r="B1174" t="s">
        <v>63</v>
      </c>
      <c r="C1174" t="s">
        <v>51</v>
      </c>
      <c r="D1174" t="s">
        <v>21</v>
      </c>
      <c r="E1174">
        <v>460000</v>
      </c>
      <c r="F1174">
        <v>765.39</v>
      </c>
      <c r="G1174" t="s">
        <v>3534</v>
      </c>
      <c r="H1174" t="s">
        <v>3535</v>
      </c>
      <c r="I1174">
        <v>1</v>
      </c>
      <c r="J1174">
        <v>0</v>
      </c>
      <c r="K1174" t="s">
        <v>17</v>
      </c>
    </row>
    <row r="1175" spans="1:11" x14ac:dyDescent="0.2">
      <c r="A1175" t="s">
        <v>3536</v>
      </c>
      <c r="B1175" t="s">
        <v>91</v>
      </c>
      <c r="C1175" t="s">
        <v>51</v>
      </c>
      <c r="D1175" t="s">
        <v>21</v>
      </c>
      <c r="E1175">
        <v>71000</v>
      </c>
      <c r="F1175">
        <v>118.14</v>
      </c>
      <c r="G1175" t="s">
        <v>3537</v>
      </c>
      <c r="H1175" t="s">
        <v>3538</v>
      </c>
      <c r="I1175">
        <v>1</v>
      </c>
      <c r="J1175">
        <v>0</v>
      </c>
      <c r="K1175" t="s">
        <v>17</v>
      </c>
    </row>
    <row r="1176" spans="1:11" x14ac:dyDescent="0.2">
      <c r="A1176" t="s">
        <v>3539</v>
      </c>
      <c r="B1176" t="s">
        <v>67</v>
      </c>
      <c r="C1176" t="s">
        <v>13</v>
      </c>
      <c r="D1176" t="s">
        <v>14</v>
      </c>
      <c r="E1176">
        <v>11382000</v>
      </c>
      <c r="F1176">
        <v>3763.89</v>
      </c>
      <c r="G1176" t="s">
        <v>3540</v>
      </c>
      <c r="H1176" t="s">
        <v>3541</v>
      </c>
      <c r="I1176">
        <v>1</v>
      </c>
      <c r="J1176">
        <v>0</v>
      </c>
      <c r="K1176" t="s">
        <v>17</v>
      </c>
    </row>
    <row r="1177" spans="1:11" x14ac:dyDescent="0.2">
      <c r="A1177" t="s">
        <v>3542</v>
      </c>
      <c r="B1177" t="s">
        <v>87</v>
      </c>
      <c r="C1177" t="s">
        <v>26</v>
      </c>
      <c r="D1177" t="s">
        <v>27</v>
      </c>
      <c r="E1177">
        <v>1006000</v>
      </c>
      <c r="F1177">
        <v>1673.88</v>
      </c>
      <c r="G1177" t="s">
        <v>3543</v>
      </c>
      <c r="H1177" t="s">
        <v>3544</v>
      </c>
      <c r="I1177">
        <v>1</v>
      </c>
      <c r="J1177">
        <v>0</v>
      </c>
      <c r="K1177" t="s">
        <v>17</v>
      </c>
    </row>
    <row r="1178" spans="1:11" x14ac:dyDescent="0.2">
      <c r="A1178" t="s">
        <v>3545</v>
      </c>
      <c r="B1178" t="s">
        <v>59</v>
      </c>
      <c r="C1178" t="s">
        <v>20</v>
      </c>
      <c r="D1178" t="s">
        <v>21</v>
      </c>
      <c r="E1178">
        <v>1093000</v>
      </c>
      <c r="F1178">
        <v>1818.64</v>
      </c>
      <c r="G1178" t="s">
        <v>3546</v>
      </c>
      <c r="H1178" t="s">
        <v>3547</v>
      </c>
      <c r="I1178">
        <v>1</v>
      </c>
      <c r="J1178">
        <v>0</v>
      </c>
      <c r="K1178" t="s">
        <v>17</v>
      </c>
    </row>
    <row r="1179" spans="1:11" x14ac:dyDescent="0.2">
      <c r="A1179" t="s">
        <v>3548</v>
      </c>
      <c r="B1179" t="s">
        <v>139</v>
      </c>
      <c r="C1179" t="s">
        <v>42</v>
      </c>
      <c r="D1179" t="s">
        <v>27</v>
      </c>
      <c r="E1179">
        <v>581000</v>
      </c>
      <c r="F1179">
        <v>966.72</v>
      </c>
      <c r="G1179" t="s">
        <v>3549</v>
      </c>
      <c r="H1179" t="s">
        <v>3550</v>
      </c>
      <c r="I1179">
        <v>1</v>
      </c>
      <c r="J1179">
        <v>0</v>
      </c>
      <c r="K1179" t="s">
        <v>17</v>
      </c>
    </row>
    <row r="1180" spans="1:11" x14ac:dyDescent="0.2">
      <c r="A1180" t="s">
        <v>3551</v>
      </c>
      <c r="B1180" t="s">
        <v>35</v>
      </c>
      <c r="C1180" t="s">
        <v>42</v>
      </c>
      <c r="D1180" t="s">
        <v>27</v>
      </c>
      <c r="E1180">
        <v>581000</v>
      </c>
      <c r="F1180">
        <v>966.72</v>
      </c>
      <c r="G1180" t="s">
        <v>3552</v>
      </c>
      <c r="H1180" t="s">
        <v>3553</v>
      </c>
      <c r="I1180">
        <v>1</v>
      </c>
      <c r="J1180">
        <v>0</v>
      </c>
      <c r="K1180" t="s">
        <v>17</v>
      </c>
    </row>
    <row r="1181" spans="1:11" x14ac:dyDescent="0.2">
      <c r="A1181" t="s">
        <v>3554</v>
      </c>
      <c r="B1181" t="s">
        <v>63</v>
      </c>
      <c r="C1181" t="s">
        <v>51</v>
      </c>
      <c r="D1181" t="s">
        <v>21</v>
      </c>
      <c r="E1181">
        <v>578000</v>
      </c>
      <c r="F1181">
        <v>961.73</v>
      </c>
      <c r="G1181" t="s">
        <v>3555</v>
      </c>
      <c r="H1181" t="s">
        <v>3556</v>
      </c>
      <c r="I1181">
        <v>1</v>
      </c>
      <c r="J1181">
        <v>0</v>
      </c>
      <c r="K1181" t="s">
        <v>17</v>
      </c>
    </row>
    <row r="1182" spans="1:11" x14ac:dyDescent="0.2">
      <c r="A1182" t="s">
        <v>3557</v>
      </c>
      <c r="B1182" t="s">
        <v>25</v>
      </c>
      <c r="C1182" t="s">
        <v>51</v>
      </c>
      <c r="D1182" t="s">
        <v>21</v>
      </c>
      <c r="E1182">
        <v>910000</v>
      </c>
      <c r="F1182">
        <v>1514.14</v>
      </c>
      <c r="G1182" t="s">
        <v>3558</v>
      </c>
      <c r="H1182" t="s">
        <v>3559</v>
      </c>
      <c r="I1182">
        <v>1</v>
      </c>
      <c r="J1182">
        <v>0</v>
      </c>
      <c r="K1182" t="s">
        <v>17</v>
      </c>
    </row>
    <row r="1183" spans="1:11" x14ac:dyDescent="0.2">
      <c r="A1183" t="s">
        <v>3560</v>
      </c>
      <c r="B1183" t="s">
        <v>240</v>
      </c>
      <c r="C1183" t="s">
        <v>42</v>
      </c>
      <c r="D1183" t="s">
        <v>27</v>
      </c>
      <c r="E1183">
        <v>424000</v>
      </c>
      <c r="F1183">
        <v>705.49</v>
      </c>
      <c r="G1183" t="s">
        <v>3561</v>
      </c>
      <c r="H1183" t="s">
        <v>3562</v>
      </c>
      <c r="I1183">
        <v>1</v>
      </c>
      <c r="J1183">
        <v>0</v>
      </c>
      <c r="K1183" t="s">
        <v>17</v>
      </c>
    </row>
    <row r="1184" spans="1:11" x14ac:dyDescent="0.2">
      <c r="A1184" t="s">
        <v>3563</v>
      </c>
      <c r="B1184" t="s">
        <v>135</v>
      </c>
      <c r="C1184" t="s">
        <v>42</v>
      </c>
      <c r="D1184" t="s">
        <v>27</v>
      </c>
      <c r="E1184">
        <v>832000</v>
      </c>
      <c r="F1184">
        <v>1384.36</v>
      </c>
      <c r="G1184" t="s">
        <v>3564</v>
      </c>
      <c r="H1184" t="s">
        <v>3565</v>
      </c>
      <c r="I1184">
        <v>1</v>
      </c>
      <c r="J1184">
        <v>0</v>
      </c>
      <c r="K1184" t="s">
        <v>17</v>
      </c>
    </row>
    <row r="1185" spans="1:11" x14ac:dyDescent="0.2">
      <c r="A1185" t="s">
        <v>3566</v>
      </c>
      <c r="B1185" t="s">
        <v>50</v>
      </c>
      <c r="C1185" t="s">
        <v>42</v>
      </c>
      <c r="D1185" t="s">
        <v>27</v>
      </c>
      <c r="E1185">
        <v>210000</v>
      </c>
      <c r="F1185">
        <v>349.42</v>
      </c>
      <c r="G1185" t="s">
        <v>3567</v>
      </c>
      <c r="H1185" t="s">
        <v>3568</v>
      </c>
      <c r="I1185">
        <v>1</v>
      </c>
      <c r="J1185">
        <v>0</v>
      </c>
      <c r="K1185" t="s">
        <v>17</v>
      </c>
    </row>
    <row r="1186" spans="1:11" x14ac:dyDescent="0.2">
      <c r="A1186" t="s">
        <v>3569</v>
      </c>
      <c r="B1186" t="s">
        <v>77</v>
      </c>
      <c r="C1186" t="s">
        <v>42</v>
      </c>
      <c r="D1186" t="s">
        <v>27</v>
      </c>
      <c r="E1186">
        <v>991000</v>
      </c>
      <c r="F1186">
        <v>1648.92</v>
      </c>
      <c r="G1186" t="s">
        <v>3570</v>
      </c>
      <c r="H1186" t="s">
        <v>3571</v>
      </c>
      <c r="I1186">
        <v>1</v>
      </c>
      <c r="J1186">
        <v>0</v>
      </c>
      <c r="K1186" t="s">
        <v>17</v>
      </c>
    </row>
    <row r="1187" spans="1:11" x14ac:dyDescent="0.2">
      <c r="A1187" t="s">
        <v>3572</v>
      </c>
      <c r="B1187" t="s">
        <v>91</v>
      </c>
      <c r="C1187" t="s">
        <v>13</v>
      </c>
      <c r="D1187" t="s">
        <v>14</v>
      </c>
      <c r="E1187">
        <v>665000</v>
      </c>
      <c r="F1187">
        <v>219.91</v>
      </c>
      <c r="G1187" t="s">
        <v>3573</v>
      </c>
      <c r="H1187" t="s">
        <v>3574</v>
      </c>
      <c r="I1187">
        <v>1</v>
      </c>
      <c r="J1187">
        <v>0</v>
      </c>
      <c r="K1187" t="s">
        <v>17</v>
      </c>
    </row>
    <row r="1188" spans="1:11" x14ac:dyDescent="0.2">
      <c r="A1188" t="s">
        <v>3575</v>
      </c>
      <c r="B1188" t="s">
        <v>143</v>
      </c>
      <c r="C1188" t="s">
        <v>26</v>
      </c>
      <c r="D1188" t="s">
        <v>27</v>
      </c>
      <c r="E1188">
        <v>249000</v>
      </c>
      <c r="F1188">
        <v>414.31</v>
      </c>
      <c r="G1188" t="s">
        <v>3576</v>
      </c>
      <c r="H1188" t="s">
        <v>3577</v>
      </c>
      <c r="I1188">
        <v>1</v>
      </c>
      <c r="J1188">
        <v>0</v>
      </c>
      <c r="K1188" t="s">
        <v>17</v>
      </c>
    </row>
    <row r="1189" spans="1:11" x14ac:dyDescent="0.2">
      <c r="A1189" t="s">
        <v>3578</v>
      </c>
      <c r="B1189" t="s">
        <v>35</v>
      </c>
      <c r="C1189" t="s">
        <v>42</v>
      </c>
      <c r="D1189" t="s">
        <v>27</v>
      </c>
      <c r="E1189">
        <v>301000</v>
      </c>
      <c r="F1189">
        <v>500.83</v>
      </c>
      <c r="G1189" t="s">
        <v>3579</v>
      </c>
      <c r="H1189" t="s">
        <v>3580</v>
      </c>
      <c r="I1189">
        <v>1</v>
      </c>
      <c r="J1189">
        <v>0</v>
      </c>
      <c r="K1189" t="s">
        <v>17</v>
      </c>
    </row>
    <row r="1190" spans="1:11" x14ac:dyDescent="0.2">
      <c r="A1190" t="s">
        <v>3581</v>
      </c>
      <c r="B1190" t="s">
        <v>50</v>
      </c>
      <c r="C1190" t="s">
        <v>102</v>
      </c>
      <c r="D1190" t="s">
        <v>14</v>
      </c>
      <c r="E1190">
        <v>7890000</v>
      </c>
      <c r="F1190">
        <v>2609.13</v>
      </c>
      <c r="G1190" t="s">
        <v>3582</v>
      </c>
      <c r="H1190" t="s">
        <v>3583</v>
      </c>
      <c r="I1190">
        <v>1</v>
      </c>
      <c r="J1190">
        <v>0</v>
      </c>
      <c r="K1190" t="s">
        <v>17</v>
      </c>
    </row>
    <row r="1191" spans="1:11" x14ac:dyDescent="0.2">
      <c r="A1191" t="s">
        <v>3584</v>
      </c>
      <c r="B1191" t="s">
        <v>106</v>
      </c>
      <c r="C1191" t="s">
        <v>42</v>
      </c>
      <c r="D1191" t="s">
        <v>27</v>
      </c>
      <c r="E1191">
        <v>954000</v>
      </c>
      <c r="F1191">
        <v>1587.35</v>
      </c>
      <c r="G1191" t="s">
        <v>3585</v>
      </c>
      <c r="H1191" t="s">
        <v>3586</v>
      </c>
      <c r="I1191">
        <v>1</v>
      </c>
      <c r="J1191">
        <v>0</v>
      </c>
      <c r="K1191" t="s">
        <v>17</v>
      </c>
    </row>
    <row r="1192" spans="1:11" x14ac:dyDescent="0.2">
      <c r="A1192" t="s">
        <v>3587</v>
      </c>
      <c r="B1192" t="s">
        <v>98</v>
      </c>
      <c r="C1192" t="s">
        <v>102</v>
      </c>
      <c r="D1192" t="s">
        <v>14</v>
      </c>
      <c r="E1192">
        <v>1329000</v>
      </c>
      <c r="F1192">
        <v>439.48</v>
      </c>
      <c r="G1192" t="s">
        <v>3588</v>
      </c>
      <c r="H1192" t="s">
        <v>3589</v>
      </c>
      <c r="I1192">
        <v>1</v>
      </c>
      <c r="J1192">
        <v>0</v>
      </c>
      <c r="K1192" t="s">
        <v>17</v>
      </c>
    </row>
    <row r="1193" spans="1:11" x14ac:dyDescent="0.2">
      <c r="A1193" t="s">
        <v>3590</v>
      </c>
      <c r="B1193" t="s">
        <v>55</v>
      </c>
      <c r="C1193" t="s">
        <v>42</v>
      </c>
      <c r="D1193" t="s">
        <v>27</v>
      </c>
      <c r="E1193">
        <v>214000</v>
      </c>
      <c r="F1193">
        <v>356.07</v>
      </c>
      <c r="G1193" t="s">
        <v>3591</v>
      </c>
      <c r="H1193" t="s">
        <v>3592</v>
      </c>
      <c r="I1193">
        <v>1</v>
      </c>
      <c r="J1193">
        <v>0</v>
      </c>
      <c r="K1193" t="s">
        <v>17</v>
      </c>
    </row>
    <row r="1194" spans="1:11" x14ac:dyDescent="0.2">
      <c r="A1194" t="s">
        <v>3593</v>
      </c>
      <c r="B1194" t="s">
        <v>35</v>
      </c>
      <c r="C1194" t="s">
        <v>26</v>
      </c>
      <c r="D1194" t="s">
        <v>27</v>
      </c>
      <c r="E1194">
        <v>429000</v>
      </c>
      <c r="F1194">
        <v>713.81</v>
      </c>
      <c r="G1194" t="s">
        <v>3594</v>
      </c>
      <c r="H1194" t="s">
        <v>3595</v>
      </c>
      <c r="I1194">
        <v>1</v>
      </c>
      <c r="J1194">
        <v>0</v>
      </c>
      <c r="K1194" t="s">
        <v>17</v>
      </c>
    </row>
    <row r="1195" spans="1:11" x14ac:dyDescent="0.2">
      <c r="A1195" t="s">
        <v>3596</v>
      </c>
      <c r="B1195" t="s">
        <v>98</v>
      </c>
      <c r="C1195" t="s">
        <v>13</v>
      </c>
      <c r="D1195" t="s">
        <v>14</v>
      </c>
      <c r="E1195">
        <v>1389000</v>
      </c>
      <c r="F1195">
        <v>459.33</v>
      </c>
      <c r="G1195" t="s">
        <v>3597</v>
      </c>
      <c r="H1195" t="s">
        <v>3598</v>
      </c>
      <c r="I1195">
        <v>1</v>
      </c>
      <c r="J1195">
        <v>0</v>
      </c>
      <c r="K1195" t="s">
        <v>17</v>
      </c>
    </row>
    <row r="1196" spans="1:11" x14ac:dyDescent="0.2">
      <c r="A1196" t="s">
        <v>3599</v>
      </c>
      <c r="B1196" t="s">
        <v>143</v>
      </c>
      <c r="C1196" t="s">
        <v>102</v>
      </c>
      <c r="D1196" t="s">
        <v>14</v>
      </c>
      <c r="E1196">
        <v>1137000</v>
      </c>
      <c r="F1196">
        <v>375.99</v>
      </c>
      <c r="G1196" t="s">
        <v>3600</v>
      </c>
      <c r="H1196" t="s">
        <v>3601</v>
      </c>
      <c r="I1196">
        <v>1</v>
      </c>
      <c r="J1196">
        <v>0</v>
      </c>
      <c r="K1196" t="s">
        <v>17</v>
      </c>
    </row>
    <row r="1197" spans="1:11" x14ac:dyDescent="0.2">
      <c r="A1197" t="s">
        <v>3602</v>
      </c>
      <c r="B1197" t="s">
        <v>139</v>
      </c>
      <c r="C1197" t="s">
        <v>20</v>
      </c>
      <c r="D1197" t="s">
        <v>21</v>
      </c>
      <c r="E1197">
        <v>352000</v>
      </c>
      <c r="F1197">
        <v>585.69000000000005</v>
      </c>
      <c r="G1197" t="s">
        <v>3603</v>
      </c>
      <c r="H1197" t="s">
        <v>3604</v>
      </c>
      <c r="I1197">
        <v>1</v>
      </c>
      <c r="J1197">
        <v>0</v>
      </c>
      <c r="K1197" t="s">
        <v>17</v>
      </c>
    </row>
    <row r="1198" spans="1:11" x14ac:dyDescent="0.2">
      <c r="A1198" t="s">
        <v>3605</v>
      </c>
      <c r="B1198" t="s">
        <v>139</v>
      </c>
      <c r="C1198" t="s">
        <v>20</v>
      </c>
      <c r="D1198" t="s">
        <v>21</v>
      </c>
      <c r="E1198">
        <v>623000</v>
      </c>
      <c r="F1198">
        <v>1036.6099999999999</v>
      </c>
      <c r="G1198" t="s">
        <v>3606</v>
      </c>
      <c r="H1198" t="s">
        <v>3607</v>
      </c>
      <c r="I1198">
        <v>1</v>
      </c>
      <c r="J1198">
        <v>0</v>
      </c>
      <c r="K1198" t="s">
        <v>17</v>
      </c>
    </row>
    <row r="1199" spans="1:11" x14ac:dyDescent="0.2">
      <c r="A1199" t="s">
        <v>3608</v>
      </c>
      <c r="B1199" t="s">
        <v>55</v>
      </c>
      <c r="C1199" t="s">
        <v>51</v>
      </c>
      <c r="D1199" t="s">
        <v>21</v>
      </c>
      <c r="E1199">
        <v>714000</v>
      </c>
      <c r="F1199">
        <v>1188.02</v>
      </c>
      <c r="G1199" t="s">
        <v>3609</v>
      </c>
      <c r="H1199" t="s">
        <v>3610</v>
      </c>
      <c r="I1199">
        <v>1</v>
      </c>
      <c r="J1199">
        <v>0</v>
      </c>
      <c r="K1199" t="s">
        <v>17</v>
      </c>
    </row>
    <row r="1200" spans="1:11" x14ac:dyDescent="0.2">
      <c r="A1200" t="s">
        <v>3611</v>
      </c>
      <c r="B1200" t="s">
        <v>240</v>
      </c>
      <c r="C1200" t="s">
        <v>13</v>
      </c>
      <c r="D1200" t="s">
        <v>14</v>
      </c>
      <c r="E1200">
        <v>2184000</v>
      </c>
      <c r="F1200">
        <v>722.22</v>
      </c>
      <c r="G1200" t="s">
        <v>3612</v>
      </c>
      <c r="H1200" t="s">
        <v>3613</v>
      </c>
      <c r="I1200">
        <v>1</v>
      </c>
      <c r="J1200">
        <v>0</v>
      </c>
      <c r="K1200" t="s">
        <v>17</v>
      </c>
    </row>
    <row r="1201" spans="1:11" x14ac:dyDescent="0.2">
      <c r="A1201" t="s">
        <v>3614</v>
      </c>
      <c r="B1201" t="s">
        <v>12</v>
      </c>
      <c r="C1201" t="s">
        <v>42</v>
      </c>
      <c r="D1201" t="s">
        <v>27</v>
      </c>
      <c r="E1201">
        <v>216000</v>
      </c>
      <c r="F1201">
        <v>359.4</v>
      </c>
      <c r="G1201" t="s">
        <v>3615</v>
      </c>
      <c r="H1201" t="s">
        <v>3616</v>
      </c>
      <c r="I1201">
        <v>1</v>
      </c>
      <c r="J1201">
        <v>0</v>
      </c>
      <c r="K1201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cols>
    <col min="1" max="1" width="40" customWidth="1"/>
    <col min="2" max="2" width="74" customWidth="1"/>
  </cols>
  <sheetData>
    <row r="1" spans="1:2" ht="19" x14ac:dyDescent="0.25">
      <c r="A1" s="2" t="s">
        <v>3617</v>
      </c>
    </row>
    <row r="2" spans="1:2" x14ac:dyDescent="0.2">
      <c r="A2" s="3" t="s">
        <v>3618</v>
      </c>
    </row>
    <row r="4" spans="1:2" x14ac:dyDescent="0.2">
      <c r="A4" t="s">
        <v>3619</v>
      </c>
      <c r="B4" t="s">
        <v>45</v>
      </c>
    </row>
    <row r="6" spans="1:2" x14ac:dyDescent="0.2">
      <c r="A6" t="s">
        <v>3620</v>
      </c>
      <c r="B6">
        <f>ROWS(_xlfn._xlws.FILTER(t_R[Ref_Commande],t_R[Statut]=$B$4,"aucune"))</f>
        <v>20</v>
      </c>
    </row>
    <row r="7" spans="1:2" x14ac:dyDescent="0.2">
      <c r="A7" t="s">
        <v>3621</v>
      </c>
      <c r="B7" t="str">
        <f>_xlfn.TEXTJOIN(" · ",TRUE,_xlfn._xlws.SORT(_xlfn.UNIQUE(t_R[Statut])))</f>
        <v>Écart de montant · Facture en double · Livrée non facturée · Non livrée · Rapprochée</v>
      </c>
    </row>
    <row r="8" spans="1:2" x14ac:dyDescent="0.2">
      <c r="A8" t="s">
        <v>3622</v>
      </c>
      <c r="B8" t="str">
        <f>_xlfn.TEXTJOIN(" · ",TRUE,_xlfn._xlws.SORT(_xlfn.UNIQUE(_xlfn._xlws.FILTER(t_R[Agence],t_R[Statut]=$B$4,"aucune"))))</f>
        <v>Abidjan · Dakar · Douala · Kinshasa · Libreville · Lubumbashi</v>
      </c>
    </row>
    <row r="9" spans="1:2" x14ac:dyDescent="0.2">
      <c r="A9" t="s">
        <v>3623</v>
      </c>
      <c r="B9">
        <f>SUMIFS(t_R[Montant_USD],t_R[Statut],$B$4)</f>
        <v>22579.040000000001</v>
      </c>
    </row>
    <row r="10" spans="1:2" x14ac:dyDescent="0.2">
      <c r="A10" t="s">
        <v>3624</v>
      </c>
      <c r="B10">
        <f>MAX(MAX(_xlfn._xlws.FILTER(t_R[Ecart_USD],t_R[Statut]=$B$4,0)),-MIN(_xlfn._xlws.FILTER(t_R[Ecart_USD],t_R[Statut]=$B$4,0)))</f>
        <v>196.34</v>
      </c>
    </row>
    <row r="11" spans="1:2" x14ac:dyDescent="0.2">
      <c r="A11" t="s">
        <v>3625</v>
      </c>
      <c r="B11" t="str">
        <f>_xlfn.TEXTJOIN(" · ",TRUE,_xlfn.TAKE(_xlfn._xlws.SORT(_xlfn._xlws.FILTER(t_R[Ref_Commande],t_R[Statut]=$B$4,"aucune")),5))</f>
        <v>CMD-00007 · CMD-00012 · CMD-00066 · CMD-00075 · CMD-00080</v>
      </c>
    </row>
    <row r="12" spans="1:2" x14ac:dyDescent="0.2">
      <c r="A12" t="s">
        <v>3626</v>
      </c>
      <c r="B12">
        <f>ROWS(_xlfn._xlws.FILTER(t_R[Ref_Commande],(t_R[Statut]=$B$4)*(t_R[Agence]="Kinshasa"),"aucune"))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Rappro</vt:lpstr>
      <vt:lpstr>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aksanti</cp:lastModifiedBy>
  <dcterms:created xsi:type="dcterms:W3CDTF">2026-09-17T14:23:46Z</dcterms:created>
  <dcterms:modified xsi:type="dcterms:W3CDTF">2026-09-17T14:23:53Z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2026-09-17T14:23:53Z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a4237e9e-9c00-42d0-aed2-4fa1f62dbb31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