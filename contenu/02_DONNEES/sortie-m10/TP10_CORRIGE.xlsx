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mc:AlternateContent xmlns:mc="http://schemas.openxmlformats.org/markup-compatibility/2006">
    <mc:Choice Requires="x15">
      <x15ac:absPath xmlns:x15ac="http://schemas.microsoft.com/office/spreadsheetml/2010/11/ac" url="/Users/apple/Desktop/excelare ai/excelerate-plateforme/contenu/02_DONNEES/sortie-m10/"/>
    </mc:Choice>
  </mc:AlternateContent>
  <xr:revisionPtr revIDLastSave="0" documentId="11_2C6CC249C45A1A2F01CCBC08FA9AD66F01D12EC0" xr6:coauthVersionLast="47" xr6:coauthVersionMax="47" xr10:uidLastSave="{00000000-0000-0000-0000-000000000000}"/>
  <bookViews>
    <workbookView xWindow="0" yWindow="600" windowWidth="28800" windowHeight="16180" xr2:uid="{00000000-000D-0000-FFFF-FFFF00000000}"/>
  </bookViews>
  <sheets>
    <sheet name="README" sheetId="1" r:id="rId1"/>
    <sheet name="SOURCES" sheetId="2" r:id="rId2"/>
    <sheet name="DONNEES" sheetId="3" r:id="rId3"/>
    <sheet name="PARAMETRES" sheetId="4" r:id="rId4"/>
    <sheet name="RAPPORT" sheetId="5" r:id="rId5"/>
    <sheet name="JOURNAL" sheetId="6" r:id="rId6"/>
    <sheet name="QUALITE" sheetId="7" r:id="rId7"/>
    <sheet name="REPONSES" sheetId="8" r:id="rId8"/>
    <sheet name="ANNEXE_IA" sheetId="9" r:id="rId9"/>
  </sheets>
  <definedNames>
    <definedName name="LIBRE_JOURNAL">JOURNAL!$A$1:$F$20</definedName>
    <definedName name="LIBRE_RAPPORT">RAPPORT!$A$1:$E$25</definedName>
    <definedName name="P_DOSSIER">PARAMETRES!$B$21</definedName>
    <definedName name="P_TYPE">RAPPORT!$B$4</definedName>
    <definedName name="P_VALEUR">RAPPORT!$B$5</definedName>
    <definedName name="R_CONTROLE">REPONSES!$B$26</definedName>
    <definedName name="R_ECART_AGENCES">REPONSES!$B$20</definedName>
    <definedName name="R_ECART_FAMILLES">REPONSES!$B$21</definedName>
    <definedName name="R_ECART_SOURCES">REPONSES!$B$16</definedName>
    <definedName name="_xlnm.Print_Area" localSheetId="4">RAPPORT!$A$1:$D$22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8" l="1"/>
  <c r="B25" i="8"/>
  <c r="B24" i="8"/>
  <c r="B23" i="8"/>
  <c r="B22" i="8"/>
  <c r="B18" i="8"/>
  <c r="B17" i="8"/>
  <c r="B16" i="8"/>
  <c r="B11" i="7" s="1"/>
  <c r="B15" i="8"/>
  <c r="B21" i="8" s="1"/>
  <c r="B14" i="8"/>
  <c r="B13" i="8"/>
  <c r="B12" i="8"/>
  <c r="B11" i="8"/>
  <c r="B10" i="8"/>
  <c r="B10" i="7"/>
  <c r="B9" i="7"/>
  <c r="B8" i="7"/>
  <c r="B7" i="7"/>
  <c r="B6" i="7"/>
  <c r="B5" i="7"/>
  <c r="B21" i="5"/>
  <c r="A21" i="5"/>
  <c r="C21" i="5" s="1"/>
  <c r="C20" i="5"/>
  <c r="A20" i="5"/>
  <c r="B20" i="5" s="1"/>
  <c r="B19" i="5"/>
  <c r="A19" i="5"/>
  <c r="C19" i="5" s="1"/>
  <c r="C18" i="5"/>
  <c r="A18" i="5"/>
  <c r="B18" i="5" s="1"/>
  <c r="B17" i="5"/>
  <c r="A17" i="5"/>
  <c r="C17" i="5" s="1"/>
  <c r="C16" i="5"/>
  <c r="A16" i="5"/>
  <c r="B16" i="5" s="1"/>
  <c r="B9" i="5"/>
  <c r="B8" i="5"/>
  <c r="B10" i="5" s="1"/>
  <c r="B7" i="5"/>
  <c r="D21" i="5" s="1"/>
  <c r="D16" i="4"/>
  <c r="D15" i="4"/>
  <c r="D14" i="4"/>
  <c r="D13" i="4"/>
  <c r="D12" i="4"/>
  <c r="D11" i="4"/>
  <c r="D10" i="4"/>
  <c r="D9" i="4"/>
  <c r="D8" i="4"/>
  <c r="D7" i="4"/>
  <c r="D6" i="4"/>
  <c r="D5" i="4"/>
  <c r="B19" i="8" s="1"/>
  <c r="B20" i="8" s="1"/>
  <c r="C22" i="5" l="1"/>
  <c r="B22" i="5"/>
  <c r="D16" i="5"/>
  <c r="D18" i="5"/>
  <c r="D20" i="5"/>
  <c r="B11" i="5"/>
  <c r="D17" i="5"/>
  <c r="D19" i="5"/>
</calcChain>
</file>

<file path=xl/sharedStrings.xml><?xml version="1.0" encoding="utf-8"?>
<sst xmlns="http://schemas.openxmlformats.org/spreadsheetml/2006/main" count="35042" uniqueCount="772">
  <si>
    <t>README</t>
  </si>
  <si>
    <t>À quoi sert ce classeur</t>
  </si>
  <si>
    <t>Produire les douze rapports mensuels de BAOBAB — six agences et six familles de produits — à partir des commandes des 200 clients grands comptes. Un clic, douze PDF nommés, un journal d'exécution.</t>
  </si>
  <si>
    <t>D'où viennent les données</t>
  </si>
  <si>
    <t>200 classeurs clients au format identique, reçus par messagerie et déposés dans le dossier J10_Clients. Consolidés dans DONNEES, récapitulés fichier par fichier dans SOURCES. Période : août 2026.</t>
  </si>
  <si>
    <t>Les quinze fichiers qui ne sont pas au format</t>
  </si>
  <si>
    <t>Quatre sont vides — le client n'a rien commandé ce mois-ci. Six portent une ligne TOTAL sous le tableau, qu'il ne faut surtout pas additionner. Trois ont une colonne Remise_Pct en plus. Deux ont une feuille nommée COMMANDES au lieu de Commandes. La colonne Anomalie de SOURCES les liste tous les quinze.</t>
  </si>
  <si>
    <t>Les taux de change</t>
  </si>
  <si>
    <t>Figés pour le mois : 3 145,80 CDF et 648,20 XOF comme XAF pour 1 USD. Le franc CFA Ouest et le franc CFA Central sont arrimés à l'euro à la même parité : leur taux face au dollar est identique. Ce n'est pas une coquille.</t>
  </si>
  <si>
    <t>Comment on convertit, et pourquoi ça compte</t>
  </si>
  <si>
    <t>Ligne à ligne, jamais sur le total. Les deux méthodes sont défendables ; elles écartent de 0,54 USD sur ce mois. Ce qui n'est pas défendable, c'est de ne pas savoir laquelle on a utilisée.</t>
  </si>
  <si>
    <t>Comment lancer la production</t>
  </si>
  <si>
    <t>Bouton « Produire les douze rapports » sur la feuille PARAMETRES. Le dossier de sortie est un sous-dossier du dossier de ce classeur, nommé dans PARAMETRES!B21. Durée observée : environ 40 secondes.</t>
  </si>
  <si>
    <t>Ce qu'il faut faire si ça casse</t>
  </si>
  <si>
    <t>Lire la colonne Message du JOURNAL : elle nomme le rapport qui a échoué et la raison. Les trois causes vues jusqu'ici : le dossier de sortie n'existe pas, un PDF du même nom est ouvert dans un lecteur, et le classeur a été ouvert depuis la messagerie sans avoir été enregistré ailleurs d'abord.</t>
  </si>
  <si>
    <t>Ce que ce classeur ne fait pas</t>
  </si>
  <si>
    <t>Il n'envoie aucun courriel, il ne va pas chercher les fichiers clients tout seul, et il ne détecte pas un client qui aurait oublié d'envoyer son fichier. Trois manques connus, écrits ici.</t>
  </si>
  <si>
    <t>Livraison</t>
  </si>
  <si>
    <t>En .zip, jamais en .xlsm nu : les pièces jointes .xlsm sont bloquées par la plupart des messageries, et le Mark of the Web désactive les macros d'un fichier venu d'Internet. La procédure de déblocage est dans le fichier LISEZ-MOI.txt du zip.</t>
  </si>
  <si>
    <t>Journal des versions</t>
  </si>
  <si>
    <t>v1.0 — septembre 2026.</t>
  </si>
  <si>
    <t>Les 200 classeurs reçus — un récapitulatif par fichier</t>
  </si>
  <si>
    <t>Produit par la consolidation. C'est cette feuille qui permet de réconcilier : si elle ne tombe pas d'accord avec DONNEES, un fichier a été lu deux fois ou pas du tout.</t>
  </si>
  <si>
    <t>Fichier</t>
  </si>
  <si>
    <t>Code_Client</t>
  </si>
  <si>
    <t>Client</t>
  </si>
  <si>
    <t>Agence</t>
  </si>
  <si>
    <t>Devise</t>
  </si>
  <si>
    <t>Lignes</t>
  </si>
  <si>
    <t>Total_Local</t>
  </si>
  <si>
    <t>Total_USD</t>
  </si>
  <si>
    <t>Total_USD_direct</t>
  </si>
  <si>
    <t>Anomalie</t>
  </si>
  <si>
    <t>C0001_Alimentation_Ndong_SARLU.xlsx</t>
  </si>
  <si>
    <t>C0001</t>
  </si>
  <si>
    <t>Alimentation Ndong SARLU</t>
  </si>
  <si>
    <t>Dakar</t>
  </si>
  <si>
    <t>XOF</t>
  </si>
  <si>
    <t>C0002_Établissements_Atangana.xlsx</t>
  </si>
  <si>
    <t>C0002</t>
  </si>
  <si>
    <t>Établissements Atangana</t>
  </si>
  <si>
    <t>Kinshasa</t>
  </si>
  <si>
    <t>CDF</t>
  </si>
  <si>
    <t>C0003_Négoce_Lubaki_SARL.xlsx</t>
  </si>
  <si>
    <t>C0003</t>
  </si>
  <si>
    <t>Négoce Lubaki SARL</t>
  </si>
  <si>
    <t>Abidjan</t>
  </si>
  <si>
    <t>C0004_Société_Mbarga_Sarl.xlsx</t>
  </si>
  <si>
    <t>C0004</t>
  </si>
  <si>
    <t>Société Mbarga Sarl</t>
  </si>
  <si>
    <t>Douala</t>
  </si>
  <si>
    <t>XAF</t>
  </si>
  <si>
    <t>C0005_Établissements_Ndong_SA.xlsx</t>
  </si>
  <si>
    <t>C0005</t>
  </si>
  <si>
    <t>Établissements Ndong SA</t>
  </si>
  <si>
    <t>C0006_Comptoir_Traoré.xlsx</t>
  </si>
  <si>
    <t>C0006</t>
  </si>
  <si>
    <t>Comptoir Traoré</t>
  </si>
  <si>
    <t>ligne TOTAL en bas</t>
  </si>
  <si>
    <t>C0007_Établissements_Mutombo_SA.xlsx</t>
  </si>
  <si>
    <t>C0007</t>
  </si>
  <si>
    <t>Établissements Mutombo SA</t>
  </si>
  <si>
    <t>C0008_Alimentation_Nzé_SA.xlsx</t>
  </si>
  <si>
    <t>C0008</t>
  </si>
  <si>
    <t>Alimentation Nzé SA</t>
  </si>
  <si>
    <t>C0009_Ets_Kalala.xlsx</t>
  </si>
  <si>
    <t>C0009</t>
  </si>
  <si>
    <t>Ets Kalala</t>
  </si>
  <si>
    <t>Libreville</t>
  </si>
  <si>
    <t>C0010_Alimentation_Lubaki_Sarl.xlsx</t>
  </si>
  <si>
    <t>C0010</t>
  </si>
  <si>
    <t>Alimentation Lubaki Sarl</t>
  </si>
  <si>
    <t>C0011_Maison_Ilunga_Sarl.xlsx</t>
  </si>
  <si>
    <t>C0011</t>
  </si>
  <si>
    <t>Maison Ilunga Sarl</t>
  </si>
  <si>
    <t>Lubumbashi</t>
  </si>
  <si>
    <t>C0012_Distribution_Moussavou.xlsx</t>
  </si>
  <si>
    <t>C0012</t>
  </si>
  <si>
    <t>Distribution Moussavou</t>
  </si>
  <si>
    <t>C0013_Ets_Diop.xlsx</t>
  </si>
  <si>
    <t>C0013</t>
  </si>
  <si>
    <t>Ets Diop</t>
  </si>
  <si>
    <t>C0014_Maison_Lubaki_Sarl.xlsx</t>
  </si>
  <si>
    <t>C0014</t>
  </si>
  <si>
    <t>Maison Lubaki Sarl</t>
  </si>
  <si>
    <t>C0015_Entreprise_Mukendi_SARL.xlsx</t>
  </si>
  <si>
    <t>C0015</t>
  </si>
  <si>
    <t>Entreprise Mukendi SARL</t>
  </si>
  <si>
    <t>C0016_Alimentation_Bemba_SARL.xlsx</t>
  </si>
  <si>
    <t>C0016</t>
  </si>
  <si>
    <t>Alimentation Bemba SARL</t>
  </si>
  <si>
    <t>C0017_Alimentation_Tshibangu_SARLU.xlsx</t>
  </si>
  <si>
    <t>C0017</t>
  </si>
  <si>
    <t>Alimentation Tshibangu SARLU</t>
  </si>
  <si>
    <t>vide</t>
  </si>
  <si>
    <t>C0018_Établissements_Kouadio_Sarl.xlsx</t>
  </si>
  <si>
    <t>C0018</t>
  </si>
  <si>
    <t>Établissements Kouadio Sarl</t>
  </si>
  <si>
    <t>C0019_Maison_Mukendi.xlsx</t>
  </si>
  <si>
    <t>C0019</t>
  </si>
  <si>
    <t>Maison Mukendi</t>
  </si>
  <si>
    <t>C0020_Comptoir_Diop_SA.xlsx</t>
  </si>
  <si>
    <t>C0020</t>
  </si>
  <si>
    <t>Comptoir Diop SA</t>
  </si>
  <si>
    <t>C0021_Négoce_Cissé_SARLU.xlsx</t>
  </si>
  <si>
    <t>C0021</t>
  </si>
  <si>
    <t>Négoce Cissé SARLU</t>
  </si>
  <si>
    <t>C0022_Comptoir_Camara_&amp;_Fils.xlsx</t>
  </si>
  <si>
    <t>C0022</t>
  </si>
  <si>
    <t>Comptoir Camara &amp; Fils</t>
  </si>
  <si>
    <t>C0023_Groupe_Diop_&amp;_Fils.xlsx</t>
  </si>
  <si>
    <t>C0023</t>
  </si>
  <si>
    <t>Groupe Diop &amp; Fils</t>
  </si>
  <si>
    <t>colonne Remise_Pct en plus</t>
  </si>
  <si>
    <t>C0024_Négoce_Kamga.xlsx</t>
  </si>
  <si>
    <t>C0024</t>
  </si>
  <si>
    <t>Négoce Kamga</t>
  </si>
  <si>
    <t>C0025_Entreprise_Ndiaye_SA.xlsx</t>
  </si>
  <si>
    <t>C0025</t>
  </si>
  <si>
    <t>Entreprise Ndiaye SA</t>
  </si>
  <si>
    <t>C0026_Entreprise_Mukendi.xlsx</t>
  </si>
  <si>
    <t>C0026</t>
  </si>
  <si>
    <t>Entreprise Mukendi</t>
  </si>
  <si>
    <t>C0027_Société_Fotso_SARLU.xlsx</t>
  </si>
  <si>
    <t>C0027</t>
  </si>
  <si>
    <t>Société Fotso SARLU</t>
  </si>
  <si>
    <t>C0028_Ets_Kamga_Sarl.xlsx</t>
  </si>
  <si>
    <t>C0028</t>
  </si>
  <si>
    <t>Ets Kamga Sarl</t>
  </si>
  <si>
    <t>C0029_Distribution_Kamga_&amp;_Fils.xlsx</t>
  </si>
  <si>
    <t>C0029</t>
  </si>
  <si>
    <t>Distribution Kamga &amp; Fils</t>
  </si>
  <si>
    <t>C0030_Entreprise_Tshibangu_SA.xlsx</t>
  </si>
  <si>
    <t>C0030</t>
  </si>
  <si>
    <t>Entreprise Tshibangu SA</t>
  </si>
  <si>
    <t>C0031_Négoce_Ilunga_SARLU.xlsx</t>
  </si>
  <si>
    <t>C0031</t>
  </si>
  <si>
    <t>Négoce Ilunga SARLU</t>
  </si>
  <si>
    <t>C0032_Alimentation_Traoré_SARL.xlsx</t>
  </si>
  <si>
    <t>C0032</t>
  </si>
  <si>
    <t>Alimentation Traoré SARL</t>
  </si>
  <si>
    <t>C0033_Négoce_Bemba_SA.xlsx</t>
  </si>
  <si>
    <t>C0033</t>
  </si>
  <si>
    <t>Négoce Bemba SA</t>
  </si>
  <si>
    <t>C0034_Négoce_Fotso_SARLU.xlsx</t>
  </si>
  <si>
    <t>C0034</t>
  </si>
  <si>
    <t>Négoce Fotso SARLU</t>
  </si>
  <si>
    <t>feuille COMMANDES en majuscules</t>
  </si>
  <si>
    <t>C0035_Groupe_Bamba_&amp;_Fils.xlsx</t>
  </si>
  <si>
    <t>C0035</t>
  </si>
  <si>
    <t>Groupe Bamba &amp; Fils</t>
  </si>
  <si>
    <t>C0036_Maison_Koffi_SARLU.xlsx</t>
  </si>
  <si>
    <t>C0036</t>
  </si>
  <si>
    <t>Maison Koffi SARLU</t>
  </si>
  <si>
    <t>C0037_Ets_Fall_SARLU.xlsx</t>
  </si>
  <si>
    <t>C0037</t>
  </si>
  <si>
    <t>Ets Fall SARLU</t>
  </si>
  <si>
    <t>C0038_Maison_Ondo.xlsx</t>
  </si>
  <si>
    <t>C0038</t>
  </si>
  <si>
    <t>Maison Ondo</t>
  </si>
  <si>
    <t>C0039_Ets_Kalala.xlsx</t>
  </si>
  <si>
    <t>C0039</t>
  </si>
  <si>
    <t>C0040_Ets_Mba_SARLU.xlsx</t>
  </si>
  <si>
    <t>C0040</t>
  </si>
  <si>
    <t>Ets Mba SARLU</t>
  </si>
  <si>
    <t>C0041_Alimentation_Tshibangu.xlsx</t>
  </si>
  <si>
    <t>C0041</t>
  </si>
  <si>
    <t>Alimentation Tshibangu</t>
  </si>
  <si>
    <t>C0042_Groupe_Owona_SARL.xlsx</t>
  </si>
  <si>
    <t>C0042</t>
  </si>
  <si>
    <t>Groupe Owona SARL</t>
  </si>
  <si>
    <t>C0043_Comptoir_Mukendi.xlsx</t>
  </si>
  <si>
    <t>C0043</t>
  </si>
  <si>
    <t>Comptoir Mukendi</t>
  </si>
  <si>
    <t>C0044_Entreprise_Ntoutoume.xlsx</t>
  </si>
  <si>
    <t>C0044</t>
  </si>
  <si>
    <t>Entreprise Ntoutoume</t>
  </si>
  <si>
    <t>C0045_Négoce_Kabila_Sarl.xlsx</t>
  </si>
  <si>
    <t>C0045</t>
  </si>
  <si>
    <t>Négoce Kabila Sarl</t>
  </si>
  <si>
    <t>C0046_Établissements_Cissé_&amp;_Fils.xlsx</t>
  </si>
  <si>
    <t>C0046</t>
  </si>
  <si>
    <t>Établissements Cissé &amp; Fils</t>
  </si>
  <si>
    <t>C0047_Maison_Owona_SARL.xlsx</t>
  </si>
  <si>
    <t>C0047</t>
  </si>
  <si>
    <t>Maison Owona SARL</t>
  </si>
  <si>
    <t>C0048_Entreprise_Diallo_SA.xlsx</t>
  </si>
  <si>
    <t>C0048</t>
  </si>
  <si>
    <t>Entreprise Diallo SA</t>
  </si>
  <si>
    <t>C0049_Maison_Bemba_SA.xlsx</t>
  </si>
  <si>
    <t>C0049</t>
  </si>
  <si>
    <t>Maison Bemba SA</t>
  </si>
  <si>
    <t>C0050_Maison_Biya_SARLU.xlsx</t>
  </si>
  <si>
    <t>C0050</t>
  </si>
  <si>
    <t>Maison Biya SARLU</t>
  </si>
  <si>
    <t>C0051_Groupe_Mwanza_SA.xlsx</t>
  </si>
  <si>
    <t>C0051</t>
  </si>
  <si>
    <t>Groupe Mwanza SA</t>
  </si>
  <si>
    <t>C0052_Établissements_Ndong_SARL.xlsx</t>
  </si>
  <si>
    <t>C0052</t>
  </si>
  <si>
    <t>Établissements Ndong SARL</t>
  </si>
  <si>
    <t>C0053_Négoce_Nguema.xlsx</t>
  </si>
  <si>
    <t>C0053</t>
  </si>
  <si>
    <t>Négoce Nguema</t>
  </si>
  <si>
    <t>C0054_Négoce_Kabila_&amp;_Fils.xlsx</t>
  </si>
  <si>
    <t>C0054</t>
  </si>
  <si>
    <t>Négoce Kabila &amp; Fils</t>
  </si>
  <si>
    <t>C0055_Société_Sarr_SARLU.xlsx</t>
  </si>
  <si>
    <t>C0055</t>
  </si>
  <si>
    <t>Société Sarr SARLU</t>
  </si>
  <si>
    <t>C0056_Négoce_Ilunga_SARL.xlsx</t>
  </si>
  <si>
    <t>C0056</t>
  </si>
  <si>
    <t>Négoce Ilunga SARL</t>
  </si>
  <si>
    <t>C0057_Établissements_Nzé_SARL.xlsx</t>
  </si>
  <si>
    <t>C0057</t>
  </si>
  <si>
    <t>Établissements Nzé SARL</t>
  </si>
  <si>
    <t>C0058_Société_Ntoutoume_SA.xlsx</t>
  </si>
  <si>
    <t>C0058</t>
  </si>
  <si>
    <t>Société Ntoutoume SA</t>
  </si>
  <si>
    <t>C0059_Alimentation_Kamga_SARL.xlsx</t>
  </si>
  <si>
    <t>C0059</t>
  </si>
  <si>
    <t>Alimentation Kamga SARL</t>
  </si>
  <si>
    <t>C0060_Entreprise_Fotso.xlsx</t>
  </si>
  <si>
    <t>C0060</t>
  </si>
  <si>
    <t>Entreprise Fotso</t>
  </si>
  <si>
    <t>C0061_Maison_Kasongo_SARLU.xlsx</t>
  </si>
  <si>
    <t>C0061</t>
  </si>
  <si>
    <t>Maison Kasongo SARLU</t>
  </si>
  <si>
    <t>C0062_Comptoir_Gueye_SA.xlsx</t>
  </si>
  <si>
    <t>C0062</t>
  </si>
  <si>
    <t>Comptoir Gueye SA</t>
  </si>
  <si>
    <t>C0063_Ets_Mukendi_SARLU.xlsx</t>
  </si>
  <si>
    <t>C0063</t>
  </si>
  <si>
    <t>Ets Mukendi SARLU</t>
  </si>
  <si>
    <t>C0064_Comptoir_Essomba_SA.xlsx</t>
  </si>
  <si>
    <t>C0064</t>
  </si>
  <si>
    <t>Comptoir Essomba SA</t>
  </si>
  <si>
    <t>C0065_Maison_Bakayoko.xlsx</t>
  </si>
  <si>
    <t>C0065</t>
  </si>
  <si>
    <t>Maison Bakayoko</t>
  </si>
  <si>
    <t>C0066_Maison_Mutombo_SA.xlsx</t>
  </si>
  <si>
    <t>C0066</t>
  </si>
  <si>
    <t>Maison Mutombo SA</t>
  </si>
  <si>
    <t>C0067_Établissements_Mba_Sarl.xlsx</t>
  </si>
  <si>
    <t>C0067</t>
  </si>
  <si>
    <t>Établissements Mba Sarl</t>
  </si>
  <si>
    <t>C0068_Groupe_Bemba_SA.xlsx</t>
  </si>
  <si>
    <t>C0068</t>
  </si>
  <si>
    <t>Groupe Bemba SA</t>
  </si>
  <si>
    <t>C0069_Maison_Camara.xlsx</t>
  </si>
  <si>
    <t>C0069</t>
  </si>
  <si>
    <t>Maison Camara</t>
  </si>
  <si>
    <t>C0070_Entreprise_Ndiaye.xlsx</t>
  </si>
  <si>
    <t>C0070</t>
  </si>
  <si>
    <t>Entreprise Ndiaye</t>
  </si>
  <si>
    <t>C0071_Établissements_Cissé_&amp;_Fils.xlsx</t>
  </si>
  <si>
    <t>C0071</t>
  </si>
  <si>
    <t>C0072_Établissements_Bakayoko.xlsx</t>
  </si>
  <si>
    <t>C0072</t>
  </si>
  <si>
    <t>Établissements Bakayoko</t>
  </si>
  <si>
    <t>C0073_Établissements_Yao_Sarl.xlsx</t>
  </si>
  <si>
    <t>C0073</t>
  </si>
  <si>
    <t>Établissements Yao Sarl</t>
  </si>
  <si>
    <t>C0074_Ets_Atangana_SARLU.xlsx</t>
  </si>
  <si>
    <t>C0074</t>
  </si>
  <si>
    <t>Ets Atangana SARLU</t>
  </si>
  <si>
    <t>C0075_Entreprise_Moussavou_SARL.xlsx</t>
  </si>
  <si>
    <t>C0075</t>
  </si>
  <si>
    <t>Entreprise Moussavou SARL</t>
  </si>
  <si>
    <t>C0076_Ets_Kabila.xlsx</t>
  </si>
  <si>
    <t>C0076</t>
  </si>
  <si>
    <t>Ets Kabila</t>
  </si>
  <si>
    <t>C0077_Distribution_Fotso_&amp;_Fils.xlsx</t>
  </si>
  <si>
    <t>C0077</t>
  </si>
  <si>
    <t>Distribution Fotso &amp; Fils</t>
  </si>
  <si>
    <t>C0078_Ets_Tchicaya_Sarl.xlsx</t>
  </si>
  <si>
    <t>C0078</t>
  </si>
  <si>
    <t>Ets Tchicaya Sarl</t>
  </si>
  <si>
    <t>C0079_Négoce_Mukendi.xlsx</t>
  </si>
  <si>
    <t>C0079</t>
  </si>
  <si>
    <t>Négoce Mukendi</t>
  </si>
  <si>
    <t>C0080_Société_Ndiaye_SARLU.xlsx</t>
  </si>
  <si>
    <t>C0080</t>
  </si>
  <si>
    <t>Société Ndiaye SARLU</t>
  </si>
  <si>
    <t>C0081_Entreprise_Nzé.xlsx</t>
  </si>
  <si>
    <t>C0081</t>
  </si>
  <si>
    <t>Entreprise Nzé</t>
  </si>
  <si>
    <t>C0082_Ets_Mba_SA.xlsx</t>
  </si>
  <si>
    <t>C0082</t>
  </si>
  <si>
    <t>Ets Mba SA</t>
  </si>
  <si>
    <t>C0083_Distribution_Essomba_&amp;_Fils.xlsx</t>
  </si>
  <si>
    <t>C0083</t>
  </si>
  <si>
    <t>Distribution Essomba &amp; Fils</t>
  </si>
  <si>
    <t>C0084_Alimentation_Ndong.xlsx</t>
  </si>
  <si>
    <t>C0084</t>
  </si>
  <si>
    <t>Alimentation Ndong</t>
  </si>
  <si>
    <t>C0085_Comptoir_Nguema.xlsx</t>
  </si>
  <si>
    <t>C0085</t>
  </si>
  <si>
    <t>Comptoir Nguema</t>
  </si>
  <si>
    <t>C0086_Comptoir_Biya_&amp;_Fils.xlsx</t>
  </si>
  <si>
    <t>C0086</t>
  </si>
  <si>
    <t>Comptoir Biya &amp; Fils</t>
  </si>
  <si>
    <t>C0087_Établissements_Sylla_Sarl.xlsx</t>
  </si>
  <si>
    <t>C0087</t>
  </si>
  <si>
    <t>Établissements Sylla Sarl</t>
  </si>
  <si>
    <t>C0088_Ets_Essomba_&amp;_Fils.xlsx</t>
  </si>
  <si>
    <t>C0088</t>
  </si>
  <si>
    <t>Ets Essomba &amp; Fils</t>
  </si>
  <si>
    <t>C0089_Distribution_Gueye_SA.xlsx</t>
  </si>
  <si>
    <t>C0089</t>
  </si>
  <si>
    <t>Distribution Gueye SA</t>
  </si>
  <si>
    <t>C0090_Distribution_Koffi_SA.xlsx</t>
  </si>
  <si>
    <t>C0090</t>
  </si>
  <si>
    <t>Distribution Koffi SA</t>
  </si>
  <si>
    <t>C0091_Alimentation_Biya_Sarl.xlsx</t>
  </si>
  <si>
    <t>C0091</t>
  </si>
  <si>
    <t>Alimentation Biya Sarl</t>
  </si>
  <si>
    <t>C0092_Maison_Ilunga_SA.xlsx</t>
  </si>
  <si>
    <t>C0092</t>
  </si>
  <si>
    <t>Maison Ilunga SA</t>
  </si>
  <si>
    <t>C0093_Alimentation_Nguema_SA.xlsx</t>
  </si>
  <si>
    <t>C0093</t>
  </si>
  <si>
    <t>Alimentation Nguema SA</t>
  </si>
  <si>
    <t>C0094_Négoce_Mwanza_SA.xlsx</t>
  </si>
  <si>
    <t>C0094</t>
  </si>
  <si>
    <t>Négoce Mwanza SA</t>
  </si>
  <si>
    <t>C0095_Entreprise_Ndong_SA.xlsx</t>
  </si>
  <si>
    <t>C0095</t>
  </si>
  <si>
    <t>Entreprise Ndong SA</t>
  </si>
  <si>
    <t>C0096_Ets_Owona_SARLU.xlsx</t>
  </si>
  <si>
    <t>C0096</t>
  </si>
  <si>
    <t>Ets Owona SARLU</t>
  </si>
  <si>
    <t>C0097_Négoce_Mwanza.xlsx</t>
  </si>
  <si>
    <t>C0097</t>
  </si>
  <si>
    <t>Négoce Mwanza</t>
  </si>
  <si>
    <t>C0098_Établissements_Kabila.xlsx</t>
  </si>
  <si>
    <t>C0098</t>
  </si>
  <si>
    <t>Établissements Kabila</t>
  </si>
  <si>
    <t>C0099_Distribution_Gueye.xlsx</t>
  </si>
  <si>
    <t>C0099</t>
  </si>
  <si>
    <t>Distribution Gueye</t>
  </si>
  <si>
    <t>C0100_Groupe_Bemba_SARL.xlsx</t>
  </si>
  <si>
    <t>C0100</t>
  </si>
  <si>
    <t>Groupe Bemba SARL</t>
  </si>
  <si>
    <t>C0101_Comptoir_Camara_SARLU.xlsx</t>
  </si>
  <si>
    <t>C0101</t>
  </si>
  <si>
    <t>Comptoir Camara SARLU</t>
  </si>
  <si>
    <t>C0102_Société_Biya_SA.xlsx</t>
  </si>
  <si>
    <t>C0102</t>
  </si>
  <si>
    <t>Société Biya SA</t>
  </si>
  <si>
    <t>C0103_Alimentation_Traoré_SA.xlsx</t>
  </si>
  <si>
    <t>C0103</t>
  </si>
  <si>
    <t>Alimentation Traoré SA</t>
  </si>
  <si>
    <t>C0104_Distribution_Traoré.xlsx</t>
  </si>
  <si>
    <t>C0104</t>
  </si>
  <si>
    <t>Distribution Traoré</t>
  </si>
  <si>
    <t>C0105_Entreprise_Bamba_Sarl.xlsx</t>
  </si>
  <si>
    <t>C0105</t>
  </si>
  <si>
    <t>Entreprise Bamba Sarl</t>
  </si>
  <si>
    <t>C0106_Maison_Kouadio_SA.xlsx</t>
  </si>
  <si>
    <t>C0106</t>
  </si>
  <si>
    <t>Maison Kouadio SA</t>
  </si>
  <si>
    <t>C0107_Alimentation_Ondo.xlsx</t>
  </si>
  <si>
    <t>C0107</t>
  </si>
  <si>
    <t>Alimentation Ondo</t>
  </si>
  <si>
    <t>C0108_Maison_Tshibangu_SA.xlsx</t>
  </si>
  <si>
    <t>C0108</t>
  </si>
  <si>
    <t>Maison Tshibangu SA</t>
  </si>
  <si>
    <t>C0109_Groupe_Sylla_Sarl.xlsx</t>
  </si>
  <si>
    <t>C0109</t>
  </si>
  <si>
    <t>Groupe Sylla Sarl</t>
  </si>
  <si>
    <t>C0110_Distribution_Kalala.xlsx</t>
  </si>
  <si>
    <t>C0110</t>
  </si>
  <si>
    <t>Distribution Kalala</t>
  </si>
  <si>
    <t>C0111_Comptoir_Mba_SA.xlsx</t>
  </si>
  <si>
    <t>C0111</t>
  </si>
  <si>
    <t>Comptoir Mba SA</t>
  </si>
  <si>
    <t>C0112_Ets_Gueye_SARLU.xlsx</t>
  </si>
  <si>
    <t>C0112</t>
  </si>
  <si>
    <t>Ets Gueye SARLU</t>
  </si>
  <si>
    <t>C0113_Société_Owona_SARL.xlsx</t>
  </si>
  <si>
    <t>C0113</t>
  </si>
  <si>
    <t>Société Owona SARL</t>
  </si>
  <si>
    <t>C0114_Établissements_Ndiaye_&amp;_Fils.xlsx</t>
  </si>
  <si>
    <t>C0114</t>
  </si>
  <si>
    <t>Établissements Ndiaye &amp; Fils</t>
  </si>
  <si>
    <t>C0115_Établissements_Diallo_&amp;_Fils.xlsx</t>
  </si>
  <si>
    <t>C0115</t>
  </si>
  <si>
    <t>Établissements Diallo &amp; Fils</t>
  </si>
  <si>
    <t>C0116_Négoce_Bamba_SARLU.xlsx</t>
  </si>
  <si>
    <t>C0116</t>
  </si>
  <si>
    <t>Négoce Bamba SARLU</t>
  </si>
  <si>
    <t>C0117_Ets_Essomba_&amp;_Fils.xlsx</t>
  </si>
  <si>
    <t>C0117</t>
  </si>
  <si>
    <t>C0118_Maison_Kasongo_&amp;_Fils.xlsx</t>
  </si>
  <si>
    <t>C0118</t>
  </si>
  <si>
    <t>Maison Kasongo &amp; Fils</t>
  </si>
  <si>
    <t>C0119_Groupe_Camara_SARLU.xlsx</t>
  </si>
  <si>
    <t>C0119</t>
  </si>
  <si>
    <t>Groupe Camara SARLU</t>
  </si>
  <si>
    <t>C0120_Distribution_Ilunga_SARLU.xlsx</t>
  </si>
  <si>
    <t>C0120</t>
  </si>
  <si>
    <t>Distribution Ilunga SARLU</t>
  </si>
  <si>
    <t>C0121_Maison_Mukendi_SARLU.xlsx</t>
  </si>
  <si>
    <t>C0121</t>
  </si>
  <si>
    <t>Maison Mukendi SARLU</t>
  </si>
  <si>
    <t>C0122_Société_Mba_SARL.xlsx</t>
  </si>
  <si>
    <t>C0122</t>
  </si>
  <si>
    <t>Société Mba SARL</t>
  </si>
  <si>
    <t>C0123_Alimentation_Mbarga_SA.xlsx</t>
  </si>
  <si>
    <t>C0123</t>
  </si>
  <si>
    <t>Alimentation Mbarga SA</t>
  </si>
  <si>
    <t>C0124_Distribution_Tshibangu_SA.xlsx</t>
  </si>
  <si>
    <t>C0124</t>
  </si>
  <si>
    <t>Distribution Tshibangu SA</t>
  </si>
  <si>
    <t>C0125_Groupe_Traoré_SARL.xlsx</t>
  </si>
  <si>
    <t>C0125</t>
  </si>
  <si>
    <t>Groupe Traoré SARL</t>
  </si>
  <si>
    <t>C0126_Entreprise_Mbarga.xlsx</t>
  </si>
  <si>
    <t>C0126</t>
  </si>
  <si>
    <t>Entreprise Mbarga</t>
  </si>
  <si>
    <t>C0127_Comptoir_Kouadio_SARLU.xlsx</t>
  </si>
  <si>
    <t>C0127</t>
  </si>
  <si>
    <t>Comptoir Kouadio SARLU</t>
  </si>
  <si>
    <t>C0128_Maison_Diop_SARLU.xlsx</t>
  </si>
  <si>
    <t>C0128</t>
  </si>
  <si>
    <t>Maison Diop SARLU</t>
  </si>
  <si>
    <t>C0129_Distribution_Diop_&amp;_Fils.xlsx</t>
  </si>
  <si>
    <t>C0129</t>
  </si>
  <si>
    <t>Distribution Diop &amp; Fils</t>
  </si>
  <si>
    <t>C0130_Alimentation_Fall.xlsx</t>
  </si>
  <si>
    <t>C0130</t>
  </si>
  <si>
    <t>Alimentation Fall</t>
  </si>
  <si>
    <t>C0131_Entreprise_Ntoutoume.xlsx</t>
  </si>
  <si>
    <t>C0131</t>
  </si>
  <si>
    <t>C0132_Entreprise_Diallo.xlsx</t>
  </si>
  <si>
    <t>C0132</t>
  </si>
  <si>
    <t>Entreprise Diallo</t>
  </si>
  <si>
    <t>C0133_Alimentation_Owona_SARL.xlsx</t>
  </si>
  <si>
    <t>C0133</t>
  </si>
  <si>
    <t>Alimentation Owona SARL</t>
  </si>
  <si>
    <t>C0134_Groupe_Sylla.xlsx</t>
  </si>
  <si>
    <t>C0134</t>
  </si>
  <si>
    <t>Groupe Sylla</t>
  </si>
  <si>
    <t>C0135_Comptoir_Bakayoko.xlsx</t>
  </si>
  <si>
    <t>C0135</t>
  </si>
  <si>
    <t>Comptoir Bakayoko</t>
  </si>
  <si>
    <t>C0136_Comptoir_Mutombo.xlsx</t>
  </si>
  <si>
    <t>C0136</t>
  </si>
  <si>
    <t>Comptoir Mutombo</t>
  </si>
  <si>
    <t>C0137_Groupe_Essomba_&amp;_Fils.xlsx</t>
  </si>
  <si>
    <t>C0137</t>
  </si>
  <si>
    <t>Groupe Essomba &amp; Fils</t>
  </si>
  <si>
    <t>C0138_Établissements_Ndiaye_SARLU.xlsx</t>
  </si>
  <si>
    <t>C0138</t>
  </si>
  <si>
    <t>Établissements Ndiaye SARLU</t>
  </si>
  <si>
    <t>C0139_Société_Ilunga_&amp;_Fils.xlsx</t>
  </si>
  <si>
    <t>C0139</t>
  </si>
  <si>
    <t>Société Ilunga &amp; Fils</t>
  </si>
  <si>
    <t>C0140_Établissements_Koffi_SA.xlsx</t>
  </si>
  <si>
    <t>C0140</t>
  </si>
  <si>
    <t>Établissements Koffi SA</t>
  </si>
  <si>
    <t>C0141_Maison_Mbarga_SARLU.xlsx</t>
  </si>
  <si>
    <t>C0141</t>
  </si>
  <si>
    <t>Maison Mbarga SARLU</t>
  </si>
  <si>
    <t>C0142_Distribution_Kalala_SARLU.xlsx</t>
  </si>
  <si>
    <t>C0142</t>
  </si>
  <si>
    <t>Distribution Kalala SARLU</t>
  </si>
  <si>
    <t>C0143_Distribution_Moussavou_SARLU.xlsx</t>
  </si>
  <si>
    <t>C0143</t>
  </si>
  <si>
    <t>Distribution Moussavou SARLU</t>
  </si>
  <si>
    <t>C0144_Distribution_Diallo_SARL.xlsx</t>
  </si>
  <si>
    <t>C0144</t>
  </si>
  <si>
    <t>Distribution Diallo SARL</t>
  </si>
  <si>
    <t>C0145_Distribution_Nguema_SA.xlsx</t>
  </si>
  <si>
    <t>C0145</t>
  </si>
  <si>
    <t>Distribution Nguema SA</t>
  </si>
  <si>
    <t>C0146_Établissements_Kasongo_SA.xlsx</t>
  </si>
  <si>
    <t>C0146</t>
  </si>
  <si>
    <t>Établissements Kasongo SA</t>
  </si>
  <si>
    <t>C0147_Distribution_Moussavou.xlsx</t>
  </si>
  <si>
    <t>C0147</t>
  </si>
  <si>
    <t>C0148_Distribution_Gueye.xlsx</t>
  </si>
  <si>
    <t>C0148</t>
  </si>
  <si>
    <t>C0149_Entreprise_Mwanza_Sarl.xlsx</t>
  </si>
  <si>
    <t>C0149</t>
  </si>
  <si>
    <t>Entreprise Mwanza Sarl</t>
  </si>
  <si>
    <t>C0150_Négoce_Mba.xlsx</t>
  </si>
  <si>
    <t>C0150</t>
  </si>
  <si>
    <t>Négoce Mba</t>
  </si>
  <si>
    <t>C0151_Société_Fotso_SARLU.xlsx</t>
  </si>
  <si>
    <t>C0151</t>
  </si>
  <si>
    <t>C0152_Entreprise_Fall_SARLU.xlsx</t>
  </si>
  <si>
    <t>C0152</t>
  </si>
  <si>
    <t>Entreprise Fall SARLU</t>
  </si>
  <si>
    <t>C0153_Alimentation_Kabila_SARL.xlsx</t>
  </si>
  <si>
    <t>C0153</t>
  </si>
  <si>
    <t>Alimentation Kabila SARL</t>
  </si>
  <si>
    <t>C0154_Négoce_Kamga_SARLU.xlsx</t>
  </si>
  <si>
    <t>C0154</t>
  </si>
  <si>
    <t>Négoce Kamga SARLU</t>
  </si>
  <si>
    <t>C0155_Distribution_Owona_SA.xlsx</t>
  </si>
  <si>
    <t>C0155</t>
  </si>
  <si>
    <t>Distribution Owona SA</t>
  </si>
  <si>
    <t>C0156_Entreprise_Fotso_SA.xlsx</t>
  </si>
  <si>
    <t>C0156</t>
  </si>
  <si>
    <t>Entreprise Fotso SA</t>
  </si>
  <si>
    <t>C0157_Groupe_Moussavou.xlsx</t>
  </si>
  <si>
    <t>C0157</t>
  </si>
  <si>
    <t>Groupe Moussavou</t>
  </si>
  <si>
    <t>C0158_Négoce_Bakayoko_&amp;_Fils.xlsx</t>
  </si>
  <si>
    <t>C0158</t>
  </si>
  <si>
    <t>Négoce Bakayoko &amp; Fils</t>
  </si>
  <si>
    <t>C0159_Groupe_Ndiaye.xlsx</t>
  </si>
  <si>
    <t>C0159</t>
  </si>
  <si>
    <t>Groupe Ndiaye</t>
  </si>
  <si>
    <t>C0160_Maison_Mba_SARL.xlsx</t>
  </si>
  <si>
    <t>C0160</t>
  </si>
  <si>
    <t>Maison Mba SARL</t>
  </si>
  <si>
    <t>C0161_Négoce_Mba.xlsx</t>
  </si>
  <si>
    <t>C0161</t>
  </si>
  <si>
    <t>C0162_Groupe_Yao_SARLU.xlsx</t>
  </si>
  <si>
    <t>C0162</t>
  </si>
  <si>
    <t>Groupe Yao SARLU</t>
  </si>
  <si>
    <t>C0163_Négoce_Mba_SA.xlsx</t>
  </si>
  <si>
    <t>C0163</t>
  </si>
  <si>
    <t>Négoce Mba SA</t>
  </si>
  <si>
    <t>C0164_Distribution_Ntoutoume_Sarl.xlsx</t>
  </si>
  <si>
    <t>C0164</t>
  </si>
  <si>
    <t>Distribution Ntoutoume Sarl</t>
  </si>
  <si>
    <t>C0165_Alimentation_Kasongo_SA.xlsx</t>
  </si>
  <si>
    <t>C0165</t>
  </si>
  <si>
    <t>Alimentation Kasongo SA</t>
  </si>
  <si>
    <t>C0166_Distribution_Essomba_Sarl.xlsx</t>
  </si>
  <si>
    <t>C0166</t>
  </si>
  <si>
    <t>Distribution Essomba Sarl</t>
  </si>
  <si>
    <t>C0167_Ets_Atangana.xlsx</t>
  </si>
  <si>
    <t>C0167</t>
  </si>
  <si>
    <t>Ets Atangana</t>
  </si>
  <si>
    <t>C0168_Société_Tshibangu_SARLU.xlsx</t>
  </si>
  <si>
    <t>C0168</t>
  </si>
  <si>
    <t>Société Tshibangu SARLU</t>
  </si>
  <si>
    <t>C0169_Distribution_Mbarga.xlsx</t>
  </si>
  <si>
    <t>C0169</t>
  </si>
  <si>
    <t>Distribution Mbarga</t>
  </si>
  <si>
    <t>C0170_Ets_Traoré.xlsx</t>
  </si>
  <si>
    <t>C0170</t>
  </si>
  <si>
    <t>Ets Traoré</t>
  </si>
  <si>
    <t>C0171_Entreprise_Koffi_SARLU.xlsx</t>
  </si>
  <si>
    <t>C0171</t>
  </si>
  <si>
    <t>Entreprise Koffi SARLU</t>
  </si>
  <si>
    <t>C0172_Entreprise_Biya_SA.xlsx</t>
  </si>
  <si>
    <t>C0172</t>
  </si>
  <si>
    <t>Entreprise Biya SA</t>
  </si>
  <si>
    <t>C0173_Négoce_Kamga_SARL.xlsx</t>
  </si>
  <si>
    <t>C0173</t>
  </si>
  <si>
    <t>Négoce Kamga SARL</t>
  </si>
  <si>
    <t>C0174_Entreprise_Owona_Sarl.xlsx</t>
  </si>
  <si>
    <t>C0174</t>
  </si>
  <si>
    <t>Entreprise Owona Sarl</t>
  </si>
  <si>
    <t>C0175_Entreprise_Tshibangu_&amp;_Fils.xlsx</t>
  </si>
  <si>
    <t>C0175</t>
  </si>
  <si>
    <t>Entreprise Tshibangu &amp; Fils</t>
  </si>
  <si>
    <t>C0176_Distribution_Mwanza_Sarl.xlsx</t>
  </si>
  <si>
    <t>C0176</t>
  </si>
  <si>
    <t>Distribution Mwanza Sarl</t>
  </si>
  <si>
    <t>C0177_Ets_Bakayoko_SA.xlsx</t>
  </si>
  <si>
    <t>C0177</t>
  </si>
  <si>
    <t>Ets Bakayoko SA</t>
  </si>
  <si>
    <t>C0178_Société_Tchicaya_Sarl.xlsx</t>
  </si>
  <si>
    <t>C0178</t>
  </si>
  <si>
    <t>Société Tchicaya Sarl</t>
  </si>
  <si>
    <t>C0179_Établissements_Biya_Sarl.xlsx</t>
  </si>
  <si>
    <t>C0179</t>
  </si>
  <si>
    <t>Établissements Biya Sarl</t>
  </si>
  <si>
    <t>C0180_Entreprise_Bemba.xlsx</t>
  </si>
  <si>
    <t>C0180</t>
  </si>
  <si>
    <t>Entreprise Bemba</t>
  </si>
  <si>
    <t>C0181_Ets_Nzé_SA.xlsx</t>
  </si>
  <si>
    <t>C0181</t>
  </si>
  <si>
    <t>Ets Nzé SA</t>
  </si>
  <si>
    <t>C0182_Ets_Koffi_SA.xlsx</t>
  </si>
  <si>
    <t>C0182</t>
  </si>
  <si>
    <t>Ets Koffi SA</t>
  </si>
  <si>
    <t>C0183_Société_Mutombo_SA.xlsx</t>
  </si>
  <si>
    <t>C0183</t>
  </si>
  <si>
    <t>Société Mutombo SA</t>
  </si>
  <si>
    <t>C0184_Négoce_Mba.xlsx</t>
  </si>
  <si>
    <t>C0184</t>
  </si>
  <si>
    <t>C0185_Comptoir_Cissé_Sarl.xlsx</t>
  </si>
  <si>
    <t>C0185</t>
  </si>
  <si>
    <t>Comptoir Cissé Sarl</t>
  </si>
  <si>
    <t>C0186_Alimentation_Kalala_Sarl.xlsx</t>
  </si>
  <si>
    <t>C0186</t>
  </si>
  <si>
    <t>Alimentation Kalala Sarl</t>
  </si>
  <si>
    <t>C0187_Société_Mutombo_SARL.xlsx</t>
  </si>
  <si>
    <t>C0187</t>
  </si>
  <si>
    <t>Société Mutombo SARL</t>
  </si>
  <si>
    <t>C0188_Groupe_Fotso.xlsx</t>
  </si>
  <si>
    <t>C0188</t>
  </si>
  <si>
    <t>Groupe Fotso</t>
  </si>
  <si>
    <t>C0189_Établissements_Sarr_&amp;_Fils.xlsx</t>
  </si>
  <si>
    <t>C0189</t>
  </si>
  <si>
    <t>Établissements Sarr &amp; Fils</t>
  </si>
  <si>
    <t>C0190_Comptoir_Mba_&amp;_Fils.xlsx</t>
  </si>
  <si>
    <t>C0190</t>
  </si>
  <si>
    <t>Comptoir Mba &amp; Fils</t>
  </si>
  <si>
    <t>C0191_Maison_Tchicaya_Sarl.xlsx</t>
  </si>
  <si>
    <t>C0191</t>
  </si>
  <si>
    <t>Maison Tchicaya Sarl</t>
  </si>
  <si>
    <t>C0192_Groupe_Camara.xlsx</t>
  </si>
  <si>
    <t>C0192</t>
  </si>
  <si>
    <t>Groupe Camara</t>
  </si>
  <si>
    <t>C0193_Entreprise_Kouadio_SA.xlsx</t>
  </si>
  <si>
    <t>C0193</t>
  </si>
  <si>
    <t>Entreprise Kouadio SA</t>
  </si>
  <si>
    <t>C0194_Ets_Tshibangu_Sarl.xlsx</t>
  </si>
  <si>
    <t>C0194</t>
  </si>
  <si>
    <t>Ets Tshibangu Sarl</t>
  </si>
  <si>
    <t>C0195_Entreprise_Nzé_&amp;_Fils.xlsx</t>
  </si>
  <si>
    <t>C0195</t>
  </si>
  <si>
    <t>Entreprise Nzé &amp; Fils</t>
  </si>
  <si>
    <t>C0196_Alimentation_Tchicaya_Sarl.xlsx</t>
  </si>
  <si>
    <t>C0196</t>
  </si>
  <si>
    <t>Alimentation Tchicaya Sarl</t>
  </si>
  <si>
    <t>C0197_Maison_Ilunga.xlsx</t>
  </si>
  <si>
    <t>C0197</t>
  </si>
  <si>
    <t>Maison Ilunga</t>
  </si>
  <si>
    <t>C0198_Distribution_Bakayoko_SARLU.xlsx</t>
  </si>
  <si>
    <t>C0198</t>
  </si>
  <si>
    <t>Distribution Bakayoko SARLU</t>
  </si>
  <si>
    <t>C0199_Société_Kamga_SA.xlsx</t>
  </si>
  <si>
    <t>C0199</t>
  </si>
  <si>
    <t>Société Kamga SA</t>
  </si>
  <si>
    <t>C0200_Société_Moussavou_&amp;_Fils.xlsx</t>
  </si>
  <si>
    <t>C0200</t>
  </si>
  <si>
    <t>Société Moussavou &amp; Fils</t>
  </si>
  <si>
    <t>La consolidation — une ligne par ligne de commande</t>
  </si>
  <si>
    <t>5637 lignes, août 2026. Conversion ligne à ligne, au taux du mois de la devise de l'agence.</t>
  </si>
  <si>
    <t>Date</t>
  </si>
  <si>
    <t>Famille</t>
  </si>
  <si>
    <t>Produit</t>
  </si>
  <si>
    <t>Quantite</t>
  </si>
  <si>
    <t>PU_Local</t>
  </si>
  <si>
    <t>Montant_Local</t>
  </si>
  <si>
    <t>Taux</t>
  </si>
  <si>
    <t>Montant_USD</t>
  </si>
  <si>
    <t>Riz</t>
  </si>
  <si>
    <t>Riz parfumé 25 kg</t>
  </si>
  <si>
    <t>Farine</t>
  </si>
  <si>
    <t>Farine de blé 50 kg</t>
  </si>
  <si>
    <t>Savons</t>
  </si>
  <si>
    <t>Détergent lot 12</t>
  </si>
  <si>
    <t>Boissons</t>
  </si>
  <si>
    <t>Jus concentré pack 6</t>
  </si>
  <si>
    <t>Conserves</t>
  </si>
  <si>
    <t>Sardines 125 g</t>
  </si>
  <si>
    <t>Savon de ménage lot 24</t>
  </si>
  <si>
    <t>Boisson gazeuse pack 6</t>
  </si>
  <si>
    <t>Farine de maïs 25 kg</t>
  </si>
  <si>
    <t>Huiles</t>
  </si>
  <si>
    <t>Huile végétale 5 L</t>
  </si>
  <si>
    <t>Haricots 800 g</t>
  </si>
  <si>
    <t>Farine de manioc 5 kg</t>
  </si>
  <si>
    <t>Savon de toilette lot 48</t>
  </si>
  <si>
    <t>Tomate concentrée 400 g</t>
  </si>
  <si>
    <t>Eau minérale pack 6</t>
  </si>
  <si>
    <t>Riz étuvé 10 kg</t>
  </si>
  <si>
    <t>Riz brisé 50 kg</t>
  </si>
  <si>
    <t>Huile d'arachide 2 L</t>
  </si>
  <si>
    <t>Huile de palme 20 L</t>
  </si>
  <si>
    <t>Ce que la macro doit produire</t>
  </si>
  <si>
    <t>Douze rapports : six agences et six familles. Deux découpes du même total — et chacune doit se re-sommer au consolidé.</t>
  </si>
  <si>
    <t>Type</t>
  </si>
  <si>
    <t>Valeur</t>
  </si>
  <si>
    <t>Nom_Fichier</t>
  </si>
  <si>
    <t>2026-08_Agence_Kinshasa.pdf</t>
  </si>
  <si>
    <t>2026-08_Agence_Lubumbashi.pdf</t>
  </si>
  <si>
    <t>2026-08_Agence_Abidjan.pdf</t>
  </si>
  <si>
    <t>2026-08_Agence_Dakar.pdf</t>
  </si>
  <si>
    <t>2026-08_Agence_Douala.pdf</t>
  </si>
  <si>
    <t>2026-08_Agence_Libreville.pdf</t>
  </si>
  <si>
    <t>2026-08_Famille_Huiles.pdf</t>
  </si>
  <si>
    <t>2026-08_Famille_Riz.pdf</t>
  </si>
  <si>
    <t>2026-08_Famille_Farine.pdf</t>
  </si>
  <si>
    <t>2026-08_Famille_Boissons.pdf</t>
  </si>
  <si>
    <t>2026-08_Famille_Savons.pdf</t>
  </si>
  <si>
    <t>2026-08_Famille_Conserves.pdf</t>
  </si>
  <si>
    <t>Les paramètres d'exécution</t>
  </si>
  <si>
    <t>Dossier de sortie</t>
  </si>
  <si>
    <t>Rapports</t>
  </si>
  <si>
    <t>un sous-dossier du dossier de ce classeur — jamais un chemin absolu</t>
  </si>
  <si>
    <t>Période</t>
  </si>
  <si>
    <t>2026-08</t>
  </si>
  <si>
    <t>sert à nommer les fichiers</t>
  </si>
  <si>
    <t>Taux CDF</t>
  </si>
  <si>
    <t>figé pour le mois</t>
  </si>
  <si>
    <t>Taux XOF</t>
  </si>
  <si>
    <t>arrimé à l'euro</t>
  </si>
  <si>
    <t>Taux XAF</t>
  </si>
  <si>
    <t>même parité que le XOF — ce n'est pas une coquille</t>
  </si>
  <si>
    <t>BAOBAB — rapport de synthèse</t>
  </si>
  <si>
    <t>Août 2026</t>
  </si>
  <si>
    <t>Découpe</t>
  </si>
  <si>
    <t>← ces deux cellules sont écrites par la macro, à chaque tour</t>
  </si>
  <si>
    <t>Chiffre d'affaires</t>
  </si>
  <si>
    <t>Lignes de commande</t>
  </si>
  <si>
    <t>Quantité totale</t>
  </si>
  <si>
    <t>Panier moyen par ligne</t>
  </si>
  <si>
    <t>Part du consolidé</t>
  </si>
  <si>
    <t>Le détail</t>
  </si>
  <si>
    <t>Ligne</t>
  </si>
  <si>
    <t>Part</t>
  </si>
  <si>
    <t>Total</t>
  </si>
  <si>
    <t>Le journal d'exécution</t>
  </si>
  <si>
    <t>Une ligne par rapport produit. Une macro qui ne laisse pas de trace est une macro dont on ne peut rien dire le lendemain.</t>
  </si>
  <si>
    <t>Horodatage</t>
  </si>
  <si>
    <t>Statut</t>
  </si>
  <si>
    <t>Message</t>
  </si>
  <si>
    <t>OK</t>
  </si>
  <si>
    <t>Contrôles de qualité</t>
  </si>
  <si>
    <t>Sept contrôles, à passer avant d'envoyer quoi que ce soit. Ils se relancent tout seuls le mois prochain.</t>
  </si>
  <si>
    <t>Contrôle</t>
  </si>
  <si>
    <t>Ce que ça veut dire</t>
  </si>
  <si>
    <t>Classeurs manquants  ·  doit valoir 0</t>
  </si>
  <si>
    <t>deux cents fichiers reçus, deux cents fichiers lus</t>
  </si>
  <si>
    <t>Fichiers vides portant quand même un total  ·  doit valoir 0</t>
  </si>
  <si>
    <t>un fichier sans ligne doit totaliser zéro, pas « rien »</t>
  </si>
  <si>
    <t>Montants négatifs dans le consolidé  ·  doit valoir 0</t>
  </si>
  <si>
    <t>un avoir existe, mais il ne se glisse pas ici sans qu'on le sache</t>
  </si>
  <si>
    <t>Lignes sans agence  ·  doit valoir 0</t>
  </si>
  <si>
    <t>une ligne orpheline ne sortira dans aucun des douze rapports</t>
  </si>
  <si>
    <t>Rapports attendus manquants  ·  doit valoir 0</t>
  </si>
  <si>
    <t>six agences et six familles</t>
  </si>
  <si>
    <t>Le journal contient-il un échec ?</t>
  </si>
  <si>
    <t>un seul KO interdit l'envoi — même si onze PDF sont justes</t>
  </si>
  <si>
    <t>La réconciliation passe-t-elle ?</t>
  </si>
  <si>
    <t>c'est le contrôle qui vaut tous les autres</t>
  </si>
  <si>
    <t>TP 10 — Le lundi matin d'Aïcha</t>
  </si>
  <si>
    <t>Les deux premières se lisent après avoir lancé la macro. Les autres se calculent, et elles se calculent même si la macro n'a pas encore tourné.</t>
  </si>
  <si>
    <t>①  CE QUE VOUS LISEZ APRÈS EXÉCUTION</t>
  </si>
  <si>
    <t>Durée d'exécution de la macro, en secondes</t>
  </si>
  <si>
    <t>Nombre de PDF réellement présents dans le dossier de sortie</t>
  </si>
  <si>
    <t>②  CE QUE LES FORMULES VÉRIFIENT</t>
  </si>
  <si>
    <t>Nombre de classeurs clients reçus</t>
  </si>
  <si>
    <t>Nombre de classeurs vides</t>
  </si>
  <si>
    <t>Nombre de classeurs porteurs d'une anomalie</t>
  </si>
  <si>
    <t>Nombre de clients ayant commandé</t>
  </si>
  <si>
    <t>Nombre de lignes consolidées</t>
  </si>
  <si>
    <t>Total consolidé, en USD</t>
  </si>
  <si>
    <t>R_ECART_SOURCES — consolidé moins récapitulatif  ·  doit valoir 0</t>
  </si>
  <si>
    <t>Écart entre les deux méthodes de conversion</t>
  </si>
  <si>
    <t>Nombre de rapports à produire</t>
  </si>
  <si>
    <t>Somme des six rapports d'agence</t>
  </si>
  <si>
    <t>R_ECART_AGENCES — la découpe par agence  ·  doit valoir 0</t>
  </si>
  <si>
    <t>R_ECART_FAMILLES — la découpe par famille  ·  doit valoir 0</t>
  </si>
  <si>
    <t>Rapports effectivement produits, d'après le journal</t>
  </si>
  <si>
    <t>Le plus gros client du mois, en USD</t>
  </si>
  <si>
    <t>Son nom</t>
  </si>
  <si>
    <t>Clients au-dessus de 20 000 USD sur le mois</t>
  </si>
  <si>
    <t>R_CONTROLE — quantité × prix moins le montant  ·  doit valoir 0</t>
  </si>
  <si>
    <t>ANNEXE_IA</t>
  </si>
  <si>
    <t>Le prompt qui a produit la macro</t>
  </si>
  <si>
    <t>Ce que vous avez demandé, mot pour mot.</t>
  </si>
  <si>
    <t>Ce que l'IA a écrit et qui était faux</t>
  </si>
  <si>
    <t>Décrivez précisément l'erreur, et comment vous l'avez vue.</t>
  </si>
  <si>
    <t>Le V qui l'a attrapée</t>
  </si>
  <si>
    <t>V1 source · V2 calcul · V3 cohérence · V4 terrain · V5 lisibilité.</t>
  </si>
  <si>
    <t>Ce que vous avez corrigé dans le code</t>
  </si>
  <si>
    <t>Ligne par ligne, ce qui a changé et pourquoi.</t>
  </si>
  <si>
    <t>Ce que vous n'avez pas suivi</t>
  </si>
  <si>
    <t>Une suggestion de l'IA que vous avez écartée, et pourquoi.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</si>
</sst>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quot;USD&quot;"/>
    <numFmt numFmtId="167" formatCode="dd/mm/yyyy\ hh:mm:ss"/>
    <numFmt numFmtId="168" formatCode="0.0"/>
  </numFmts>
  <fonts count="7" x14ac:knownFonts="1">
    <font>
      <sz val="11"/>
      <color theme="1"/>
      <name val="Calibri"/>
      <family val="2"/>
      <scheme val="minor"/>
    </font>
    <font>
      <b/>
      <sz val="14"/>
      <name val="Calibri"/>
      <family val="2"/>
    </font>
    <font>
      <b/>
      <sz val="11"/>
      <name val="Calibri"/>
      <family val="2"/>
    </font>
    <font>
      <i/>
      <sz val="10"/>
      <color rgb="FF6B7280"/>
      <name val="Calibri"/>
      <family val="2"/>
    </font>
    <font>
      <b/>
      <sz val="11"/>
      <color rgb="FFFFFFFF"/>
      <name val="Calibri"/>
      <family val="2"/>
    </font>
    <font>
      <sz val="11"/>
      <color rgb="FF000000"/>
      <name val="Calibri"/>
      <family val="2"/>
    </font>
    <font>
      <sz val="11"/>
      <color rgb="FF0000FF"/>
      <name val="Calibri"/>
      <family val="2"/>
    </font>
  </fonts>
  <fills count="5">
    <fill>
      <patternFill patternType="none"/>
    </fill>
    <fill>
      <patternFill patternType="gray125"/>
    </fill>
    <fill>
      <patternFill patternType="solid">
        <fgColor rgb="FF243044"/>
      </patternFill>
    </fill>
    <fill>
      <patternFill patternType="solid">
        <fgColor rgb="FFFFF6D8"/>
      </patternFill>
    </fill>
    <fill>
      <patternFill patternType="solid">
        <fgColor rgb="FFEFF4FE"/>
      </patternFill>
    </fill>
  </fills>
  <borders count="2">
    <border>
      <left/>
      <right/>
      <top/>
      <bottom/>
      <diagonal/>
    </border>
    <border>
      <left/>
      <right/>
      <top/>
      <bottom style="thin">
        <color rgb="FFD6DBE1"/>
      </bottom>
      <diagonal/>
    </border>
  </borders>
  <cellStyleXfs count="1">
    <xf numFmtId="0" fontId="0" fillId="0" borderId="0"/>
  </cellStyleXfs>
  <cellXfs count="28">
    <xf numFmtId="0" fontId="0" fillId="0" borderId="0" xfId="0"/>
    <xf numFmtId="0" fontId="1" fillId="0" borderId="0" xfId="0" applyFont="1"/>
    <xf numFmtId="0" fontId="2" fillId="0" borderId="1" xfId="0" applyFont="1" applyBorder="1"/>
    <xf numFmtId="0" fontId="0" fillId="0" borderId="1" xfId="0" applyBorder="1" applyAlignment="1">
      <alignment vertical="top" wrapText="1"/>
    </xf>
    <xf numFmtId="0" fontId="3" fillId="0" borderId="0" xfId="0" applyFont="1"/>
    <xf numFmtId="0" fontId="4" fillId="2" borderId="0" xfId="0" applyFont="1" applyFill="1" applyAlignment="1">
      <alignment horizontal="left" vertical="center"/>
    </xf>
    <xf numFmtId="0" fontId="0" fillId="0" borderId="1" xfId="0" applyBorder="1"/>
    <xf numFmtId="3" fontId="0" fillId="0" borderId="1" xfId="0" applyNumberFormat="1" applyBorder="1"/>
    <xf numFmtId="164" fontId="0" fillId="0" borderId="1" xfId="0" applyNumberFormat="1" applyBorder="1"/>
    <xf numFmtId="14" fontId="0" fillId="0" borderId="0" xfId="0" applyNumberFormat="1"/>
    <xf numFmtId="3" fontId="0" fillId="0" borderId="0" xfId="0" applyNumberFormat="1"/>
    <xf numFmtId="4" fontId="0" fillId="0" borderId="0" xfId="0" applyNumberFormat="1"/>
    <xf numFmtId="164" fontId="0" fillId="0" borderId="0" xfId="0" applyNumberFormat="1"/>
    <xf numFmtId="164" fontId="5" fillId="3" borderId="1" xfId="0" applyNumberFormat="1" applyFont="1" applyFill="1" applyBorder="1"/>
    <xf numFmtId="0" fontId="2" fillId="0" borderId="0" xfId="0" applyFont="1"/>
    <xf numFmtId="0" fontId="6" fillId="4" borderId="1" xfId="0" applyFont="1" applyFill="1" applyBorder="1"/>
    <xf numFmtId="4" fontId="6" fillId="4" borderId="1" xfId="0" applyNumberFormat="1" applyFont="1" applyFill="1" applyBorder="1"/>
    <xf numFmtId="164" fontId="5" fillId="0" borderId="1" xfId="0" applyNumberFormat="1" applyFont="1" applyBorder="1"/>
    <xf numFmtId="3" fontId="5" fillId="0" borderId="1" xfId="0" applyNumberFormat="1" applyFont="1" applyBorder="1"/>
    <xf numFmtId="10" fontId="5" fillId="0" borderId="1" xfId="0" applyNumberFormat="1" applyFont="1" applyBorder="1"/>
    <xf numFmtId="0" fontId="5" fillId="0" borderId="1" xfId="0" applyFont="1" applyBorder="1"/>
    <xf numFmtId="164" fontId="2" fillId="0" borderId="0" xfId="0" applyNumberFormat="1" applyFont="1"/>
    <xf numFmtId="3" fontId="2" fillId="0" borderId="0" xfId="0" applyNumberFormat="1" applyFont="1"/>
    <xf numFmtId="167" fontId="0" fillId="0" borderId="1" xfId="0" applyNumberFormat="1" applyBorder="1"/>
    <xf numFmtId="3" fontId="5" fillId="3" borderId="1" xfId="0" applyNumberFormat="1" applyFont="1" applyFill="1" applyBorder="1"/>
    <xf numFmtId="0" fontId="5" fillId="3" borderId="1" xfId="0" applyFont="1" applyFill="1" applyBorder="1"/>
    <xf numFmtId="168" fontId="6" fillId="3" borderId="1" xfId="0" applyNumberFormat="1" applyFont="1" applyFill="1" applyBorder="1"/>
    <xf numFmtId="3" fontId="6" fillId="3" borderId="1" xfId="0" applyNumberFormat="1"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Sources" displayName="t_Sources" ref="A4:J204">
  <autoFilter ref="A4:J204" xr:uid="{00000000-0009-0000-0100-000001000000}"/>
  <tableColumns count="10">
    <tableColumn id="1" xr3:uid="{00000000-0010-0000-0000-000001000000}" name="Fichier"/>
    <tableColumn id="2" xr3:uid="{00000000-0010-0000-0000-000002000000}" name="Code_Client"/>
    <tableColumn id="3" xr3:uid="{00000000-0010-0000-0000-000003000000}" name="Client"/>
    <tableColumn id="4" xr3:uid="{00000000-0010-0000-0000-000004000000}" name="Agence"/>
    <tableColumn id="5" xr3:uid="{00000000-0010-0000-0000-000005000000}" name="Devise"/>
    <tableColumn id="6" xr3:uid="{00000000-0010-0000-0000-000006000000}" name="Lignes"/>
    <tableColumn id="7" xr3:uid="{00000000-0010-0000-0000-000007000000}" name="Total_Local"/>
    <tableColumn id="8" xr3:uid="{00000000-0010-0000-0000-000008000000}" name="Total_USD"/>
    <tableColumn id="9" xr3:uid="{00000000-0010-0000-0000-000009000000}" name="Total_USD_direct"/>
    <tableColumn id="10" xr3:uid="{00000000-0010-0000-0000-00000A000000}" name="Anomali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Ventes" displayName="t_Ventes" ref="A4:L5641">
  <autoFilter ref="A4:L5641" xr:uid="{00000000-0009-0000-0100-000002000000}"/>
  <tableColumns count="12">
    <tableColumn id="1" xr3:uid="{00000000-0010-0000-0100-000001000000}" name="Date"/>
    <tableColumn id="2" xr3:uid="{00000000-0010-0000-0100-000002000000}" name="Code_Client"/>
    <tableColumn id="3" xr3:uid="{00000000-0010-0000-0100-000003000000}" name="Client"/>
    <tableColumn id="4" xr3:uid="{00000000-0010-0000-0100-000004000000}" name="Agence"/>
    <tableColumn id="5" xr3:uid="{00000000-0010-0000-0100-000005000000}" name="Famille"/>
    <tableColumn id="6" xr3:uid="{00000000-0010-0000-0100-000006000000}" name="Produit"/>
    <tableColumn id="7" xr3:uid="{00000000-0010-0000-0100-000007000000}" name="Quantite"/>
    <tableColumn id="8" xr3:uid="{00000000-0010-0000-0100-000008000000}" name="PU_Local"/>
    <tableColumn id="9" xr3:uid="{00000000-0010-0000-0100-000009000000}" name="Montant_Local"/>
    <tableColumn id="10" xr3:uid="{00000000-0010-0000-0100-00000A000000}" name="Devise"/>
    <tableColumn id="11" xr3:uid="{00000000-0010-0000-0100-00000B000000}" name="Taux"/>
    <tableColumn id="12" xr3:uid="{00000000-0010-0000-0100-00000C000000}" name="Montant_US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_Rapports" displayName="t_Rapports" ref="A4:D16">
  <autoFilter ref="A4:D16" xr:uid="{00000000-0009-0000-0100-000003000000}"/>
  <tableColumns count="4">
    <tableColumn id="1" xr3:uid="{00000000-0010-0000-0200-000001000000}" name="Type"/>
    <tableColumn id="2" xr3:uid="{00000000-0010-0000-0200-000002000000}" name="Valeur"/>
    <tableColumn id="3" xr3:uid="{00000000-0010-0000-0200-000003000000}" name="Nom_Fichier"/>
    <tableColumn id="4" xr3:uid="{00000000-0010-0000-0200-000004000000}" name="Total_US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_Journal" displayName="t_Journal" ref="A4:F16">
  <autoFilter ref="A4:F16" xr:uid="{00000000-0009-0000-0100-000004000000}"/>
  <tableColumns count="6">
    <tableColumn id="1" xr3:uid="{00000000-0010-0000-0300-000001000000}" name="Horodatage"/>
    <tableColumn id="2" xr3:uid="{00000000-0010-0000-0300-000002000000}" name="Fichier"/>
    <tableColumn id="3" xr3:uid="{00000000-0010-0000-0300-000003000000}" name="Statut"/>
    <tableColumn id="4" xr3:uid="{00000000-0010-0000-0300-000004000000}" name="Lignes"/>
    <tableColumn id="5" xr3:uid="{00000000-0010-0000-0300-000005000000}" name="Total_USD"/>
    <tableColumn id="6" xr3:uid="{00000000-0010-0000-0300-000006000000}" name="Messag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tabSelected="1" workbookViewId="0"/>
  </sheetViews>
  <sheetFormatPr baseColWidth="10" defaultColWidth="8.83203125" defaultRowHeight="15" x14ac:dyDescent="0.2"/>
  <cols>
    <col min="1" max="1" width="32" customWidth="1"/>
    <col min="2" max="2" width="102" customWidth="1"/>
  </cols>
  <sheetData>
    <row r="1" spans="1:2" ht="19" x14ac:dyDescent="0.25">
      <c r="A1" s="1" t="s">
        <v>0</v>
      </c>
    </row>
    <row r="3" spans="1:2" ht="48" customHeight="1" x14ac:dyDescent="0.2">
      <c r="A3" s="2" t="s">
        <v>1</v>
      </c>
      <c r="B3" s="3" t="s">
        <v>2</v>
      </c>
    </row>
    <row r="4" spans="1:2" ht="48" customHeight="1" x14ac:dyDescent="0.2">
      <c r="A4" s="2" t="s">
        <v>3</v>
      </c>
      <c r="B4" s="3" t="s">
        <v>4</v>
      </c>
    </row>
    <row r="5" spans="1:2" ht="48" customHeight="1" x14ac:dyDescent="0.2">
      <c r="A5" s="2" t="s">
        <v>5</v>
      </c>
      <c r="B5" s="3" t="s">
        <v>6</v>
      </c>
    </row>
    <row r="6" spans="1:2" ht="48" customHeight="1" x14ac:dyDescent="0.2">
      <c r="A6" s="2" t="s">
        <v>7</v>
      </c>
      <c r="B6" s="3" t="s">
        <v>8</v>
      </c>
    </row>
    <row r="7" spans="1:2" ht="48" customHeight="1" x14ac:dyDescent="0.2">
      <c r="A7" s="2" t="s">
        <v>9</v>
      </c>
      <c r="B7" s="3" t="s">
        <v>10</v>
      </c>
    </row>
    <row r="8" spans="1:2" ht="48" customHeight="1" x14ac:dyDescent="0.2">
      <c r="A8" s="2" t="s">
        <v>11</v>
      </c>
      <c r="B8" s="3" t="s">
        <v>12</v>
      </c>
    </row>
    <row r="9" spans="1:2" ht="48" customHeight="1" x14ac:dyDescent="0.2">
      <c r="A9" s="2" t="s">
        <v>13</v>
      </c>
      <c r="B9" s="3" t="s">
        <v>14</v>
      </c>
    </row>
    <row r="10" spans="1:2" ht="48" customHeight="1" x14ac:dyDescent="0.2">
      <c r="A10" s="2" t="s">
        <v>15</v>
      </c>
      <c r="B10" s="3" t="s">
        <v>16</v>
      </c>
    </row>
    <row r="11" spans="1:2" ht="48" customHeight="1" x14ac:dyDescent="0.2">
      <c r="A11" s="2" t="s">
        <v>17</v>
      </c>
      <c r="B11" s="3" t="s">
        <v>18</v>
      </c>
    </row>
    <row r="12" spans="1:2" ht="48" customHeight="1" x14ac:dyDescent="0.2">
      <c r="A12" s="2" t="s">
        <v>19</v>
      </c>
      <c r="B12" s="3"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04"/>
  <sheetViews>
    <sheetView workbookViewId="0"/>
  </sheetViews>
  <sheetFormatPr baseColWidth="10" defaultColWidth="8.83203125" defaultRowHeight="15" x14ac:dyDescent="0.2"/>
  <cols>
    <col min="1" max="1" width="34" customWidth="1"/>
    <col min="2" max="2" width="13" customWidth="1"/>
    <col min="3" max="3" width="30" customWidth="1"/>
    <col min="4" max="4" width="14" customWidth="1"/>
    <col min="5" max="6" width="9" customWidth="1"/>
    <col min="7" max="7" width="16" customWidth="1"/>
    <col min="8" max="8" width="15" customWidth="1"/>
    <col min="9" max="9" width="17" customWidth="1"/>
    <col min="10" max="10" width="30" customWidth="1"/>
  </cols>
  <sheetData>
    <row r="1" spans="1:10" ht="19" x14ac:dyDescent="0.25">
      <c r="A1" s="1" t="s">
        <v>21</v>
      </c>
    </row>
    <row r="2" spans="1:10" x14ac:dyDescent="0.2">
      <c r="A2" s="4" t="s">
        <v>22</v>
      </c>
    </row>
    <row r="4" spans="1:10" ht="22" customHeight="1" x14ac:dyDescent="0.2">
      <c r="A4" s="5" t="s">
        <v>23</v>
      </c>
      <c r="B4" s="5" t="s">
        <v>24</v>
      </c>
      <c r="C4" s="5" t="s">
        <v>25</v>
      </c>
      <c r="D4" s="5" t="s">
        <v>26</v>
      </c>
      <c r="E4" s="5" t="s">
        <v>27</v>
      </c>
      <c r="F4" s="5" t="s">
        <v>28</v>
      </c>
      <c r="G4" s="5" t="s">
        <v>29</v>
      </c>
      <c r="H4" s="5" t="s">
        <v>30</v>
      </c>
      <c r="I4" s="5" t="s">
        <v>31</v>
      </c>
      <c r="J4" s="5" t="s">
        <v>32</v>
      </c>
    </row>
    <row r="5" spans="1:10" x14ac:dyDescent="0.2">
      <c r="A5" s="6" t="s">
        <v>33</v>
      </c>
      <c r="B5" s="6" t="s">
        <v>34</v>
      </c>
      <c r="C5" s="6" t="s">
        <v>35</v>
      </c>
      <c r="D5" s="6" t="s">
        <v>36</v>
      </c>
      <c r="E5" s="6" t="s">
        <v>37</v>
      </c>
      <c r="F5" s="7">
        <v>25</v>
      </c>
      <c r="G5" s="7">
        <v>4204806</v>
      </c>
      <c r="H5" s="8">
        <v>6486.91</v>
      </c>
      <c r="I5" s="8">
        <v>6486.9</v>
      </c>
      <c r="J5" s="6"/>
    </row>
    <row r="6" spans="1:10" x14ac:dyDescent="0.2">
      <c r="A6" s="6" t="s">
        <v>38</v>
      </c>
      <c r="B6" s="6" t="s">
        <v>39</v>
      </c>
      <c r="C6" s="6" t="s">
        <v>40</v>
      </c>
      <c r="D6" s="6" t="s">
        <v>41</v>
      </c>
      <c r="E6" s="6" t="s">
        <v>42</v>
      </c>
      <c r="F6" s="7">
        <v>16</v>
      </c>
      <c r="G6" s="7">
        <v>3060274</v>
      </c>
      <c r="H6" s="8">
        <v>972.8</v>
      </c>
      <c r="I6" s="8">
        <v>972.81</v>
      </c>
      <c r="J6" s="6"/>
    </row>
    <row r="7" spans="1:10" x14ac:dyDescent="0.2">
      <c r="A7" s="6" t="s">
        <v>43</v>
      </c>
      <c r="B7" s="6" t="s">
        <v>44</v>
      </c>
      <c r="C7" s="6" t="s">
        <v>45</v>
      </c>
      <c r="D7" s="6" t="s">
        <v>46</v>
      </c>
      <c r="E7" s="6" t="s">
        <v>37</v>
      </c>
      <c r="F7" s="7">
        <v>27</v>
      </c>
      <c r="G7" s="7">
        <v>4055570</v>
      </c>
      <c r="H7" s="8">
        <v>6256.66</v>
      </c>
      <c r="I7" s="8">
        <v>6256.66</v>
      </c>
      <c r="J7" s="6"/>
    </row>
    <row r="8" spans="1:10" x14ac:dyDescent="0.2">
      <c r="A8" s="6" t="s">
        <v>47</v>
      </c>
      <c r="B8" s="6" t="s">
        <v>48</v>
      </c>
      <c r="C8" s="6" t="s">
        <v>49</v>
      </c>
      <c r="D8" s="6" t="s">
        <v>50</v>
      </c>
      <c r="E8" s="6" t="s">
        <v>51</v>
      </c>
      <c r="F8" s="7">
        <v>16</v>
      </c>
      <c r="G8" s="7">
        <v>1198497</v>
      </c>
      <c r="H8" s="8">
        <v>1848.97</v>
      </c>
      <c r="I8" s="8">
        <v>1848.96</v>
      </c>
      <c r="J8" s="6"/>
    </row>
    <row r="9" spans="1:10" x14ac:dyDescent="0.2">
      <c r="A9" s="6" t="s">
        <v>52</v>
      </c>
      <c r="B9" s="6" t="s">
        <v>53</v>
      </c>
      <c r="C9" s="6" t="s">
        <v>54</v>
      </c>
      <c r="D9" s="6" t="s">
        <v>41</v>
      </c>
      <c r="E9" s="6" t="s">
        <v>42</v>
      </c>
      <c r="F9" s="7">
        <v>20</v>
      </c>
      <c r="G9" s="7">
        <v>15162088</v>
      </c>
      <c r="H9" s="8">
        <v>4819.7700000000004</v>
      </c>
      <c r="I9" s="8">
        <v>4819.79</v>
      </c>
      <c r="J9" s="6"/>
    </row>
    <row r="10" spans="1:10" x14ac:dyDescent="0.2">
      <c r="A10" s="6" t="s">
        <v>55</v>
      </c>
      <c r="B10" s="6" t="s">
        <v>56</v>
      </c>
      <c r="C10" s="6" t="s">
        <v>57</v>
      </c>
      <c r="D10" s="6" t="s">
        <v>46</v>
      </c>
      <c r="E10" s="6" t="s">
        <v>37</v>
      </c>
      <c r="F10" s="7">
        <v>28</v>
      </c>
      <c r="G10" s="7">
        <v>2342018</v>
      </c>
      <c r="H10" s="8">
        <v>3613.07</v>
      </c>
      <c r="I10" s="8">
        <v>3613.11</v>
      </c>
      <c r="J10" s="6" t="s">
        <v>58</v>
      </c>
    </row>
    <row r="11" spans="1:10" x14ac:dyDescent="0.2">
      <c r="A11" s="6" t="s">
        <v>59</v>
      </c>
      <c r="B11" s="6" t="s">
        <v>60</v>
      </c>
      <c r="C11" s="6" t="s">
        <v>61</v>
      </c>
      <c r="D11" s="6" t="s">
        <v>41</v>
      </c>
      <c r="E11" s="6" t="s">
        <v>42</v>
      </c>
      <c r="F11" s="7">
        <v>17</v>
      </c>
      <c r="G11" s="7">
        <v>9397570</v>
      </c>
      <c r="H11" s="8">
        <v>2987.34</v>
      </c>
      <c r="I11" s="8">
        <v>2987.34</v>
      </c>
      <c r="J11" s="6"/>
    </row>
    <row r="12" spans="1:10" x14ac:dyDescent="0.2">
      <c r="A12" s="6" t="s">
        <v>62</v>
      </c>
      <c r="B12" s="6" t="s">
        <v>63</v>
      </c>
      <c r="C12" s="6" t="s">
        <v>64</v>
      </c>
      <c r="D12" s="6" t="s">
        <v>50</v>
      </c>
      <c r="E12" s="6" t="s">
        <v>51</v>
      </c>
      <c r="F12" s="7">
        <v>27</v>
      </c>
      <c r="G12" s="7">
        <v>4045819</v>
      </c>
      <c r="H12" s="8">
        <v>6241.61</v>
      </c>
      <c r="I12" s="8">
        <v>6241.62</v>
      </c>
      <c r="J12" s="6"/>
    </row>
    <row r="13" spans="1:10" x14ac:dyDescent="0.2">
      <c r="A13" s="6" t="s">
        <v>65</v>
      </c>
      <c r="B13" s="6" t="s">
        <v>66</v>
      </c>
      <c r="C13" s="6" t="s">
        <v>67</v>
      </c>
      <c r="D13" s="6" t="s">
        <v>68</v>
      </c>
      <c r="E13" s="6" t="s">
        <v>51</v>
      </c>
      <c r="F13" s="7">
        <v>14</v>
      </c>
      <c r="G13" s="7">
        <v>4601156</v>
      </c>
      <c r="H13" s="8">
        <v>7098.35</v>
      </c>
      <c r="I13" s="8">
        <v>7098.36</v>
      </c>
      <c r="J13" s="6"/>
    </row>
    <row r="14" spans="1:10" x14ac:dyDescent="0.2">
      <c r="A14" s="6" t="s">
        <v>69</v>
      </c>
      <c r="B14" s="6" t="s">
        <v>70</v>
      </c>
      <c r="C14" s="6" t="s">
        <v>71</v>
      </c>
      <c r="D14" s="6" t="s">
        <v>46</v>
      </c>
      <c r="E14" s="6" t="s">
        <v>37</v>
      </c>
      <c r="F14" s="7">
        <v>11</v>
      </c>
      <c r="G14" s="7">
        <v>270124</v>
      </c>
      <c r="H14" s="8">
        <v>416.72</v>
      </c>
      <c r="I14" s="8">
        <v>416.73</v>
      </c>
      <c r="J14" s="6"/>
    </row>
    <row r="15" spans="1:10" x14ac:dyDescent="0.2">
      <c r="A15" s="6" t="s">
        <v>72</v>
      </c>
      <c r="B15" s="6" t="s">
        <v>73</v>
      </c>
      <c r="C15" s="6" t="s">
        <v>74</v>
      </c>
      <c r="D15" s="6" t="s">
        <v>75</v>
      </c>
      <c r="E15" s="6" t="s">
        <v>42</v>
      </c>
      <c r="F15" s="7">
        <v>68</v>
      </c>
      <c r="G15" s="7">
        <v>157512668</v>
      </c>
      <c r="H15" s="8">
        <v>50070.81</v>
      </c>
      <c r="I15" s="8">
        <v>50070.78</v>
      </c>
      <c r="J15" s="6"/>
    </row>
    <row r="16" spans="1:10" x14ac:dyDescent="0.2">
      <c r="A16" s="6" t="s">
        <v>76</v>
      </c>
      <c r="B16" s="6" t="s">
        <v>77</v>
      </c>
      <c r="C16" s="6" t="s">
        <v>78</v>
      </c>
      <c r="D16" s="6" t="s">
        <v>50</v>
      </c>
      <c r="E16" s="6" t="s">
        <v>51</v>
      </c>
      <c r="F16" s="7">
        <v>33</v>
      </c>
      <c r="G16" s="7">
        <v>7491053</v>
      </c>
      <c r="H16" s="8">
        <v>11556.7</v>
      </c>
      <c r="I16" s="8">
        <v>11556.7</v>
      </c>
      <c r="J16" s="6"/>
    </row>
    <row r="17" spans="1:10" x14ac:dyDescent="0.2">
      <c r="A17" s="6" t="s">
        <v>79</v>
      </c>
      <c r="B17" s="6" t="s">
        <v>80</v>
      </c>
      <c r="C17" s="6" t="s">
        <v>81</v>
      </c>
      <c r="D17" s="6" t="s">
        <v>46</v>
      </c>
      <c r="E17" s="6" t="s">
        <v>37</v>
      </c>
      <c r="F17" s="7">
        <v>16</v>
      </c>
      <c r="G17" s="7">
        <v>899933</v>
      </c>
      <c r="H17" s="8">
        <v>1388.36</v>
      </c>
      <c r="I17" s="8">
        <v>1388.36</v>
      </c>
      <c r="J17" s="6"/>
    </row>
    <row r="18" spans="1:10" x14ac:dyDescent="0.2">
      <c r="A18" s="6" t="s">
        <v>82</v>
      </c>
      <c r="B18" s="6" t="s">
        <v>83</v>
      </c>
      <c r="C18" s="6" t="s">
        <v>84</v>
      </c>
      <c r="D18" s="6" t="s">
        <v>41</v>
      </c>
      <c r="E18" s="6" t="s">
        <v>42</v>
      </c>
      <c r="F18" s="7">
        <v>24</v>
      </c>
      <c r="G18" s="7">
        <v>38886126</v>
      </c>
      <c r="H18" s="8">
        <v>12361.27</v>
      </c>
      <c r="I18" s="8">
        <v>12361.28</v>
      </c>
      <c r="J18" s="6"/>
    </row>
    <row r="19" spans="1:10" x14ac:dyDescent="0.2">
      <c r="A19" s="6" t="s">
        <v>85</v>
      </c>
      <c r="B19" s="6" t="s">
        <v>86</v>
      </c>
      <c r="C19" s="6" t="s">
        <v>87</v>
      </c>
      <c r="D19" s="6" t="s">
        <v>50</v>
      </c>
      <c r="E19" s="6" t="s">
        <v>51</v>
      </c>
      <c r="F19" s="7">
        <v>40</v>
      </c>
      <c r="G19" s="7">
        <v>4771986</v>
      </c>
      <c r="H19" s="8">
        <v>7361.89</v>
      </c>
      <c r="I19" s="8">
        <v>7361.9</v>
      </c>
      <c r="J19" s="6"/>
    </row>
    <row r="20" spans="1:10" x14ac:dyDescent="0.2">
      <c r="A20" s="6" t="s">
        <v>88</v>
      </c>
      <c r="B20" s="6" t="s">
        <v>89</v>
      </c>
      <c r="C20" s="6" t="s">
        <v>90</v>
      </c>
      <c r="D20" s="6" t="s">
        <v>68</v>
      </c>
      <c r="E20" s="6" t="s">
        <v>51</v>
      </c>
      <c r="F20" s="7">
        <v>27</v>
      </c>
      <c r="G20" s="7">
        <v>9497664</v>
      </c>
      <c r="H20" s="8">
        <v>14652.38</v>
      </c>
      <c r="I20" s="8">
        <v>14652.37</v>
      </c>
      <c r="J20" s="6"/>
    </row>
    <row r="21" spans="1:10" x14ac:dyDescent="0.2">
      <c r="A21" s="6" t="s">
        <v>91</v>
      </c>
      <c r="B21" s="6" t="s">
        <v>92</v>
      </c>
      <c r="C21" s="6" t="s">
        <v>93</v>
      </c>
      <c r="D21" s="6" t="s">
        <v>50</v>
      </c>
      <c r="E21" s="6" t="s">
        <v>51</v>
      </c>
      <c r="F21" s="7">
        <v>0</v>
      </c>
      <c r="G21" s="7">
        <v>0</v>
      </c>
      <c r="H21" s="8">
        <v>0</v>
      </c>
      <c r="I21" s="8">
        <v>0</v>
      </c>
      <c r="J21" s="6" t="s">
        <v>94</v>
      </c>
    </row>
    <row r="22" spans="1:10" x14ac:dyDescent="0.2">
      <c r="A22" s="6" t="s">
        <v>95</v>
      </c>
      <c r="B22" s="6" t="s">
        <v>96</v>
      </c>
      <c r="C22" s="6" t="s">
        <v>97</v>
      </c>
      <c r="D22" s="6" t="s">
        <v>41</v>
      </c>
      <c r="E22" s="6" t="s">
        <v>42</v>
      </c>
      <c r="F22" s="7">
        <v>23</v>
      </c>
      <c r="G22" s="7">
        <v>8887219</v>
      </c>
      <c r="H22" s="8">
        <v>2825.09</v>
      </c>
      <c r="I22" s="8">
        <v>2825.11</v>
      </c>
      <c r="J22" s="6"/>
    </row>
    <row r="23" spans="1:10" x14ac:dyDescent="0.2">
      <c r="A23" s="6" t="s">
        <v>98</v>
      </c>
      <c r="B23" s="6" t="s">
        <v>99</v>
      </c>
      <c r="C23" s="6" t="s">
        <v>100</v>
      </c>
      <c r="D23" s="6" t="s">
        <v>75</v>
      </c>
      <c r="E23" s="6" t="s">
        <v>42</v>
      </c>
      <c r="F23" s="7">
        <v>10</v>
      </c>
      <c r="G23" s="7">
        <v>2084579</v>
      </c>
      <c r="H23" s="8">
        <v>662.65</v>
      </c>
      <c r="I23" s="8">
        <v>662.65</v>
      </c>
      <c r="J23" s="6"/>
    </row>
    <row r="24" spans="1:10" x14ac:dyDescent="0.2">
      <c r="A24" s="6" t="s">
        <v>101</v>
      </c>
      <c r="B24" s="6" t="s">
        <v>102</v>
      </c>
      <c r="C24" s="6" t="s">
        <v>103</v>
      </c>
      <c r="D24" s="6" t="s">
        <v>41</v>
      </c>
      <c r="E24" s="6" t="s">
        <v>42</v>
      </c>
      <c r="F24" s="7">
        <v>22</v>
      </c>
      <c r="G24" s="7">
        <v>10179476</v>
      </c>
      <c r="H24" s="8">
        <v>3235.91</v>
      </c>
      <c r="I24" s="8">
        <v>3235.89</v>
      </c>
      <c r="J24" s="6"/>
    </row>
    <row r="25" spans="1:10" x14ac:dyDescent="0.2">
      <c r="A25" s="6" t="s">
        <v>104</v>
      </c>
      <c r="B25" s="6" t="s">
        <v>105</v>
      </c>
      <c r="C25" s="6" t="s">
        <v>106</v>
      </c>
      <c r="D25" s="6" t="s">
        <v>41</v>
      </c>
      <c r="E25" s="6" t="s">
        <v>42</v>
      </c>
      <c r="F25" s="7">
        <v>6</v>
      </c>
      <c r="G25" s="7">
        <v>1906207</v>
      </c>
      <c r="H25" s="8">
        <v>605.95000000000005</v>
      </c>
      <c r="I25" s="8">
        <v>605.95000000000005</v>
      </c>
      <c r="J25" s="6"/>
    </row>
    <row r="26" spans="1:10" x14ac:dyDescent="0.2">
      <c r="A26" s="6" t="s">
        <v>107</v>
      </c>
      <c r="B26" s="6" t="s">
        <v>108</v>
      </c>
      <c r="C26" s="6" t="s">
        <v>109</v>
      </c>
      <c r="D26" s="6" t="s">
        <v>36</v>
      </c>
      <c r="E26" s="6" t="s">
        <v>37</v>
      </c>
      <c r="F26" s="7">
        <v>18</v>
      </c>
      <c r="G26" s="7">
        <v>5144334</v>
      </c>
      <c r="H26" s="8">
        <v>7936.33</v>
      </c>
      <c r="I26" s="8">
        <v>7936.34</v>
      </c>
      <c r="J26" s="6"/>
    </row>
    <row r="27" spans="1:10" x14ac:dyDescent="0.2">
      <c r="A27" s="6" t="s">
        <v>110</v>
      </c>
      <c r="B27" s="6" t="s">
        <v>111</v>
      </c>
      <c r="C27" s="6" t="s">
        <v>112</v>
      </c>
      <c r="D27" s="6" t="s">
        <v>41</v>
      </c>
      <c r="E27" s="6" t="s">
        <v>42</v>
      </c>
      <c r="F27" s="7">
        <v>30</v>
      </c>
      <c r="G27" s="7">
        <v>37272791</v>
      </c>
      <c r="H27" s="8">
        <v>11848.43</v>
      </c>
      <c r="I27" s="8">
        <v>11848.43</v>
      </c>
      <c r="J27" s="6" t="s">
        <v>113</v>
      </c>
    </row>
    <row r="28" spans="1:10" x14ac:dyDescent="0.2">
      <c r="A28" s="6" t="s">
        <v>114</v>
      </c>
      <c r="B28" s="6" t="s">
        <v>115</v>
      </c>
      <c r="C28" s="6" t="s">
        <v>116</v>
      </c>
      <c r="D28" s="6" t="s">
        <v>41</v>
      </c>
      <c r="E28" s="6" t="s">
        <v>42</v>
      </c>
      <c r="F28" s="7">
        <v>51</v>
      </c>
      <c r="G28" s="7">
        <v>48484983</v>
      </c>
      <c r="H28" s="8">
        <v>15412.62</v>
      </c>
      <c r="I28" s="8">
        <v>15412.61</v>
      </c>
      <c r="J28" s="6"/>
    </row>
    <row r="29" spans="1:10" x14ac:dyDescent="0.2">
      <c r="A29" s="6" t="s">
        <v>117</v>
      </c>
      <c r="B29" s="6" t="s">
        <v>118</v>
      </c>
      <c r="C29" s="6" t="s">
        <v>119</v>
      </c>
      <c r="D29" s="6" t="s">
        <v>36</v>
      </c>
      <c r="E29" s="6" t="s">
        <v>37</v>
      </c>
      <c r="F29" s="7">
        <v>31</v>
      </c>
      <c r="G29" s="7">
        <v>8841255</v>
      </c>
      <c r="H29" s="8">
        <v>13639.72</v>
      </c>
      <c r="I29" s="8">
        <v>13639.7</v>
      </c>
      <c r="J29" s="6"/>
    </row>
    <row r="30" spans="1:10" x14ac:dyDescent="0.2">
      <c r="A30" s="6" t="s">
        <v>120</v>
      </c>
      <c r="B30" s="6" t="s">
        <v>121</v>
      </c>
      <c r="C30" s="6" t="s">
        <v>122</v>
      </c>
      <c r="D30" s="6" t="s">
        <v>75</v>
      </c>
      <c r="E30" s="6" t="s">
        <v>42</v>
      </c>
      <c r="F30" s="7">
        <v>34</v>
      </c>
      <c r="G30" s="7">
        <v>18561369</v>
      </c>
      <c r="H30" s="8">
        <v>5900.36</v>
      </c>
      <c r="I30" s="8">
        <v>5900.37</v>
      </c>
      <c r="J30" s="6"/>
    </row>
    <row r="31" spans="1:10" x14ac:dyDescent="0.2">
      <c r="A31" s="6" t="s">
        <v>123</v>
      </c>
      <c r="B31" s="6" t="s">
        <v>124</v>
      </c>
      <c r="C31" s="6" t="s">
        <v>125</v>
      </c>
      <c r="D31" s="6" t="s">
        <v>75</v>
      </c>
      <c r="E31" s="6" t="s">
        <v>42</v>
      </c>
      <c r="F31" s="7">
        <v>31</v>
      </c>
      <c r="G31" s="7">
        <v>15313519</v>
      </c>
      <c r="H31" s="8">
        <v>4867.92</v>
      </c>
      <c r="I31" s="8">
        <v>4867.93</v>
      </c>
      <c r="J31" s="6"/>
    </row>
    <row r="32" spans="1:10" x14ac:dyDescent="0.2">
      <c r="A32" s="6" t="s">
        <v>126</v>
      </c>
      <c r="B32" s="6" t="s">
        <v>127</v>
      </c>
      <c r="C32" s="6" t="s">
        <v>128</v>
      </c>
      <c r="D32" s="6" t="s">
        <v>41</v>
      </c>
      <c r="E32" s="6" t="s">
        <v>42</v>
      </c>
      <c r="F32" s="7">
        <v>20</v>
      </c>
      <c r="G32" s="7">
        <v>3386379</v>
      </c>
      <c r="H32" s="8">
        <v>1076.5</v>
      </c>
      <c r="I32" s="8">
        <v>1076.48</v>
      </c>
      <c r="J32" s="6"/>
    </row>
    <row r="33" spans="1:10" x14ac:dyDescent="0.2">
      <c r="A33" s="6" t="s">
        <v>129</v>
      </c>
      <c r="B33" s="6" t="s">
        <v>130</v>
      </c>
      <c r="C33" s="6" t="s">
        <v>131</v>
      </c>
      <c r="D33" s="6" t="s">
        <v>46</v>
      </c>
      <c r="E33" s="6" t="s">
        <v>37</v>
      </c>
      <c r="F33" s="7">
        <v>20</v>
      </c>
      <c r="G33" s="7">
        <v>1356123</v>
      </c>
      <c r="H33" s="8">
        <v>2092.16</v>
      </c>
      <c r="I33" s="8">
        <v>2092.14</v>
      </c>
      <c r="J33" s="6"/>
    </row>
    <row r="34" spans="1:10" x14ac:dyDescent="0.2">
      <c r="A34" s="6" t="s">
        <v>132</v>
      </c>
      <c r="B34" s="6" t="s">
        <v>133</v>
      </c>
      <c r="C34" s="6" t="s">
        <v>134</v>
      </c>
      <c r="D34" s="6" t="s">
        <v>41</v>
      </c>
      <c r="E34" s="6" t="s">
        <v>42</v>
      </c>
      <c r="F34" s="7">
        <v>13</v>
      </c>
      <c r="G34" s="7">
        <v>4183856</v>
      </c>
      <c r="H34" s="8">
        <v>1329.98</v>
      </c>
      <c r="I34" s="8">
        <v>1329.98</v>
      </c>
      <c r="J34" s="6"/>
    </row>
    <row r="35" spans="1:10" x14ac:dyDescent="0.2">
      <c r="A35" s="6" t="s">
        <v>135</v>
      </c>
      <c r="B35" s="6" t="s">
        <v>136</v>
      </c>
      <c r="C35" s="6" t="s">
        <v>137</v>
      </c>
      <c r="D35" s="6" t="s">
        <v>41</v>
      </c>
      <c r="E35" s="6" t="s">
        <v>42</v>
      </c>
      <c r="F35" s="7">
        <v>31</v>
      </c>
      <c r="G35" s="7">
        <v>28288261</v>
      </c>
      <c r="H35" s="8">
        <v>8992.39</v>
      </c>
      <c r="I35" s="8">
        <v>8992.39</v>
      </c>
      <c r="J35" s="6"/>
    </row>
    <row r="36" spans="1:10" x14ac:dyDescent="0.2">
      <c r="A36" s="6" t="s">
        <v>138</v>
      </c>
      <c r="B36" s="6" t="s">
        <v>139</v>
      </c>
      <c r="C36" s="6" t="s">
        <v>140</v>
      </c>
      <c r="D36" s="6" t="s">
        <v>75</v>
      </c>
      <c r="E36" s="6" t="s">
        <v>42</v>
      </c>
      <c r="F36" s="7">
        <v>8</v>
      </c>
      <c r="G36" s="7">
        <v>6184765</v>
      </c>
      <c r="H36" s="8">
        <v>1966.04</v>
      </c>
      <c r="I36" s="8">
        <v>1966.04</v>
      </c>
      <c r="J36" s="6"/>
    </row>
    <row r="37" spans="1:10" x14ac:dyDescent="0.2">
      <c r="A37" s="6" t="s">
        <v>141</v>
      </c>
      <c r="B37" s="6" t="s">
        <v>142</v>
      </c>
      <c r="C37" s="6" t="s">
        <v>143</v>
      </c>
      <c r="D37" s="6" t="s">
        <v>75</v>
      </c>
      <c r="E37" s="6" t="s">
        <v>42</v>
      </c>
      <c r="F37" s="7">
        <v>60</v>
      </c>
      <c r="G37" s="7">
        <v>50947033</v>
      </c>
      <c r="H37" s="8">
        <v>16195.2</v>
      </c>
      <c r="I37" s="8">
        <v>16195.25</v>
      </c>
      <c r="J37" s="6"/>
    </row>
    <row r="38" spans="1:10" x14ac:dyDescent="0.2">
      <c r="A38" s="6" t="s">
        <v>144</v>
      </c>
      <c r="B38" s="6" t="s">
        <v>145</v>
      </c>
      <c r="C38" s="6" t="s">
        <v>146</v>
      </c>
      <c r="D38" s="6" t="s">
        <v>68</v>
      </c>
      <c r="E38" s="6" t="s">
        <v>51</v>
      </c>
      <c r="F38" s="7">
        <v>23</v>
      </c>
      <c r="G38" s="7">
        <v>1284060</v>
      </c>
      <c r="H38" s="8">
        <v>1980.97</v>
      </c>
      <c r="I38" s="8">
        <v>1980.96</v>
      </c>
      <c r="J38" s="6" t="s">
        <v>147</v>
      </c>
    </row>
    <row r="39" spans="1:10" x14ac:dyDescent="0.2">
      <c r="A39" s="6" t="s">
        <v>148</v>
      </c>
      <c r="B39" s="6" t="s">
        <v>149</v>
      </c>
      <c r="C39" s="6" t="s">
        <v>150</v>
      </c>
      <c r="D39" s="6" t="s">
        <v>50</v>
      </c>
      <c r="E39" s="6" t="s">
        <v>51</v>
      </c>
      <c r="F39" s="7">
        <v>34</v>
      </c>
      <c r="G39" s="7">
        <v>3875864</v>
      </c>
      <c r="H39" s="8">
        <v>5979.38</v>
      </c>
      <c r="I39" s="8">
        <v>5979.43</v>
      </c>
      <c r="J39" s="6"/>
    </row>
    <row r="40" spans="1:10" x14ac:dyDescent="0.2">
      <c r="A40" s="6" t="s">
        <v>151</v>
      </c>
      <c r="B40" s="6" t="s">
        <v>152</v>
      </c>
      <c r="C40" s="6" t="s">
        <v>153</v>
      </c>
      <c r="D40" s="6" t="s">
        <v>75</v>
      </c>
      <c r="E40" s="6" t="s">
        <v>42</v>
      </c>
      <c r="F40" s="7">
        <v>13</v>
      </c>
      <c r="G40" s="7">
        <v>3760182</v>
      </c>
      <c r="H40" s="8">
        <v>1195.32</v>
      </c>
      <c r="I40" s="8">
        <v>1195.3</v>
      </c>
      <c r="J40" s="6"/>
    </row>
    <row r="41" spans="1:10" x14ac:dyDescent="0.2">
      <c r="A41" s="6" t="s">
        <v>154</v>
      </c>
      <c r="B41" s="6" t="s">
        <v>155</v>
      </c>
      <c r="C41" s="6" t="s">
        <v>156</v>
      </c>
      <c r="D41" s="6" t="s">
        <v>46</v>
      </c>
      <c r="E41" s="6" t="s">
        <v>37</v>
      </c>
      <c r="F41" s="7">
        <v>19</v>
      </c>
      <c r="G41" s="7">
        <v>1890848</v>
      </c>
      <c r="H41" s="8">
        <v>2917.05</v>
      </c>
      <c r="I41" s="8">
        <v>2917.07</v>
      </c>
      <c r="J41" s="6"/>
    </row>
    <row r="42" spans="1:10" x14ac:dyDescent="0.2">
      <c r="A42" s="6" t="s">
        <v>157</v>
      </c>
      <c r="B42" s="6" t="s">
        <v>158</v>
      </c>
      <c r="C42" s="6" t="s">
        <v>159</v>
      </c>
      <c r="D42" s="6" t="s">
        <v>41</v>
      </c>
      <c r="E42" s="6" t="s">
        <v>42</v>
      </c>
      <c r="F42" s="7">
        <v>30</v>
      </c>
      <c r="G42" s="7">
        <v>55944544</v>
      </c>
      <c r="H42" s="8">
        <v>17783.89</v>
      </c>
      <c r="I42" s="8">
        <v>17783.88</v>
      </c>
      <c r="J42" s="6"/>
    </row>
    <row r="43" spans="1:10" x14ac:dyDescent="0.2">
      <c r="A43" s="6" t="s">
        <v>160</v>
      </c>
      <c r="B43" s="6" t="s">
        <v>161</v>
      </c>
      <c r="C43" s="6" t="s">
        <v>67</v>
      </c>
      <c r="D43" s="6" t="s">
        <v>41</v>
      </c>
      <c r="E43" s="6" t="s">
        <v>42</v>
      </c>
      <c r="F43" s="7">
        <v>38</v>
      </c>
      <c r="G43" s="7">
        <v>32673501</v>
      </c>
      <c r="H43" s="8">
        <v>10386.39</v>
      </c>
      <c r="I43" s="8">
        <v>10386.39</v>
      </c>
      <c r="J43" s="6"/>
    </row>
    <row r="44" spans="1:10" x14ac:dyDescent="0.2">
      <c r="A44" s="6" t="s">
        <v>162</v>
      </c>
      <c r="B44" s="6" t="s">
        <v>163</v>
      </c>
      <c r="C44" s="6" t="s">
        <v>164</v>
      </c>
      <c r="D44" s="6" t="s">
        <v>41</v>
      </c>
      <c r="E44" s="6" t="s">
        <v>42</v>
      </c>
      <c r="F44" s="7">
        <v>35</v>
      </c>
      <c r="G44" s="7">
        <v>20270050</v>
      </c>
      <c r="H44" s="8">
        <v>6443.51</v>
      </c>
      <c r="I44" s="8">
        <v>6443.53</v>
      </c>
      <c r="J44" s="6"/>
    </row>
    <row r="45" spans="1:10" x14ac:dyDescent="0.2">
      <c r="A45" s="6" t="s">
        <v>165</v>
      </c>
      <c r="B45" s="6" t="s">
        <v>166</v>
      </c>
      <c r="C45" s="6" t="s">
        <v>167</v>
      </c>
      <c r="D45" s="6" t="s">
        <v>46</v>
      </c>
      <c r="E45" s="6" t="s">
        <v>37</v>
      </c>
      <c r="F45" s="7">
        <v>25</v>
      </c>
      <c r="G45" s="7">
        <v>869582</v>
      </c>
      <c r="H45" s="8">
        <v>1341.5</v>
      </c>
      <c r="I45" s="8">
        <v>1341.53</v>
      </c>
      <c r="J45" s="6" t="s">
        <v>58</v>
      </c>
    </row>
    <row r="46" spans="1:10" x14ac:dyDescent="0.2">
      <c r="A46" s="6" t="s">
        <v>168</v>
      </c>
      <c r="B46" s="6" t="s">
        <v>169</v>
      </c>
      <c r="C46" s="6" t="s">
        <v>170</v>
      </c>
      <c r="D46" s="6" t="s">
        <v>41</v>
      </c>
      <c r="E46" s="6" t="s">
        <v>42</v>
      </c>
      <c r="F46" s="7">
        <v>38</v>
      </c>
      <c r="G46" s="7">
        <v>36989854</v>
      </c>
      <c r="H46" s="8">
        <v>11758.5</v>
      </c>
      <c r="I46" s="8">
        <v>11758.49</v>
      </c>
      <c r="J46" s="6"/>
    </row>
    <row r="47" spans="1:10" x14ac:dyDescent="0.2">
      <c r="A47" s="6" t="s">
        <v>171</v>
      </c>
      <c r="B47" s="6" t="s">
        <v>172</v>
      </c>
      <c r="C47" s="6" t="s">
        <v>173</v>
      </c>
      <c r="D47" s="6" t="s">
        <v>41</v>
      </c>
      <c r="E47" s="6" t="s">
        <v>42</v>
      </c>
      <c r="F47" s="7">
        <v>11</v>
      </c>
      <c r="G47" s="7">
        <v>2117750</v>
      </c>
      <c r="H47" s="8">
        <v>673.19</v>
      </c>
      <c r="I47" s="8">
        <v>673.2</v>
      </c>
      <c r="J47" s="6"/>
    </row>
    <row r="48" spans="1:10" x14ac:dyDescent="0.2">
      <c r="A48" s="6" t="s">
        <v>174</v>
      </c>
      <c r="B48" s="6" t="s">
        <v>175</v>
      </c>
      <c r="C48" s="6" t="s">
        <v>176</v>
      </c>
      <c r="D48" s="6" t="s">
        <v>50</v>
      </c>
      <c r="E48" s="6" t="s">
        <v>51</v>
      </c>
      <c r="F48" s="7">
        <v>19</v>
      </c>
      <c r="G48" s="7">
        <v>3321950</v>
      </c>
      <c r="H48" s="8">
        <v>5124.8900000000003</v>
      </c>
      <c r="I48" s="8">
        <v>5124.88</v>
      </c>
      <c r="J48" s="6"/>
    </row>
    <row r="49" spans="1:10" x14ac:dyDescent="0.2">
      <c r="A49" s="6" t="s">
        <v>177</v>
      </c>
      <c r="B49" s="6" t="s">
        <v>178</v>
      </c>
      <c r="C49" s="6" t="s">
        <v>179</v>
      </c>
      <c r="D49" s="6" t="s">
        <v>50</v>
      </c>
      <c r="E49" s="6" t="s">
        <v>51</v>
      </c>
      <c r="F49" s="7">
        <v>21</v>
      </c>
      <c r="G49" s="7">
        <v>760051</v>
      </c>
      <c r="H49" s="8">
        <v>1172.55</v>
      </c>
      <c r="I49" s="8">
        <v>1172.56</v>
      </c>
      <c r="J49" s="6"/>
    </row>
    <row r="50" spans="1:10" x14ac:dyDescent="0.2">
      <c r="A50" s="6" t="s">
        <v>180</v>
      </c>
      <c r="B50" s="6" t="s">
        <v>181</v>
      </c>
      <c r="C50" s="6" t="s">
        <v>182</v>
      </c>
      <c r="D50" s="6" t="s">
        <v>41</v>
      </c>
      <c r="E50" s="6" t="s">
        <v>42</v>
      </c>
      <c r="F50" s="7">
        <v>26</v>
      </c>
      <c r="G50" s="7">
        <v>9550179</v>
      </c>
      <c r="H50" s="8">
        <v>3035.85</v>
      </c>
      <c r="I50" s="8">
        <v>3035.85</v>
      </c>
      <c r="J50" s="6"/>
    </row>
    <row r="51" spans="1:10" x14ac:dyDescent="0.2">
      <c r="A51" s="6" t="s">
        <v>183</v>
      </c>
      <c r="B51" s="6" t="s">
        <v>184</v>
      </c>
      <c r="C51" s="6" t="s">
        <v>185</v>
      </c>
      <c r="D51" s="6" t="s">
        <v>41</v>
      </c>
      <c r="E51" s="6" t="s">
        <v>42</v>
      </c>
      <c r="F51" s="7">
        <v>21</v>
      </c>
      <c r="G51" s="7">
        <v>9420624</v>
      </c>
      <c r="H51" s="8">
        <v>2994.68</v>
      </c>
      <c r="I51" s="8">
        <v>2994.67</v>
      </c>
      <c r="J51" s="6"/>
    </row>
    <row r="52" spans="1:10" x14ac:dyDescent="0.2">
      <c r="A52" s="6" t="s">
        <v>186</v>
      </c>
      <c r="B52" s="6" t="s">
        <v>187</v>
      </c>
      <c r="C52" s="6" t="s">
        <v>188</v>
      </c>
      <c r="D52" s="6" t="s">
        <v>75</v>
      </c>
      <c r="E52" s="6" t="s">
        <v>42</v>
      </c>
      <c r="F52" s="7">
        <v>18</v>
      </c>
      <c r="G52" s="7">
        <v>4670617</v>
      </c>
      <c r="H52" s="8">
        <v>1484.72</v>
      </c>
      <c r="I52" s="8">
        <v>1484.72</v>
      </c>
      <c r="J52" s="6"/>
    </row>
    <row r="53" spans="1:10" x14ac:dyDescent="0.2">
      <c r="A53" s="6" t="s">
        <v>189</v>
      </c>
      <c r="B53" s="6" t="s">
        <v>190</v>
      </c>
      <c r="C53" s="6" t="s">
        <v>191</v>
      </c>
      <c r="D53" s="6" t="s">
        <v>68</v>
      </c>
      <c r="E53" s="6" t="s">
        <v>51</v>
      </c>
      <c r="F53" s="7">
        <v>21</v>
      </c>
      <c r="G53" s="7">
        <v>3252542</v>
      </c>
      <c r="H53" s="8">
        <v>5017.82</v>
      </c>
      <c r="I53" s="8">
        <v>5017.8100000000004</v>
      </c>
      <c r="J53" s="6"/>
    </row>
    <row r="54" spans="1:10" x14ac:dyDescent="0.2">
      <c r="A54" s="6" t="s">
        <v>192</v>
      </c>
      <c r="B54" s="6" t="s">
        <v>193</v>
      </c>
      <c r="C54" s="6" t="s">
        <v>194</v>
      </c>
      <c r="D54" s="6" t="s">
        <v>68</v>
      </c>
      <c r="E54" s="6" t="s">
        <v>51</v>
      </c>
      <c r="F54" s="7">
        <v>22</v>
      </c>
      <c r="G54" s="7">
        <v>2084614</v>
      </c>
      <c r="H54" s="8">
        <v>3216</v>
      </c>
      <c r="I54" s="8">
        <v>3216</v>
      </c>
      <c r="J54" s="6"/>
    </row>
    <row r="55" spans="1:10" x14ac:dyDescent="0.2">
      <c r="A55" s="6" t="s">
        <v>195</v>
      </c>
      <c r="B55" s="6" t="s">
        <v>196</v>
      </c>
      <c r="C55" s="6" t="s">
        <v>197</v>
      </c>
      <c r="D55" s="6" t="s">
        <v>46</v>
      </c>
      <c r="E55" s="6" t="s">
        <v>37</v>
      </c>
      <c r="F55" s="7">
        <v>30</v>
      </c>
      <c r="G55" s="7">
        <v>4894925</v>
      </c>
      <c r="H55" s="8">
        <v>7551.58</v>
      </c>
      <c r="I55" s="8">
        <v>7551.57</v>
      </c>
      <c r="J55" s="6"/>
    </row>
    <row r="56" spans="1:10" x14ac:dyDescent="0.2">
      <c r="A56" s="6" t="s">
        <v>198</v>
      </c>
      <c r="B56" s="6" t="s">
        <v>199</v>
      </c>
      <c r="C56" s="6" t="s">
        <v>200</v>
      </c>
      <c r="D56" s="6" t="s">
        <v>46</v>
      </c>
      <c r="E56" s="6" t="s">
        <v>37</v>
      </c>
      <c r="F56" s="7">
        <v>47</v>
      </c>
      <c r="G56" s="7">
        <v>18420314</v>
      </c>
      <c r="H56" s="8">
        <v>28417.62</v>
      </c>
      <c r="I56" s="8">
        <v>28417.64</v>
      </c>
      <c r="J56" s="6"/>
    </row>
    <row r="57" spans="1:10" x14ac:dyDescent="0.2">
      <c r="A57" s="6" t="s">
        <v>201</v>
      </c>
      <c r="B57" s="6" t="s">
        <v>202</v>
      </c>
      <c r="C57" s="6" t="s">
        <v>203</v>
      </c>
      <c r="D57" s="6" t="s">
        <v>68</v>
      </c>
      <c r="E57" s="6" t="s">
        <v>51</v>
      </c>
      <c r="F57" s="7">
        <v>8</v>
      </c>
      <c r="G57" s="7">
        <v>1023385</v>
      </c>
      <c r="H57" s="8">
        <v>1578.81</v>
      </c>
      <c r="I57" s="8">
        <v>1578.81</v>
      </c>
      <c r="J57" s="6"/>
    </row>
    <row r="58" spans="1:10" x14ac:dyDescent="0.2">
      <c r="A58" s="6" t="s">
        <v>204</v>
      </c>
      <c r="B58" s="6" t="s">
        <v>205</v>
      </c>
      <c r="C58" s="6" t="s">
        <v>206</v>
      </c>
      <c r="D58" s="6" t="s">
        <v>50</v>
      </c>
      <c r="E58" s="6" t="s">
        <v>51</v>
      </c>
      <c r="F58" s="7">
        <v>14</v>
      </c>
      <c r="G58" s="7">
        <v>878763</v>
      </c>
      <c r="H58" s="8">
        <v>1355.7</v>
      </c>
      <c r="I58" s="8">
        <v>1355.7</v>
      </c>
      <c r="J58" s="6"/>
    </row>
    <row r="59" spans="1:10" x14ac:dyDescent="0.2">
      <c r="A59" s="6" t="s">
        <v>207</v>
      </c>
      <c r="B59" s="6" t="s">
        <v>208</v>
      </c>
      <c r="C59" s="6" t="s">
        <v>209</v>
      </c>
      <c r="D59" s="6" t="s">
        <v>46</v>
      </c>
      <c r="E59" s="6" t="s">
        <v>37</v>
      </c>
      <c r="F59" s="7">
        <v>20</v>
      </c>
      <c r="G59" s="7">
        <v>1495919</v>
      </c>
      <c r="H59" s="8">
        <v>2307.8000000000002</v>
      </c>
      <c r="I59" s="8">
        <v>2307.8000000000002</v>
      </c>
      <c r="J59" s="6"/>
    </row>
    <row r="60" spans="1:10" x14ac:dyDescent="0.2">
      <c r="A60" s="6" t="s">
        <v>210</v>
      </c>
      <c r="B60" s="6" t="s">
        <v>211</v>
      </c>
      <c r="C60" s="6" t="s">
        <v>212</v>
      </c>
      <c r="D60" s="6" t="s">
        <v>46</v>
      </c>
      <c r="E60" s="6" t="s">
        <v>37</v>
      </c>
      <c r="F60" s="7">
        <v>49</v>
      </c>
      <c r="G60" s="7">
        <v>6534663</v>
      </c>
      <c r="H60" s="8">
        <v>10081.25</v>
      </c>
      <c r="I60" s="8">
        <v>10081.24</v>
      </c>
      <c r="J60" s="6"/>
    </row>
    <row r="61" spans="1:10" x14ac:dyDescent="0.2">
      <c r="A61" s="6" t="s">
        <v>213</v>
      </c>
      <c r="B61" s="6" t="s">
        <v>214</v>
      </c>
      <c r="C61" s="6" t="s">
        <v>215</v>
      </c>
      <c r="D61" s="6" t="s">
        <v>46</v>
      </c>
      <c r="E61" s="6" t="s">
        <v>37</v>
      </c>
      <c r="F61" s="7">
        <v>42</v>
      </c>
      <c r="G61" s="7">
        <v>4637309</v>
      </c>
      <c r="H61" s="8">
        <v>7154.11</v>
      </c>
      <c r="I61" s="8">
        <v>7154.13</v>
      </c>
      <c r="J61" s="6"/>
    </row>
    <row r="62" spans="1:10" x14ac:dyDescent="0.2">
      <c r="A62" s="6" t="s">
        <v>216</v>
      </c>
      <c r="B62" s="6" t="s">
        <v>217</v>
      </c>
      <c r="C62" s="6" t="s">
        <v>218</v>
      </c>
      <c r="D62" s="6" t="s">
        <v>46</v>
      </c>
      <c r="E62" s="6" t="s">
        <v>37</v>
      </c>
      <c r="F62" s="7">
        <v>0</v>
      </c>
      <c r="G62" s="7">
        <v>0</v>
      </c>
      <c r="H62" s="8">
        <v>0</v>
      </c>
      <c r="I62" s="8">
        <v>0</v>
      </c>
      <c r="J62" s="6" t="s">
        <v>94</v>
      </c>
    </row>
    <row r="63" spans="1:10" x14ac:dyDescent="0.2">
      <c r="A63" s="6" t="s">
        <v>219</v>
      </c>
      <c r="B63" s="6" t="s">
        <v>220</v>
      </c>
      <c r="C63" s="6" t="s">
        <v>221</v>
      </c>
      <c r="D63" s="6" t="s">
        <v>46</v>
      </c>
      <c r="E63" s="6" t="s">
        <v>37</v>
      </c>
      <c r="F63" s="7">
        <v>49</v>
      </c>
      <c r="G63" s="7">
        <v>5798019</v>
      </c>
      <c r="H63" s="8">
        <v>8944.7999999999993</v>
      </c>
      <c r="I63" s="8">
        <v>8944.7999999999993</v>
      </c>
      <c r="J63" s="6"/>
    </row>
    <row r="64" spans="1:10" x14ac:dyDescent="0.2">
      <c r="A64" s="6" t="s">
        <v>222</v>
      </c>
      <c r="B64" s="6" t="s">
        <v>223</v>
      </c>
      <c r="C64" s="6" t="s">
        <v>224</v>
      </c>
      <c r="D64" s="6" t="s">
        <v>36</v>
      </c>
      <c r="E64" s="6" t="s">
        <v>37</v>
      </c>
      <c r="F64" s="7">
        <v>23</v>
      </c>
      <c r="G64" s="7">
        <v>2718659</v>
      </c>
      <c r="H64" s="8">
        <v>4194.18</v>
      </c>
      <c r="I64" s="8">
        <v>4194.17</v>
      </c>
      <c r="J64" s="6"/>
    </row>
    <row r="65" spans="1:10" x14ac:dyDescent="0.2">
      <c r="A65" s="6" t="s">
        <v>225</v>
      </c>
      <c r="B65" s="6" t="s">
        <v>226</v>
      </c>
      <c r="C65" s="6" t="s">
        <v>227</v>
      </c>
      <c r="D65" s="6" t="s">
        <v>41</v>
      </c>
      <c r="E65" s="6" t="s">
        <v>42</v>
      </c>
      <c r="F65" s="7">
        <v>37</v>
      </c>
      <c r="G65" s="7">
        <v>56173977</v>
      </c>
      <c r="H65" s="8">
        <v>17856.82</v>
      </c>
      <c r="I65" s="8">
        <v>17856.82</v>
      </c>
      <c r="J65" s="6"/>
    </row>
    <row r="66" spans="1:10" x14ac:dyDescent="0.2">
      <c r="A66" s="6" t="s">
        <v>228</v>
      </c>
      <c r="B66" s="6" t="s">
        <v>229</v>
      </c>
      <c r="C66" s="6" t="s">
        <v>230</v>
      </c>
      <c r="D66" s="6" t="s">
        <v>36</v>
      </c>
      <c r="E66" s="6" t="s">
        <v>37</v>
      </c>
      <c r="F66" s="7">
        <v>33</v>
      </c>
      <c r="G66" s="7">
        <v>3788602</v>
      </c>
      <c r="H66" s="8">
        <v>5844.8</v>
      </c>
      <c r="I66" s="8">
        <v>5844.8</v>
      </c>
      <c r="J66" s="6"/>
    </row>
    <row r="67" spans="1:10" x14ac:dyDescent="0.2">
      <c r="A67" s="6" t="s">
        <v>231</v>
      </c>
      <c r="B67" s="6" t="s">
        <v>232</v>
      </c>
      <c r="C67" s="6" t="s">
        <v>233</v>
      </c>
      <c r="D67" s="6" t="s">
        <v>46</v>
      </c>
      <c r="E67" s="6" t="s">
        <v>37</v>
      </c>
      <c r="F67" s="7">
        <v>20</v>
      </c>
      <c r="G67" s="7">
        <v>1090579</v>
      </c>
      <c r="H67" s="8">
        <v>1682.46</v>
      </c>
      <c r="I67" s="8">
        <v>1682.47</v>
      </c>
      <c r="J67" s="6"/>
    </row>
    <row r="68" spans="1:10" x14ac:dyDescent="0.2">
      <c r="A68" s="6" t="s">
        <v>234</v>
      </c>
      <c r="B68" s="6" t="s">
        <v>235</v>
      </c>
      <c r="C68" s="6" t="s">
        <v>236</v>
      </c>
      <c r="D68" s="6" t="s">
        <v>50</v>
      </c>
      <c r="E68" s="6" t="s">
        <v>51</v>
      </c>
      <c r="F68" s="7">
        <v>78</v>
      </c>
      <c r="G68" s="7">
        <v>20258465</v>
      </c>
      <c r="H68" s="8">
        <v>31253.43</v>
      </c>
      <c r="I68" s="8">
        <v>31253.42</v>
      </c>
      <c r="J68" s="6"/>
    </row>
    <row r="69" spans="1:10" x14ac:dyDescent="0.2">
      <c r="A69" s="6" t="s">
        <v>237</v>
      </c>
      <c r="B69" s="6" t="s">
        <v>238</v>
      </c>
      <c r="C69" s="6" t="s">
        <v>239</v>
      </c>
      <c r="D69" s="6" t="s">
        <v>68</v>
      </c>
      <c r="E69" s="6" t="s">
        <v>51</v>
      </c>
      <c r="F69" s="7">
        <v>37</v>
      </c>
      <c r="G69" s="7">
        <v>3817079</v>
      </c>
      <c r="H69" s="8">
        <v>5888.75</v>
      </c>
      <c r="I69" s="8">
        <v>5888.74</v>
      </c>
      <c r="J69" s="6"/>
    </row>
    <row r="70" spans="1:10" x14ac:dyDescent="0.2">
      <c r="A70" s="6" t="s">
        <v>240</v>
      </c>
      <c r="B70" s="6" t="s">
        <v>241</v>
      </c>
      <c r="C70" s="6" t="s">
        <v>242</v>
      </c>
      <c r="D70" s="6" t="s">
        <v>46</v>
      </c>
      <c r="E70" s="6" t="s">
        <v>37</v>
      </c>
      <c r="F70" s="7">
        <v>14</v>
      </c>
      <c r="G70" s="7">
        <v>451196</v>
      </c>
      <c r="H70" s="8">
        <v>696.05</v>
      </c>
      <c r="I70" s="8">
        <v>696.08</v>
      </c>
      <c r="J70" s="6"/>
    </row>
    <row r="71" spans="1:10" x14ac:dyDescent="0.2">
      <c r="A71" s="6" t="s">
        <v>243</v>
      </c>
      <c r="B71" s="6" t="s">
        <v>244</v>
      </c>
      <c r="C71" s="6" t="s">
        <v>245</v>
      </c>
      <c r="D71" s="6" t="s">
        <v>75</v>
      </c>
      <c r="E71" s="6" t="s">
        <v>42</v>
      </c>
      <c r="F71" s="7">
        <v>52</v>
      </c>
      <c r="G71" s="7">
        <v>42748480</v>
      </c>
      <c r="H71" s="8">
        <v>13589.07</v>
      </c>
      <c r="I71" s="8">
        <v>13589.06</v>
      </c>
      <c r="J71" s="6"/>
    </row>
    <row r="72" spans="1:10" x14ac:dyDescent="0.2">
      <c r="A72" s="6" t="s">
        <v>246</v>
      </c>
      <c r="B72" s="6" t="s">
        <v>247</v>
      </c>
      <c r="C72" s="6" t="s">
        <v>248</v>
      </c>
      <c r="D72" s="6" t="s">
        <v>75</v>
      </c>
      <c r="E72" s="6" t="s">
        <v>42</v>
      </c>
      <c r="F72" s="7">
        <v>25</v>
      </c>
      <c r="G72" s="7">
        <v>7365398</v>
      </c>
      <c r="H72" s="8">
        <v>2341.33</v>
      </c>
      <c r="I72" s="8">
        <v>2341.34</v>
      </c>
      <c r="J72" s="6"/>
    </row>
    <row r="73" spans="1:10" x14ac:dyDescent="0.2">
      <c r="A73" s="6" t="s">
        <v>249</v>
      </c>
      <c r="B73" s="6" t="s">
        <v>250</v>
      </c>
      <c r="C73" s="6" t="s">
        <v>251</v>
      </c>
      <c r="D73" s="6" t="s">
        <v>46</v>
      </c>
      <c r="E73" s="6" t="s">
        <v>37</v>
      </c>
      <c r="F73" s="7">
        <v>6</v>
      </c>
      <c r="G73" s="7">
        <v>396759</v>
      </c>
      <c r="H73" s="8">
        <v>612.11</v>
      </c>
      <c r="I73" s="8">
        <v>612.09</v>
      </c>
      <c r="J73" s="6"/>
    </row>
    <row r="74" spans="1:10" x14ac:dyDescent="0.2">
      <c r="A74" s="6" t="s">
        <v>252</v>
      </c>
      <c r="B74" s="6" t="s">
        <v>253</v>
      </c>
      <c r="C74" s="6" t="s">
        <v>254</v>
      </c>
      <c r="D74" s="6" t="s">
        <v>50</v>
      </c>
      <c r="E74" s="6" t="s">
        <v>51</v>
      </c>
      <c r="F74" s="7">
        <v>22</v>
      </c>
      <c r="G74" s="7">
        <v>2216419</v>
      </c>
      <c r="H74" s="8">
        <v>3419.33</v>
      </c>
      <c r="I74" s="8">
        <v>3419.34</v>
      </c>
      <c r="J74" s="6"/>
    </row>
    <row r="75" spans="1:10" x14ac:dyDescent="0.2">
      <c r="A75" s="6" t="s">
        <v>255</v>
      </c>
      <c r="B75" s="6" t="s">
        <v>256</v>
      </c>
      <c r="C75" s="6" t="s">
        <v>182</v>
      </c>
      <c r="D75" s="6" t="s">
        <v>50</v>
      </c>
      <c r="E75" s="6" t="s">
        <v>51</v>
      </c>
      <c r="F75" s="7">
        <v>20</v>
      </c>
      <c r="G75" s="7">
        <v>1171943</v>
      </c>
      <c r="H75" s="8">
        <v>1808</v>
      </c>
      <c r="I75" s="8">
        <v>1808</v>
      </c>
      <c r="J75" s="6"/>
    </row>
    <row r="76" spans="1:10" x14ac:dyDescent="0.2">
      <c r="A76" s="6" t="s">
        <v>257</v>
      </c>
      <c r="B76" s="6" t="s">
        <v>258</v>
      </c>
      <c r="C76" s="6" t="s">
        <v>259</v>
      </c>
      <c r="D76" s="6" t="s">
        <v>50</v>
      </c>
      <c r="E76" s="6" t="s">
        <v>51</v>
      </c>
      <c r="F76" s="7">
        <v>9</v>
      </c>
      <c r="G76" s="7">
        <v>1148621</v>
      </c>
      <c r="H76" s="8">
        <v>1772.01</v>
      </c>
      <c r="I76" s="8">
        <v>1772.02</v>
      </c>
      <c r="J76" s="6"/>
    </row>
    <row r="77" spans="1:10" x14ac:dyDescent="0.2">
      <c r="A77" s="6" t="s">
        <v>260</v>
      </c>
      <c r="B77" s="6" t="s">
        <v>261</v>
      </c>
      <c r="C77" s="6" t="s">
        <v>262</v>
      </c>
      <c r="D77" s="6" t="s">
        <v>41</v>
      </c>
      <c r="E77" s="6" t="s">
        <v>42</v>
      </c>
      <c r="F77" s="7">
        <v>25</v>
      </c>
      <c r="G77" s="7">
        <v>22109162</v>
      </c>
      <c r="H77" s="8">
        <v>7028.14</v>
      </c>
      <c r="I77" s="8">
        <v>7028.15</v>
      </c>
      <c r="J77" s="6"/>
    </row>
    <row r="78" spans="1:10" x14ac:dyDescent="0.2">
      <c r="A78" s="6" t="s">
        <v>263</v>
      </c>
      <c r="B78" s="6" t="s">
        <v>264</v>
      </c>
      <c r="C78" s="6" t="s">
        <v>265</v>
      </c>
      <c r="D78" s="6" t="s">
        <v>41</v>
      </c>
      <c r="E78" s="6" t="s">
        <v>42</v>
      </c>
      <c r="F78" s="7">
        <v>21</v>
      </c>
      <c r="G78" s="7">
        <v>4949373</v>
      </c>
      <c r="H78" s="8">
        <v>1573.31</v>
      </c>
      <c r="I78" s="8">
        <v>1573.33</v>
      </c>
      <c r="J78" s="6"/>
    </row>
    <row r="79" spans="1:10" x14ac:dyDescent="0.2">
      <c r="A79" s="6" t="s">
        <v>266</v>
      </c>
      <c r="B79" s="6" t="s">
        <v>267</v>
      </c>
      <c r="C79" s="6" t="s">
        <v>268</v>
      </c>
      <c r="D79" s="6" t="s">
        <v>46</v>
      </c>
      <c r="E79" s="6" t="s">
        <v>37</v>
      </c>
      <c r="F79" s="7">
        <v>76</v>
      </c>
      <c r="G79" s="7">
        <v>22599373</v>
      </c>
      <c r="H79" s="8">
        <v>34864.85</v>
      </c>
      <c r="I79" s="8">
        <v>34864.81</v>
      </c>
      <c r="J79" s="6"/>
    </row>
    <row r="80" spans="1:10" x14ac:dyDescent="0.2">
      <c r="A80" s="6" t="s">
        <v>269</v>
      </c>
      <c r="B80" s="6" t="s">
        <v>270</v>
      </c>
      <c r="C80" s="6" t="s">
        <v>271</v>
      </c>
      <c r="D80" s="6" t="s">
        <v>75</v>
      </c>
      <c r="E80" s="6" t="s">
        <v>42</v>
      </c>
      <c r="F80" s="7">
        <v>18</v>
      </c>
      <c r="G80" s="7">
        <v>18390985</v>
      </c>
      <c r="H80" s="8">
        <v>5846.23</v>
      </c>
      <c r="I80" s="8">
        <v>5846.2</v>
      </c>
      <c r="J80" s="6"/>
    </row>
    <row r="81" spans="1:10" x14ac:dyDescent="0.2">
      <c r="A81" s="6" t="s">
        <v>272</v>
      </c>
      <c r="B81" s="6" t="s">
        <v>273</v>
      </c>
      <c r="C81" s="6" t="s">
        <v>274</v>
      </c>
      <c r="D81" s="6" t="s">
        <v>41</v>
      </c>
      <c r="E81" s="6" t="s">
        <v>42</v>
      </c>
      <c r="F81" s="7">
        <v>20</v>
      </c>
      <c r="G81" s="7">
        <v>4217565</v>
      </c>
      <c r="H81" s="8">
        <v>1340.7</v>
      </c>
      <c r="I81" s="8">
        <v>1340.7</v>
      </c>
      <c r="J81" s="6" t="s">
        <v>58</v>
      </c>
    </row>
    <row r="82" spans="1:10" x14ac:dyDescent="0.2">
      <c r="A82" s="6" t="s">
        <v>275</v>
      </c>
      <c r="B82" s="6" t="s">
        <v>276</v>
      </c>
      <c r="C82" s="6" t="s">
        <v>277</v>
      </c>
      <c r="D82" s="6" t="s">
        <v>46</v>
      </c>
      <c r="E82" s="6" t="s">
        <v>37</v>
      </c>
      <c r="F82" s="7">
        <v>16</v>
      </c>
      <c r="G82" s="7">
        <v>1609573</v>
      </c>
      <c r="H82" s="8">
        <v>2483.11</v>
      </c>
      <c r="I82" s="8">
        <v>2483.14</v>
      </c>
      <c r="J82" s="6"/>
    </row>
    <row r="83" spans="1:10" x14ac:dyDescent="0.2">
      <c r="A83" s="6" t="s">
        <v>278</v>
      </c>
      <c r="B83" s="6" t="s">
        <v>279</v>
      </c>
      <c r="C83" s="6" t="s">
        <v>280</v>
      </c>
      <c r="D83" s="6" t="s">
        <v>68</v>
      </c>
      <c r="E83" s="6" t="s">
        <v>51</v>
      </c>
      <c r="F83" s="7">
        <v>60</v>
      </c>
      <c r="G83" s="7">
        <v>19146765</v>
      </c>
      <c r="H83" s="8">
        <v>29538.33</v>
      </c>
      <c r="I83" s="8">
        <v>29538.36</v>
      </c>
      <c r="J83" s="6"/>
    </row>
    <row r="84" spans="1:10" x14ac:dyDescent="0.2">
      <c r="A84" s="6" t="s">
        <v>281</v>
      </c>
      <c r="B84" s="6" t="s">
        <v>282</v>
      </c>
      <c r="C84" s="6" t="s">
        <v>283</v>
      </c>
      <c r="D84" s="6" t="s">
        <v>41</v>
      </c>
      <c r="E84" s="6" t="s">
        <v>42</v>
      </c>
      <c r="F84" s="7">
        <v>35</v>
      </c>
      <c r="G84" s="7">
        <v>8884120</v>
      </c>
      <c r="H84" s="8">
        <v>2824.1</v>
      </c>
      <c r="I84" s="8">
        <v>2824.12</v>
      </c>
      <c r="J84" s="6"/>
    </row>
    <row r="85" spans="1:10" x14ac:dyDescent="0.2">
      <c r="A85" s="6" t="s">
        <v>284</v>
      </c>
      <c r="B85" s="6" t="s">
        <v>285</v>
      </c>
      <c r="C85" s="6" t="s">
        <v>286</v>
      </c>
      <c r="D85" s="6" t="s">
        <v>68</v>
      </c>
      <c r="E85" s="6" t="s">
        <v>51</v>
      </c>
      <c r="F85" s="7">
        <v>7</v>
      </c>
      <c r="G85" s="7">
        <v>187996</v>
      </c>
      <c r="H85" s="8">
        <v>290.02</v>
      </c>
      <c r="I85" s="8">
        <v>290.02999999999997</v>
      </c>
      <c r="J85" s="6"/>
    </row>
    <row r="86" spans="1:10" x14ac:dyDescent="0.2">
      <c r="A86" s="6" t="s">
        <v>287</v>
      </c>
      <c r="B86" s="6" t="s">
        <v>288</v>
      </c>
      <c r="C86" s="6" t="s">
        <v>289</v>
      </c>
      <c r="D86" s="6" t="s">
        <v>41</v>
      </c>
      <c r="E86" s="6" t="s">
        <v>42</v>
      </c>
      <c r="F86" s="7">
        <v>32</v>
      </c>
      <c r="G86" s="7">
        <v>29687736</v>
      </c>
      <c r="H86" s="8">
        <v>9437.25</v>
      </c>
      <c r="I86" s="8">
        <v>9437.26</v>
      </c>
      <c r="J86" s="6"/>
    </row>
    <row r="87" spans="1:10" x14ac:dyDescent="0.2">
      <c r="A87" s="6" t="s">
        <v>290</v>
      </c>
      <c r="B87" s="6" t="s">
        <v>291</v>
      </c>
      <c r="C87" s="6" t="s">
        <v>292</v>
      </c>
      <c r="D87" s="6" t="s">
        <v>68</v>
      </c>
      <c r="E87" s="6" t="s">
        <v>51</v>
      </c>
      <c r="F87" s="7">
        <v>21</v>
      </c>
      <c r="G87" s="7">
        <v>2914935</v>
      </c>
      <c r="H87" s="8">
        <v>4496.97</v>
      </c>
      <c r="I87" s="8">
        <v>4496.97</v>
      </c>
      <c r="J87" s="6"/>
    </row>
    <row r="88" spans="1:10" x14ac:dyDescent="0.2">
      <c r="A88" s="6" t="s">
        <v>293</v>
      </c>
      <c r="B88" s="6" t="s">
        <v>294</v>
      </c>
      <c r="C88" s="6" t="s">
        <v>295</v>
      </c>
      <c r="D88" s="6" t="s">
        <v>41</v>
      </c>
      <c r="E88" s="6" t="s">
        <v>42</v>
      </c>
      <c r="F88" s="7">
        <v>27</v>
      </c>
      <c r="G88" s="7">
        <v>19999806</v>
      </c>
      <c r="H88" s="8">
        <v>6357.6</v>
      </c>
      <c r="I88" s="8">
        <v>6357.62</v>
      </c>
      <c r="J88" s="6"/>
    </row>
    <row r="89" spans="1:10" x14ac:dyDescent="0.2">
      <c r="A89" s="6" t="s">
        <v>296</v>
      </c>
      <c r="B89" s="6" t="s">
        <v>297</v>
      </c>
      <c r="C89" s="6" t="s">
        <v>298</v>
      </c>
      <c r="D89" s="6" t="s">
        <v>36</v>
      </c>
      <c r="E89" s="6" t="s">
        <v>37</v>
      </c>
      <c r="F89" s="7">
        <v>46</v>
      </c>
      <c r="G89" s="7">
        <v>7814392</v>
      </c>
      <c r="H89" s="8">
        <v>12055.5</v>
      </c>
      <c r="I89" s="8">
        <v>12055.53</v>
      </c>
      <c r="J89" s="6"/>
    </row>
    <row r="90" spans="1:10" x14ac:dyDescent="0.2">
      <c r="A90" s="6" t="s">
        <v>299</v>
      </c>
      <c r="B90" s="6" t="s">
        <v>300</v>
      </c>
      <c r="C90" s="6" t="s">
        <v>301</v>
      </c>
      <c r="D90" s="6" t="s">
        <v>41</v>
      </c>
      <c r="E90" s="6" t="s">
        <v>42</v>
      </c>
      <c r="F90" s="7">
        <v>22</v>
      </c>
      <c r="G90" s="7">
        <v>8207460</v>
      </c>
      <c r="H90" s="8">
        <v>2609.02</v>
      </c>
      <c r="I90" s="8">
        <v>2609.02</v>
      </c>
      <c r="J90" s="6"/>
    </row>
    <row r="91" spans="1:10" x14ac:dyDescent="0.2">
      <c r="A91" s="6" t="s">
        <v>302</v>
      </c>
      <c r="B91" s="6" t="s">
        <v>303</v>
      </c>
      <c r="C91" s="6" t="s">
        <v>304</v>
      </c>
      <c r="D91" s="6" t="s">
        <v>36</v>
      </c>
      <c r="E91" s="6" t="s">
        <v>37</v>
      </c>
      <c r="F91" s="7">
        <v>19</v>
      </c>
      <c r="G91" s="7">
        <v>1469343</v>
      </c>
      <c r="H91" s="8">
        <v>2266.83</v>
      </c>
      <c r="I91" s="8">
        <v>2266.8000000000002</v>
      </c>
      <c r="J91" s="6"/>
    </row>
    <row r="92" spans="1:10" x14ac:dyDescent="0.2">
      <c r="A92" s="6" t="s">
        <v>305</v>
      </c>
      <c r="B92" s="6" t="s">
        <v>306</v>
      </c>
      <c r="C92" s="6" t="s">
        <v>307</v>
      </c>
      <c r="D92" s="6" t="s">
        <v>36</v>
      </c>
      <c r="E92" s="6" t="s">
        <v>37</v>
      </c>
      <c r="F92" s="7">
        <v>20</v>
      </c>
      <c r="G92" s="7">
        <v>1470972</v>
      </c>
      <c r="H92" s="8">
        <v>2269.31</v>
      </c>
      <c r="I92" s="8">
        <v>2269.3200000000002</v>
      </c>
      <c r="J92" s="6"/>
    </row>
    <row r="93" spans="1:10" x14ac:dyDescent="0.2">
      <c r="A93" s="6" t="s">
        <v>308</v>
      </c>
      <c r="B93" s="6" t="s">
        <v>309</v>
      </c>
      <c r="C93" s="6" t="s">
        <v>310</v>
      </c>
      <c r="D93" s="6" t="s">
        <v>41</v>
      </c>
      <c r="E93" s="6" t="s">
        <v>42</v>
      </c>
      <c r="F93" s="7">
        <v>28</v>
      </c>
      <c r="G93" s="7">
        <v>26455083</v>
      </c>
      <c r="H93" s="8">
        <v>8409.65</v>
      </c>
      <c r="I93" s="8">
        <v>8409.65</v>
      </c>
      <c r="J93" s="6"/>
    </row>
    <row r="94" spans="1:10" x14ac:dyDescent="0.2">
      <c r="A94" s="6" t="s">
        <v>311</v>
      </c>
      <c r="B94" s="6" t="s">
        <v>312</v>
      </c>
      <c r="C94" s="6" t="s">
        <v>313</v>
      </c>
      <c r="D94" s="6" t="s">
        <v>41</v>
      </c>
      <c r="E94" s="6" t="s">
        <v>42</v>
      </c>
      <c r="F94" s="7">
        <v>22</v>
      </c>
      <c r="G94" s="7">
        <v>16237365</v>
      </c>
      <c r="H94" s="8">
        <v>5161.6000000000004</v>
      </c>
      <c r="I94" s="8">
        <v>5161.6000000000004</v>
      </c>
      <c r="J94" s="6"/>
    </row>
    <row r="95" spans="1:10" x14ac:dyDescent="0.2">
      <c r="A95" s="6" t="s">
        <v>314</v>
      </c>
      <c r="B95" s="6" t="s">
        <v>315</v>
      </c>
      <c r="C95" s="6" t="s">
        <v>316</v>
      </c>
      <c r="D95" s="6" t="s">
        <v>46</v>
      </c>
      <c r="E95" s="6" t="s">
        <v>37</v>
      </c>
      <c r="F95" s="7">
        <v>39</v>
      </c>
      <c r="G95" s="7">
        <v>3458948</v>
      </c>
      <c r="H95" s="8">
        <v>5336.24</v>
      </c>
      <c r="I95" s="8">
        <v>5336.24</v>
      </c>
      <c r="J95" s="6"/>
    </row>
    <row r="96" spans="1:10" x14ac:dyDescent="0.2">
      <c r="A96" s="6" t="s">
        <v>317</v>
      </c>
      <c r="B96" s="6" t="s">
        <v>318</v>
      </c>
      <c r="C96" s="6" t="s">
        <v>319</v>
      </c>
      <c r="D96" s="6" t="s">
        <v>41</v>
      </c>
      <c r="E96" s="6" t="s">
        <v>42</v>
      </c>
      <c r="F96" s="7">
        <v>24</v>
      </c>
      <c r="G96" s="7">
        <v>15696795</v>
      </c>
      <c r="H96" s="8">
        <v>4989.76</v>
      </c>
      <c r="I96" s="8">
        <v>4989.76</v>
      </c>
      <c r="J96" s="6"/>
    </row>
    <row r="97" spans="1:10" x14ac:dyDescent="0.2">
      <c r="A97" s="6" t="s">
        <v>320</v>
      </c>
      <c r="B97" s="6" t="s">
        <v>321</v>
      </c>
      <c r="C97" s="6" t="s">
        <v>322</v>
      </c>
      <c r="D97" s="6" t="s">
        <v>41</v>
      </c>
      <c r="E97" s="6" t="s">
        <v>42</v>
      </c>
      <c r="F97" s="7">
        <v>13</v>
      </c>
      <c r="G97" s="7">
        <v>4325513</v>
      </c>
      <c r="H97" s="8">
        <v>1375</v>
      </c>
      <c r="I97" s="8">
        <v>1375.01</v>
      </c>
      <c r="J97" s="6"/>
    </row>
    <row r="98" spans="1:10" x14ac:dyDescent="0.2">
      <c r="A98" s="6" t="s">
        <v>323</v>
      </c>
      <c r="B98" s="6" t="s">
        <v>324</v>
      </c>
      <c r="C98" s="6" t="s">
        <v>325</v>
      </c>
      <c r="D98" s="6" t="s">
        <v>46</v>
      </c>
      <c r="E98" s="6" t="s">
        <v>37</v>
      </c>
      <c r="F98" s="7">
        <v>34</v>
      </c>
      <c r="G98" s="7">
        <v>3220039</v>
      </c>
      <c r="H98" s="8">
        <v>4967.6499999999996</v>
      </c>
      <c r="I98" s="8">
        <v>4967.66</v>
      </c>
      <c r="J98" s="6"/>
    </row>
    <row r="99" spans="1:10" x14ac:dyDescent="0.2">
      <c r="A99" s="6" t="s">
        <v>326</v>
      </c>
      <c r="B99" s="6" t="s">
        <v>327</v>
      </c>
      <c r="C99" s="6" t="s">
        <v>328</v>
      </c>
      <c r="D99" s="6" t="s">
        <v>46</v>
      </c>
      <c r="E99" s="6" t="s">
        <v>37</v>
      </c>
      <c r="F99" s="7">
        <v>24</v>
      </c>
      <c r="G99" s="7">
        <v>1493034</v>
      </c>
      <c r="H99" s="8">
        <v>2303.36</v>
      </c>
      <c r="I99" s="8">
        <v>2303.35</v>
      </c>
      <c r="J99" s="6"/>
    </row>
    <row r="100" spans="1:10" x14ac:dyDescent="0.2">
      <c r="A100" s="6" t="s">
        <v>329</v>
      </c>
      <c r="B100" s="6" t="s">
        <v>330</v>
      </c>
      <c r="C100" s="6" t="s">
        <v>331</v>
      </c>
      <c r="D100" s="6" t="s">
        <v>68</v>
      </c>
      <c r="E100" s="6" t="s">
        <v>51</v>
      </c>
      <c r="F100" s="7">
        <v>32</v>
      </c>
      <c r="G100" s="7">
        <v>12376962</v>
      </c>
      <c r="H100" s="8">
        <v>19094.34</v>
      </c>
      <c r="I100" s="8">
        <v>19094.36</v>
      </c>
      <c r="J100" s="6" t="s">
        <v>113</v>
      </c>
    </row>
    <row r="101" spans="1:10" x14ac:dyDescent="0.2">
      <c r="A101" s="6" t="s">
        <v>332</v>
      </c>
      <c r="B101" s="6" t="s">
        <v>333</v>
      </c>
      <c r="C101" s="6" t="s">
        <v>334</v>
      </c>
      <c r="D101" s="6" t="s">
        <v>68</v>
      </c>
      <c r="E101" s="6" t="s">
        <v>51</v>
      </c>
      <c r="F101" s="7">
        <v>18</v>
      </c>
      <c r="G101" s="7">
        <v>1547025</v>
      </c>
      <c r="H101" s="8">
        <v>2386.65</v>
      </c>
      <c r="I101" s="8">
        <v>2386.65</v>
      </c>
      <c r="J101" s="6"/>
    </row>
    <row r="102" spans="1:10" x14ac:dyDescent="0.2">
      <c r="A102" s="6" t="s">
        <v>335</v>
      </c>
      <c r="B102" s="6" t="s">
        <v>336</v>
      </c>
      <c r="C102" s="6" t="s">
        <v>337</v>
      </c>
      <c r="D102" s="6" t="s">
        <v>68</v>
      </c>
      <c r="E102" s="6" t="s">
        <v>51</v>
      </c>
      <c r="F102" s="7">
        <v>25</v>
      </c>
      <c r="G102" s="7">
        <v>1674500</v>
      </c>
      <c r="H102" s="8">
        <v>2583.31</v>
      </c>
      <c r="I102" s="8">
        <v>2583.31</v>
      </c>
      <c r="J102" s="6"/>
    </row>
    <row r="103" spans="1:10" x14ac:dyDescent="0.2">
      <c r="A103" s="6" t="s">
        <v>338</v>
      </c>
      <c r="B103" s="6" t="s">
        <v>339</v>
      </c>
      <c r="C103" s="6" t="s">
        <v>340</v>
      </c>
      <c r="D103" s="6" t="s">
        <v>68</v>
      </c>
      <c r="E103" s="6" t="s">
        <v>51</v>
      </c>
      <c r="F103" s="7">
        <v>17</v>
      </c>
      <c r="G103" s="7">
        <v>3176689</v>
      </c>
      <c r="H103" s="8">
        <v>4900.79</v>
      </c>
      <c r="I103" s="8">
        <v>4900.79</v>
      </c>
      <c r="J103" s="6"/>
    </row>
    <row r="104" spans="1:10" x14ac:dyDescent="0.2">
      <c r="A104" s="6" t="s">
        <v>341</v>
      </c>
      <c r="B104" s="6" t="s">
        <v>342</v>
      </c>
      <c r="C104" s="6" t="s">
        <v>343</v>
      </c>
      <c r="D104" s="6" t="s">
        <v>41</v>
      </c>
      <c r="E104" s="6" t="s">
        <v>42</v>
      </c>
      <c r="F104" s="7">
        <v>31</v>
      </c>
      <c r="G104" s="7">
        <v>27226671</v>
      </c>
      <c r="H104" s="8">
        <v>8654.9</v>
      </c>
      <c r="I104" s="8">
        <v>8654.93</v>
      </c>
      <c r="J104" s="6"/>
    </row>
    <row r="105" spans="1:10" x14ac:dyDescent="0.2">
      <c r="A105" s="6" t="s">
        <v>344</v>
      </c>
      <c r="B105" s="6" t="s">
        <v>345</v>
      </c>
      <c r="C105" s="6" t="s">
        <v>346</v>
      </c>
      <c r="D105" s="6" t="s">
        <v>68</v>
      </c>
      <c r="E105" s="6" t="s">
        <v>51</v>
      </c>
      <c r="F105" s="7">
        <v>20</v>
      </c>
      <c r="G105" s="7">
        <v>1274981</v>
      </c>
      <c r="H105" s="8">
        <v>1966.93</v>
      </c>
      <c r="I105" s="8">
        <v>1966.96</v>
      </c>
      <c r="J105" s="6"/>
    </row>
    <row r="106" spans="1:10" x14ac:dyDescent="0.2">
      <c r="A106" s="6" t="s">
        <v>347</v>
      </c>
      <c r="B106" s="6" t="s">
        <v>348</v>
      </c>
      <c r="C106" s="6" t="s">
        <v>349</v>
      </c>
      <c r="D106" s="6" t="s">
        <v>36</v>
      </c>
      <c r="E106" s="6" t="s">
        <v>37</v>
      </c>
      <c r="F106" s="7">
        <v>48</v>
      </c>
      <c r="G106" s="7">
        <v>8752383</v>
      </c>
      <c r="H106" s="8">
        <v>13502.6</v>
      </c>
      <c r="I106" s="8">
        <v>13502.6</v>
      </c>
      <c r="J106" s="6"/>
    </row>
    <row r="107" spans="1:10" x14ac:dyDescent="0.2">
      <c r="A107" s="6" t="s">
        <v>350</v>
      </c>
      <c r="B107" s="6" t="s">
        <v>351</v>
      </c>
      <c r="C107" s="6" t="s">
        <v>352</v>
      </c>
      <c r="D107" s="6" t="s">
        <v>41</v>
      </c>
      <c r="E107" s="6" t="s">
        <v>42</v>
      </c>
      <c r="F107" s="7">
        <v>20</v>
      </c>
      <c r="G107" s="7">
        <v>4379011</v>
      </c>
      <c r="H107" s="8">
        <v>1392.01</v>
      </c>
      <c r="I107" s="8">
        <v>1392.02</v>
      </c>
      <c r="J107" s="6"/>
    </row>
    <row r="108" spans="1:10" x14ac:dyDescent="0.2">
      <c r="A108" s="6" t="s">
        <v>353</v>
      </c>
      <c r="B108" s="6" t="s">
        <v>354</v>
      </c>
      <c r="C108" s="6" t="s">
        <v>355</v>
      </c>
      <c r="D108" s="6" t="s">
        <v>68</v>
      </c>
      <c r="E108" s="6" t="s">
        <v>51</v>
      </c>
      <c r="F108" s="7">
        <v>4</v>
      </c>
      <c r="G108" s="7">
        <v>1607721</v>
      </c>
      <c r="H108" s="8">
        <v>2480.27</v>
      </c>
      <c r="I108" s="8">
        <v>2480.29</v>
      </c>
      <c r="J108" s="6"/>
    </row>
    <row r="109" spans="1:10" x14ac:dyDescent="0.2">
      <c r="A109" s="6" t="s">
        <v>356</v>
      </c>
      <c r="B109" s="6" t="s">
        <v>357</v>
      </c>
      <c r="C109" s="6" t="s">
        <v>358</v>
      </c>
      <c r="D109" s="6" t="s">
        <v>36</v>
      </c>
      <c r="E109" s="6" t="s">
        <v>37</v>
      </c>
      <c r="F109" s="7">
        <v>78</v>
      </c>
      <c r="G109" s="7">
        <v>29325639</v>
      </c>
      <c r="H109" s="8">
        <v>45241.66</v>
      </c>
      <c r="I109" s="8">
        <v>45241.65</v>
      </c>
      <c r="J109" s="6"/>
    </row>
    <row r="110" spans="1:10" x14ac:dyDescent="0.2">
      <c r="A110" s="6" t="s">
        <v>359</v>
      </c>
      <c r="B110" s="6" t="s">
        <v>360</v>
      </c>
      <c r="C110" s="6" t="s">
        <v>361</v>
      </c>
      <c r="D110" s="6" t="s">
        <v>46</v>
      </c>
      <c r="E110" s="6" t="s">
        <v>37</v>
      </c>
      <c r="F110" s="7">
        <v>4</v>
      </c>
      <c r="G110" s="7">
        <v>157698</v>
      </c>
      <c r="H110" s="8">
        <v>243.28</v>
      </c>
      <c r="I110" s="8">
        <v>243.29</v>
      </c>
      <c r="J110" s="6"/>
    </row>
    <row r="111" spans="1:10" x14ac:dyDescent="0.2">
      <c r="A111" s="6" t="s">
        <v>362</v>
      </c>
      <c r="B111" s="6" t="s">
        <v>363</v>
      </c>
      <c r="C111" s="6" t="s">
        <v>364</v>
      </c>
      <c r="D111" s="6" t="s">
        <v>46</v>
      </c>
      <c r="E111" s="6" t="s">
        <v>37</v>
      </c>
      <c r="F111" s="7">
        <v>78</v>
      </c>
      <c r="G111" s="7">
        <v>49069646</v>
      </c>
      <c r="H111" s="8">
        <v>75701.38</v>
      </c>
      <c r="I111" s="8">
        <v>75701.399999999994</v>
      </c>
      <c r="J111" s="6"/>
    </row>
    <row r="112" spans="1:10" x14ac:dyDescent="0.2">
      <c r="A112" s="6" t="s">
        <v>365</v>
      </c>
      <c r="B112" s="6" t="s">
        <v>366</v>
      </c>
      <c r="C112" s="6" t="s">
        <v>367</v>
      </c>
      <c r="D112" s="6" t="s">
        <v>41</v>
      </c>
      <c r="E112" s="6" t="s">
        <v>42</v>
      </c>
      <c r="F112" s="7">
        <v>14</v>
      </c>
      <c r="G112" s="7">
        <v>1782179</v>
      </c>
      <c r="H112" s="8">
        <v>566.53</v>
      </c>
      <c r="I112" s="8">
        <v>566.53</v>
      </c>
      <c r="J112" s="6"/>
    </row>
    <row r="113" spans="1:10" x14ac:dyDescent="0.2">
      <c r="A113" s="6" t="s">
        <v>368</v>
      </c>
      <c r="B113" s="6" t="s">
        <v>369</v>
      </c>
      <c r="C113" s="6" t="s">
        <v>370</v>
      </c>
      <c r="D113" s="6" t="s">
        <v>36</v>
      </c>
      <c r="E113" s="6" t="s">
        <v>37</v>
      </c>
      <c r="F113" s="7">
        <v>31</v>
      </c>
      <c r="G113" s="7">
        <v>2983016</v>
      </c>
      <c r="H113" s="8">
        <v>4601.9799999999996</v>
      </c>
      <c r="I113" s="8">
        <v>4602</v>
      </c>
      <c r="J113" s="6"/>
    </row>
    <row r="114" spans="1:10" x14ac:dyDescent="0.2">
      <c r="A114" s="6" t="s">
        <v>371</v>
      </c>
      <c r="B114" s="6" t="s">
        <v>372</v>
      </c>
      <c r="C114" s="6" t="s">
        <v>373</v>
      </c>
      <c r="D114" s="6" t="s">
        <v>75</v>
      </c>
      <c r="E114" s="6" t="s">
        <v>42</v>
      </c>
      <c r="F114" s="7">
        <v>20</v>
      </c>
      <c r="G114" s="7">
        <v>20258928</v>
      </c>
      <c r="H114" s="8">
        <v>6440</v>
      </c>
      <c r="I114" s="8">
        <v>6439.99</v>
      </c>
      <c r="J114" s="6"/>
    </row>
    <row r="115" spans="1:10" x14ac:dyDescent="0.2">
      <c r="A115" s="6" t="s">
        <v>374</v>
      </c>
      <c r="B115" s="6" t="s">
        <v>375</v>
      </c>
      <c r="C115" s="6" t="s">
        <v>376</v>
      </c>
      <c r="D115" s="6" t="s">
        <v>36</v>
      </c>
      <c r="E115" s="6" t="s">
        <v>37</v>
      </c>
      <c r="F115" s="7">
        <v>34</v>
      </c>
      <c r="G115" s="7">
        <v>3152947</v>
      </c>
      <c r="H115" s="8">
        <v>4864.1499999999996</v>
      </c>
      <c r="I115" s="8">
        <v>4864.16</v>
      </c>
      <c r="J115" s="6"/>
    </row>
    <row r="116" spans="1:10" x14ac:dyDescent="0.2">
      <c r="A116" s="6" t="s">
        <v>377</v>
      </c>
      <c r="B116" s="6" t="s">
        <v>378</v>
      </c>
      <c r="C116" s="6" t="s">
        <v>379</v>
      </c>
      <c r="D116" s="6" t="s">
        <v>50</v>
      </c>
      <c r="E116" s="6" t="s">
        <v>51</v>
      </c>
      <c r="F116" s="7">
        <v>24</v>
      </c>
      <c r="G116" s="7">
        <v>1750327</v>
      </c>
      <c r="H116" s="8">
        <v>2700.29</v>
      </c>
      <c r="I116" s="8">
        <v>2700.29</v>
      </c>
      <c r="J116" s="6" t="s">
        <v>58</v>
      </c>
    </row>
    <row r="117" spans="1:10" x14ac:dyDescent="0.2">
      <c r="A117" s="6" t="s">
        <v>380</v>
      </c>
      <c r="B117" s="6" t="s">
        <v>381</v>
      </c>
      <c r="C117" s="6" t="s">
        <v>382</v>
      </c>
      <c r="D117" s="6" t="s">
        <v>36</v>
      </c>
      <c r="E117" s="6" t="s">
        <v>37</v>
      </c>
      <c r="F117" s="7">
        <v>35</v>
      </c>
      <c r="G117" s="7">
        <v>4154245</v>
      </c>
      <c r="H117" s="8">
        <v>6408.89</v>
      </c>
      <c r="I117" s="8">
        <v>6408.89</v>
      </c>
      <c r="J117" s="6"/>
    </row>
    <row r="118" spans="1:10" x14ac:dyDescent="0.2">
      <c r="A118" s="6" t="s">
        <v>383</v>
      </c>
      <c r="B118" s="6" t="s">
        <v>384</v>
      </c>
      <c r="C118" s="6" t="s">
        <v>385</v>
      </c>
      <c r="D118" s="6" t="s">
        <v>46</v>
      </c>
      <c r="E118" s="6" t="s">
        <v>37</v>
      </c>
      <c r="F118" s="7">
        <v>36</v>
      </c>
      <c r="G118" s="7">
        <v>2910339</v>
      </c>
      <c r="H118" s="8">
        <v>4489.8599999999997</v>
      </c>
      <c r="I118" s="8">
        <v>4489.88</v>
      </c>
      <c r="J118" s="6"/>
    </row>
    <row r="119" spans="1:10" x14ac:dyDescent="0.2">
      <c r="A119" s="6" t="s">
        <v>386</v>
      </c>
      <c r="B119" s="6" t="s">
        <v>387</v>
      </c>
      <c r="C119" s="6" t="s">
        <v>388</v>
      </c>
      <c r="D119" s="6" t="s">
        <v>50</v>
      </c>
      <c r="E119" s="6" t="s">
        <v>51</v>
      </c>
      <c r="F119" s="7">
        <v>12</v>
      </c>
      <c r="G119" s="7">
        <v>507438</v>
      </c>
      <c r="H119" s="8">
        <v>782.85</v>
      </c>
      <c r="I119" s="8">
        <v>782.84</v>
      </c>
      <c r="J119" s="6"/>
    </row>
    <row r="120" spans="1:10" x14ac:dyDescent="0.2">
      <c r="A120" s="6" t="s">
        <v>389</v>
      </c>
      <c r="B120" s="6" t="s">
        <v>390</v>
      </c>
      <c r="C120" s="6" t="s">
        <v>391</v>
      </c>
      <c r="D120" s="6" t="s">
        <v>46</v>
      </c>
      <c r="E120" s="6" t="s">
        <v>37</v>
      </c>
      <c r="F120" s="7">
        <v>15</v>
      </c>
      <c r="G120" s="7">
        <v>2620326</v>
      </c>
      <c r="H120" s="8">
        <v>4042.46</v>
      </c>
      <c r="I120" s="8">
        <v>4042.47</v>
      </c>
      <c r="J120" s="6"/>
    </row>
    <row r="121" spans="1:10" x14ac:dyDescent="0.2">
      <c r="A121" s="6" t="s">
        <v>392</v>
      </c>
      <c r="B121" s="6" t="s">
        <v>393</v>
      </c>
      <c r="C121" s="6" t="s">
        <v>307</v>
      </c>
      <c r="D121" s="6" t="s">
        <v>68</v>
      </c>
      <c r="E121" s="6" t="s">
        <v>51</v>
      </c>
      <c r="F121" s="7">
        <v>66</v>
      </c>
      <c r="G121" s="7">
        <v>58052152</v>
      </c>
      <c r="H121" s="8">
        <v>89558.99</v>
      </c>
      <c r="I121" s="8">
        <v>89559.01</v>
      </c>
      <c r="J121" s="6"/>
    </row>
    <row r="122" spans="1:10" x14ac:dyDescent="0.2">
      <c r="A122" s="6" t="s">
        <v>394</v>
      </c>
      <c r="B122" s="6" t="s">
        <v>395</v>
      </c>
      <c r="C122" s="6" t="s">
        <v>396</v>
      </c>
      <c r="D122" s="6" t="s">
        <v>46</v>
      </c>
      <c r="E122" s="6" t="s">
        <v>37</v>
      </c>
      <c r="F122" s="7">
        <v>23</v>
      </c>
      <c r="G122" s="7">
        <v>771079</v>
      </c>
      <c r="H122" s="8">
        <v>1189.58</v>
      </c>
      <c r="I122" s="8">
        <v>1189.57</v>
      </c>
      <c r="J122" s="6"/>
    </row>
    <row r="123" spans="1:10" x14ac:dyDescent="0.2">
      <c r="A123" s="6" t="s">
        <v>397</v>
      </c>
      <c r="B123" s="6" t="s">
        <v>398</v>
      </c>
      <c r="C123" s="6" t="s">
        <v>399</v>
      </c>
      <c r="D123" s="6" t="s">
        <v>46</v>
      </c>
      <c r="E123" s="6" t="s">
        <v>37</v>
      </c>
      <c r="F123" s="7">
        <v>54</v>
      </c>
      <c r="G123" s="7">
        <v>10556444</v>
      </c>
      <c r="H123" s="8">
        <v>16285.78</v>
      </c>
      <c r="I123" s="8">
        <v>16285.78</v>
      </c>
      <c r="J123" s="6"/>
    </row>
    <row r="124" spans="1:10" x14ac:dyDescent="0.2">
      <c r="A124" s="6" t="s">
        <v>400</v>
      </c>
      <c r="B124" s="6" t="s">
        <v>401</v>
      </c>
      <c r="C124" s="6" t="s">
        <v>402</v>
      </c>
      <c r="D124" s="6" t="s">
        <v>36</v>
      </c>
      <c r="E124" s="6" t="s">
        <v>37</v>
      </c>
      <c r="F124" s="7">
        <v>46</v>
      </c>
      <c r="G124" s="7">
        <v>6885578</v>
      </c>
      <c r="H124" s="8">
        <v>10622.61</v>
      </c>
      <c r="I124" s="8">
        <v>10622.61</v>
      </c>
      <c r="J124" s="6"/>
    </row>
    <row r="125" spans="1:10" x14ac:dyDescent="0.2">
      <c r="A125" s="6" t="s">
        <v>403</v>
      </c>
      <c r="B125" s="6" t="s">
        <v>404</v>
      </c>
      <c r="C125" s="6" t="s">
        <v>405</v>
      </c>
      <c r="D125" s="6" t="s">
        <v>46</v>
      </c>
      <c r="E125" s="6" t="s">
        <v>37</v>
      </c>
      <c r="F125" s="7">
        <v>35</v>
      </c>
      <c r="G125" s="7">
        <v>5418697</v>
      </c>
      <c r="H125" s="8">
        <v>8359.64</v>
      </c>
      <c r="I125" s="8">
        <v>8359.61</v>
      </c>
      <c r="J125" s="6"/>
    </row>
    <row r="126" spans="1:10" x14ac:dyDescent="0.2">
      <c r="A126" s="6" t="s">
        <v>406</v>
      </c>
      <c r="B126" s="6" t="s">
        <v>407</v>
      </c>
      <c r="C126" s="6" t="s">
        <v>408</v>
      </c>
      <c r="D126" s="6" t="s">
        <v>75</v>
      </c>
      <c r="E126" s="6" t="s">
        <v>42</v>
      </c>
      <c r="F126" s="7">
        <v>19</v>
      </c>
      <c r="G126" s="7">
        <v>3487096</v>
      </c>
      <c r="H126" s="8">
        <v>1108.49</v>
      </c>
      <c r="I126" s="8">
        <v>1108.49</v>
      </c>
      <c r="J126" s="6"/>
    </row>
    <row r="127" spans="1:10" x14ac:dyDescent="0.2">
      <c r="A127" s="6" t="s">
        <v>409</v>
      </c>
      <c r="B127" s="6" t="s">
        <v>410</v>
      </c>
      <c r="C127" s="6" t="s">
        <v>411</v>
      </c>
      <c r="D127" s="6" t="s">
        <v>46</v>
      </c>
      <c r="E127" s="6" t="s">
        <v>37</v>
      </c>
      <c r="F127" s="7">
        <v>19</v>
      </c>
      <c r="G127" s="7">
        <v>4343553</v>
      </c>
      <c r="H127" s="8">
        <v>6700.94</v>
      </c>
      <c r="I127" s="8">
        <v>6700.95</v>
      </c>
      <c r="J127" s="6"/>
    </row>
    <row r="128" spans="1:10" x14ac:dyDescent="0.2">
      <c r="A128" s="6" t="s">
        <v>412</v>
      </c>
      <c r="B128" s="6" t="s">
        <v>413</v>
      </c>
      <c r="C128" s="6" t="s">
        <v>414</v>
      </c>
      <c r="D128" s="6" t="s">
        <v>41</v>
      </c>
      <c r="E128" s="6" t="s">
        <v>42</v>
      </c>
      <c r="F128" s="7">
        <v>18</v>
      </c>
      <c r="G128" s="7">
        <v>7243639</v>
      </c>
      <c r="H128" s="8">
        <v>2302.63</v>
      </c>
      <c r="I128" s="8">
        <v>2302.64</v>
      </c>
      <c r="J128" s="6"/>
    </row>
    <row r="129" spans="1:10" x14ac:dyDescent="0.2">
      <c r="A129" s="6" t="s">
        <v>415</v>
      </c>
      <c r="B129" s="6" t="s">
        <v>416</v>
      </c>
      <c r="C129" s="6" t="s">
        <v>417</v>
      </c>
      <c r="D129" s="6" t="s">
        <v>36</v>
      </c>
      <c r="E129" s="6" t="s">
        <v>37</v>
      </c>
      <c r="F129" s="7">
        <v>17</v>
      </c>
      <c r="G129" s="7">
        <v>1030389</v>
      </c>
      <c r="H129" s="8">
        <v>1589.61</v>
      </c>
      <c r="I129" s="8">
        <v>1589.62</v>
      </c>
      <c r="J129" s="6"/>
    </row>
    <row r="130" spans="1:10" x14ac:dyDescent="0.2">
      <c r="A130" s="6" t="s">
        <v>418</v>
      </c>
      <c r="B130" s="6" t="s">
        <v>419</v>
      </c>
      <c r="C130" s="6" t="s">
        <v>420</v>
      </c>
      <c r="D130" s="6" t="s">
        <v>46</v>
      </c>
      <c r="E130" s="6" t="s">
        <v>37</v>
      </c>
      <c r="F130" s="7">
        <v>37</v>
      </c>
      <c r="G130" s="7">
        <v>4218069</v>
      </c>
      <c r="H130" s="8">
        <v>6507.33</v>
      </c>
      <c r="I130" s="8">
        <v>6507.36</v>
      </c>
      <c r="J130" s="6"/>
    </row>
    <row r="131" spans="1:10" x14ac:dyDescent="0.2">
      <c r="A131" s="6" t="s">
        <v>421</v>
      </c>
      <c r="B131" s="6" t="s">
        <v>422</v>
      </c>
      <c r="C131" s="6" t="s">
        <v>423</v>
      </c>
      <c r="D131" s="6" t="s">
        <v>68</v>
      </c>
      <c r="E131" s="6" t="s">
        <v>51</v>
      </c>
      <c r="F131" s="7">
        <v>24</v>
      </c>
      <c r="G131" s="7">
        <v>3189860</v>
      </c>
      <c r="H131" s="8">
        <v>4921.13</v>
      </c>
      <c r="I131" s="8">
        <v>4921.1000000000004</v>
      </c>
      <c r="J131" s="6"/>
    </row>
    <row r="132" spans="1:10" x14ac:dyDescent="0.2">
      <c r="A132" s="6" t="s">
        <v>424</v>
      </c>
      <c r="B132" s="6" t="s">
        <v>425</v>
      </c>
      <c r="C132" s="6" t="s">
        <v>426</v>
      </c>
      <c r="D132" s="6" t="s">
        <v>50</v>
      </c>
      <c r="E132" s="6" t="s">
        <v>51</v>
      </c>
      <c r="F132" s="7">
        <v>16</v>
      </c>
      <c r="G132" s="7">
        <v>1504028</v>
      </c>
      <c r="H132" s="8">
        <v>2320.33</v>
      </c>
      <c r="I132" s="8">
        <v>2320.31</v>
      </c>
      <c r="J132" s="6"/>
    </row>
    <row r="133" spans="1:10" x14ac:dyDescent="0.2">
      <c r="A133" s="6" t="s">
        <v>427</v>
      </c>
      <c r="B133" s="6" t="s">
        <v>428</v>
      </c>
      <c r="C133" s="6" t="s">
        <v>429</v>
      </c>
      <c r="D133" s="6" t="s">
        <v>50</v>
      </c>
      <c r="E133" s="6" t="s">
        <v>51</v>
      </c>
      <c r="F133" s="7">
        <v>0</v>
      </c>
      <c r="G133" s="7">
        <v>0</v>
      </c>
      <c r="H133" s="8">
        <v>0</v>
      </c>
      <c r="I133" s="8">
        <v>0</v>
      </c>
      <c r="J133" s="6" t="s">
        <v>94</v>
      </c>
    </row>
    <row r="134" spans="1:10" x14ac:dyDescent="0.2">
      <c r="A134" s="6" t="s">
        <v>430</v>
      </c>
      <c r="B134" s="6" t="s">
        <v>431</v>
      </c>
      <c r="C134" s="6" t="s">
        <v>432</v>
      </c>
      <c r="D134" s="6" t="s">
        <v>36</v>
      </c>
      <c r="E134" s="6" t="s">
        <v>37</v>
      </c>
      <c r="F134" s="7">
        <v>20</v>
      </c>
      <c r="G134" s="7">
        <v>1467062</v>
      </c>
      <c r="H134" s="8">
        <v>2263.2800000000002</v>
      </c>
      <c r="I134" s="8">
        <v>2263.29</v>
      </c>
      <c r="J134" s="6"/>
    </row>
    <row r="135" spans="1:10" x14ac:dyDescent="0.2">
      <c r="A135" s="6" t="s">
        <v>433</v>
      </c>
      <c r="B135" s="6" t="s">
        <v>434</v>
      </c>
      <c r="C135" s="6" t="s">
        <v>176</v>
      </c>
      <c r="D135" s="6" t="s">
        <v>46</v>
      </c>
      <c r="E135" s="6" t="s">
        <v>37</v>
      </c>
      <c r="F135" s="7">
        <v>14</v>
      </c>
      <c r="G135" s="7">
        <v>2177188</v>
      </c>
      <c r="H135" s="8">
        <v>3358.83</v>
      </c>
      <c r="I135" s="8">
        <v>3358.82</v>
      </c>
      <c r="J135" s="6"/>
    </row>
    <row r="136" spans="1:10" x14ac:dyDescent="0.2">
      <c r="A136" s="6" t="s">
        <v>435</v>
      </c>
      <c r="B136" s="6" t="s">
        <v>436</v>
      </c>
      <c r="C136" s="6" t="s">
        <v>437</v>
      </c>
      <c r="D136" s="6" t="s">
        <v>50</v>
      </c>
      <c r="E136" s="6" t="s">
        <v>51</v>
      </c>
      <c r="F136" s="7">
        <v>16</v>
      </c>
      <c r="G136" s="7">
        <v>1375513</v>
      </c>
      <c r="H136" s="8">
        <v>2122.0500000000002</v>
      </c>
      <c r="I136" s="8">
        <v>2122.0500000000002</v>
      </c>
      <c r="J136" s="6"/>
    </row>
    <row r="137" spans="1:10" x14ac:dyDescent="0.2">
      <c r="A137" s="6" t="s">
        <v>438</v>
      </c>
      <c r="B137" s="6" t="s">
        <v>439</v>
      </c>
      <c r="C137" s="6" t="s">
        <v>440</v>
      </c>
      <c r="D137" s="6" t="s">
        <v>50</v>
      </c>
      <c r="E137" s="6" t="s">
        <v>51</v>
      </c>
      <c r="F137" s="7">
        <v>24</v>
      </c>
      <c r="G137" s="7">
        <v>2044573</v>
      </c>
      <c r="H137" s="8">
        <v>3154.24</v>
      </c>
      <c r="I137" s="8">
        <v>3154.23</v>
      </c>
      <c r="J137" s="6"/>
    </row>
    <row r="138" spans="1:10" x14ac:dyDescent="0.2">
      <c r="A138" s="6" t="s">
        <v>441</v>
      </c>
      <c r="B138" s="6" t="s">
        <v>442</v>
      </c>
      <c r="C138" s="6" t="s">
        <v>443</v>
      </c>
      <c r="D138" s="6" t="s">
        <v>41</v>
      </c>
      <c r="E138" s="6" t="s">
        <v>42</v>
      </c>
      <c r="F138" s="7">
        <v>20</v>
      </c>
      <c r="G138" s="7">
        <v>4671586</v>
      </c>
      <c r="H138" s="8">
        <v>1485.02</v>
      </c>
      <c r="I138" s="8">
        <v>1485.02</v>
      </c>
      <c r="J138" s="6"/>
    </row>
    <row r="139" spans="1:10" x14ac:dyDescent="0.2">
      <c r="A139" s="6" t="s">
        <v>444</v>
      </c>
      <c r="B139" s="6" t="s">
        <v>445</v>
      </c>
      <c r="C139" s="6" t="s">
        <v>446</v>
      </c>
      <c r="D139" s="6" t="s">
        <v>68</v>
      </c>
      <c r="E139" s="6" t="s">
        <v>51</v>
      </c>
      <c r="F139" s="7">
        <v>38</v>
      </c>
      <c r="G139" s="7">
        <v>3828338</v>
      </c>
      <c r="H139" s="8">
        <v>5906.11</v>
      </c>
      <c r="I139" s="8">
        <v>5906.11</v>
      </c>
      <c r="J139" s="6"/>
    </row>
    <row r="140" spans="1:10" x14ac:dyDescent="0.2">
      <c r="A140" s="6" t="s">
        <v>447</v>
      </c>
      <c r="B140" s="6" t="s">
        <v>448</v>
      </c>
      <c r="C140" s="6" t="s">
        <v>449</v>
      </c>
      <c r="D140" s="6" t="s">
        <v>75</v>
      </c>
      <c r="E140" s="6" t="s">
        <v>42</v>
      </c>
      <c r="F140" s="7">
        <v>33</v>
      </c>
      <c r="G140" s="7">
        <v>26701208</v>
      </c>
      <c r="H140" s="8">
        <v>8487.8799999999992</v>
      </c>
      <c r="I140" s="8">
        <v>8487.89</v>
      </c>
      <c r="J140" s="6"/>
    </row>
    <row r="141" spans="1:10" x14ac:dyDescent="0.2">
      <c r="A141" s="6" t="s">
        <v>450</v>
      </c>
      <c r="B141" s="6" t="s">
        <v>451</v>
      </c>
      <c r="C141" s="6" t="s">
        <v>452</v>
      </c>
      <c r="D141" s="6" t="s">
        <v>68</v>
      </c>
      <c r="E141" s="6" t="s">
        <v>51</v>
      </c>
      <c r="F141" s="7">
        <v>18</v>
      </c>
      <c r="G141" s="7">
        <v>2524337</v>
      </c>
      <c r="H141" s="8">
        <v>3894.37</v>
      </c>
      <c r="I141" s="8">
        <v>3894.38</v>
      </c>
      <c r="J141" s="6"/>
    </row>
    <row r="142" spans="1:10" x14ac:dyDescent="0.2">
      <c r="A142" s="6" t="s">
        <v>453</v>
      </c>
      <c r="B142" s="6" t="s">
        <v>454</v>
      </c>
      <c r="C142" s="6" t="s">
        <v>455</v>
      </c>
      <c r="D142" s="6" t="s">
        <v>41</v>
      </c>
      <c r="E142" s="6" t="s">
        <v>42</v>
      </c>
      <c r="F142" s="7">
        <v>32</v>
      </c>
      <c r="G142" s="7">
        <v>22602429</v>
      </c>
      <c r="H142" s="8">
        <v>7184.94</v>
      </c>
      <c r="I142" s="8">
        <v>7184.95</v>
      </c>
      <c r="J142" s="6"/>
    </row>
    <row r="143" spans="1:10" x14ac:dyDescent="0.2">
      <c r="A143" s="6" t="s">
        <v>456</v>
      </c>
      <c r="B143" s="6" t="s">
        <v>457</v>
      </c>
      <c r="C143" s="6" t="s">
        <v>458</v>
      </c>
      <c r="D143" s="6" t="s">
        <v>46</v>
      </c>
      <c r="E143" s="6" t="s">
        <v>37</v>
      </c>
      <c r="F143" s="7">
        <v>55</v>
      </c>
      <c r="G143" s="7">
        <v>16865835</v>
      </c>
      <c r="H143" s="8">
        <v>26019.49</v>
      </c>
      <c r="I143" s="8">
        <v>26019.49</v>
      </c>
      <c r="J143" s="6"/>
    </row>
    <row r="144" spans="1:10" x14ac:dyDescent="0.2">
      <c r="A144" s="6" t="s">
        <v>459</v>
      </c>
      <c r="B144" s="6" t="s">
        <v>460</v>
      </c>
      <c r="C144" s="6" t="s">
        <v>461</v>
      </c>
      <c r="D144" s="6" t="s">
        <v>75</v>
      </c>
      <c r="E144" s="6" t="s">
        <v>42</v>
      </c>
      <c r="F144" s="7">
        <v>51</v>
      </c>
      <c r="G144" s="7">
        <v>67074594</v>
      </c>
      <c r="H144" s="8">
        <v>21321.94</v>
      </c>
      <c r="I144" s="8">
        <v>21321.95</v>
      </c>
      <c r="J144" s="6"/>
    </row>
    <row r="145" spans="1:10" x14ac:dyDescent="0.2">
      <c r="A145" s="6" t="s">
        <v>462</v>
      </c>
      <c r="B145" s="6" t="s">
        <v>463</v>
      </c>
      <c r="C145" s="6" t="s">
        <v>464</v>
      </c>
      <c r="D145" s="6" t="s">
        <v>36</v>
      </c>
      <c r="E145" s="6" t="s">
        <v>37</v>
      </c>
      <c r="F145" s="7">
        <v>26</v>
      </c>
      <c r="G145" s="7">
        <v>1823647</v>
      </c>
      <c r="H145" s="8">
        <v>2813.37</v>
      </c>
      <c r="I145" s="8">
        <v>2813.4</v>
      </c>
      <c r="J145" s="6" t="s">
        <v>147</v>
      </c>
    </row>
    <row r="146" spans="1:10" x14ac:dyDescent="0.2">
      <c r="A146" s="6" t="s">
        <v>465</v>
      </c>
      <c r="B146" s="6" t="s">
        <v>466</v>
      </c>
      <c r="C146" s="6" t="s">
        <v>467</v>
      </c>
      <c r="D146" s="6" t="s">
        <v>50</v>
      </c>
      <c r="E146" s="6" t="s">
        <v>51</v>
      </c>
      <c r="F146" s="7">
        <v>26</v>
      </c>
      <c r="G146" s="7">
        <v>8689960</v>
      </c>
      <c r="H146" s="8">
        <v>13406.27</v>
      </c>
      <c r="I146" s="8">
        <v>13406.29</v>
      </c>
      <c r="J146" s="6"/>
    </row>
    <row r="147" spans="1:10" x14ac:dyDescent="0.2">
      <c r="A147" s="6" t="s">
        <v>468</v>
      </c>
      <c r="B147" s="6" t="s">
        <v>469</v>
      </c>
      <c r="C147" s="6" t="s">
        <v>470</v>
      </c>
      <c r="D147" s="6" t="s">
        <v>41</v>
      </c>
      <c r="E147" s="6" t="s">
        <v>42</v>
      </c>
      <c r="F147" s="7">
        <v>68</v>
      </c>
      <c r="G147" s="7">
        <v>53641704</v>
      </c>
      <c r="H147" s="8">
        <v>17051.88</v>
      </c>
      <c r="I147" s="8">
        <v>17051.849999999999</v>
      </c>
      <c r="J147" s="6"/>
    </row>
    <row r="148" spans="1:10" x14ac:dyDescent="0.2">
      <c r="A148" s="6" t="s">
        <v>471</v>
      </c>
      <c r="B148" s="6" t="s">
        <v>472</v>
      </c>
      <c r="C148" s="6" t="s">
        <v>473</v>
      </c>
      <c r="D148" s="6" t="s">
        <v>68</v>
      </c>
      <c r="E148" s="6" t="s">
        <v>51</v>
      </c>
      <c r="F148" s="7">
        <v>32</v>
      </c>
      <c r="G148" s="7">
        <v>4353989</v>
      </c>
      <c r="H148" s="8">
        <v>6717.05</v>
      </c>
      <c r="I148" s="8">
        <v>6717.05</v>
      </c>
      <c r="J148" s="6"/>
    </row>
    <row r="149" spans="1:10" x14ac:dyDescent="0.2">
      <c r="A149" s="6" t="s">
        <v>474</v>
      </c>
      <c r="B149" s="6" t="s">
        <v>475</v>
      </c>
      <c r="C149" s="6" t="s">
        <v>476</v>
      </c>
      <c r="D149" s="6" t="s">
        <v>75</v>
      </c>
      <c r="E149" s="6" t="s">
        <v>42</v>
      </c>
      <c r="F149" s="7">
        <v>78</v>
      </c>
      <c r="G149" s="7">
        <v>157260738</v>
      </c>
      <c r="H149" s="8">
        <v>49990.68</v>
      </c>
      <c r="I149" s="8">
        <v>49990.7</v>
      </c>
      <c r="J149" s="6"/>
    </row>
    <row r="150" spans="1:10" x14ac:dyDescent="0.2">
      <c r="A150" s="6" t="s">
        <v>477</v>
      </c>
      <c r="B150" s="6" t="s">
        <v>478</v>
      </c>
      <c r="C150" s="6" t="s">
        <v>479</v>
      </c>
      <c r="D150" s="6" t="s">
        <v>75</v>
      </c>
      <c r="E150" s="6" t="s">
        <v>42</v>
      </c>
      <c r="F150" s="7">
        <v>14</v>
      </c>
      <c r="G150" s="7">
        <v>2937792</v>
      </c>
      <c r="H150" s="8">
        <v>933.87</v>
      </c>
      <c r="I150" s="8">
        <v>933.88</v>
      </c>
      <c r="J150" s="6"/>
    </row>
    <row r="151" spans="1:10" x14ac:dyDescent="0.2">
      <c r="A151" s="6" t="s">
        <v>480</v>
      </c>
      <c r="B151" s="6" t="s">
        <v>481</v>
      </c>
      <c r="C151" s="6" t="s">
        <v>78</v>
      </c>
      <c r="D151" s="6" t="s">
        <v>41</v>
      </c>
      <c r="E151" s="6" t="s">
        <v>42</v>
      </c>
      <c r="F151" s="7">
        <v>21</v>
      </c>
      <c r="G151" s="7">
        <v>33656883</v>
      </c>
      <c r="H151" s="8">
        <v>10698.98</v>
      </c>
      <c r="I151" s="8">
        <v>10698.99</v>
      </c>
      <c r="J151" s="6"/>
    </row>
    <row r="152" spans="1:10" x14ac:dyDescent="0.2">
      <c r="A152" s="6" t="s">
        <v>482</v>
      </c>
      <c r="B152" s="6" t="s">
        <v>483</v>
      </c>
      <c r="C152" s="6" t="s">
        <v>340</v>
      </c>
      <c r="D152" s="6" t="s">
        <v>46</v>
      </c>
      <c r="E152" s="6" t="s">
        <v>37</v>
      </c>
      <c r="F152" s="7">
        <v>35</v>
      </c>
      <c r="G152" s="7">
        <v>3452643</v>
      </c>
      <c r="H152" s="8">
        <v>5326.52</v>
      </c>
      <c r="I152" s="8">
        <v>5326.51</v>
      </c>
      <c r="J152" s="6"/>
    </row>
    <row r="153" spans="1:10" x14ac:dyDescent="0.2">
      <c r="A153" s="6" t="s">
        <v>484</v>
      </c>
      <c r="B153" s="6" t="s">
        <v>485</v>
      </c>
      <c r="C153" s="6" t="s">
        <v>486</v>
      </c>
      <c r="D153" s="6" t="s">
        <v>41</v>
      </c>
      <c r="E153" s="6" t="s">
        <v>42</v>
      </c>
      <c r="F153" s="7">
        <v>30</v>
      </c>
      <c r="G153" s="7">
        <v>14328085</v>
      </c>
      <c r="H153" s="8">
        <v>4554.68</v>
      </c>
      <c r="I153" s="8">
        <v>4554.67</v>
      </c>
      <c r="J153" s="6"/>
    </row>
    <row r="154" spans="1:10" x14ac:dyDescent="0.2">
      <c r="A154" s="6" t="s">
        <v>487</v>
      </c>
      <c r="B154" s="6" t="s">
        <v>488</v>
      </c>
      <c r="C154" s="6" t="s">
        <v>489</v>
      </c>
      <c r="D154" s="6" t="s">
        <v>46</v>
      </c>
      <c r="E154" s="6" t="s">
        <v>37</v>
      </c>
      <c r="F154" s="7">
        <v>20</v>
      </c>
      <c r="G154" s="7">
        <v>2317368</v>
      </c>
      <c r="H154" s="8">
        <v>3575.07</v>
      </c>
      <c r="I154" s="8">
        <v>3575.08</v>
      </c>
      <c r="J154" s="6" t="s">
        <v>58</v>
      </c>
    </row>
    <row r="155" spans="1:10" x14ac:dyDescent="0.2">
      <c r="A155" s="6" t="s">
        <v>490</v>
      </c>
      <c r="B155" s="6" t="s">
        <v>491</v>
      </c>
      <c r="C155" s="6" t="s">
        <v>125</v>
      </c>
      <c r="D155" s="6" t="s">
        <v>75</v>
      </c>
      <c r="E155" s="6" t="s">
        <v>42</v>
      </c>
      <c r="F155" s="7">
        <v>24</v>
      </c>
      <c r="G155" s="7">
        <v>25599042</v>
      </c>
      <c r="H155" s="8">
        <v>8137.52</v>
      </c>
      <c r="I155" s="8">
        <v>8137.53</v>
      </c>
      <c r="J155" s="6"/>
    </row>
    <row r="156" spans="1:10" x14ac:dyDescent="0.2">
      <c r="A156" s="6" t="s">
        <v>492</v>
      </c>
      <c r="B156" s="6" t="s">
        <v>493</v>
      </c>
      <c r="C156" s="6" t="s">
        <v>494</v>
      </c>
      <c r="D156" s="6" t="s">
        <v>46</v>
      </c>
      <c r="E156" s="6" t="s">
        <v>37</v>
      </c>
      <c r="F156" s="7">
        <v>11</v>
      </c>
      <c r="G156" s="7">
        <v>186510</v>
      </c>
      <c r="H156" s="8">
        <v>287.74</v>
      </c>
      <c r="I156" s="8">
        <v>287.74</v>
      </c>
      <c r="J156" s="6"/>
    </row>
    <row r="157" spans="1:10" x14ac:dyDescent="0.2">
      <c r="A157" s="6" t="s">
        <v>495</v>
      </c>
      <c r="B157" s="6" t="s">
        <v>496</v>
      </c>
      <c r="C157" s="6" t="s">
        <v>497</v>
      </c>
      <c r="D157" s="6" t="s">
        <v>41</v>
      </c>
      <c r="E157" s="6" t="s">
        <v>42</v>
      </c>
      <c r="F157" s="7">
        <v>26</v>
      </c>
      <c r="G157" s="7">
        <v>32846123</v>
      </c>
      <c r="H157" s="8">
        <v>10441.27</v>
      </c>
      <c r="I157" s="8">
        <v>10441.26</v>
      </c>
      <c r="J157" s="6"/>
    </row>
    <row r="158" spans="1:10" x14ac:dyDescent="0.2">
      <c r="A158" s="6" t="s">
        <v>498</v>
      </c>
      <c r="B158" s="6" t="s">
        <v>499</v>
      </c>
      <c r="C158" s="6" t="s">
        <v>500</v>
      </c>
      <c r="D158" s="6" t="s">
        <v>41</v>
      </c>
      <c r="E158" s="6" t="s">
        <v>42</v>
      </c>
      <c r="F158" s="7">
        <v>49</v>
      </c>
      <c r="G158" s="7">
        <v>43872966</v>
      </c>
      <c r="H158" s="8">
        <v>13946.51</v>
      </c>
      <c r="I158" s="8">
        <v>13946.52</v>
      </c>
      <c r="J158" s="6"/>
    </row>
    <row r="159" spans="1:10" x14ac:dyDescent="0.2">
      <c r="A159" s="6" t="s">
        <v>501</v>
      </c>
      <c r="B159" s="6" t="s">
        <v>502</v>
      </c>
      <c r="C159" s="6" t="s">
        <v>503</v>
      </c>
      <c r="D159" s="6" t="s">
        <v>41</v>
      </c>
      <c r="E159" s="6" t="s">
        <v>42</v>
      </c>
      <c r="F159" s="7">
        <v>19</v>
      </c>
      <c r="G159" s="7">
        <v>3006772</v>
      </c>
      <c r="H159" s="8">
        <v>955.8</v>
      </c>
      <c r="I159" s="8">
        <v>955.81</v>
      </c>
      <c r="J159" s="6"/>
    </row>
    <row r="160" spans="1:10" x14ac:dyDescent="0.2">
      <c r="A160" s="6" t="s">
        <v>504</v>
      </c>
      <c r="B160" s="6" t="s">
        <v>505</v>
      </c>
      <c r="C160" s="6" t="s">
        <v>506</v>
      </c>
      <c r="D160" s="6" t="s">
        <v>36</v>
      </c>
      <c r="E160" s="6" t="s">
        <v>37</v>
      </c>
      <c r="F160" s="7">
        <v>27</v>
      </c>
      <c r="G160" s="7">
        <v>2734403</v>
      </c>
      <c r="H160" s="8">
        <v>4218.42</v>
      </c>
      <c r="I160" s="8">
        <v>4218.46</v>
      </c>
      <c r="J160" s="6"/>
    </row>
    <row r="161" spans="1:10" x14ac:dyDescent="0.2">
      <c r="A161" s="6" t="s">
        <v>507</v>
      </c>
      <c r="B161" s="6" t="s">
        <v>508</v>
      </c>
      <c r="C161" s="6" t="s">
        <v>509</v>
      </c>
      <c r="D161" s="6" t="s">
        <v>68</v>
      </c>
      <c r="E161" s="6" t="s">
        <v>51</v>
      </c>
      <c r="F161" s="7">
        <v>23</v>
      </c>
      <c r="G161" s="7">
        <v>1933807</v>
      </c>
      <c r="H161" s="8">
        <v>2983.37</v>
      </c>
      <c r="I161" s="8">
        <v>2983.35</v>
      </c>
      <c r="J161" s="6"/>
    </row>
    <row r="162" spans="1:10" x14ac:dyDescent="0.2">
      <c r="A162" s="6" t="s">
        <v>510</v>
      </c>
      <c r="B162" s="6" t="s">
        <v>511</v>
      </c>
      <c r="C162" s="6" t="s">
        <v>512</v>
      </c>
      <c r="D162" s="6" t="s">
        <v>75</v>
      </c>
      <c r="E162" s="6" t="s">
        <v>42</v>
      </c>
      <c r="F162" s="7">
        <v>29</v>
      </c>
      <c r="G162" s="7">
        <v>19097469</v>
      </c>
      <c r="H162" s="8">
        <v>6070.78</v>
      </c>
      <c r="I162" s="8">
        <v>6070.78</v>
      </c>
      <c r="J162" s="6"/>
    </row>
    <row r="163" spans="1:10" x14ac:dyDescent="0.2">
      <c r="A163" s="6" t="s">
        <v>513</v>
      </c>
      <c r="B163" s="6" t="s">
        <v>514</v>
      </c>
      <c r="C163" s="6" t="s">
        <v>515</v>
      </c>
      <c r="D163" s="6" t="s">
        <v>41</v>
      </c>
      <c r="E163" s="6" t="s">
        <v>42</v>
      </c>
      <c r="F163" s="7">
        <v>17</v>
      </c>
      <c r="G163" s="7">
        <v>7002222</v>
      </c>
      <c r="H163" s="8">
        <v>2225.9</v>
      </c>
      <c r="I163" s="8">
        <v>2225.9</v>
      </c>
      <c r="J163" s="6"/>
    </row>
    <row r="164" spans="1:10" x14ac:dyDescent="0.2">
      <c r="A164" s="6" t="s">
        <v>516</v>
      </c>
      <c r="B164" s="6" t="s">
        <v>517</v>
      </c>
      <c r="C164" s="6" t="s">
        <v>518</v>
      </c>
      <c r="D164" s="6" t="s">
        <v>41</v>
      </c>
      <c r="E164" s="6" t="s">
        <v>42</v>
      </c>
      <c r="F164" s="7">
        <v>28</v>
      </c>
      <c r="G164" s="7">
        <v>42688058</v>
      </c>
      <c r="H164" s="8">
        <v>13569.85</v>
      </c>
      <c r="I164" s="8">
        <v>13569.86</v>
      </c>
      <c r="J164" s="6"/>
    </row>
    <row r="165" spans="1:10" x14ac:dyDescent="0.2">
      <c r="A165" s="6" t="s">
        <v>519</v>
      </c>
      <c r="B165" s="6" t="s">
        <v>520</v>
      </c>
      <c r="C165" s="6" t="s">
        <v>489</v>
      </c>
      <c r="D165" s="6" t="s">
        <v>46</v>
      </c>
      <c r="E165" s="6" t="s">
        <v>37</v>
      </c>
      <c r="F165" s="7">
        <v>13</v>
      </c>
      <c r="G165" s="7">
        <v>2240620</v>
      </c>
      <c r="H165" s="8">
        <v>3456.66</v>
      </c>
      <c r="I165" s="8">
        <v>3456.68</v>
      </c>
      <c r="J165" s="6"/>
    </row>
    <row r="166" spans="1:10" x14ac:dyDescent="0.2">
      <c r="A166" s="6" t="s">
        <v>521</v>
      </c>
      <c r="B166" s="6" t="s">
        <v>522</v>
      </c>
      <c r="C166" s="6" t="s">
        <v>523</v>
      </c>
      <c r="D166" s="6" t="s">
        <v>50</v>
      </c>
      <c r="E166" s="6" t="s">
        <v>51</v>
      </c>
      <c r="F166" s="7">
        <v>26</v>
      </c>
      <c r="G166" s="7">
        <v>5242936</v>
      </c>
      <c r="H166" s="8">
        <v>8088.46</v>
      </c>
      <c r="I166" s="8">
        <v>8088.45</v>
      </c>
      <c r="J166" s="6"/>
    </row>
    <row r="167" spans="1:10" x14ac:dyDescent="0.2">
      <c r="A167" s="6" t="s">
        <v>524</v>
      </c>
      <c r="B167" s="6" t="s">
        <v>525</v>
      </c>
      <c r="C167" s="6" t="s">
        <v>526</v>
      </c>
      <c r="D167" s="6" t="s">
        <v>46</v>
      </c>
      <c r="E167" s="6" t="s">
        <v>37</v>
      </c>
      <c r="F167" s="7">
        <v>32</v>
      </c>
      <c r="G167" s="7">
        <v>5166857</v>
      </c>
      <c r="H167" s="8">
        <v>7971.07</v>
      </c>
      <c r="I167" s="8">
        <v>7971.08</v>
      </c>
      <c r="J167" s="6"/>
    </row>
    <row r="168" spans="1:10" x14ac:dyDescent="0.2">
      <c r="A168" s="6" t="s">
        <v>527</v>
      </c>
      <c r="B168" s="6" t="s">
        <v>528</v>
      </c>
      <c r="C168" s="6" t="s">
        <v>529</v>
      </c>
      <c r="D168" s="6" t="s">
        <v>46</v>
      </c>
      <c r="E168" s="6" t="s">
        <v>37</v>
      </c>
      <c r="F168" s="7">
        <v>78</v>
      </c>
      <c r="G168" s="7">
        <v>49600604</v>
      </c>
      <c r="H168" s="8">
        <v>76520.539999999994</v>
      </c>
      <c r="I168" s="8">
        <v>76520.52</v>
      </c>
      <c r="J168" s="6"/>
    </row>
    <row r="169" spans="1:10" x14ac:dyDescent="0.2">
      <c r="A169" s="6" t="s">
        <v>530</v>
      </c>
      <c r="B169" s="6" t="s">
        <v>531</v>
      </c>
      <c r="C169" s="6" t="s">
        <v>532</v>
      </c>
      <c r="D169" s="6" t="s">
        <v>50</v>
      </c>
      <c r="E169" s="6" t="s">
        <v>51</v>
      </c>
      <c r="F169" s="7">
        <v>66</v>
      </c>
      <c r="G169" s="7">
        <v>39550402</v>
      </c>
      <c r="H169" s="8">
        <v>61015.77</v>
      </c>
      <c r="I169" s="8">
        <v>61015.74</v>
      </c>
      <c r="J169" s="6"/>
    </row>
    <row r="170" spans="1:10" x14ac:dyDescent="0.2">
      <c r="A170" s="6" t="s">
        <v>533</v>
      </c>
      <c r="B170" s="6" t="s">
        <v>534</v>
      </c>
      <c r="C170" s="6" t="s">
        <v>535</v>
      </c>
      <c r="D170" s="6" t="s">
        <v>36</v>
      </c>
      <c r="E170" s="6" t="s">
        <v>37</v>
      </c>
      <c r="F170" s="7">
        <v>24</v>
      </c>
      <c r="G170" s="7">
        <v>1478630</v>
      </c>
      <c r="H170" s="8">
        <v>2281.11</v>
      </c>
      <c r="I170" s="8">
        <v>2281.13</v>
      </c>
      <c r="J170" s="6"/>
    </row>
    <row r="171" spans="1:10" x14ac:dyDescent="0.2">
      <c r="A171" s="6" t="s">
        <v>536</v>
      </c>
      <c r="B171" s="6" t="s">
        <v>537</v>
      </c>
      <c r="C171" s="6" t="s">
        <v>538</v>
      </c>
      <c r="D171" s="6" t="s">
        <v>68</v>
      </c>
      <c r="E171" s="6" t="s">
        <v>51</v>
      </c>
      <c r="F171" s="7">
        <v>43</v>
      </c>
      <c r="G171" s="7">
        <v>23974858</v>
      </c>
      <c r="H171" s="8">
        <v>36986.78</v>
      </c>
      <c r="I171" s="8">
        <v>36986.82</v>
      </c>
      <c r="J171" s="6"/>
    </row>
    <row r="172" spans="1:10" x14ac:dyDescent="0.2">
      <c r="A172" s="6" t="s">
        <v>539</v>
      </c>
      <c r="B172" s="6" t="s">
        <v>540</v>
      </c>
      <c r="C172" s="6" t="s">
        <v>541</v>
      </c>
      <c r="D172" s="6" t="s">
        <v>41</v>
      </c>
      <c r="E172" s="6" t="s">
        <v>42</v>
      </c>
      <c r="F172" s="7">
        <v>24</v>
      </c>
      <c r="G172" s="7">
        <v>10960115</v>
      </c>
      <c r="H172" s="8">
        <v>3484.06</v>
      </c>
      <c r="I172" s="8">
        <v>3484.05</v>
      </c>
      <c r="J172" s="6" t="s">
        <v>113</v>
      </c>
    </row>
    <row r="173" spans="1:10" x14ac:dyDescent="0.2">
      <c r="A173" s="6" t="s">
        <v>542</v>
      </c>
      <c r="B173" s="6" t="s">
        <v>543</v>
      </c>
      <c r="C173" s="6" t="s">
        <v>544</v>
      </c>
      <c r="D173" s="6" t="s">
        <v>68</v>
      </c>
      <c r="E173" s="6" t="s">
        <v>51</v>
      </c>
      <c r="F173" s="7">
        <v>29</v>
      </c>
      <c r="G173" s="7">
        <v>3708864</v>
      </c>
      <c r="H173" s="8">
        <v>5721.78</v>
      </c>
      <c r="I173" s="8">
        <v>5721.79</v>
      </c>
      <c r="J173" s="6"/>
    </row>
    <row r="174" spans="1:10" x14ac:dyDescent="0.2">
      <c r="A174" s="6" t="s">
        <v>545</v>
      </c>
      <c r="B174" s="6" t="s">
        <v>546</v>
      </c>
      <c r="C174" s="6" t="s">
        <v>547</v>
      </c>
      <c r="D174" s="6" t="s">
        <v>41</v>
      </c>
      <c r="E174" s="6" t="s">
        <v>42</v>
      </c>
      <c r="F174" s="7">
        <v>49</v>
      </c>
      <c r="G174" s="7">
        <v>37146276</v>
      </c>
      <c r="H174" s="8">
        <v>11808.21</v>
      </c>
      <c r="I174" s="8">
        <v>11808.21</v>
      </c>
      <c r="J174" s="6"/>
    </row>
    <row r="175" spans="1:10" x14ac:dyDescent="0.2">
      <c r="A175" s="6" t="s">
        <v>548</v>
      </c>
      <c r="B175" s="6" t="s">
        <v>549</v>
      </c>
      <c r="C175" s="6" t="s">
        <v>550</v>
      </c>
      <c r="D175" s="6" t="s">
        <v>41</v>
      </c>
      <c r="E175" s="6" t="s">
        <v>42</v>
      </c>
      <c r="F175" s="7">
        <v>31</v>
      </c>
      <c r="G175" s="7">
        <v>25195715</v>
      </c>
      <c r="H175" s="8">
        <v>8009.31</v>
      </c>
      <c r="I175" s="8">
        <v>8009.32</v>
      </c>
      <c r="J175" s="6"/>
    </row>
    <row r="176" spans="1:10" x14ac:dyDescent="0.2">
      <c r="A176" s="6" t="s">
        <v>551</v>
      </c>
      <c r="B176" s="6" t="s">
        <v>552</v>
      </c>
      <c r="C176" s="6" t="s">
        <v>553</v>
      </c>
      <c r="D176" s="6" t="s">
        <v>41</v>
      </c>
      <c r="E176" s="6" t="s">
        <v>42</v>
      </c>
      <c r="F176" s="7">
        <v>30</v>
      </c>
      <c r="G176" s="7">
        <v>14428232</v>
      </c>
      <c r="H176" s="8">
        <v>4586.5200000000004</v>
      </c>
      <c r="I176" s="8">
        <v>4586.51</v>
      </c>
      <c r="J176" s="6"/>
    </row>
    <row r="177" spans="1:10" x14ac:dyDescent="0.2">
      <c r="A177" s="6" t="s">
        <v>554</v>
      </c>
      <c r="B177" s="6" t="s">
        <v>555</v>
      </c>
      <c r="C177" s="6" t="s">
        <v>556</v>
      </c>
      <c r="D177" s="6" t="s">
        <v>41</v>
      </c>
      <c r="E177" s="6" t="s">
        <v>42</v>
      </c>
      <c r="F177" s="7">
        <v>33</v>
      </c>
      <c r="G177" s="7">
        <v>23885721</v>
      </c>
      <c r="H177" s="8">
        <v>7592.89</v>
      </c>
      <c r="I177" s="8">
        <v>7592.89</v>
      </c>
      <c r="J177" s="6"/>
    </row>
    <row r="178" spans="1:10" x14ac:dyDescent="0.2">
      <c r="A178" s="6" t="s">
        <v>557</v>
      </c>
      <c r="B178" s="6" t="s">
        <v>558</v>
      </c>
      <c r="C178" s="6" t="s">
        <v>559</v>
      </c>
      <c r="D178" s="6" t="s">
        <v>75</v>
      </c>
      <c r="E178" s="6" t="s">
        <v>42</v>
      </c>
      <c r="F178" s="7">
        <v>19</v>
      </c>
      <c r="G178" s="7">
        <v>2964902</v>
      </c>
      <c r="H178" s="8">
        <v>942.5</v>
      </c>
      <c r="I178" s="8">
        <v>942.5</v>
      </c>
      <c r="J178" s="6"/>
    </row>
    <row r="179" spans="1:10" x14ac:dyDescent="0.2">
      <c r="A179" s="6" t="s">
        <v>560</v>
      </c>
      <c r="B179" s="6" t="s">
        <v>561</v>
      </c>
      <c r="C179" s="6" t="s">
        <v>562</v>
      </c>
      <c r="D179" s="6" t="s">
        <v>46</v>
      </c>
      <c r="E179" s="6" t="s">
        <v>37</v>
      </c>
      <c r="F179" s="7">
        <v>47</v>
      </c>
      <c r="G179" s="7">
        <v>8310188</v>
      </c>
      <c r="H179" s="8">
        <v>12820.41</v>
      </c>
      <c r="I179" s="8">
        <v>12820.41</v>
      </c>
      <c r="J179" s="6"/>
    </row>
    <row r="180" spans="1:10" x14ac:dyDescent="0.2">
      <c r="A180" s="6" t="s">
        <v>563</v>
      </c>
      <c r="B180" s="6" t="s">
        <v>564</v>
      </c>
      <c r="C180" s="6" t="s">
        <v>565</v>
      </c>
      <c r="D180" s="6" t="s">
        <v>41</v>
      </c>
      <c r="E180" s="6" t="s">
        <v>42</v>
      </c>
      <c r="F180" s="7">
        <v>56</v>
      </c>
      <c r="G180" s="7">
        <v>65575459</v>
      </c>
      <c r="H180" s="8">
        <v>20845.400000000001</v>
      </c>
      <c r="I180" s="8">
        <v>20845.400000000001</v>
      </c>
      <c r="J180" s="6"/>
    </row>
    <row r="181" spans="1:10" x14ac:dyDescent="0.2">
      <c r="A181" s="6" t="s">
        <v>566</v>
      </c>
      <c r="B181" s="6" t="s">
        <v>567</v>
      </c>
      <c r="C181" s="6" t="s">
        <v>568</v>
      </c>
      <c r="D181" s="6" t="s">
        <v>41</v>
      </c>
      <c r="E181" s="6" t="s">
        <v>42</v>
      </c>
      <c r="F181" s="7">
        <v>65</v>
      </c>
      <c r="G181" s="7">
        <v>95284219</v>
      </c>
      <c r="H181" s="8">
        <v>30289.34</v>
      </c>
      <c r="I181" s="8">
        <v>30289.34</v>
      </c>
      <c r="J181" s="6"/>
    </row>
    <row r="182" spans="1:10" x14ac:dyDescent="0.2">
      <c r="A182" s="6" t="s">
        <v>569</v>
      </c>
      <c r="B182" s="6" t="s">
        <v>570</v>
      </c>
      <c r="C182" s="6" t="s">
        <v>571</v>
      </c>
      <c r="D182" s="6" t="s">
        <v>68</v>
      </c>
      <c r="E182" s="6" t="s">
        <v>51</v>
      </c>
      <c r="F182" s="7">
        <v>29</v>
      </c>
      <c r="G182" s="7">
        <v>2191681</v>
      </c>
      <c r="H182" s="8">
        <v>3381.18</v>
      </c>
      <c r="I182" s="8">
        <v>3381.18</v>
      </c>
      <c r="J182" s="6"/>
    </row>
    <row r="183" spans="1:10" x14ac:dyDescent="0.2">
      <c r="A183" s="6" t="s">
        <v>572</v>
      </c>
      <c r="B183" s="6" t="s">
        <v>573</v>
      </c>
      <c r="C183" s="6" t="s">
        <v>574</v>
      </c>
      <c r="D183" s="6" t="s">
        <v>41</v>
      </c>
      <c r="E183" s="6" t="s">
        <v>42</v>
      </c>
      <c r="F183" s="7">
        <v>21</v>
      </c>
      <c r="G183" s="7">
        <v>4240473</v>
      </c>
      <c r="H183" s="8">
        <v>1347.96</v>
      </c>
      <c r="I183" s="8">
        <v>1347.98</v>
      </c>
      <c r="J183" s="6"/>
    </row>
    <row r="184" spans="1:10" x14ac:dyDescent="0.2">
      <c r="A184" s="6" t="s">
        <v>575</v>
      </c>
      <c r="B184" s="6" t="s">
        <v>576</v>
      </c>
      <c r="C184" s="6" t="s">
        <v>577</v>
      </c>
      <c r="D184" s="6" t="s">
        <v>50</v>
      </c>
      <c r="E184" s="6" t="s">
        <v>51</v>
      </c>
      <c r="F184" s="7">
        <v>7</v>
      </c>
      <c r="G184" s="7">
        <v>745198</v>
      </c>
      <c r="H184" s="8">
        <v>1149.6400000000001</v>
      </c>
      <c r="I184" s="8">
        <v>1149.6400000000001</v>
      </c>
      <c r="J184" s="6"/>
    </row>
    <row r="185" spans="1:10" x14ac:dyDescent="0.2">
      <c r="A185" s="6" t="s">
        <v>578</v>
      </c>
      <c r="B185" s="6" t="s">
        <v>579</v>
      </c>
      <c r="C185" s="6" t="s">
        <v>580</v>
      </c>
      <c r="D185" s="6" t="s">
        <v>75</v>
      </c>
      <c r="E185" s="6" t="s">
        <v>42</v>
      </c>
      <c r="F185" s="7">
        <v>32</v>
      </c>
      <c r="G185" s="7">
        <v>11237752</v>
      </c>
      <c r="H185" s="8">
        <v>3572.33</v>
      </c>
      <c r="I185" s="8">
        <v>3572.3</v>
      </c>
      <c r="J185" s="6"/>
    </row>
    <row r="186" spans="1:10" x14ac:dyDescent="0.2">
      <c r="A186" s="6" t="s">
        <v>581</v>
      </c>
      <c r="B186" s="6" t="s">
        <v>582</v>
      </c>
      <c r="C186" s="6" t="s">
        <v>583</v>
      </c>
      <c r="D186" s="6" t="s">
        <v>36</v>
      </c>
      <c r="E186" s="6" t="s">
        <v>37</v>
      </c>
      <c r="F186" s="7">
        <v>34</v>
      </c>
      <c r="G186" s="7">
        <v>5866293</v>
      </c>
      <c r="H186" s="8">
        <v>9050.1200000000008</v>
      </c>
      <c r="I186" s="8">
        <v>9050.1299999999992</v>
      </c>
      <c r="J186" s="6"/>
    </row>
    <row r="187" spans="1:10" x14ac:dyDescent="0.2">
      <c r="A187" s="6" t="s">
        <v>584</v>
      </c>
      <c r="B187" s="6" t="s">
        <v>585</v>
      </c>
      <c r="C187" s="6" t="s">
        <v>586</v>
      </c>
      <c r="D187" s="6" t="s">
        <v>50</v>
      </c>
      <c r="E187" s="6" t="s">
        <v>51</v>
      </c>
      <c r="F187" s="7">
        <v>13</v>
      </c>
      <c r="G187" s="7">
        <v>737064</v>
      </c>
      <c r="H187" s="8">
        <v>1137.1099999999999</v>
      </c>
      <c r="I187" s="8">
        <v>1137.0899999999999</v>
      </c>
      <c r="J187" s="6"/>
    </row>
    <row r="188" spans="1:10" x14ac:dyDescent="0.2">
      <c r="A188" s="6" t="s">
        <v>587</v>
      </c>
      <c r="B188" s="6" t="s">
        <v>588</v>
      </c>
      <c r="C188" s="6" t="s">
        <v>489</v>
      </c>
      <c r="D188" s="6" t="s">
        <v>46</v>
      </c>
      <c r="E188" s="6" t="s">
        <v>37</v>
      </c>
      <c r="F188" s="7">
        <v>0</v>
      </c>
      <c r="G188" s="7">
        <v>0</v>
      </c>
      <c r="H188" s="8">
        <v>0</v>
      </c>
      <c r="I188" s="8">
        <v>0</v>
      </c>
      <c r="J188" s="6" t="s">
        <v>94</v>
      </c>
    </row>
    <row r="189" spans="1:10" x14ac:dyDescent="0.2">
      <c r="A189" s="6" t="s">
        <v>589</v>
      </c>
      <c r="B189" s="6" t="s">
        <v>590</v>
      </c>
      <c r="C189" s="6" t="s">
        <v>591</v>
      </c>
      <c r="D189" s="6" t="s">
        <v>41</v>
      </c>
      <c r="E189" s="6" t="s">
        <v>42</v>
      </c>
      <c r="F189" s="7">
        <v>29</v>
      </c>
      <c r="G189" s="7">
        <v>21107791</v>
      </c>
      <c r="H189" s="8">
        <v>6709.81</v>
      </c>
      <c r="I189" s="8">
        <v>6709.83</v>
      </c>
      <c r="J189" s="6"/>
    </row>
    <row r="190" spans="1:10" x14ac:dyDescent="0.2">
      <c r="A190" s="6" t="s">
        <v>592</v>
      </c>
      <c r="B190" s="6" t="s">
        <v>593</v>
      </c>
      <c r="C190" s="6" t="s">
        <v>594</v>
      </c>
      <c r="D190" s="6" t="s">
        <v>50</v>
      </c>
      <c r="E190" s="6" t="s">
        <v>51</v>
      </c>
      <c r="F190" s="7">
        <v>23</v>
      </c>
      <c r="G190" s="7">
        <v>964271</v>
      </c>
      <c r="H190" s="8">
        <v>1487.61</v>
      </c>
      <c r="I190" s="8">
        <v>1487.61</v>
      </c>
      <c r="J190" s="6"/>
    </row>
    <row r="191" spans="1:10" x14ac:dyDescent="0.2">
      <c r="A191" s="6" t="s">
        <v>595</v>
      </c>
      <c r="B191" s="6" t="s">
        <v>596</v>
      </c>
      <c r="C191" s="6" t="s">
        <v>597</v>
      </c>
      <c r="D191" s="6" t="s">
        <v>50</v>
      </c>
      <c r="E191" s="6" t="s">
        <v>51</v>
      </c>
      <c r="F191" s="7">
        <v>14</v>
      </c>
      <c r="G191" s="7">
        <v>1161468</v>
      </c>
      <c r="H191" s="8">
        <v>1791.84</v>
      </c>
      <c r="I191" s="8">
        <v>1791.84</v>
      </c>
      <c r="J191" s="6"/>
    </row>
    <row r="192" spans="1:10" x14ac:dyDescent="0.2">
      <c r="A192" s="6" t="s">
        <v>598</v>
      </c>
      <c r="B192" s="6" t="s">
        <v>599</v>
      </c>
      <c r="C192" s="6" t="s">
        <v>600</v>
      </c>
      <c r="D192" s="6" t="s">
        <v>75</v>
      </c>
      <c r="E192" s="6" t="s">
        <v>42</v>
      </c>
      <c r="F192" s="7">
        <v>33</v>
      </c>
      <c r="G192" s="7">
        <v>19768578</v>
      </c>
      <c r="H192" s="8">
        <v>6284.11</v>
      </c>
      <c r="I192" s="8">
        <v>6284.12</v>
      </c>
      <c r="J192" s="6"/>
    </row>
    <row r="193" spans="1:10" x14ac:dyDescent="0.2">
      <c r="A193" s="6" t="s">
        <v>601</v>
      </c>
      <c r="B193" s="6" t="s">
        <v>602</v>
      </c>
      <c r="C193" s="6" t="s">
        <v>603</v>
      </c>
      <c r="D193" s="6" t="s">
        <v>50</v>
      </c>
      <c r="E193" s="6" t="s">
        <v>51</v>
      </c>
      <c r="F193" s="7">
        <v>23</v>
      </c>
      <c r="G193" s="7">
        <v>5112650</v>
      </c>
      <c r="H193" s="8">
        <v>7887.48</v>
      </c>
      <c r="I193" s="8">
        <v>7887.46</v>
      </c>
      <c r="J193" s="6"/>
    </row>
    <row r="194" spans="1:10" x14ac:dyDescent="0.2">
      <c r="A194" s="6" t="s">
        <v>604</v>
      </c>
      <c r="B194" s="6" t="s">
        <v>605</v>
      </c>
      <c r="C194" s="6" t="s">
        <v>606</v>
      </c>
      <c r="D194" s="6" t="s">
        <v>68</v>
      </c>
      <c r="E194" s="6" t="s">
        <v>51</v>
      </c>
      <c r="F194" s="7">
        <v>38</v>
      </c>
      <c r="G194" s="7">
        <v>7286000</v>
      </c>
      <c r="H194" s="8">
        <v>11240.33</v>
      </c>
      <c r="I194" s="8">
        <v>11240.36</v>
      </c>
      <c r="J194" s="6"/>
    </row>
    <row r="195" spans="1:10" x14ac:dyDescent="0.2">
      <c r="A195" s="6" t="s">
        <v>607</v>
      </c>
      <c r="B195" s="6" t="s">
        <v>608</v>
      </c>
      <c r="C195" s="6" t="s">
        <v>609</v>
      </c>
      <c r="D195" s="6" t="s">
        <v>75</v>
      </c>
      <c r="E195" s="6" t="s">
        <v>42</v>
      </c>
      <c r="F195" s="7">
        <v>4</v>
      </c>
      <c r="G195" s="7">
        <v>478805</v>
      </c>
      <c r="H195" s="8">
        <v>152.21</v>
      </c>
      <c r="I195" s="8">
        <v>152.19999999999999</v>
      </c>
      <c r="J195" s="6"/>
    </row>
    <row r="196" spans="1:10" x14ac:dyDescent="0.2">
      <c r="A196" s="6" t="s">
        <v>610</v>
      </c>
      <c r="B196" s="6" t="s">
        <v>611</v>
      </c>
      <c r="C196" s="6" t="s">
        <v>612</v>
      </c>
      <c r="D196" s="6" t="s">
        <v>41</v>
      </c>
      <c r="E196" s="6" t="s">
        <v>42</v>
      </c>
      <c r="F196" s="7">
        <v>21</v>
      </c>
      <c r="G196" s="7">
        <v>4621780</v>
      </c>
      <c r="H196" s="8">
        <v>1469.2</v>
      </c>
      <c r="I196" s="8">
        <v>1469.19</v>
      </c>
      <c r="J196" s="6"/>
    </row>
    <row r="197" spans="1:10" x14ac:dyDescent="0.2">
      <c r="A197" s="6" t="s">
        <v>613</v>
      </c>
      <c r="B197" s="6" t="s">
        <v>614</v>
      </c>
      <c r="C197" s="6" t="s">
        <v>615</v>
      </c>
      <c r="D197" s="6" t="s">
        <v>68</v>
      </c>
      <c r="E197" s="6" t="s">
        <v>51</v>
      </c>
      <c r="F197" s="7">
        <v>16</v>
      </c>
      <c r="G197" s="7">
        <v>2095364</v>
      </c>
      <c r="H197" s="8">
        <v>3232.59</v>
      </c>
      <c r="I197" s="8">
        <v>3232.59</v>
      </c>
      <c r="J197" s="6" t="s">
        <v>58</v>
      </c>
    </row>
    <row r="198" spans="1:10" x14ac:dyDescent="0.2">
      <c r="A198" s="6" t="s">
        <v>616</v>
      </c>
      <c r="B198" s="6" t="s">
        <v>617</v>
      </c>
      <c r="C198" s="6" t="s">
        <v>618</v>
      </c>
      <c r="D198" s="6" t="s">
        <v>75</v>
      </c>
      <c r="E198" s="6" t="s">
        <v>42</v>
      </c>
      <c r="F198" s="7">
        <v>32</v>
      </c>
      <c r="G198" s="7">
        <v>7522053</v>
      </c>
      <c r="H198" s="8">
        <v>2391.16</v>
      </c>
      <c r="I198" s="8">
        <v>2391.14</v>
      </c>
      <c r="J198" s="6"/>
    </row>
    <row r="199" spans="1:10" x14ac:dyDescent="0.2">
      <c r="A199" s="6" t="s">
        <v>619</v>
      </c>
      <c r="B199" s="6" t="s">
        <v>620</v>
      </c>
      <c r="C199" s="6" t="s">
        <v>621</v>
      </c>
      <c r="D199" s="6" t="s">
        <v>50</v>
      </c>
      <c r="E199" s="6" t="s">
        <v>51</v>
      </c>
      <c r="F199" s="7">
        <v>29</v>
      </c>
      <c r="G199" s="7">
        <v>2936901</v>
      </c>
      <c r="H199" s="8">
        <v>4530.87</v>
      </c>
      <c r="I199" s="8">
        <v>4530.8599999999997</v>
      </c>
      <c r="J199" s="6"/>
    </row>
    <row r="200" spans="1:10" x14ac:dyDescent="0.2">
      <c r="A200" s="6" t="s">
        <v>622</v>
      </c>
      <c r="B200" s="6" t="s">
        <v>623</v>
      </c>
      <c r="C200" s="6" t="s">
        <v>624</v>
      </c>
      <c r="D200" s="6" t="s">
        <v>68</v>
      </c>
      <c r="E200" s="6" t="s">
        <v>51</v>
      </c>
      <c r="F200" s="7">
        <v>37</v>
      </c>
      <c r="G200" s="7">
        <v>13668100</v>
      </c>
      <c r="H200" s="8">
        <v>21086.26</v>
      </c>
      <c r="I200" s="8">
        <v>21086.240000000002</v>
      </c>
      <c r="J200" s="6"/>
    </row>
    <row r="201" spans="1:10" x14ac:dyDescent="0.2">
      <c r="A201" s="6" t="s">
        <v>625</v>
      </c>
      <c r="B201" s="6" t="s">
        <v>626</v>
      </c>
      <c r="C201" s="6" t="s">
        <v>627</v>
      </c>
      <c r="D201" s="6" t="s">
        <v>50</v>
      </c>
      <c r="E201" s="6" t="s">
        <v>51</v>
      </c>
      <c r="F201" s="7">
        <v>24</v>
      </c>
      <c r="G201" s="7">
        <v>2576636</v>
      </c>
      <c r="H201" s="8">
        <v>3975.04</v>
      </c>
      <c r="I201" s="8">
        <v>3975.06</v>
      </c>
      <c r="J201" s="6"/>
    </row>
    <row r="202" spans="1:10" x14ac:dyDescent="0.2">
      <c r="A202" s="6" t="s">
        <v>628</v>
      </c>
      <c r="B202" s="6" t="s">
        <v>629</v>
      </c>
      <c r="C202" s="6" t="s">
        <v>630</v>
      </c>
      <c r="D202" s="6" t="s">
        <v>46</v>
      </c>
      <c r="E202" s="6" t="s">
        <v>37</v>
      </c>
      <c r="F202" s="7">
        <v>29</v>
      </c>
      <c r="G202" s="7">
        <v>2742705</v>
      </c>
      <c r="H202" s="8">
        <v>4231.26</v>
      </c>
      <c r="I202" s="8">
        <v>4231.26</v>
      </c>
      <c r="J202" s="6"/>
    </row>
    <row r="203" spans="1:10" x14ac:dyDescent="0.2">
      <c r="A203" s="6" t="s">
        <v>631</v>
      </c>
      <c r="B203" s="6" t="s">
        <v>632</v>
      </c>
      <c r="C203" s="6" t="s">
        <v>633</v>
      </c>
      <c r="D203" s="6" t="s">
        <v>68</v>
      </c>
      <c r="E203" s="6" t="s">
        <v>51</v>
      </c>
      <c r="F203" s="7">
        <v>38</v>
      </c>
      <c r="G203" s="7">
        <v>1979043</v>
      </c>
      <c r="H203" s="8">
        <v>3053.15</v>
      </c>
      <c r="I203" s="8">
        <v>3053.14</v>
      </c>
      <c r="J203" s="6"/>
    </row>
    <row r="204" spans="1:10" x14ac:dyDescent="0.2">
      <c r="A204" s="6" t="s">
        <v>634</v>
      </c>
      <c r="B204" s="6" t="s">
        <v>635</v>
      </c>
      <c r="C204" s="6" t="s">
        <v>636</v>
      </c>
      <c r="D204" s="6" t="s">
        <v>41</v>
      </c>
      <c r="E204" s="6" t="s">
        <v>42</v>
      </c>
      <c r="F204" s="7">
        <v>37</v>
      </c>
      <c r="G204" s="7">
        <v>25758928</v>
      </c>
      <c r="H204" s="8">
        <v>8188.36</v>
      </c>
      <c r="I204" s="8">
        <v>8188.36</v>
      </c>
      <c r="J204" s="6"/>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641"/>
  <sheetViews>
    <sheetView workbookViewId="0">
      <pane ySplit="4" topLeftCell="A5" activePane="bottomLeft" state="frozen"/>
      <selection pane="bottomLeft"/>
    </sheetView>
  </sheetViews>
  <sheetFormatPr baseColWidth="10" defaultColWidth="8.83203125" defaultRowHeight="15" x14ac:dyDescent="0.2"/>
  <cols>
    <col min="1" max="1" width="11" customWidth="1"/>
    <col min="2" max="2" width="12" customWidth="1"/>
    <col min="3" max="3" width="30" customWidth="1"/>
    <col min="4" max="4" width="13" customWidth="1"/>
    <col min="5" max="5" width="12" customWidth="1"/>
    <col min="6" max="6" width="26" customWidth="1"/>
    <col min="7" max="7" width="10" customWidth="1"/>
    <col min="8" max="8" width="13" customWidth="1"/>
    <col min="9" max="9" width="15" customWidth="1"/>
    <col min="10" max="10" width="8" customWidth="1"/>
    <col min="11" max="11" width="11" customWidth="1"/>
    <col min="12" max="12" width="14" customWidth="1"/>
  </cols>
  <sheetData>
    <row r="1" spans="1:12" ht="19" x14ac:dyDescent="0.25">
      <c r="A1" s="1" t="s">
        <v>637</v>
      </c>
    </row>
    <row r="2" spans="1:12" x14ac:dyDescent="0.2">
      <c r="A2" s="4" t="s">
        <v>638</v>
      </c>
    </row>
    <row r="4" spans="1:12" ht="22" customHeight="1" x14ac:dyDescent="0.2">
      <c r="A4" s="5" t="s">
        <v>639</v>
      </c>
      <c r="B4" s="5" t="s">
        <v>24</v>
      </c>
      <c r="C4" s="5" t="s">
        <v>25</v>
      </c>
      <c r="D4" s="5" t="s">
        <v>26</v>
      </c>
      <c r="E4" s="5" t="s">
        <v>640</v>
      </c>
      <c r="F4" s="5" t="s">
        <v>641</v>
      </c>
      <c r="G4" s="5" t="s">
        <v>642</v>
      </c>
      <c r="H4" s="5" t="s">
        <v>643</v>
      </c>
      <c r="I4" s="5" t="s">
        <v>644</v>
      </c>
      <c r="J4" s="5" t="s">
        <v>27</v>
      </c>
      <c r="K4" s="5" t="s">
        <v>645</v>
      </c>
      <c r="L4" s="5" t="s">
        <v>646</v>
      </c>
    </row>
    <row r="5" spans="1:12" x14ac:dyDescent="0.2">
      <c r="A5" s="9">
        <v>46235</v>
      </c>
      <c r="B5" t="s">
        <v>39</v>
      </c>
      <c r="C5" t="s">
        <v>40</v>
      </c>
      <c r="D5" t="s">
        <v>41</v>
      </c>
      <c r="E5" t="s">
        <v>647</v>
      </c>
      <c r="F5" t="s">
        <v>648</v>
      </c>
      <c r="G5" s="10">
        <v>2</v>
      </c>
      <c r="H5" s="10">
        <v>78446</v>
      </c>
      <c r="I5" s="10">
        <v>156892</v>
      </c>
      <c r="J5" t="s">
        <v>42</v>
      </c>
      <c r="K5" s="11">
        <v>3145.8</v>
      </c>
      <c r="L5" s="12">
        <v>49.87</v>
      </c>
    </row>
    <row r="6" spans="1:12" x14ac:dyDescent="0.2">
      <c r="A6" s="9">
        <v>46235</v>
      </c>
      <c r="B6" t="s">
        <v>44</v>
      </c>
      <c r="C6" t="s">
        <v>45</v>
      </c>
      <c r="D6" t="s">
        <v>46</v>
      </c>
      <c r="E6" t="s">
        <v>649</v>
      </c>
      <c r="F6" t="s">
        <v>650</v>
      </c>
      <c r="G6" s="10">
        <v>11</v>
      </c>
      <c r="H6" s="10">
        <v>18747</v>
      </c>
      <c r="I6" s="10">
        <v>206217</v>
      </c>
      <c r="J6" t="s">
        <v>37</v>
      </c>
      <c r="K6" s="11">
        <v>648.20000000000005</v>
      </c>
      <c r="L6" s="12">
        <v>318.14</v>
      </c>
    </row>
    <row r="7" spans="1:12" x14ac:dyDescent="0.2">
      <c r="A7" s="9">
        <v>46235</v>
      </c>
      <c r="B7" t="s">
        <v>48</v>
      </c>
      <c r="C7" t="s">
        <v>49</v>
      </c>
      <c r="D7" t="s">
        <v>50</v>
      </c>
      <c r="E7" t="s">
        <v>651</v>
      </c>
      <c r="F7" t="s">
        <v>652</v>
      </c>
      <c r="G7" s="10">
        <v>12</v>
      </c>
      <c r="H7" s="10">
        <v>9801</v>
      </c>
      <c r="I7" s="10">
        <v>117612</v>
      </c>
      <c r="J7" t="s">
        <v>51</v>
      </c>
      <c r="K7" s="11">
        <v>648.20000000000005</v>
      </c>
      <c r="L7" s="12">
        <v>181.44</v>
      </c>
    </row>
    <row r="8" spans="1:12" x14ac:dyDescent="0.2">
      <c r="A8" s="9">
        <v>46235</v>
      </c>
      <c r="B8" t="s">
        <v>48</v>
      </c>
      <c r="C8" t="s">
        <v>49</v>
      </c>
      <c r="D8" t="s">
        <v>50</v>
      </c>
      <c r="E8" t="s">
        <v>653</v>
      </c>
      <c r="F8" t="s">
        <v>654</v>
      </c>
      <c r="G8" s="10">
        <v>7</v>
      </c>
      <c r="H8" s="10">
        <v>5546</v>
      </c>
      <c r="I8" s="10">
        <v>38822</v>
      </c>
      <c r="J8" t="s">
        <v>51</v>
      </c>
      <c r="K8" s="11">
        <v>648.20000000000005</v>
      </c>
      <c r="L8" s="12">
        <v>59.89</v>
      </c>
    </row>
    <row r="9" spans="1:12" x14ac:dyDescent="0.2">
      <c r="A9" s="9">
        <v>46235</v>
      </c>
      <c r="B9" t="s">
        <v>48</v>
      </c>
      <c r="C9" t="s">
        <v>49</v>
      </c>
      <c r="D9" t="s">
        <v>50</v>
      </c>
      <c r="E9" t="s">
        <v>655</v>
      </c>
      <c r="F9" t="s">
        <v>656</v>
      </c>
      <c r="G9" s="10">
        <v>13</v>
      </c>
      <c r="H9" s="10">
        <v>557</v>
      </c>
      <c r="I9" s="10">
        <v>7241</v>
      </c>
      <c r="J9" t="s">
        <v>51</v>
      </c>
      <c r="K9" s="11">
        <v>648.20000000000005</v>
      </c>
      <c r="L9" s="12">
        <v>11.17</v>
      </c>
    </row>
    <row r="10" spans="1:12" x14ac:dyDescent="0.2">
      <c r="A10" s="9">
        <v>46235</v>
      </c>
      <c r="B10" t="s">
        <v>53</v>
      </c>
      <c r="C10" t="s">
        <v>54</v>
      </c>
      <c r="D10" t="s">
        <v>41</v>
      </c>
      <c r="E10" t="s">
        <v>653</v>
      </c>
      <c r="F10" t="s">
        <v>654</v>
      </c>
      <c r="G10" s="10">
        <v>3</v>
      </c>
      <c r="H10" s="10">
        <v>27903</v>
      </c>
      <c r="I10" s="10">
        <v>83709</v>
      </c>
      <c r="J10" t="s">
        <v>42</v>
      </c>
      <c r="K10" s="11">
        <v>3145.8</v>
      </c>
      <c r="L10" s="12">
        <v>26.61</v>
      </c>
    </row>
    <row r="11" spans="1:12" x14ac:dyDescent="0.2">
      <c r="A11" s="9">
        <v>46235</v>
      </c>
      <c r="B11" t="s">
        <v>56</v>
      </c>
      <c r="C11" t="s">
        <v>57</v>
      </c>
      <c r="D11" t="s">
        <v>46</v>
      </c>
      <c r="E11" t="s">
        <v>649</v>
      </c>
      <c r="F11" t="s">
        <v>650</v>
      </c>
      <c r="G11" s="10">
        <v>31</v>
      </c>
      <c r="H11" s="10">
        <v>19615</v>
      </c>
      <c r="I11" s="10">
        <v>608065</v>
      </c>
      <c r="J11" t="s">
        <v>37</v>
      </c>
      <c r="K11" s="11">
        <v>648.20000000000005</v>
      </c>
      <c r="L11" s="12">
        <v>938.08</v>
      </c>
    </row>
    <row r="12" spans="1:12" x14ac:dyDescent="0.2">
      <c r="A12" s="9">
        <v>46235</v>
      </c>
      <c r="B12" t="s">
        <v>56</v>
      </c>
      <c r="C12" t="s">
        <v>57</v>
      </c>
      <c r="D12" t="s">
        <v>46</v>
      </c>
      <c r="E12" t="s">
        <v>651</v>
      </c>
      <c r="F12" t="s">
        <v>657</v>
      </c>
      <c r="G12" s="10">
        <v>2</v>
      </c>
      <c r="H12" s="10">
        <v>6188</v>
      </c>
      <c r="I12" s="10">
        <v>12376</v>
      </c>
      <c r="J12" t="s">
        <v>37</v>
      </c>
      <c r="K12" s="11">
        <v>648.20000000000005</v>
      </c>
      <c r="L12" s="12">
        <v>19.09</v>
      </c>
    </row>
    <row r="13" spans="1:12" x14ac:dyDescent="0.2">
      <c r="A13" s="9">
        <v>46235</v>
      </c>
      <c r="B13" t="s">
        <v>60</v>
      </c>
      <c r="C13" t="s">
        <v>61</v>
      </c>
      <c r="D13" t="s">
        <v>41</v>
      </c>
      <c r="E13" t="s">
        <v>653</v>
      </c>
      <c r="F13" t="s">
        <v>658</v>
      </c>
      <c r="G13" s="10">
        <v>3</v>
      </c>
      <c r="H13" s="10">
        <v>12963</v>
      </c>
      <c r="I13" s="10">
        <v>38889</v>
      </c>
      <c r="J13" t="s">
        <v>42</v>
      </c>
      <c r="K13" s="11">
        <v>3145.8</v>
      </c>
      <c r="L13" s="12">
        <v>12.36</v>
      </c>
    </row>
    <row r="14" spans="1:12" x14ac:dyDescent="0.2">
      <c r="A14" s="9">
        <v>46235</v>
      </c>
      <c r="B14" t="s">
        <v>60</v>
      </c>
      <c r="C14" t="s">
        <v>61</v>
      </c>
      <c r="D14" t="s">
        <v>41</v>
      </c>
      <c r="E14" t="s">
        <v>649</v>
      </c>
      <c r="F14" t="s">
        <v>659</v>
      </c>
      <c r="G14" s="10">
        <v>39</v>
      </c>
      <c r="H14" s="10">
        <v>43710</v>
      </c>
      <c r="I14" s="10">
        <v>1704690</v>
      </c>
      <c r="J14" t="s">
        <v>42</v>
      </c>
      <c r="K14" s="11">
        <v>3145.8</v>
      </c>
      <c r="L14" s="12">
        <v>541.89</v>
      </c>
    </row>
    <row r="15" spans="1:12" x14ac:dyDescent="0.2">
      <c r="A15" s="9">
        <v>46235</v>
      </c>
      <c r="B15" t="s">
        <v>63</v>
      </c>
      <c r="C15" t="s">
        <v>64</v>
      </c>
      <c r="D15" t="s">
        <v>50</v>
      </c>
      <c r="E15" t="s">
        <v>660</v>
      </c>
      <c r="F15" t="s">
        <v>661</v>
      </c>
      <c r="G15" s="10">
        <v>12</v>
      </c>
      <c r="H15" s="10">
        <v>4052</v>
      </c>
      <c r="I15" s="10">
        <v>48624</v>
      </c>
      <c r="J15" t="s">
        <v>51</v>
      </c>
      <c r="K15" s="11">
        <v>648.20000000000005</v>
      </c>
      <c r="L15" s="12">
        <v>75.010000000000005</v>
      </c>
    </row>
    <row r="16" spans="1:12" x14ac:dyDescent="0.2">
      <c r="A16" s="9">
        <v>46235</v>
      </c>
      <c r="B16" t="s">
        <v>66</v>
      </c>
      <c r="C16" t="s">
        <v>67</v>
      </c>
      <c r="D16" t="s">
        <v>68</v>
      </c>
      <c r="E16" t="s">
        <v>651</v>
      </c>
      <c r="F16" t="s">
        <v>652</v>
      </c>
      <c r="G16" s="10">
        <v>16</v>
      </c>
      <c r="H16" s="10">
        <v>9737</v>
      </c>
      <c r="I16" s="10">
        <v>155792</v>
      </c>
      <c r="J16" t="s">
        <v>51</v>
      </c>
      <c r="K16" s="11">
        <v>648.20000000000005</v>
      </c>
      <c r="L16" s="12">
        <v>240.35</v>
      </c>
    </row>
    <row r="17" spans="1:12" x14ac:dyDescent="0.2">
      <c r="A17" s="9">
        <v>46235</v>
      </c>
      <c r="B17" t="s">
        <v>66</v>
      </c>
      <c r="C17" t="s">
        <v>67</v>
      </c>
      <c r="D17" t="s">
        <v>68</v>
      </c>
      <c r="E17" t="s">
        <v>647</v>
      </c>
      <c r="F17" t="s">
        <v>648</v>
      </c>
      <c r="G17" s="10">
        <v>65</v>
      </c>
      <c r="H17" s="10">
        <v>16863</v>
      </c>
      <c r="I17" s="10">
        <v>1096095</v>
      </c>
      <c r="J17" t="s">
        <v>51</v>
      </c>
      <c r="K17" s="11">
        <v>648.20000000000005</v>
      </c>
      <c r="L17" s="12">
        <v>1690.98</v>
      </c>
    </row>
    <row r="18" spans="1:12" x14ac:dyDescent="0.2">
      <c r="A18" s="9">
        <v>46235</v>
      </c>
      <c r="B18" t="s">
        <v>73</v>
      </c>
      <c r="C18" t="s">
        <v>74</v>
      </c>
      <c r="D18" t="s">
        <v>75</v>
      </c>
      <c r="E18" t="s">
        <v>655</v>
      </c>
      <c r="F18" t="s">
        <v>662</v>
      </c>
      <c r="G18" s="10">
        <v>32</v>
      </c>
      <c r="H18" s="10">
        <v>5414</v>
      </c>
      <c r="I18" s="10">
        <v>173248</v>
      </c>
      <c r="J18" t="s">
        <v>42</v>
      </c>
      <c r="K18" s="11">
        <v>3145.8</v>
      </c>
      <c r="L18" s="12">
        <v>55.07</v>
      </c>
    </row>
    <row r="19" spans="1:12" x14ac:dyDescent="0.2">
      <c r="A19" s="9">
        <v>46235</v>
      </c>
      <c r="B19" t="s">
        <v>73</v>
      </c>
      <c r="C19" t="s">
        <v>74</v>
      </c>
      <c r="D19" t="s">
        <v>75</v>
      </c>
      <c r="E19" t="s">
        <v>653</v>
      </c>
      <c r="F19" t="s">
        <v>654</v>
      </c>
      <c r="G19" s="10">
        <v>38</v>
      </c>
      <c r="H19" s="10">
        <v>26855</v>
      </c>
      <c r="I19" s="10">
        <v>1020490</v>
      </c>
      <c r="J19" t="s">
        <v>42</v>
      </c>
      <c r="K19" s="11">
        <v>3145.8</v>
      </c>
      <c r="L19" s="12">
        <v>324.39999999999998</v>
      </c>
    </row>
    <row r="20" spans="1:12" x14ac:dyDescent="0.2">
      <c r="A20" s="9">
        <v>46235</v>
      </c>
      <c r="B20" t="s">
        <v>80</v>
      </c>
      <c r="C20" t="s">
        <v>81</v>
      </c>
      <c r="D20" t="s">
        <v>46</v>
      </c>
      <c r="E20" t="s">
        <v>649</v>
      </c>
      <c r="F20" t="s">
        <v>663</v>
      </c>
      <c r="G20" s="10">
        <v>4</v>
      </c>
      <c r="H20" s="10">
        <v>1952</v>
      </c>
      <c r="I20" s="10">
        <v>7808</v>
      </c>
      <c r="J20" t="s">
        <v>37</v>
      </c>
      <c r="K20" s="11">
        <v>648.20000000000005</v>
      </c>
      <c r="L20" s="12">
        <v>12.05</v>
      </c>
    </row>
    <row r="21" spans="1:12" x14ac:dyDescent="0.2">
      <c r="A21" s="9">
        <v>46235</v>
      </c>
      <c r="B21" t="s">
        <v>83</v>
      </c>
      <c r="C21" t="s">
        <v>84</v>
      </c>
      <c r="D21" t="s">
        <v>41</v>
      </c>
      <c r="E21" t="s">
        <v>651</v>
      </c>
      <c r="F21" t="s">
        <v>664</v>
      </c>
      <c r="G21" s="10">
        <v>25</v>
      </c>
      <c r="H21" s="10">
        <v>59481</v>
      </c>
      <c r="I21" s="10">
        <v>1487025</v>
      </c>
      <c r="J21" t="s">
        <v>42</v>
      </c>
      <c r="K21" s="11">
        <v>3145.8</v>
      </c>
      <c r="L21" s="12">
        <v>472.7</v>
      </c>
    </row>
    <row r="22" spans="1:12" x14ac:dyDescent="0.2">
      <c r="A22" s="9">
        <v>46235</v>
      </c>
      <c r="B22" t="s">
        <v>86</v>
      </c>
      <c r="C22" t="s">
        <v>87</v>
      </c>
      <c r="D22" t="s">
        <v>50</v>
      </c>
      <c r="E22" t="s">
        <v>653</v>
      </c>
      <c r="F22" t="s">
        <v>654</v>
      </c>
      <c r="G22" s="10">
        <v>1</v>
      </c>
      <c r="H22" s="10">
        <v>5604</v>
      </c>
      <c r="I22" s="10">
        <v>5604</v>
      </c>
      <c r="J22" t="s">
        <v>51</v>
      </c>
      <c r="K22" s="11">
        <v>648.20000000000005</v>
      </c>
      <c r="L22" s="12">
        <v>8.65</v>
      </c>
    </row>
    <row r="23" spans="1:12" x14ac:dyDescent="0.2">
      <c r="A23" s="9">
        <v>46235</v>
      </c>
      <c r="B23" t="s">
        <v>89</v>
      </c>
      <c r="C23" t="s">
        <v>90</v>
      </c>
      <c r="D23" t="s">
        <v>68</v>
      </c>
      <c r="E23" t="s">
        <v>653</v>
      </c>
      <c r="F23" t="s">
        <v>658</v>
      </c>
      <c r="G23" s="10">
        <v>38</v>
      </c>
      <c r="H23" s="10">
        <v>2680</v>
      </c>
      <c r="I23" s="10">
        <v>101840</v>
      </c>
      <c r="J23" t="s">
        <v>51</v>
      </c>
      <c r="K23" s="11">
        <v>648.20000000000005</v>
      </c>
      <c r="L23" s="12">
        <v>157.11000000000001</v>
      </c>
    </row>
    <row r="24" spans="1:12" x14ac:dyDescent="0.2">
      <c r="A24" s="9">
        <v>46235</v>
      </c>
      <c r="B24" t="s">
        <v>89</v>
      </c>
      <c r="C24" t="s">
        <v>90</v>
      </c>
      <c r="D24" t="s">
        <v>68</v>
      </c>
      <c r="E24" t="s">
        <v>653</v>
      </c>
      <c r="F24" t="s">
        <v>658</v>
      </c>
      <c r="G24" s="10">
        <v>38</v>
      </c>
      <c r="H24" s="10">
        <v>2749</v>
      </c>
      <c r="I24" s="10">
        <v>104462</v>
      </c>
      <c r="J24" t="s">
        <v>51</v>
      </c>
      <c r="K24" s="11">
        <v>648.20000000000005</v>
      </c>
      <c r="L24" s="12">
        <v>161.16</v>
      </c>
    </row>
    <row r="25" spans="1:12" x14ac:dyDescent="0.2">
      <c r="A25" s="9">
        <v>46235</v>
      </c>
      <c r="B25" t="s">
        <v>99</v>
      </c>
      <c r="C25" t="s">
        <v>100</v>
      </c>
      <c r="D25" t="s">
        <v>75</v>
      </c>
      <c r="E25" t="s">
        <v>649</v>
      </c>
      <c r="F25" t="s">
        <v>659</v>
      </c>
      <c r="G25" s="10">
        <v>9</v>
      </c>
      <c r="H25" s="10">
        <v>42449</v>
      </c>
      <c r="I25" s="10">
        <v>382041</v>
      </c>
      <c r="J25" t="s">
        <v>42</v>
      </c>
      <c r="K25" s="11">
        <v>3145.8</v>
      </c>
      <c r="L25" s="12">
        <v>121.44</v>
      </c>
    </row>
    <row r="26" spans="1:12" x14ac:dyDescent="0.2">
      <c r="A26" s="9">
        <v>46235</v>
      </c>
      <c r="B26" t="s">
        <v>102</v>
      </c>
      <c r="C26" t="s">
        <v>103</v>
      </c>
      <c r="D26" t="s">
        <v>41</v>
      </c>
      <c r="E26" t="s">
        <v>660</v>
      </c>
      <c r="F26" t="s">
        <v>661</v>
      </c>
      <c r="G26" s="10">
        <v>2</v>
      </c>
      <c r="H26" s="10">
        <v>20707</v>
      </c>
      <c r="I26" s="10">
        <v>41414</v>
      </c>
      <c r="J26" t="s">
        <v>42</v>
      </c>
      <c r="K26" s="11">
        <v>3145.8</v>
      </c>
      <c r="L26" s="12">
        <v>13.16</v>
      </c>
    </row>
    <row r="27" spans="1:12" x14ac:dyDescent="0.2">
      <c r="A27" s="9">
        <v>46235</v>
      </c>
      <c r="B27" t="s">
        <v>111</v>
      </c>
      <c r="C27" t="s">
        <v>112</v>
      </c>
      <c r="D27" t="s">
        <v>41</v>
      </c>
      <c r="E27" t="s">
        <v>660</v>
      </c>
      <c r="F27" t="s">
        <v>661</v>
      </c>
      <c r="G27" s="10">
        <v>27</v>
      </c>
      <c r="H27" s="10">
        <v>19818</v>
      </c>
      <c r="I27" s="10">
        <v>535086</v>
      </c>
      <c r="J27" t="s">
        <v>42</v>
      </c>
      <c r="K27" s="11">
        <v>3145.8</v>
      </c>
      <c r="L27" s="12">
        <v>170.1</v>
      </c>
    </row>
    <row r="28" spans="1:12" x14ac:dyDescent="0.2">
      <c r="A28" s="9">
        <v>46235</v>
      </c>
      <c r="B28" t="s">
        <v>115</v>
      </c>
      <c r="C28" t="s">
        <v>116</v>
      </c>
      <c r="D28" t="s">
        <v>41</v>
      </c>
      <c r="E28" t="s">
        <v>655</v>
      </c>
      <c r="F28" t="s">
        <v>662</v>
      </c>
      <c r="G28" s="10">
        <v>12</v>
      </c>
      <c r="H28" s="10">
        <v>5509</v>
      </c>
      <c r="I28" s="10">
        <v>66108</v>
      </c>
      <c r="J28" t="s">
        <v>42</v>
      </c>
      <c r="K28" s="11">
        <v>3145.8</v>
      </c>
      <c r="L28" s="12">
        <v>21.01</v>
      </c>
    </row>
    <row r="29" spans="1:12" x14ac:dyDescent="0.2">
      <c r="A29" s="9">
        <v>46235</v>
      </c>
      <c r="B29" t="s">
        <v>121</v>
      </c>
      <c r="C29" t="s">
        <v>122</v>
      </c>
      <c r="D29" t="s">
        <v>75</v>
      </c>
      <c r="E29" t="s">
        <v>649</v>
      </c>
      <c r="F29" t="s">
        <v>659</v>
      </c>
      <c r="G29" s="10">
        <v>9</v>
      </c>
      <c r="H29" s="10">
        <v>42804</v>
      </c>
      <c r="I29" s="10">
        <v>385236</v>
      </c>
      <c r="J29" t="s">
        <v>42</v>
      </c>
      <c r="K29" s="11">
        <v>3145.8</v>
      </c>
      <c r="L29" s="12">
        <v>122.46</v>
      </c>
    </row>
    <row r="30" spans="1:12" x14ac:dyDescent="0.2">
      <c r="A30" s="9">
        <v>46235</v>
      </c>
      <c r="B30" t="s">
        <v>121</v>
      </c>
      <c r="C30" t="s">
        <v>122</v>
      </c>
      <c r="D30" t="s">
        <v>75</v>
      </c>
      <c r="E30" t="s">
        <v>660</v>
      </c>
      <c r="F30" t="s">
        <v>661</v>
      </c>
      <c r="G30" s="10">
        <v>13</v>
      </c>
      <c r="H30" s="10">
        <v>19558</v>
      </c>
      <c r="I30" s="10">
        <v>254254</v>
      </c>
      <c r="J30" t="s">
        <v>42</v>
      </c>
      <c r="K30" s="11">
        <v>3145.8</v>
      </c>
      <c r="L30" s="12">
        <v>80.819999999999993</v>
      </c>
    </row>
    <row r="31" spans="1:12" x14ac:dyDescent="0.2">
      <c r="A31" s="9">
        <v>46235</v>
      </c>
      <c r="B31" t="s">
        <v>121</v>
      </c>
      <c r="C31" t="s">
        <v>122</v>
      </c>
      <c r="D31" t="s">
        <v>75</v>
      </c>
      <c r="E31" t="s">
        <v>655</v>
      </c>
      <c r="F31" t="s">
        <v>665</v>
      </c>
      <c r="G31" s="10">
        <v>27</v>
      </c>
      <c r="H31" s="10">
        <v>3369</v>
      </c>
      <c r="I31" s="10">
        <v>90963</v>
      </c>
      <c r="J31" t="s">
        <v>42</v>
      </c>
      <c r="K31" s="11">
        <v>3145.8</v>
      </c>
      <c r="L31" s="12">
        <v>28.92</v>
      </c>
    </row>
    <row r="32" spans="1:12" x14ac:dyDescent="0.2">
      <c r="A32" s="9">
        <v>46235</v>
      </c>
      <c r="B32" t="s">
        <v>124</v>
      </c>
      <c r="C32" t="s">
        <v>125</v>
      </c>
      <c r="D32" t="s">
        <v>75</v>
      </c>
      <c r="E32" t="s">
        <v>647</v>
      </c>
      <c r="F32" t="s">
        <v>648</v>
      </c>
      <c r="G32" s="10">
        <v>3</v>
      </c>
      <c r="H32" s="10">
        <v>80041</v>
      </c>
      <c r="I32" s="10">
        <v>240123</v>
      </c>
      <c r="J32" t="s">
        <v>42</v>
      </c>
      <c r="K32" s="11">
        <v>3145.8</v>
      </c>
      <c r="L32" s="12">
        <v>76.33</v>
      </c>
    </row>
    <row r="33" spans="1:12" x14ac:dyDescent="0.2">
      <c r="A33" s="9">
        <v>46235</v>
      </c>
      <c r="B33" t="s">
        <v>127</v>
      </c>
      <c r="C33" t="s">
        <v>128</v>
      </c>
      <c r="D33" t="s">
        <v>41</v>
      </c>
      <c r="E33" t="s">
        <v>653</v>
      </c>
      <c r="F33" t="s">
        <v>666</v>
      </c>
      <c r="G33" s="10">
        <v>4</v>
      </c>
      <c r="H33" s="10">
        <v>7515</v>
      </c>
      <c r="I33" s="10">
        <v>30060</v>
      </c>
      <c r="J33" t="s">
        <v>42</v>
      </c>
      <c r="K33" s="11">
        <v>3145.8</v>
      </c>
      <c r="L33" s="12">
        <v>9.56</v>
      </c>
    </row>
    <row r="34" spans="1:12" x14ac:dyDescent="0.2">
      <c r="A34" s="9">
        <v>46235</v>
      </c>
      <c r="B34" t="s">
        <v>127</v>
      </c>
      <c r="C34" t="s">
        <v>128</v>
      </c>
      <c r="D34" t="s">
        <v>41</v>
      </c>
      <c r="E34" t="s">
        <v>653</v>
      </c>
      <c r="F34" t="s">
        <v>666</v>
      </c>
      <c r="G34" s="10">
        <v>2</v>
      </c>
      <c r="H34" s="10">
        <v>7138</v>
      </c>
      <c r="I34" s="10">
        <v>14276</v>
      </c>
      <c r="J34" t="s">
        <v>42</v>
      </c>
      <c r="K34" s="11">
        <v>3145.8</v>
      </c>
      <c r="L34" s="12">
        <v>4.54</v>
      </c>
    </row>
    <row r="35" spans="1:12" x14ac:dyDescent="0.2">
      <c r="A35" s="9">
        <v>46235</v>
      </c>
      <c r="B35" t="s">
        <v>136</v>
      </c>
      <c r="C35" t="s">
        <v>137</v>
      </c>
      <c r="D35" t="s">
        <v>41</v>
      </c>
      <c r="E35" t="s">
        <v>655</v>
      </c>
      <c r="F35" t="s">
        <v>656</v>
      </c>
      <c r="G35" s="10">
        <v>20</v>
      </c>
      <c r="H35" s="10">
        <v>2772</v>
      </c>
      <c r="I35" s="10">
        <v>55440</v>
      </c>
      <c r="J35" t="s">
        <v>42</v>
      </c>
      <c r="K35" s="11">
        <v>3145.8</v>
      </c>
      <c r="L35" s="12">
        <v>17.62</v>
      </c>
    </row>
    <row r="36" spans="1:12" x14ac:dyDescent="0.2">
      <c r="A36" s="9">
        <v>46235</v>
      </c>
      <c r="B36" t="s">
        <v>136</v>
      </c>
      <c r="C36" t="s">
        <v>137</v>
      </c>
      <c r="D36" t="s">
        <v>41</v>
      </c>
      <c r="E36" t="s">
        <v>651</v>
      </c>
      <c r="F36" t="s">
        <v>657</v>
      </c>
      <c r="G36" s="10">
        <v>25</v>
      </c>
      <c r="H36" s="10">
        <v>30510</v>
      </c>
      <c r="I36" s="10">
        <v>762750</v>
      </c>
      <c r="J36" t="s">
        <v>42</v>
      </c>
      <c r="K36" s="11">
        <v>3145.8</v>
      </c>
      <c r="L36" s="12">
        <v>242.47</v>
      </c>
    </row>
    <row r="37" spans="1:12" x14ac:dyDescent="0.2">
      <c r="A37" s="9">
        <v>46235</v>
      </c>
      <c r="B37" t="s">
        <v>139</v>
      </c>
      <c r="C37" t="s">
        <v>140</v>
      </c>
      <c r="D37" t="s">
        <v>75</v>
      </c>
      <c r="E37" t="s">
        <v>647</v>
      </c>
      <c r="F37" t="s">
        <v>648</v>
      </c>
      <c r="G37" s="10">
        <v>15</v>
      </c>
      <c r="H37" s="10">
        <v>79860</v>
      </c>
      <c r="I37" s="10">
        <v>1197900</v>
      </c>
      <c r="J37" t="s">
        <v>42</v>
      </c>
      <c r="K37" s="11">
        <v>3145.8</v>
      </c>
      <c r="L37" s="12">
        <v>380.79</v>
      </c>
    </row>
    <row r="38" spans="1:12" x14ac:dyDescent="0.2">
      <c r="A38" s="9">
        <v>46235</v>
      </c>
      <c r="B38" t="s">
        <v>142</v>
      </c>
      <c r="C38" t="s">
        <v>143</v>
      </c>
      <c r="D38" t="s">
        <v>75</v>
      </c>
      <c r="E38" t="s">
        <v>653</v>
      </c>
      <c r="F38" t="s">
        <v>654</v>
      </c>
      <c r="G38" s="10">
        <v>4</v>
      </c>
      <c r="H38" s="10">
        <v>27580</v>
      </c>
      <c r="I38" s="10">
        <v>110320</v>
      </c>
      <c r="J38" t="s">
        <v>42</v>
      </c>
      <c r="K38" s="11">
        <v>3145.8</v>
      </c>
      <c r="L38" s="12">
        <v>35.07</v>
      </c>
    </row>
    <row r="39" spans="1:12" x14ac:dyDescent="0.2">
      <c r="A39" s="9">
        <v>46235</v>
      </c>
      <c r="B39" t="s">
        <v>145</v>
      </c>
      <c r="C39" t="s">
        <v>146</v>
      </c>
      <c r="D39" t="s">
        <v>68</v>
      </c>
      <c r="E39" t="s">
        <v>647</v>
      </c>
      <c r="F39" t="s">
        <v>648</v>
      </c>
      <c r="G39" s="10">
        <v>13</v>
      </c>
      <c r="H39" s="10">
        <v>16557</v>
      </c>
      <c r="I39" s="10">
        <v>215241</v>
      </c>
      <c r="J39" t="s">
        <v>51</v>
      </c>
      <c r="K39" s="11">
        <v>648.20000000000005</v>
      </c>
      <c r="L39" s="12">
        <v>332.06</v>
      </c>
    </row>
    <row r="40" spans="1:12" x14ac:dyDescent="0.2">
      <c r="A40" s="9">
        <v>46235</v>
      </c>
      <c r="B40" t="s">
        <v>145</v>
      </c>
      <c r="C40" t="s">
        <v>146</v>
      </c>
      <c r="D40" t="s">
        <v>68</v>
      </c>
      <c r="E40" t="s">
        <v>651</v>
      </c>
      <c r="F40" t="s">
        <v>664</v>
      </c>
      <c r="G40" s="10">
        <v>5</v>
      </c>
      <c r="H40" s="10">
        <v>11966</v>
      </c>
      <c r="I40" s="10">
        <v>59830</v>
      </c>
      <c r="J40" t="s">
        <v>51</v>
      </c>
      <c r="K40" s="11">
        <v>648.20000000000005</v>
      </c>
      <c r="L40" s="12">
        <v>92.3</v>
      </c>
    </row>
    <row r="41" spans="1:12" x14ac:dyDescent="0.2">
      <c r="A41" s="9">
        <v>46235</v>
      </c>
      <c r="B41" t="s">
        <v>155</v>
      </c>
      <c r="C41" t="s">
        <v>156</v>
      </c>
      <c r="D41" t="s">
        <v>46</v>
      </c>
      <c r="E41" t="s">
        <v>647</v>
      </c>
      <c r="F41" t="s">
        <v>667</v>
      </c>
      <c r="G41" s="10">
        <v>4</v>
      </c>
      <c r="H41" s="10">
        <v>7402</v>
      </c>
      <c r="I41" s="10">
        <v>29608</v>
      </c>
      <c r="J41" t="s">
        <v>37</v>
      </c>
      <c r="K41" s="11">
        <v>648.20000000000005</v>
      </c>
      <c r="L41" s="12">
        <v>45.68</v>
      </c>
    </row>
    <row r="42" spans="1:12" x14ac:dyDescent="0.2">
      <c r="A42" s="9">
        <v>46235</v>
      </c>
      <c r="B42" t="s">
        <v>161</v>
      </c>
      <c r="C42" t="s">
        <v>67</v>
      </c>
      <c r="D42" t="s">
        <v>41</v>
      </c>
      <c r="E42" t="s">
        <v>647</v>
      </c>
      <c r="F42" t="s">
        <v>668</v>
      </c>
      <c r="G42" s="10">
        <v>21</v>
      </c>
      <c r="H42" s="10">
        <v>120376</v>
      </c>
      <c r="I42" s="10">
        <v>2527896</v>
      </c>
      <c r="J42" t="s">
        <v>42</v>
      </c>
      <c r="K42" s="11">
        <v>3145.8</v>
      </c>
      <c r="L42" s="12">
        <v>803.58</v>
      </c>
    </row>
    <row r="43" spans="1:12" x14ac:dyDescent="0.2">
      <c r="A43" s="9">
        <v>46235</v>
      </c>
      <c r="B43" t="s">
        <v>163</v>
      </c>
      <c r="C43" t="s">
        <v>164</v>
      </c>
      <c r="D43" t="s">
        <v>41</v>
      </c>
      <c r="E43" t="s">
        <v>660</v>
      </c>
      <c r="F43" t="s">
        <v>669</v>
      </c>
      <c r="G43" s="10">
        <v>4</v>
      </c>
      <c r="H43" s="10">
        <v>12866</v>
      </c>
      <c r="I43" s="10">
        <v>51464</v>
      </c>
      <c r="J43" t="s">
        <v>42</v>
      </c>
      <c r="K43" s="11">
        <v>3145.8</v>
      </c>
      <c r="L43" s="12">
        <v>16.36</v>
      </c>
    </row>
    <row r="44" spans="1:12" x14ac:dyDescent="0.2">
      <c r="A44" s="9">
        <v>46235</v>
      </c>
      <c r="B44" t="s">
        <v>163</v>
      </c>
      <c r="C44" t="s">
        <v>164</v>
      </c>
      <c r="D44" t="s">
        <v>41</v>
      </c>
      <c r="E44" t="s">
        <v>647</v>
      </c>
      <c r="F44" t="s">
        <v>648</v>
      </c>
      <c r="G44" s="10">
        <v>103</v>
      </c>
      <c r="H44" s="10">
        <v>77512</v>
      </c>
      <c r="I44" s="10">
        <v>7983736</v>
      </c>
      <c r="J44" t="s">
        <v>42</v>
      </c>
      <c r="K44" s="11">
        <v>3145.8</v>
      </c>
      <c r="L44" s="12">
        <v>2537.9</v>
      </c>
    </row>
    <row r="45" spans="1:12" x14ac:dyDescent="0.2">
      <c r="A45" s="9">
        <v>46235</v>
      </c>
      <c r="B45" t="s">
        <v>166</v>
      </c>
      <c r="C45" t="s">
        <v>167</v>
      </c>
      <c r="D45" t="s">
        <v>46</v>
      </c>
      <c r="E45" t="s">
        <v>660</v>
      </c>
      <c r="F45" t="s">
        <v>669</v>
      </c>
      <c r="G45" s="10">
        <v>5</v>
      </c>
      <c r="H45" s="10">
        <v>2668</v>
      </c>
      <c r="I45" s="10">
        <v>13340</v>
      </c>
      <c r="J45" t="s">
        <v>37</v>
      </c>
      <c r="K45" s="11">
        <v>648.20000000000005</v>
      </c>
      <c r="L45" s="12">
        <v>20.58</v>
      </c>
    </row>
    <row r="46" spans="1:12" x14ac:dyDescent="0.2">
      <c r="A46" s="9">
        <v>46235</v>
      </c>
      <c r="B46" t="s">
        <v>166</v>
      </c>
      <c r="C46" t="s">
        <v>167</v>
      </c>
      <c r="D46" t="s">
        <v>46</v>
      </c>
      <c r="E46" t="s">
        <v>655</v>
      </c>
      <c r="F46" t="s">
        <v>656</v>
      </c>
      <c r="G46" s="10">
        <v>2</v>
      </c>
      <c r="H46" s="10">
        <v>568</v>
      </c>
      <c r="I46" s="10">
        <v>1136</v>
      </c>
      <c r="J46" t="s">
        <v>37</v>
      </c>
      <c r="K46" s="11">
        <v>648.20000000000005</v>
      </c>
      <c r="L46" s="12">
        <v>1.75</v>
      </c>
    </row>
    <row r="47" spans="1:12" x14ac:dyDescent="0.2">
      <c r="A47" s="9">
        <v>46235</v>
      </c>
      <c r="B47" t="s">
        <v>169</v>
      </c>
      <c r="C47" t="s">
        <v>170</v>
      </c>
      <c r="D47" t="s">
        <v>41</v>
      </c>
      <c r="E47" t="s">
        <v>655</v>
      </c>
      <c r="F47" t="s">
        <v>656</v>
      </c>
      <c r="G47" s="10">
        <v>21</v>
      </c>
      <c r="H47" s="10">
        <v>2843</v>
      </c>
      <c r="I47" s="10">
        <v>59703</v>
      </c>
      <c r="J47" t="s">
        <v>42</v>
      </c>
      <c r="K47" s="11">
        <v>3145.8</v>
      </c>
      <c r="L47" s="12">
        <v>18.98</v>
      </c>
    </row>
    <row r="48" spans="1:12" x14ac:dyDescent="0.2">
      <c r="A48" s="9">
        <v>46235</v>
      </c>
      <c r="B48" t="s">
        <v>178</v>
      </c>
      <c r="C48" t="s">
        <v>179</v>
      </c>
      <c r="D48" t="s">
        <v>50</v>
      </c>
      <c r="E48" t="s">
        <v>649</v>
      </c>
      <c r="F48" t="s">
        <v>659</v>
      </c>
      <c r="G48" s="10">
        <v>2</v>
      </c>
      <c r="H48" s="10">
        <v>8762</v>
      </c>
      <c r="I48" s="10">
        <v>17524</v>
      </c>
      <c r="J48" t="s">
        <v>51</v>
      </c>
      <c r="K48" s="11">
        <v>648.20000000000005</v>
      </c>
      <c r="L48" s="12">
        <v>27.03</v>
      </c>
    </row>
    <row r="49" spans="1:12" x14ac:dyDescent="0.2">
      <c r="A49" s="9">
        <v>46235</v>
      </c>
      <c r="B49" t="s">
        <v>196</v>
      </c>
      <c r="C49" t="s">
        <v>197</v>
      </c>
      <c r="D49" t="s">
        <v>46</v>
      </c>
      <c r="E49" t="s">
        <v>649</v>
      </c>
      <c r="F49" t="s">
        <v>663</v>
      </c>
      <c r="G49" s="10">
        <v>28</v>
      </c>
      <c r="H49" s="10">
        <v>2052</v>
      </c>
      <c r="I49" s="10">
        <v>57456</v>
      </c>
      <c r="J49" t="s">
        <v>37</v>
      </c>
      <c r="K49" s="11">
        <v>648.20000000000005</v>
      </c>
      <c r="L49" s="12">
        <v>88.64</v>
      </c>
    </row>
    <row r="50" spans="1:12" x14ac:dyDescent="0.2">
      <c r="A50" s="9">
        <v>46235</v>
      </c>
      <c r="B50" t="s">
        <v>196</v>
      </c>
      <c r="C50" t="s">
        <v>197</v>
      </c>
      <c r="D50" t="s">
        <v>46</v>
      </c>
      <c r="E50" t="s">
        <v>660</v>
      </c>
      <c r="F50" t="s">
        <v>669</v>
      </c>
      <c r="G50" s="10">
        <v>51</v>
      </c>
      <c r="H50" s="10">
        <v>2566</v>
      </c>
      <c r="I50" s="10">
        <v>130866</v>
      </c>
      <c r="J50" t="s">
        <v>37</v>
      </c>
      <c r="K50" s="11">
        <v>648.20000000000005</v>
      </c>
      <c r="L50" s="12">
        <v>201.89</v>
      </c>
    </row>
    <row r="51" spans="1:12" x14ac:dyDescent="0.2">
      <c r="A51" s="9">
        <v>46235</v>
      </c>
      <c r="B51" t="s">
        <v>196</v>
      </c>
      <c r="C51" t="s">
        <v>197</v>
      </c>
      <c r="D51" t="s">
        <v>46</v>
      </c>
      <c r="E51" t="s">
        <v>655</v>
      </c>
      <c r="F51" t="s">
        <v>656</v>
      </c>
      <c r="G51" s="10">
        <v>8</v>
      </c>
      <c r="H51" s="10">
        <v>589</v>
      </c>
      <c r="I51" s="10">
        <v>4712</v>
      </c>
      <c r="J51" t="s">
        <v>37</v>
      </c>
      <c r="K51" s="11">
        <v>648.20000000000005</v>
      </c>
      <c r="L51" s="12">
        <v>7.27</v>
      </c>
    </row>
    <row r="52" spans="1:12" x14ac:dyDescent="0.2">
      <c r="A52" s="9">
        <v>46235</v>
      </c>
      <c r="B52" t="s">
        <v>199</v>
      </c>
      <c r="C52" t="s">
        <v>200</v>
      </c>
      <c r="D52" t="s">
        <v>46</v>
      </c>
      <c r="E52" t="s">
        <v>660</v>
      </c>
      <c r="F52" t="s">
        <v>670</v>
      </c>
      <c r="G52" s="10">
        <v>101</v>
      </c>
      <c r="H52" s="10">
        <v>14720</v>
      </c>
      <c r="I52" s="10">
        <v>1486720</v>
      </c>
      <c r="J52" t="s">
        <v>37</v>
      </c>
      <c r="K52" s="11">
        <v>648.20000000000005</v>
      </c>
      <c r="L52" s="12">
        <v>2293.61</v>
      </c>
    </row>
    <row r="53" spans="1:12" x14ac:dyDescent="0.2">
      <c r="A53" s="9">
        <v>46235</v>
      </c>
      <c r="B53" t="s">
        <v>199</v>
      </c>
      <c r="C53" t="s">
        <v>200</v>
      </c>
      <c r="D53" t="s">
        <v>46</v>
      </c>
      <c r="E53" t="s">
        <v>660</v>
      </c>
      <c r="F53" t="s">
        <v>661</v>
      </c>
      <c r="G53" s="10">
        <v>7</v>
      </c>
      <c r="H53" s="10">
        <v>4035</v>
      </c>
      <c r="I53" s="10">
        <v>28245</v>
      </c>
      <c r="J53" t="s">
        <v>37</v>
      </c>
      <c r="K53" s="11">
        <v>648.20000000000005</v>
      </c>
      <c r="L53" s="12">
        <v>43.57</v>
      </c>
    </row>
    <row r="54" spans="1:12" x14ac:dyDescent="0.2">
      <c r="A54" s="9">
        <v>46235</v>
      </c>
      <c r="B54" t="s">
        <v>199</v>
      </c>
      <c r="C54" t="s">
        <v>200</v>
      </c>
      <c r="D54" t="s">
        <v>46</v>
      </c>
      <c r="E54" t="s">
        <v>653</v>
      </c>
      <c r="F54" t="s">
        <v>654</v>
      </c>
      <c r="G54" s="10">
        <v>27</v>
      </c>
      <c r="H54" s="10">
        <v>5822</v>
      </c>
      <c r="I54" s="10">
        <v>157194</v>
      </c>
      <c r="J54" t="s">
        <v>37</v>
      </c>
      <c r="K54" s="11">
        <v>648.20000000000005</v>
      </c>
      <c r="L54" s="12">
        <v>242.51</v>
      </c>
    </row>
    <row r="55" spans="1:12" x14ac:dyDescent="0.2">
      <c r="A55" s="9">
        <v>46235</v>
      </c>
      <c r="B55" t="s">
        <v>199</v>
      </c>
      <c r="C55" t="s">
        <v>200</v>
      </c>
      <c r="D55" t="s">
        <v>46</v>
      </c>
      <c r="E55" t="s">
        <v>647</v>
      </c>
      <c r="F55" t="s">
        <v>668</v>
      </c>
      <c r="G55" s="10">
        <v>139</v>
      </c>
      <c r="H55" s="10">
        <v>25897</v>
      </c>
      <c r="I55" s="10">
        <v>3599683</v>
      </c>
      <c r="J55" t="s">
        <v>37</v>
      </c>
      <c r="K55" s="11">
        <v>648.20000000000005</v>
      </c>
      <c r="L55" s="12">
        <v>5553.35</v>
      </c>
    </row>
    <row r="56" spans="1:12" x14ac:dyDescent="0.2">
      <c r="A56" s="9">
        <v>46235</v>
      </c>
      <c r="B56" t="s">
        <v>211</v>
      </c>
      <c r="C56" t="s">
        <v>212</v>
      </c>
      <c r="D56" t="s">
        <v>46</v>
      </c>
      <c r="E56" t="s">
        <v>660</v>
      </c>
      <c r="F56" t="s">
        <v>669</v>
      </c>
      <c r="G56" s="10">
        <v>15</v>
      </c>
      <c r="H56" s="10">
        <v>2646</v>
      </c>
      <c r="I56" s="10">
        <v>39690</v>
      </c>
      <c r="J56" t="s">
        <v>37</v>
      </c>
      <c r="K56" s="11">
        <v>648.20000000000005</v>
      </c>
      <c r="L56" s="12">
        <v>61.23</v>
      </c>
    </row>
    <row r="57" spans="1:12" x14ac:dyDescent="0.2">
      <c r="A57" s="9">
        <v>46235</v>
      </c>
      <c r="B57" t="s">
        <v>214</v>
      </c>
      <c r="C57" t="s">
        <v>215</v>
      </c>
      <c r="D57" t="s">
        <v>46</v>
      </c>
      <c r="E57" t="s">
        <v>653</v>
      </c>
      <c r="F57" t="s">
        <v>654</v>
      </c>
      <c r="G57" s="10">
        <v>10</v>
      </c>
      <c r="H57" s="10">
        <v>5810</v>
      </c>
      <c r="I57" s="10">
        <v>58100</v>
      </c>
      <c r="J57" t="s">
        <v>37</v>
      </c>
      <c r="K57" s="11">
        <v>648.20000000000005</v>
      </c>
      <c r="L57" s="12">
        <v>89.63</v>
      </c>
    </row>
    <row r="58" spans="1:12" x14ac:dyDescent="0.2">
      <c r="A58" s="9">
        <v>46235</v>
      </c>
      <c r="B58" t="s">
        <v>220</v>
      </c>
      <c r="C58" t="s">
        <v>221</v>
      </c>
      <c r="D58" t="s">
        <v>46</v>
      </c>
      <c r="E58" t="s">
        <v>647</v>
      </c>
      <c r="F58" t="s">
        <v>667</v>
      </c>
      <c r="G58" s="10">
        <v>1</v>
      </c>
      <c r="H58" s="10">
        <v>7504</v>
      </c>
      <c r="I58" s="10">
        <v>7504</v>
      </c>
      <c r="J58" t="s">
        <v>37</v>
      </c>
      <c r="K58" s="11">
        <v>648.20000000000005</v>
      </c>
      <c r="L58" s="12">
        <v>11.58</v>
      </c>
    </row>
    <row r="59" spans="1:12" x14ac:dyDescent="0.2">
      <c r="A59" s="9">
        <v>46235</v>
      </c>
      <c r="B59" t="s">
        <v>223</v>
      </c>
      <c r="C59" t="s">
        <v>224</v>
      </c>
      <c r="D59" t="s">
        <v>36</v>
      </c>
      <c r="E59" t="s">
        <v>651</v>
      </c>
      <c r="F59" t="s">
        <v>652</v>
      </c>
      <c r="G59" s="10">
        <v>13</v>
      </c>
      <c r="H59" s="10">
        <v>9852</v>
      </c>
      <c r="I59" s="10">
        <v>128076</v>
      </c>
      <c r="J59" t="s">
        <v>37</v>
      </c>
      <c r="K59" s="11">
        <v>648.20000000000005</v>
      </c>
      <c r="L59" s="12">
        <v>197.59</v>
      </c>
    </row>
    <row r="60" spans="1:12" x14ac:dyDescent="0.2">
      <c r="A60" s="9">
        <v>46235</v>
      </c>
      <c r="B60" t="s">
        <v>229</v>
      </c>
      <c r="C60" t="s">
        <v>230</v>
      </c>
      <c r="D60" t="s">
        <v>36</v>
      </c>
      <c r="E60" t="s">
        <v>651</v>
      </c>
      <c r="F60" t="s">
        <v>652</v>
      </c>
      <c r="G60" s="10">
        <v>3</v>
      </c>
      <c r="H60" s="10">
        <v>9320</v>
      </c>
      <c r="I60" s="10">
        <v>27960</v>
      </c>
      <c r="J60" t="s">
        <v>37</v>
      </c>
      <c r="K60" s="11">
        <v>648.20000000000005</v>
      </c>
      <c r="L60" s="12">
        <v>43.13</v>
      </c>
    </row>
    <row r="61" spans="1:12" x14ac:dyDescent="0.2">
      <c r="A61" s="9">
        <v>46235</v>
      </c>
      <c r="B61" t="s">
        <v>235</v>
      </c>
      <c r="C61" t="s">
        <v>236</v>
      </c>
      <c r="D61" t="s">
        <v>50</v>
      </c>
      <c r="E61" t="s">
        <v>653</v>
      </c>
      <c r="F61" t="s">
        <v>658</v>
      </c>
      <c r="G61" s="10">
        <v>51</v>
      </c>
      <c r="H61" s="10">
        <v>2639</v>
      </c>
      <c r="I61" s="10">
        <v>134589</v>
      </c>
      <c r="J61" t="s">
        <v>51</v>
      </c>
      <c r="K61" s="11">
        <v>648.20000000000005</v>
      </c>
      <c r="L61" s="12">
        <v>207.63</v>
      </c>
    </row>
    <row r="62" spans="1:12" x14ac:dyDescent="0.2">
      <c r="A62" s="9">
        <v>46235</v>
      </c>
      <c r="B62" t="s">
        <v>238</v>
      </c>
      <c r="C62" t="s">
        <v>239</v>
      </c>
      <c r="D62" t="s">
        <v>68</v>
      </c>
      <c r="E62" t="s">
        <v>660</v>
      </c>
      <c r="F62" t="s">
        <v>670</v>
      </c>
      <c r="G62" s="10">
        <v>45</v>
      </c>
      <c r="H62" s="10">
        <v>14168</v>
      </c>
      <c r="I62" s="10">
        <v>637560</v>
      </c>
      <c r="J62" t="s">
        <v>51</v>
      </c>
      <c r="K62" s="11">
        <v>648.20000000000005</v>
      </c>
      <c r="L62" s="12">
        <v>983.59</v>
      </c>
    </row>
    <row r="63" spans="1:12" x14ac:dyDescent="0.2">
      <c r="A63" s="9">
        <v>46235</v>
      </c>
      <c r="B63" t="s">
        <v>238</v>
      </c>
      <c r="C63" t="s">
        <v>239</v>
      </c>
      <c r="D63" t="s">
        <v>68</v>
      </c>
      <c r="E63" t="s">
        <v>647</v>
      </c>
      <c r="F63" t="s">
        <v>648</v>
      </c>
      <c r="G63" s="10">
        <v>2</v>
      </c>
      <c r="H63" s="10">
        <v>15972</v>
      </c>
      <c r="I63" s="10">
        <v>31944</v>
      </c>
      <c r="J63" t="s">
        <v>51</v>
      </c>
      <c r="K63" s="11">
        <v>648.20000000000005</v>
      </c>
      <c r="L63" s="12">
        <v>49.28</v>
      </c>
    </row>
    <row r="64" spans="1:12" x14ac:dyDescent="0.2">
      <c r="A64" s="9">
        <v>46235</v>
      </c>
      <c r="B64" t="s">
        <v>238</v>
      </c>
      <c r="C64" t="s">
        <v>239</v>
      </c>
      <c r="D64" t="s">
        <v>68</v>
      </c>
      <c r="E64" t="s">
        <v>655</v>
      </c>
      <c r="F64" t="s">
        <v>665</v>
      </c>
      <c r="G64" s="10">
        <v>7</v>
      </c>
      <c r="H64" s="10">
        <v>706</v>
      </c>
      <c r="I64" s="10">
        <v>4942</v>
      </c>
      <c r="J64" t="s">
        <v>51</v>
      </c>
      <c r="K64" s="11">
        <v>648.20000000000005</v>
      </c>
      <c r="L64" s="12">
        <v>7.62</v>
      </c>
    </row>
    <row r="65" spans="1:12" x14ac:dyDescent="0.2">
      <c r="A65" s="9">
        <v>46235</v>
      </c>
      <c r="B65" t="s">
        <v>241</v>
      </c>
      <c r="C65" t="s">
        <v>242</v>
      </c>
      <c r="D65" t="s">
        <v>46</v>
      </c>
      <c r="E65" t="s">
        <v>653</v>
      </c>
      <c r="F65" t="s">
        <v>654</v>
      </c>
      <c r="G65" s="10">
        <v>1</v>
      </c>
      <c r="H65" s="10">
        <v>5712</v>
      </c>
      <c r="I65" s="10">
        <v>5712</v>
      </c>
      <c r="J65" t="s">
        <v>37</v>
      </c>
      <c r="K65" s="11">
        <v>648.20000000000005</v>
      </c>
      <c r="L65" s="12">
        <v>8.81</v>
      </c>
    </row>
    <row r="66" spans="1:12" x14ac:dyDescent="0.2">
      <c r="A66" s="9">
        <v>46235</v>
      </c>
      <c r="B66" t="s">
        <v>244</v>
      </c>
      <c r="C66" t="s">
        <v>245</v>
      </c>
      <c r="D66" t="s">
        <v>75</v>
      </c>
      <c r="E66" t="s">
        <v>653</v>
      </c>
      <c r="F66" t="s">
        <v>658</v>
      </c>
      <c r="G66" s="10">
        <v>30</v>
      </c>
      <c r="H66" s="10">
        <v>12821</v>
      </c>
      <c r="I66" s="10">
        <v>384630</v>
      </c>
      <c r="J66" t="s">
        <v>42</v>
      </c>
      <c r="K66" s="11">
        <v>3145.8</v>
      </c>
      <c r="L66" s="12">
        <v>122.27</v>
      </c>
    </row>
    <row r="67" spans="1:12" x14ac:dyDescent="0.2">
      <c r="A67" s="9">
        <v>46235</v>
      </c>
      <c r="B67" t="s">
        <v>244</v>
      </c>
      <c r="C67" t="s">
        <v>245</v>
      </c>
      <c r="D67" t="s">
        <v>75</v>
      </c>
      <c r="E67" t="s">
        <v>653</v>
      </c>
      <c r="F67" t="s">
        <v>654</v>
      </c>
      <c r="G67" s="10">
        <v>14</v>
      </c>
      <c r="H67" s="10">
        <v>26876</v>
      </c>
      <c r="I67" s="10">
        <v>376264</v>
      </c>
      <c r="J67" t="s">
        <v>42</v>
      </c>
      <c r="K67" s="11">
        <v>3145.8</v>
      </c>
      <c r="L67" s="12">
        <v>119.61</v>
      </c>
    </row>
    <row r="68" spans="1:12" x14ac:dyDescent="0.2">
      <c r="A68" s="9">
        <v>46235</v>
      </c>
      <c r="B68" t="s">
        <v>244</v>
      </c>
      <c r="C68" t="s">
        <v>245</v>
      </c>
      <c r="D68" t="s">
        <v>75</v>
      </c>
      <c r="E68" t="s">
        <v>647</v>
      </c>
      <c r="F68" t="s">
        <v>648</v>
      </c>
      <c r="G68" s="10">
        <v>14</v>
      </c>
      <c r="H68" s="10">
        <v>81545</v>
      </c>
      <c r="I68" s="10">
        <v>1141630</v>
      </c>
      <c r="J68" t="s">
        <v>42</v>
      </c>
      <c r="K68" s="11">
        <v>3145.8</v>
      </c>
      <c r="L68" s="12">
        <v>362.91</v>
      </c>
    </row>
    <row r="69" spans="1:12" x14ac:dyDescent="0.2">
      <c r="A69" s="9">
        <v>46235</v>
      </c>
      <c r="B69" t="s">
        <v>244</v>
      </c>
      <c r="C69" t="s">
        <v>245</v>
      </c>
      <c r="D69" t="s">
        <v>75</v>
      </c>
      <c r="E69" t="s">
        <v>647</v>
      </c>
      <c r="F69" t="s">
        <v>667</v>
      </c>
      <c r="G69" s="10">
        <v>5</v>
      </c>
      <c r="H69" s="10">
        <v>34733</v>
      </c>
      <c r="I69" s="10">
        <v>173665</v>
      </c>
      <c r="J69" t="s">
        <v>42</v>
      </c>
      <c r="K69" s="11">
        <v>3145.8</v>
      </c>
      <c r="L69" s="12">
        <v>55.21</v>
      </c>
    </row>
    <row r="70" spans="1:12" x14ac:dyDescent="0.2">
      <c r="A70" s="9">
        <v>46235</v>
      </c>
      <c r="B70" t="s">
        <v>247</v>
      </c>
      <c r="C70" t="s">
        <v>248</v>
      </c>
      <c r="D70" t="s">
        <v>75</v>
      </c>
      <c r="E70" t="s">
        <v>649</v>
      </c>
      <c r="F70" t="s">
        <v>650</v>
      </c>
      <c r="G70" s="10">
        <v>1</v>
      </c>
      <c r="H70" s="10">
        <v>93436</v>
      </c>
      <c r="I70" s="10">
        <v>93436</v>
      </c>
      <c r="J70" t="s">
        <v>42</v>
      </c>
      <c r="K70" s="11">
        <v>3145.8</v>
      </c>
      <c r="L70" s="12">
        <v>29.7</v>
      </c>
    </row>
    <row r="71" spans="1:12" x14ac:dyDescent="0.2">
      <c r="A71" s="9">
        <v>46235</v>
      </c>
      <c r="B71" t="s">
        <v>253</v>
      </c>
      <c r="C71" t="s">
        <v>254</v>
      </c>
      <c r="D71" t="s">
        <v>50</v>
      </c>
      <c r="E71" t="s">
        <v>655</v>
      </c>
      <c r="F71" t="s">
        <v>665</v>
      </c>
      <c r="G71" s="10">
        <v>8</v>
      </c>
      <c r="H71" s="10">
        <v>693</v>
      </c>
      <c r="I71" s="10">
        <v>5544</v>
      </c>
      <c r="J71" t="s">
        <v>51</v>
      </c>
      <c r="K71" s="11">
        <v>648.20000000000005</v>
      </c>
      <c r="L71" s="12">
        <v>8.5500000000000007</v>
      </c>
    </row>
    <row r="72" spans="1:12" x14ac:dyDescent="0.2">
      <c r="A72" s="9">
        <v>46235</v>
      </c>
      <c r="B72" t="s">
        <v>261</v>
      </c>
      <c r="C72" t="s">
        <v>262</v>
      </c>
      <c r="D72" t="s">
        <v>41</v>
      </c>
      <c r="E72" t="s">
        <v>647</v>
      </c>
      <c r="F72" t="s">
        <v>648</v>
      </c>
      <c r="G72" s="10">
        <v>37</v>
      </c>
      <c r="H72" s="10">
        <v>79190</v>
      </c>
      <c r="I72" s="10">
        <v>2930030</v>
      </c>
      <c r="J72" t="s">
        <v>42</v>
      </c>
      <c r="K72" s="11">
        <v>3145.8</v>
      </c>
      <c r="L72" s="12">
        <v>931.41</v>
      </c>
    </row>
    <row r="73" spans="1:12" x14ac:dyDescent="0.2">
      <c r="A73" s="9">
        <v>46235</v>
      </c>
      <c r="B73" t="s">
        <v>264</v>
      </c>
      <c r="C73" t="s">
        <v>265</v>
      </c>
      <c r="D73" t="s">
        <v>41</v>
      </c>
      <c r="E73" t="s">
        <v>655</v>
      </c>
      <c r="F73" t="s">
        <v>662</v>
      </c>
      <c r="G73" s="10">
        <v>10</v>
      </c>
      <c r="H73" s="10">
        <v>5411</v>
      </c>
      <c r="I73" s="10">
        <v>54110</v>
      </c>
      <c r="J73" t="s">
        <v>42</v>
      </c>
      <c r="K73" s="11">
        <v>3145.8</v>
      </c>
      <c r="L73" s="12">
        <v>17.2</v>
      </c>
    </row>
    <row r="74" spans="1:12" x14ac:dyDescent="0.2">
      <c r="A74" s="9">
        <v>46235</v>
      </c>
      <c r="B74" t="s">
        <v>267</v>
      </c>
      <c r="C74" t="s">
        <v>268</v>
      </c>
      <c r="D74" t="s">
        <v>46</v>
      </c>
      <c r="E74" t="s">
        <v>651</v>
      </c>
      <c r="F74" t="s">
        <v>652</v>
      </c>
      <c r="G74" s="10">
        <v>7</v>
      </c>
      <c r="H74" s="10">
        <v>9858</v>
      </c>
      <c r="I74" s="10">
        <v>69006</v>
      </c>
      <c r="J74" t="s">
        <v>37</v>
      </c>
      <c r="K74" s="11">
        <v>648.20000000000005</v>
      </c>
      <c r="L74" s="12">
        <v>106.46</v>
      </c>
    </row>
    <row r="75" spans="1:12" x14ac:dyDescent="0.2">
      <c r="A75" s="9">
        <v>46235</v>
      </c>
      <c r="B75" t="s">
        <v>267</v>
      </c>
      <c r="C75" t="s">
        <v>268</v>
      </c>
      <c r="D75" t="s">
        <v>46</v>
      </c>
      <c r="E75" t="s">
        <v>647</v>
      </c>
      <c r="F75" t="s">
        <v>667</v>
      </c>
      <c r="G75" s="10">
        <v>17</v>
      </c>
      <c r="H75" s="10">
        <v>7457</v>
      </c>
      <c r="I75" s="10">
        <v>126769</v>
      </c>
      <c r="J75" t="s">
        <v>37</v>
      </c>
      <c r="K75" s="11">
        <v>648.20000000000005</v>
      </c>
      <c r="L75" s="12">
        <v>195.57</v>
      </c>
    </row>
    <row r="76" spans="1:12" x14ac:dyDescent="0.2">
      <c r="A76" s="9">
        <v>46235</v>
      </c>
      <c r="B76" t="s">
        <v>273</v>
      </c>
      <c r="C76" t="s">
        <v>274</v>
      </c>
      <c r="D76" t="s">
        <v>41</v>
      </c>
      <c r="E76" t="s">
        <v>660</v>
      </c>
      <c r="F76" t="s">
        <v>661</v>
      </c>
      <c r="G76" s="10">
        <v>12</v>
      </c>
      <c r="H76" s="10">
        <v>20558</v>
      </c>
      <c r="I76" s="10">
        <v>246696</v>
      </c>
      <c r="J76" t="s">
        <v>42</v>
      </c>
      <c r="K76" s="11">
        <v>3145.8</v>
      </c>
      <c r="L76" s="12">
        <v>78.42</v>
      </c>
    </row>
    <row r="77" spans="1:12" x14ac:dyDescent="0.2">
      <c r="A77" s="9">
        <v>46235</v>
      </c>
      <c r="B77" t="s">
        <v>276</v>
      </c>
      <c r="C77" t="s">
        <v>277</v>
      </c>
      <c r="D77" t="s">
        <v>46</v>
      </c>
      <c r="E77" t="s">
        <v>649</v>
      </c>
      <c r="F77" t="s">
        <v>659</v>
      </c>
      <c r="G77" s="10">
        <v>11</v>
      </c>
      <c r="H77" s="10">
        <v>9248</v>
      </c>
      <c r="I77" s="10">
        <v>101728</v>
      </c>
      <c r="J77" t="s">
        <v>37</v>
      </c>
      <c r="K77" s="11">
        <v>648.20000000000005</v>
      </c>
      <c r="L77" s="12">
        <v>156.94</v>
      </c>
    </row>
    <row r="78" spans="1:12" x14ac:dyDescent="0.2">
      <c r="A78" s="9">
        <v>46235</v>
      </c>
      <c r="B78" t="s">
        <v>276</v>
      </c>
      <c r="C78" t="s">
        <v>277</v>
      </c>
      <c r="D78" t="s">
        <v>46</v>
      </c>
      <c r="E78" t="s">
        <v>655</v>
      </c>
      <c r="F78" t="s">
        <v>662</v>
      </c>
      <c r="G78" s="10">
        <v>26</v>
      </c>
      <c r="H78" s="10">
        <v>1104</v>
      </c>
      <c r="I78" s="10">
        <v>28704</v>
      </c>
      <c r="J78" t="s">
        <v>37</v>
      </c>
      <c r="K78" s="11">
        <v>648.20000000000005</v>
      </c>
      <c r="L78" s="12">
        <v>44.28</v>
      </c>
    </row>
    <row r="79" spans="1:12" x14ac:dyDescent="0.2">
      <c r="A79" s="9">
        <v>46235</v>
      </c>
      <c r="B79" t="s">
        <v>279</v>
      </c>
      <c r="C79" t="s">
        <v>280</v>
      </c>
      <c r="D79" t="s">
        <v>68</v>
      </c>
      <c r="E79" t="s">
        <v>655</v>
      </c>
      <c r="F79" t="s">
        <v>662</v>
      </c>
      <c r="G79" s="10">
        <v>64</v>
      </c>
      <c r="H79" s="10">
        <v>1150</v>
      </c>
      <c r="I79" s="10">
        <v>73600</v>
      </c>
      <c r="J79" t="s">
        <v>51</v>
      </c>
      <c r="K79" s="11">
        <v>648.20000000000005</v>
      </c>
      <c r="L79" s="12">
        <v>113.55</v>
      </c>
    </row>
    <row r="80" spans="1:12" x14ac:dyDescent="0.2">
      <c r="A80" s="9">
        <v>46235</v>
      </c>
      <c r="B80" t="s">
        <v>279</v>
      </c>
      <c r="C80" t="s">
        <v>280</v>
      </c>
      <c r="D80" t="s">
        <v>68</v>
      </c>
      <c r="E80" t="s">
        <v>660</v>
      </c>
      <c r="F80" t="s">
        <v>669</v>
      </c>
      <c r="G80" s="10">
        <v>53</v>
      </c>
      <c r="H80" s="10">
        <v>2585</v>
      </c>
      <c r="I80" s="10">
        <v>137005</v>
      </c>
      <c r="J80" t="s">
        <v>51</v>
      </c>
      <c r="K80" s="11">
        <v>648.20000000000005</v>
      </c>
      <c r="L80" s="12">
        <v>211.36</v>
      </c>
    </row>
    <row r="81" spans="1:12" x14ac:dyDescent="0.2">
      <c r="A81" s="9">
        <v>46235</v>
      </c>
      <c r="B81" t="s">
        <v>279</v>
      </c>
      <c r="C81" t="s">
        <v>280</v>
      </c>
      <c r="D81" t="s">
        <v>68</v>
      </c>
      <c r="E81" t="s">
        <v>651</v>
      </c>
      <c r="F81" t="s">
        <v>657</v>
      </c>
      <c r="G81" s="10">
        <v>130</v>
      </c>
      <c r="H81" s="10">
        <v>6299</v>
      </c>
      <c r="I81" s="10">
        <v>818870</v>
      </c>
      <c r="J81" t="s">
        <v>51</v>
      </c>
      <c r="K81" s="11">
        <v>648.20000000000005</v>
      </c>
      <c r="L81" s="12">
        <v>1263.3</v>
      </c>
    </row>
    <row r="82" spans="1:12" x14ac:dyDescent="0.2">
      <c r="A82" s="9">
        <v>46235</v>
      </c>
      <c r="B82" t="s">
        <v>282</v>
      </c>
      <c r="C82" t="s">
        <v>283</v>
      </c>
      <c r="D82" t="s">
        <v>41</v>
      </c>
      <c r="E82" t="s">
        <v>653</v>
      </c>
      <c r="F82" t="s">
        <v>666</v>
      </c>
      <c r="G82" s="10">
        <v>11</v>
      </c>
      <c r="H82" s="10">
        <v>7169</v>
      </c>
      <c r="I82" s="10">
        <v>78859</v>
      </c>
      <c r="J82" t="s">
        <v>42</v>
      </c>
      <c r="K82" s="11">
        <v>3145.8</v>
      </c>
      <c r="L82" s="12">
        <v>25.07</v>
      </c>
    </row>
    <row r="83" spans="1:12" x14ac:dyDescent="0.2">
      <c r="A83" s="9">
        <v>46235</v>
      </c>
      <c r="B83" t="s">
        <v>282</v>
      </c>
      <c r="C83" t="s">
        <v>283</v>
      </c>
      <c r="D83" t="s">
        <v>41</v>
      </c>
      <c r="E83" t="s">
        <v>647</v>
      </c>
      <c r="F83" t="s">
        <v>668</v>
      </c>
      <c r="G83" s="10">
        <v>4</v>
      </c>
      <c r="H83" s="10">
        <v>119123</v>
      </c>
      <c r="I83" s="10">
        <v>476492</v>
      </c>
      <c r="J83" t="s">
        <v>42</v>
      </c>
      <c r="K83" s="11">
        <v>3145.8</v>
      </c>
      <c r="L83" s="12">
        <v>151.47</v>
      </c>
    </row>
    <row r="84" spans="1:12" x14ac:dyDescent="0.2">
      <c r="A84" s="9">
        <v>46235</v>
      </c>
      <c r="B84" t="s">
        <v>282</v>
      </c>
      <c r="C84" t="s">
        <v>283</v>
      </c>
      <c r="D84" t="s">
        <v>41</v>
      </c>
      <c r="E84" t="s">
        <v>647</v>
      </c>
      <c r="F84" t="s">
        <v>648</v>
      </c>
      <c r="G84" s="10">
        <v>15</v>
      </c>
      <c r="H84" s="10">
        <v>77155</v>
      </c>
      <c r="I84" s="10">
        <v>1157325</v>
      </c>
      <c r="J84" t="s">
        <v>42</v>
      </c>
      <c r="K84" s="11">
        <v>3145.8</v>
      </c>
      <c r="L84" s="12">
        <v>367.9</v>
      </c>
    </row>
    <row r="85" spans="1:12" x14ac:dyDescent="0.2">
      <c r="A85" s="9">
        <v>46235</v>
      </c>
      <c r="B85" t="s">
        <v>282</v>
      </c>
      <c r="C85" t="s">
        <v>283</v>
      </c>
      <c r="D85" t="s">
        <v>41</v>
      </c>
      <c r="E85" t="s">
        <v>647</v>
      </c>
      <c r="F85" t="s">
        <v>667</v>
      </c>
      <c r="G85" s="10">
        <v>6</v>
      </c>
      <c r="H85" s="10">
        <v>35240</v>
      </c>
      <c r="I85" s="10">
        <v>211440</v>
      </c>
      <c r="J85" t="s">
        <v>42</v>
      </c>
      <c r="K85" s="11">
        <v>3145.8</v>
      </c>
      <c r="L85" s="12">
        <v>67.209999999999994</v>
      </c>
    </row>
    <row r="86" spans="1:12" x14ac:dyDescent="0.2">
      <c r="A86" s="9">
        <v>46235</v>
      </c>
      <c r="B86" t="s">
        <v>288</v>
      </c>
      <c r="C86" t="s">
        <v>289</v>
      </c>
      <c r="D86" t="s">
        <v>41</v>
      </c>
      <c r="E86" t="s">
        <v>647</v>
      </c>
      <c r="F86" t="s">
        <v>667</v>
      </c>
      <c r="G86" s="10">
        <v>6</v>
      </c>
      <c r="H86" s="10">
        <v>35965</v>
      </c>
      <c r="I86" s="10">
        <v>215790</v>
      </c>
      <c r="J86" t="s">
        <v>42</v>
      </c>
      <c r="K86" s="11">
        <v>3145.8</v>
      </c>
      <c r="L86" s="12">
        <v>68.599999999999994</v>
      </c>
    </row>
    <row r="87" spans="1:12" x14ac:dyDescent="0.2">
      <c r="A87" s="9">
        <v>46235</v>
      </c>
      <c r="B87" t="s">
        <v>288</v>
      </c>
      <c r="C87" t="s">
        <v>289</v>
      </c>
      <c r="D87" t="s">
        <v>41</v>
      </c>
      <c r="E87" t="s">
        <v>655</v>
      </c>
      <c r="F87" t="s">
        <v>665</v>
      </c>
      <c r="G87" s="10">
        <v>83</v>
      </c>
      <c r="H87" s="10">
        <v>3355</v>
      </c>
      <c r="I87" s="10">
        <v>278465</v>
      </c>
      <c r="J87" t="s">
        <v>42</v>
      </c>
      <c r="K87" s="11">
        <v>3145.8</v>
      </c>
      <c r="L87" s="12">
        <v>88.52</v>
      </c>
    </row>
    <row r="88" spans="1:12" x14ac:dyDescent="0.2">
      <c r="A88" s="9">
        <v>46235</v>
      </c>
      <c r="B88" t="s">
        <v>294</v>
      </c>
      <c r="C88" t="s">
        <v>295</v>
      </c>
      <c r="D88" t="s">
        <v>41</v>
      </c>
      <c r="E88" t="s">
        <v>647</v>
      </c>
      <c r="F88" t="s">
        <v>648</v>
      </c>
      <c r="G88" s="10">
        <v>28</v>
      </c>
      <c r="H88" s="10">
        <v>77422</v>
      </c>
      <c r="I88" s="10">
        <v>2167816</v>
      </c>
      <c r="J88" t="s">
        <v>42</v>
      </c>
      <c r="K88" s="11">
        <v>3145.8</v>
      </c>
      <c r="L88" s="12">
        <v>689.11</v>
      </c>
    </row>
    <row r="89" spans="1:12" x14ac:dyDescent="0.2">
      <c r="A89" s="9">
        <v>46235</v>
      </c>
      <c r="B89" t="s">
        <v>297</v>
      </c>
      <c r="C89" t="s">
        <v>298</v>
      </c>
      <c r="D89" t="s">
        <v>36</v>
      </c>
      <c r="E89" t="s">
        <v>647</v>
      </c>
      <c r="F89" t="s">
        <v>648</v>
      </c>
      <c r="G89" s="10">
        <v>2</v>
      </c>
      <c r="H89" s="10">
        <v>15925</v>
      </c>
      <c r="I89" s="10">
        <v>31850</v>
      </c>
      <c r="J89" t="s">
        <v>37</v>
      </c>
      <c r="K89" s="11">
        <v>648.20000000000005</v>
      </c>
      <c r="L89" s="12">
        <v>49.14</v>
      </c>
    </row>
    <row r="90" spans="1:12" x14ac:dyDescent="0.2">
      <c r="A90" s="9">
        <v>46235</v>
      </c>
      <c r="B90" t="s">
        <v>303</v>
      </c>
      <c r="C90" t="s">
        <v>304</v>
      </c>
      <c r="D90" t="s">
        <v>36</v>
      </c>
      <c r="E90" t="s">
        <v>647</v>
      </c>
      <c r="F90" t="s">
        <v>648</v>
      </c>
      <c r="G90" s="10">
        <v>5</v>
      </c>
      <c r="H90" s="10">
        <v>16382</v>
      </c>
      <c r="I90" s="10">
        <v>81910</v>
      </c>
      <c r="J90" t="s">
        <v>37</v>
      </c>
      <c r="K90" s="11">
        <v>648.20000000000005</v>
      </c>
      <c r="L90" s="12">
        <v>126.37</v>
      </c>
    </row>
    <row r="91" spans="1:12" x14ac:dyDescent="0.2">
      <c r="A91" s="9">
        <v>46235</v>
      </c>
      <c r="B91" t="s">
        <v>309</v>
      </c>
      <c r="C91" t="s">
        <v>310</v>
      </c>
      <c r="D91" t="s">
        <v>41</v>
      </c>
      <c r="E91" t="s">
        <v>649</v>
      </c>
      <c r="F91" t="s">
        <v>663</v>
      </c>
      <c r="G91" s="10">
        <v>1</v>
      </c>
      <c r="H91" s="10">
        <v>10176</v>
      </c>
      <c r="I91" s="10">
        <v>10176</v>
      </c>
      <c r="J91" t="s">
        <v>42</v>
      </c>
      <c r="K91" s="11">
        <v>3145.8</v>
      </c>
      <c r="L91" s="12">
        <v>3.23</v>
      </c>
    </row>
    <row r="92" spans="1:12" x14ac:dyDescent="0.2">
      <c r="A92" s="9">
        <v>46235</v>
      </c>
      <c r="B92" t="s">
        <v>312</v>
      </c>
      <c r="C92" t="s">
        <v>313</v>
      </c>
      <c r="D92" t="s">
        <v>41</v>
      </c>
      <c r="E92" t="s">
        <v>653</v>
      </c>
      <c r="F92" t="s">
        <v>666</v>
      </c>
      <c r="G92" s="10">
        <v>2</v>
      </c>
      <c r="H92" s="10">
        <v>7235</v>
      </c>
      <c r="I92" s="10">
        <v>14470</v>
      </c>
      <c r="J92" t="s">
        <v>42</v>
      </c>
      <c r="K92" s="11">
        <v>3145.8</v>
      </c>
      <c r="L92" s="12">
        <v>4.5999999999999996</v>
      </c>
    </row>
    <row r="93" spans="1:12" x14ac:dyDescent="0.2">
      <c r="A93" s="9">
        <v>46235</v>
      </c>
      <c r="B93" t="s">
        <v>315</v>
      </c>
      <c r="C93" t="s">
        <v>316</v>
      </c>
      <c r="D93" t="s">
        <v>46</v>
      </c>
      <c r="E93" t="s">
        <v>660</v>
      </c>
      <c r="F93" t="s">
        <v>670</v>
      </c>
      <c r="G93" s="10">
        <v>7</v>
      </c>
      <c r="H93" s="10">
        <v>14991</v>
      </c>
      <c r="I93" s="10">
        <v>104937</v>
      </c>
      <c r="J93" t="s">
        <v>37</v>
      </c>
      <c r="K93" s="11">
        <v>648.20000000000005</v>
      </c>
      <c r="L93" s="12">
        <v>161.88999999999999</v>
      </c>
    </row>
    <row r="94" spans="1:12" x14ac:dyDescent="0.2">
      <c r="A94" s="9">
        <v>46235</v>
      </c>
      <c r="B94" t="s">
        <v>318</v>
      </c>
      <c r="C94" t="s">
        <v>319</v>
      </c>
      <c r="D94" t="s">
        <v>41</v>
      </c>
      <c r="E94" t="s">
        <v>651</v>
      </c>
      <c r="F94" t="s">
        <v>652</v>
      </c>
      <c r="G94" s="10">
        <v>15</v>
      </c>
      <c r="H94" s="10">
        <v>44633</v>
      </c>
      <c r="I94" s="10">
        <v>669495</v>
      </c>
      <c r="J94" t="s">
        <v>42</v>
      </c>
      <c r="K94" s="11">
        <v>3145.8</v>
      </c>
      <c r="L94" s="12">
        <v>212.82</v>
      </c>
    </row>
    <row r="95" spans="1:12" x14ac:dyDescent="0.2">
      <c r="A95" s="9">
        <v>46235</v>
      </c>
      <c r="B95" t="s">
        <v>321</v>
      </c>
      <c r="C95" t="s">
        <v>322</v>
      </c>
      <c r="D95" t="s">
        <v>41</v>
      </c>
      <c r="E95" t="s">
        <v>647</v>
      </c>
      <c r="F95" t="s">
        <v>667</v>
      </c>
      <c r="G95" s="10">
        <v>28</v>
      </c>
      <c r="H95" s="10">
        <v>34676</v>
      </c>
      <c r="I95" s="10">
        <v>970928</v>
      </c>
      <c r="J95" t="s">
        <v>42</v>
      </c>
      <c r="K95" s="11">
        <v>3145.8</v>
      </c>
      <c r="L95" s="12">
        <v>308.64</v>
      </c>
    </row>
    <row r="96" spans="1:12" x14ac:dyDescent="0.2">
      <c r="A96" s="9">
        <v>46235</v>
      </c>
      <c r="B96" t="s">
        <v>324</v>
      </c>
      <c r="C96" t="s">
        <v>325</v>
      </c>
      <c r="D96" t="s">
        <v>46</v>
      </c>
      <c r="E96" t="s">
        <v>651</v>
      </c>
      <c r="F96" t="s">
        <v>664</v>
      </c>
      <c r="G96" s="10">
        <v>24</v>
      </c>
      <c r="H96" s="10">
        <v>12272</v>
      </c>
      <c r="I96" s="10">
        <v>294528</v>
      </c>
      <c r="J96" t="s">
        <v>37</v>
      </c>
      <c r="K96" s="11">
        <v>648.20000000000005</v>
      </c>
      <c r="L96" s="12">
        <v>454.38</v>
      </c>
    </row>
    <row r="97" spans="1:12" x14ac:dyDescent="0.2">
      <c r="A97" s="9">
        <v>46235</v>
      </c>
      <c r="B97" t="s">
        <v>327</v>
      </c>
      <c r="C97" t="s">
        <v>328</v>
      </c>
      <c r="D97" t="s">
        <v>46</v>
      </c>
      <c r="E97" t="s">
        <v>647</v>
      </c>
      <c r="F97" t="s">
        <v>668</v>
      </c>
      <c r="G97" s="10">
        <v>5</v>
      </c>
      <c r="H97" s="10">
        <v>24316</v>
      </c>
      <c r="I97" s="10">
        <v>121580</v>
      </c>
      <c r="J97" t="s">
        <v>37</v>
      </c>
      <c r="K97" s="11">
        <v>648.20000000000005</v>
      </c>
      <c r="L97" s="12">
        <v>187.57</v>
      </c>
    </row>
    <row r="98" spans="1:12" x14ac:dyDescent="0.2">
      <c r="A98" s="9">
        <v>46235</v>
      </c>
      <c r="B98" t="s">
        <v>330</v>
      </c>
      <c r="C98" t="s">
        <v>331</v>
      </c>
      <c r="D98" t="s">
        <v>68</v>
      </c>
      <c r="E98" t="s">
        <v>649</v>
      </c>
      <c r="F98" t="s">
        <v>663</v>
      </c>
      <c r="G98" s="10">
        <v>3</v>
      </c>
      <c r="H98" s="10">
        <v>1999</v>
      </c>
      <c r="I98" s="10">
        <v>5997</v>
      </c>
      <c r="J98" t="s">
        <v>51</v>
      </c>
      <c r="K98" s="11">
        <v>648.20000000000005</v>
      </c>
      <c r="L98" s="12">
        <v>9.25</v>
      </c>
    </row>
    <row r="99" spans="1:12" x14ac:dyDescent="0.2">
      <c r="A99" s="9">
        <v>46235</v>
      </c>
      <c r="B99" t="s">
        <v>330</v>
      </c>
      <c r="C99" t="s">
        <v>331</v>
      </c>
      <c r="D99" t="s">
        <v>68</v>
      </c>
      <c r="E99" t="s">
        <v>647</v>
      </c>
      <c r="F99" t="s">
        <v>648</v>
      </c>
      <c r="G99" s="10">
        <v>7</v>
      </c>
      <c r="H99" s="10">
        <v>15735</v>
      </c>
      <c r="I99" s="10">
        <v>110145</v>
      </c>
      <c r="J99" t="s">
        <v>51</v>
      </c>
      <c r="K99" s="11">
        <v>648.20000000000005</v>
      </c>
      <c r="L99" s="12">
        <v>169.92</v>
      </c>
    </row>
    <row r="100" spans="1:12" x14ac:dyDescent="0.2">
      <c r="A100" s="9">
        <v>46235</v>
      </c>
      <c r="B100" t="s">
        <v>336</v>
      </c>
      <c r="C100" t="s">
        <v>337</v>
      </c>
      <c r="D100" t="s">
        <v>68</v>
      </c>
      <c r="E100" t="s">
        <v>655</v>
      </c>
      <c r="F100" t="s">
        <v>662</v>
      </c>
      <c r="G100" s="10">
        <v>3</v>
      </c>
      <c r="H100" s="10">
        <v>1124</v>
      </c>
      <c r="I100" s="10">
        <v>3372</v>
      </c>
      <c r="J100" t="s">
        <v>51</v>
      </c>
      <c r="K100" s="11">
        <v>648.20000000000005</v>
      </c>
      <c r="L100" s="12">
        <v>5.2</v>
      </c>
    </row>
    <row r="101" spans="1:12" x14ac:dyDescent="0.2">
      <c r="A101" s="9">
        <v>46235</v>
      </c>
      <c r="B101" t="s">
        <v>339</v>
      </c>
      <c r="C101" t="s">
        <v>340</v>
      </c>
      <c r="D101" t="s">
        <v>68</v>
      </c>
      <c r="E101" t="s">
        <v>651</v>
      </c>
      <c r="F101" t="s">
        <v>652</v>
      </c>
      <c r="G101" s="10">
        <v>9</v>
      </c>
      <c r="H101" s="10">
        <v>9671</v>
      </c>
      <c r="I101" s="10">
        <v>87039</v>
      </c>
      <c r="J101" t="s">
        <v>51</v>
      </c>
      <c r="K101" s="11">
        <v>648.20000000000005</v>
      </c>
      <c r="L101" s="12">
        <v>134.28</v>
      </c>
    </row>
    <row r="102" spans="1:12" x14ac:dyDescent="0.2">
      <c r="A102" s="9">
        <v>46235</v>
      </c>
      <c r="B102" t="s">
        <v>342</v>
      </c>
      <c r="C102" t="s">
        <v>343</v>
      </c>
      <c r="D102" t="s">
        <v>41</v>
      </c>
      <c r="E102" t="s">
        <v>653</v>
      </c>
      <c r="F102" t="s">
        <v>654</v>
      </c>
      <c r="G102" s="10">
        <v>14</v>
      </c>
      <c r="H102" s="10">
        <v>26749</v>
      </c>
      <c r="I102" s="10">
        <v>374486</v>
      </c>
      <c r="J102" t="s">
        <v>42</v>
      </c>
      <c r="K102" s="11">
        <v>3145.8</v>
      </c>
      <c r="L102" s="12">
        <v>119.04</v>
      </c>
    </row>
    <row r="103" spans="1:12" x14ac:dyDescent="0.2">
      <c r="A103" s="9">
        <v>46235</v>
      </c>
      <c r="B103" t="s">
        <v>345</v>
      </c>
      <c r="C103" t="s">
        <v>346</v>
      </c>
      <c r="D103" t="s">
        <v>68</v>
      </c>
      <c r="E103" t="s">
        <v>649</v>
      </c>
      <c r="F103" t="s">
        <v>659</v>
      </c>
      <c r="G103" s="10">
        <v>13</v>
      </c>
      <c r="H103" s="10">
        <v>9081</v>
      </c>
      <c r="I103" s="10">
        <v>118053</v>
      </c>
      <c r="J103" t="s">
        <v>51</v>
      </c>
      <c r="K103" s="11">
        <v>648.20000000000005</v>
      </c>
      <c r="L103" s="12">
        <v>182.12</v>
      </c>
    </row>
    <row r="104" spans="1:12" x14ac:dyDescent="0.2">
      <c r="A104" s="9">
        <v>46235</v>
      </c>
      <c r="B104" t="s">
        <v>345</v>
      </c>
      <c r="C104" t="s">
        <v>346</v>
      </c>
      <c r="D104" t="s">
        <v>68</v>
      </c>
      <c r="E104" t="s">
        <v>647</v>
      </c>
      <c r="F104" t="s">
        <v>648</v>
      </c>
      <c r="G104" s="10">
        <v>5</v>
      </c>
      <c r="H104" s="10">
        <v>16614</v>
      </c>
      <c r="I104" s="10">
        <v>83070</v>
      </c>
      <c r="J104" t="s">
        <v>51</v>
      </c>
      <c r="K104" s="11">
        <v>648.20000000000005</v>
      </c>
      <c r="L104" s="12">
        <v>128.15</v>
      </c>
    </row>
    <row r="105" spans="1:12" x14ac:dyDescent="0.2">
      <c r="A105" s="9">
        <v>46235</v>
      </c>
      <c r="B105" t="s">
        <v>357</v>
      </c>
      <c r="C105" t="s">
        <v>358</v>
      </c>
      <c r="D105" t="s">
        <v>36</v>
      </c>
      <c r="E105" t="s">
        <v>653</v>
      </c>
      <c r="F105" t="s">
        <v>658</v>
      </c>
      <c r="G105" s="10">
        <v>49</v>
      </c>
      <c r="H105" s="10">
        <v>2632</v>
      </c>
      <c r="I105" s="10">
        <v>128968</v>
      </c>
      <c r="J105" t="s">
        <v>37</v>
      </c>
      <c r="K105" s="11">
        <v>648.20000000000005</v>
      </c>
      <c r="L105" s="12">
        <v>198.96</v>
      </c>
    </row>
    <row r="106" spans="1:12" x14ac:dyDescent="0.2">
      <c r="A106" s="9">
        <v>46235</v>
      </c>
      <c r="B106" t="s">
        <v>357</v>
      </c>
      <c r="C106" t="s">
        <v>358</v>
      </c>
      <c r="D106" t="s">
        <v>36</v>
      </c>
      <c r="E106" t="s">
        <v>655</v>
      </c>
      <c r="F106" t="s">
        <v>662</v>
      </c>
      <c r="G106" s="10">
        <v>33</v>
      </c>
      <c r="H106" s="10">
        <v>1164</v>
      </c>
      <c r="I106" s="10">
        <v>38412</v>
      </c>
      <c r="J106" t="s">
        <v>37</v>
      </c>
      <c r="K106" s="11">
        <v>648.20000000000005</v>
      </c>
      <c r="L106" s="12">
        <v>59.26</v>
      </c>
    </row>
    <row r="107" spans="1:12" x14ac:dyDescent="0.2">
      <c r="A107" s="9">
        <v>46235</v>
      </c>
      <c r="B107" t="s">
        <v>357</v>
      </c>
      <c r="C107" t="s">
        <v>358</v>
      </c>
      <c r="D107" t="s">
        <v>36</v>
      </c>
      <c r="E107" t="s">
        <v>647</v>
      </c>
      <c r="F107" t="s">
        <v>668</v>
      </c>
      <c r="G107" s="10">
        <v>59</v>
      </c>
      <c r="H107" s="10">
        <v>25200</v>
      </c>
      <c r="I107" s="10">
        <v>1486800</v>
      </c>
      <c r="J107" t="s">
        <v>37</v>
      </c>
      <c r="K107" s="11">
        <v>648.20000000000005</v>
      </c>
      <c r="L107" s="12">
        <v>2293.7399999999998</v>
      </c>
    </row>
    <row r="108" spans="1:12" x14ac:dyDescent="0.2">
      <c r="A108" s="9">
        <v>46235</v>
      </c>
      <c r="B108" t="s">
        <v>357</v>
      </c>
      <c r="C108" t="s">
        <v>358</v>
      </c>
      <c r="D108" t="s">
        <v>36</v>
      </c>
      <c r="E108" t="s">
        <v>647</v>
      </c>
      <c r="F108" t="s">
        <v>648</v>
      </c>
      <c r="G108" s="10">
        <v>44</v>
      </c>
      <c r="H108" s="10">
        <v>16660</v>
      </c>
      <c r="I108" s="10">
        <v>733040</v>
      </c>
      <c r="J108" t="s">
        <v>37</v>
      </c>
      <c r="K108" s="11">
        <v>648.20000000000005</v>
      </c>
      <c r="L108" s="12">
        <v>1130.8900000000001</v>
      </c>
    </row>
    <row r="109" spans="1:12" x14ac:dyDescent="0.2">
      <c r="A109" s="9">
        <v>46235</v>
      </c>
      <c r="B109" t="s">
        <v>357</v>
      </c>
      <c r="C109" t="s">
        <v>358</v>
      </c>
      <c r="D109" t="s">
        <v>36</v>
      </c>
      <c r="E109" t="s">
        <v>647</v>
      </c>
      <c r="F109" t="s">
        <v>667</v>
      </c>
      <c r="G109" s="10">
        <v>4</v>
      </c>
      <c r="H109" s="10">
        <v>7568</v>
      </c>
      <c r="I109" s="10">
        <v>30272</v>
      </c>
      <c r="J109" t="s">
        <v>37</v>
      </c>
      <c r="K109" s="11">
        <v>648.20000000000005</v>
      </c>
      <c r="L109" s="12">
        <v>46.7</v>
      </c>
    </row>
    <row r="110" spans="1:12" x14ac:dyDescent="0.2">
      <c r="A110" s="9">
        <v>46235</v>
      </c>
      <c r="B110" t="s">
        <v>363</v>
      </c>
      <c r="C110" t="s">
        <v>364</v>
      </c>
      <c r="D110" t="s">
        <v>46</v>
      </c>
      <c r="E110" t="s">
        <v>655</v>
      </c>
      <c r="F110" t="s">
        <v>662</v>
      </c>
      <c r="G110" s="10">
        <v>138</v>
      </c>
      <c r="H110" s="10">
        <v>1141</v>
      </c>
      <c r="I110" s="10">
        <v>157458</v>
      </c>
      <c r="J110" t="s">
        <v>37</v>
      </c>
      <c r="K110" s="11">
        <v>648.20000000000005</v>
      </c>
      <c r="L110" s="12">
        <v>242.92</v>
      </c>
    </row>
    <row r="111" spans="1:12" x14ac:dyDescent="0.2">
      <c r="A111" s="9">
        <v>46235</v>
      </c>
      <c r="B111" t="s">
        <v>363</v>
      </c>
      <c r="C111" t="s">
        <v>364</v>
      </c>
      <c r="D111" t="s">
        <v>46</v>
      </c>
      <c r="E111" t="s">
        <v>647</v>
      </c>
      <c r="F111" t="s">
        <v>667</v>
      </c>
      <c r="G111" s="10">
        <v>192</v>
      </c>
      <c r="H111" s="10">
        <v>7432</v>
      </c>
      <c r="I111" s="10">
        <v>1426944</v>
      </c>
      <c r="J111" t="s">
        <v>37</v>
      </c>
      <c r="K111" s="11">
        <v>648.20000000000005</v>
      </c>
      <c r="L111" s="12">
        <v>2201.39</v>
      </c>
    </row>
    <row r="112" spans="1:12" x14ac:dyDescent="0.2">
      <c r="A112" s="9">
        <v>46235</v>
      </c>
      <c r="B112" t="s">
        <v>363</v>
      </c>
      <c r="C112" t="s">
        <v>364</v>
      </c>
      <c r="D112" t="s">
        <v>46</v>
      </c>
      <c r="E112" t="s">
        <v>647</v>
      </c>
      <c r="F112" t="s">
        <v>667</v>
      </c>
      <c r="G112" s="10">
        <v>74</v>
      </c>
      <c r="H112" s="10">
        <v>7088</v>
      </c>
      <c r="I112" s="10">
        <v>524512</v>
      </c>
      <c r="J112" t="s">
        <v>37</v>
      </c>
      <c r="K112" s="11">
        <v>648.20000000000005</v>
      </c>
      <c r="L112" s="12">
        <v>809.18</v>
      </c>
    </row>
    <row r="113" spans="1:12" x14ac:dyDescent="0.2">
      <c r="A113" s="9">
        <v>46235</v>
      </c>
      <c r="B113" t="s">
        <v>366</v>
      </c>
      <c r="C113" t="s">
        <v>367</v>
      </c>
      <c r="D113" t="s">
        <v>41</v>
      </c>
      <c r="E113" t="s">
        <v>647</v>
      </c>
      <c r="F113" t="s">
        <v>667</v>
      </c>
      <c r="G113" s="10">
        <v>1</v>
      </c>
      <c r="H113" s="10">
        <v>35670</v>
      </c>
      <c r="I113" s="10">
        <v>35670</v>
      </c>
      <c r="J113" t="s">
        <v>42</v>
      </c>
      <c r="K113" s="11">
        <v>3145.8</v>
      </c>
      <c r="L113" s="12">
        <v>11.34</v>
      </c>
    </row>
    <row r="114" spans="1:12" x14ac:dyDescent="0.2">
      <c r="A114" s="9">
        <v>46235</v>
      </c>
      <c r="B114" t="s">
        <v>366</v>
      </c>
      <c r="C114" t="s">
        <v>367</v>
      </c>
      <c r="D114" t="s">
        <v>41</v>
      </c>
      <c r="E114" t="s">
        <v>651</v>
      </c>
      <c r="F114" t="s">
        <v>657</v>
      </c>
      <c r="G114" s="10">
        <v>2</v>
      </c>
      <c r="H114" s="10">
        <v>31644</v>
      </c>
      <c r="I114" s="10">
        <v>63288</v>
      </c>
      <c r="J114" t="s">
        <v>42</v>
      </c>
      <c r="K114" s="11">
        <v>3145.8</v>
      </c>
      <c r="L114" s="12">
        <v>20.12</v>
      </c>
    </row>
    <row r="115" spans="1:12" x14ac:dyDescent="0.2">
      <c r="A115" s="9">
        <v>46235</v>
      </c>
      <c r="B115" t="s">
        <v>369</v>
      </c>
      <c r="C115" t="s">
        <v>370</v>
      </c>
      <c r="D115" t="s">
        <v>36</v>
      </c>
      <c r="E115" t="s">
        <v>649</v>
      </c>
      <c r="F115" t="s">
        <v>650</v>
      </c>
      <c r="G115" s="10">
        <v>13</v>
      </c>
      <c r="H115" s="10">
        <v>19012</v>
      </c>
      <c r="I115" s="10">
        <v>247156</v>
      </c>
      <c r="J115" t="s">
        <v>37</v>
      </c>
      <c r="K115" s="11">
        <v>648.20000000000005</v>
      </c>
      <c r="L115" s="12">
        <v>381.3</v>
      </c>
    </row>
    <row r="116" spans="1:12" x14ac:dyDescent="0.2">
      <c r="A116" s="9">
        <v>46235</v>
      </c>
      <c r="B116" t="s">
        <v>369</v>
      </c>
      <c r="C116" t="s">
        <v>370</v>
      </c>
      <c r="D116" t="s">
        <v>36</v>
      </c>
      <c r="E116" t="s">
        <v>649</v>
      </c>
      <c r="F116" t="s">
        <v>659</v>
      </c>
      <c r="G116" s="10">
        <v>5</v>
      </c>
      <c r="H116" s="10">
        <v>8662</v>
      </c>
      <c r="I116" s="10">
        <v>43310</v>
      </c>
      <c r="J116" t="s">
        <v>37</v>
      </c>
      <c r="K116" s="11">
        <v>648.20000000000005</v>
      </c>
      <c r="L116" s="12">
        <v>66.819999999999993</v>
      </c>
    </row>
    <row r="117" spans="1:12" x14ac:dyDescent="0.2">
      <c r="A117" s="9">
        <v>46235</v>
      </c>
      <c r="B117" t="s">
        <v>369</v>
      </c>
      <c r="C117" t="s">
        <v>370</v>
      </c>
      <c r="D117" t="s">
        <v>36</v>
      </c>
      <c r="E117" t="s">
        <v>660</v>
      </c>
      <c r="F117" t="s">
        <v>670</v>
      </c>
      <c r="G117" s="10">
        <v>25</v>
      </c>
      <c r="H117" s="10">
        <v>13954</v>
      </c>
      <c r="I117" s="10">
        <v>348850</v>
      </c>
      <c r="J117" t="s">
        <v>37</v>
      </c>
      <c r="K117" s="11">
        <v>648.20000000000005</v>
      </c>
      <c r="L117" s="12">
        <v>538.17999999999995</v>
      </c>
    </row>
    <row r="118" spans="1:12" x14ac:dyDescent="0.2">
      <c r="A118" s="9">
        <v>46235</v>
      </c>
      <c r="B118" t="s">
        <v>375</v>
      </c>
      <c r="C118" t="s">
        <v>376</v>
      </c>
      <c r="D118" t="s">
        <v>36</v>
      </c>
      <c r="E118" t="s">
        <v>649</v>
      </c>
      <c r="F118" t="s">
        <v>663</v>
      </c>
      <c r="G118" s="10">
        <v>13</v>
      </c>
      <c r="H118" s="10">
        <v>2074</v>
      </c>
      <c r="I118" s="10">
        <v>26962</v>
      </c>
      <c r="J118" t="s">
        <v>37</v>
      </c>
      <c r="K118" s="11">
        <v>648.20000000000005</v>
      </c>
      <c r="L118" s="12">
        <v>41.6</v>
      </c>
    </row>
    <row r="119" spans="1:12" x14ac:dyDescent="0.2">
      <c r="A119" s="9">
        <v>46235</v>
      </c>
      <c r="B119" t="s">
        <v>375</v>
      </c>
      <c r="C119" t="s">
        <v>376</v>
      </c>
      <c r="D119" t="s">
        <v>36</v>
      </c>
      <c r="E119" t="s">
        <v>647</v>
      </c>
      <c r="F119" t="s">
        <v>648</v>
      </c>
      <c r="G119" s="10">
        <v>6</v>
      </c>
      <c r="H119" s="10">
        <v>16339</v>
      </c>
      <c r="I119" s="10">
        <v>98034</v>
      </c>
      <c r="J119" t="s">
        <v>37</v>
      </c>
      <c r="K119" s="11">
        <v>648.20000000000005</v>
      </c>
      <c r="L119" s="12">
        <v>151.24</v>
      </c>
    </row>
    <row r="120" spans="1:12" x14ac:dyDescent="0.2">
      <c r="A120" s="9">
        <v>46235</v>
      </c>
      <c r="B120" t="s">
        <v>381</v>
      </c>
      <c r="C120" t="s">
        <v>382</v>
      </c>
      <c r="D120" t="s">
        <v>36</v>
      </c>
      <c r="E120" t="s">
        <v>647</v>
      </c>
      <c r="F120" t="s">
        <v>668</v>
      </c>
      <c r="G120" s="10">
        <v>28</v>
      </c>
      <c r="H120" s="10">
        <v>25848</v>
      </c>
      <c r="I120" s="10">
        <v>723744</v>
      </c>
      <c r="J120" t="s">
        <v>37</v>
      </c>
      <c r="K120" s="11">
        <v>648.20000000000005</v>
      </c>
      <c r="L120" s="12">
        <v>1116.54</v>
      </c>
    </row>
    <row r="121" spans="1:12" x14ac:dyDescent="0.2">
      <c r="A121" s="9">
        <v>46235</v>
      </c>
      <c r="B121" t="s">
        <v>381</v>
      </c>
      <c r="C121" t="s">
        <v>382</v>
      </c>
      <c r="D121" t="s">
        <v>36</v>
      </c>
      <c r="E121" t="s">
        <v>647</v>
      </c>
      <c r="F121" t="s">
        <v>648</v>
      </c>
      <c r="G121" s="10">
        <v>3</v>
      </c>
      <c r="H121" s="10">
        <v>16794</v>
      </c>
      <c r="I121" s="10">
        <v>50382</v>
      </c>
      <c r="J121" t="s">
        <v>37</v>
      </c>
      <c r="K121" s="11">
        <v>648.20000000000005</v>
      </c>
      <c r="L121" s="12">
        <v>77.73</v>
      </c>
    </row>
    <row r="122" spans="1:12" x14ac:dyDescent="0.2">
      <c r="A122" s="9">
        <v>46235</v>
      </c>
      <c r="B122" t="s">
        <v>384</v>
      </c>
      <c r="C122" t="s">
        <v>385</v>
      </c>
      <c r="D122" t="s">
        <v>46</v>
      </c>
      <c r="E122" t="s">
        <v>660</v>
      </c>
      <c r="F122" t="s">
        <v>661</v>
      </c>
      <c r="G122" s="10">
        <v>9</v>
      </c>
      <c r="H122" s="10">
        <v>4351</v>
      </c>
      <c r="I122" s="10">
        <v>39159</v>
      </c>
      <c r="J122" t="s">
        <v>37</v>
      </c>
      <c r="K122" s="11">
        <v>648.20000000000005</v>
      </c>
      <c r="L122" s="12">
        <v>60.41</v>
      </c>
    </row>
    <row r="123" spans="1:12" x14ac:dyDescent="0.2">
      <c r="A123" s="9">
        <v>46235</v>
      </c>
      <c r="B123" t="s">
        <v>393</v>
      </c>
      <c r="C123" t="s">
        <v>307</v>
      </c>
      <c r="D123" t="s">
        <v>68</v>
      </c>
      <c r="E123" t="s">
        <v>660</v>
      </c>
      <c r="F123" t="s">
        <v>661</v>
      </c>
      <c r="G123" s="10">
        <v>113</v>
      </c>
      <c r="H123" s="10">
        <v>4116</v>
      </c>
      <c r="I123" s="10">
        <v>465108</v>
      </c>
      <c r="J123" t="s">
        <v>51</v>
      </c>
      <c r="K123" s="11">
        <v>648.20000000000005</v>
      </c>
      <c r="L123" s="12">
        <v>717.54</v>
      </c>
    </row>
    <row r="124" spans="1:12" x14ac:dyDescent="0.2">
      <c r="A124" s="9">
        <v>46235</v>
      </c>
      <c r="B124" t="s">
        <v>393</v>
      </c>
      <c r="C124" t="s">
        <v>307</v>
      </c>
      <c r="D124" t="s">
        <v>68</v>
      </c>
      <c r="E124" t="s">
        <v>655</v>
      </c>
      <c r="F124" t="s">
        <v>665</v>
      </c>
      <c r="G124" s="10">
        <v>68</v>
      </c>
      <c r="H124" s="10">
        <v>670</v>
      </c>
      <c r="I124" s="10">
        <v>45560</v>
      </c>
      <c r="J124" t="s">
        <v>51</v>
      </c>
      <c r="K124" s="11">
        <v>648.20000000000005</v>
      </c>
      <c r="L124" s="12">
        <v>70.290000000000006</v>
      </c>
    </row>
    <row r="125" spans="1:12" x14ac:dyDescent="0.2">
      <c r="A125" s="9">
        <v>46235</v>
      </c>
      <c r="B125" t="s">
        <v>398</v>
      </c>
      <c r="C125" t="s">
        <v>399</v>
      </c>
      <c r="D125" t="s">
        <v>46</v>
      </c>
      <c r="E125" t="s">
        <v>660</v>
      </c>
      <c r="F125" t="s">
        <v>669</v>
      </c>
      <c r="G125" s="10">
        <v>36</v>
      </c>
      <c r="H125" s="10">
        <v>2518</v>
      </c>
      <c r="I125" s="10">
        <v>90648</v>
      </c>
      <c r="J125" t="s">
        <v>37</v>
      </c>
      <c r="K125" s="11">
        <v>648.20000000000005</v>
      </c>
      <c r="L125" s="12">
        <v>139.85</v>
      </c>
    </row>
    <row r="126" spans="1:12" x14ac:dyDescent="0.2">
      <c r="A126" s="9">
        <v>46235</v>
      </c>
      <c r="B126" t="s">
        <v>401</v>
      </c>
      <c r="C126" t="s">
        <v>402</v>
      </c>
      <c r="D126" t="s">
        <v>36</v>
      </c>
      <c r="E126" t="s">
        <v>647</v>
      </c>
      <c r="F126" t="s">
        <v>648</v>
      </c>
      <c r="G126" s="10">
        <v>4</v>
      </c>
      <c r="H126" s="10">
        <v>15731</v>
      </c>
      <c r="I126" s="10">
        <v>62924</v>
      </c>
      <c r="J126" t="s">
        <v>37</v>
      </c>
      <c r="K126" s="11">
        <v>648.20000000000005</v>
      </c>
      <c r="L126" s="12">
        <v>97.07</v>
      </c>
    </row>
    <row r="127" spans="1:12" x14ac:dyDescent="0.2">
      <c r="A127" s="9">
        <v>46235</v>
      </c>
      <c r="B127" t="s">
        <v>401</v>
      </c>
      <c r="C127" t="s">
        <v>402</v>
      </c>
      <c r="D127" t="s">
        <v>36</v>
      </c>
      <c r="E127" t="s">
        <v>647</v>
      </c>
      <c r="F127" t="s">
        <v>648</v>
      </c>
      <c r="G127" s="10">
        <v>32</v>
      </c>
      <c r="H127" s="10">
        <v>15974</v>
      </c>
      <c r="I127" s="10">
        <v>511168</v>
      </c>
      <c r="J127" t="s">
        <v>37</v>
      </c>
      <c r="K127" s="11">
        <v>648.20000000000005</v>
      </c>
      <c r="L127" s="12">
        <v>788.6</v>
      </c>
    </row>
    <row r="128" spans="1:12" x14ac:dyDescent="0.2">
      <c r="A128" s="9">
        <v>46235</v>
      </c>
      <c r="B128" t="s">
        <v>404</v>
      </c>
      <c r="C128" t="s">
        <v>405</v>
      </c>
      <c r="D128" t="s">
        <v>46</v>
      </c>
      <c r="E128" t="s">
        <v>651</v>
      </c>
      <c r="F128" t="s">
        <v>664</v>
      </c>
      <c r="G128" s="10">
        <v>5</v>
      </c>
      <c r="H128" s="10">
        <v>11759</v>
      </c>
      <c r="I128" s="10">
        <v>58795</v>
      </c>
      <c r="J128" t="s">
        <v>37</v>
      </c>
      <c r="K128" s="11">
        <v>648.20000000000005</v>
      </c>
      <c r="L128" s="12">
        <v>90.71</v>
      </c>
    </row>
    <row r="129" spans="1:12" x14ac:dyDescent="0.2">
      <c r="A129" s="9">
        <v>46235</v>
      </c>
      <c r="B129" t="s">
        <v>410</v>
      </c>
      <c r="C129" t="s">
        <v>411</v>
      </c>
      <c r="D129" t="s">
        <v>46</v>
      </c>
      <c r="E129" t="s">
        <v>660</v>
      </c>
      <c r="F129" t="s">
        <v>669</v>
      </c>
      <c r="G129" s="10">
        <v>18</v>
      </c>
      <c r="H129" s="10">
        <v>2541</v>
      </c>
      <c r="I129" s="10">
        <v>45738</v>
      </c>
      <c r="J129" t="s">
        <v>37</v>
      </c>
      <c r="K129" s="11">
        <v>648.20000000000005</v>
      </c>
      <c r="L129" s="12">
        <v>70.56</v>
      </c>
    </row>
    <row r="130" spans="1:12" x14ac:dyDescent="0.2">
      <c r="A130" s="9">
        <v>46235</v>
      </c>
      <c r="B130" t="s">
        <v>413</v>
      </c>
      <c r="C130" t="s">
        <v>414</v>
      </c>
      <c r="D130" t="s">
        <v>41</v>
      </c>
      <c r="E130" t="s">
        <v>651</v>
      </c>
      <c r="F130" t="s">
        <v>652</v>
      </c>
      <c r="G130" s="10">
        <v>5</v>
      </c>
      <c r="H130" s="10">
        <v>47514</v>
      </c>
      <c r="I130" s="10">
        <v>237570</v>
      </c>
      <c r="J130" t="s">
        <v>42</v>
      </c>
      <c r="K130" s="11">
        <v>3145.8</v>
      </c>
      <c r="L130" s="12">
        <v>75.52</v>
      </c>
    </row>
    <row r="131" spans="1:12" x14ac:dyDescent="0.2">
      <c r="A131" s="9">
        <v>46235</v>
      </c>
      <c r="B131" t="s">
        <v>416</v>
      </c>
      <c r="C131" t="s">
        <v>417</v>
      </c>
      <c r="D131" t="s">
        <v>36</v>
      </c>
      <c r="E131" t="s">
        <v>660</v>
      </c>
      <c r="F131" t="s">
        <v>670</v>
      </c>
      <c r="G131" s="10">
        <v>1</v>
      </c>
      <c r="H131" s="10">
        <v>14554</v>
      </c>
      <c r="I131" s="10">
        <v>14554</v>
      </c>
      <c r="J131" t="s">
        <v>37</v>
      </c>
      <c r="K131" s="11">
        <v>648.20000000000005</v>
      </c>
      <c r="L131" s="12">
        <v>22.45</v>
      </c>
    </row>
    <row r="132" spans="1:12" x14ac:dyDescent="0.2">
      <c r="A132" s="9">
        <v>46235</v>
      </c>
      <c r="B132" t="s">
        <v>425</v>
      </c>
      <c r="C132" t="s">
        <v>426</v>
      </c>
      <c r="D132" t="s">
        <v>50</v>
      </c>
      <c r="E132" t="s">
        <v>649</v>
      </c>
      <c r="F132" t="s">
        <v>650</v>
      </c>
      <c r="G132" s="10">
        <v>7</v>
      </c>
      <c r="H132" s="10">
        <v>19480</v>
      </c>
      <c r="I132" s="10">
        <v>136360</v>
      </c>
      <c r="J132" t="s">
        <v>51</v>
      </c>
      <c r="K132" s="11">
        <v>648.20000000000005</v>
      </c>
      <c r="L132" s="12">
        <v>210.37</v>
      </c>
    </row>
    <row r="133" spans="1:12" x14ac:dyDescent="0.2">
      <c r="A133" s="9">
        <v>46235</v>
      </c>
      <c r="B133" t="s">
        <v>442</v>
      </c>
      <c r="C133" t="s">
        <v>443</v>
      </c>
      <c r="D133" t="s">
        <v>41</v>
      </c>
      <c r="E133" t="s">
        <v>660</v>
      </c>
      <c r="F133" t="s">
        <v>661</v>
      </c>
      <c r="G133" s="10">
        <v>4</v>
      </c>
      <c r="H133" s="10">
        <v>19674</v>
      </c>
      <c r="I133" s="10">
        <v>78696</v>
      </c>
      <c r="J133" t="s">
        <v>42</v>
      </c>
      <c r="K133" s="11">
        <v>3145.8</v>
      </c>
      <c r="L133" s="12">
        <v>25.02</v>
      </c>
    </row>
    <row r="134" spans="1:12" x14ac:dyDescent="0.2">
      <c r="A134" s="9">
        <v>46235</v>
      </c>
      <c r="B134" t="s">
        <v>442</v>
      </c>
      <c r="C134" t="s">
        <v>443</v>
      </c>
      <c r="D134" t="s">
        <v>41</v>
      </c>
      <c r="E134" t="s">
        <v>660</v>
      </c>
      <c r="F134" t="s">
        <v>661</v>
      </c>
      <c r="G134" s="10">
        <v>2</v>
      </c>
      <c r="H134" s="10">
        <v>20413</v>
      </c>
      <c r="I134" s="10">
        <v>40826</v>
      </c>
      <c r="J134" t="s">
        <v>42</v>
      </c>
      <c r="K134" s="11">
        <v>3145.8</v>
      </c>
      <c r="L134" s="12">
        <v>12.98</v>
      </c>
    </row>
    <row r="135" spans="1:12" x14ac:dyDescent="0.2">
      <c r="A135" s="9">
        <v>46235</v>
      </c>
      <c r="B135" t="s">
        <v>445</v>
      </c>
      <c r="C135" t="s">
        <v>446</v>
      </c>
      <c r="D135" t="s">
        <v>68</v>
      </c>
      <c r="E135" t="s">
        <v>649</v>
      </c>
      <c r="F135" t="s">
        <v>659</v>
      </c>
      <c r="G135" s="10">
        <v>3</v>
      </c>
      <c r="H135" s="10">
        <v>8936</v>
      </c>
      <c r="I135" s="10">
        <v>26808</v>
      </c>
      <c r="J135" t="s">
        <v>51</v>
      </c>
      <c r="K135" s="11">
        <v>648.20000000000005</v>
      </c>
      <c r="L135" s="12">
        <v>41.36</v>
      </c>
    </row>
    <row r="136" spans="1:12" x14ac:dyDescent="0.2">
      <c r="A136" s="9">
        <v>46235</v>
      </c>
      <c r="B136" t="s">
        <v>454</v>
      </c>
      <c r="C136" t="s">
        <v>455</v>
      </c>
      <c r="D136" t="s">
        <v>41</v>
      </c>
      <c r="E136" t="s">
        <v>649</v>
      </c>
      <c r="F136" t="s">
        <v>663</v>
      </c>
      <c r="G136" s="10">
        <v>12</v>
      </c>
      <c r="H136" s="10">
        <v>9936</v>
      </c>
      <c r="I136" s="10">
        <v>119232</v>
      </c>
      <c r="J136" t="s">
        <v>42</v>
      </c>
      <c r="K136" s="11">
        <v>3145.8</v>
      </c>
      <c r="L136" s="12">
        <v>37.9</v>
      </c>
    </row>
    <row r="137" spans="1:12" x14ac:dyDescent="0.2">
      <c r="A137" s="9">
        <v>46235</v>
      </c>
      <c r="B137" t="s">
        <v>454</v>
      </c>
      <c r="C137" t="s">
        <v>455</v>
      </c>
      <c r="D137" t="s">
        <v>41</v>
      </c>
      <c r="E137" t="s">
        <v>647</v>
      </c>
      <c r="F137" t="s">
        <v>648</v>
      </c>
      <c r="G137" s="10">
        <v>12</v>
      </c>
      <c r="H137" s="10">
        <v>79551</v>
      </c>
      <c r="I137" s="10">
        <v>954612</v>
      </c>
      <c r="J137" t="s">
        <v>42</v>
      </c>
      <c r="K137" s="11">
        <v>3145.8</v>
      </c>
      <c r="L137" s="12">
        <v>303.45999999999998</v>
      </c>
    </row>
    <row r="138" spans="1:12" x14ac:dyDescent="0.2">
      <c r="A138" s="9">
        <v>46235</v>
      </c>
      <c r="B138" t="s">
        <v>457</v>
      </c>
      <c r="C138" t="s">
        <v>458</v>
      </c>
      <c r="D138" t="s">
        <v>46</v>
      </c>
      <c r="E138" t="s">
        <v>647</v>
      </c>
      <c r="F138" t="s">
        <v>668</v>
      </c>
      <c r="G138" s="10">
        <v>32</v>
      </c>
      <c r="H138" s="10">
        <v>25234</v>
      </c>
      <c r="I138" s="10">
        <v>807488</v>
      </c>
      <c r="J138" t="s">
        <v>37</v>
      </c>
      <c r="K138" s="11">
        <v>648.20000000000005</v>
      </c>
      <c r="L138" s="12">
        <v>1245.74</v>
      </c>
    </row>
    <row r="139" spans="1:12" x14ac:dyDescent="0.2">
      <c r="A139" s="9">
        <v>46235</v>
      </c>
      <c r="B139" t="s">
        <v>457</v>
      </c>
      <c r="C139" t="s">
        <v>458</v>
      </c>
      <c r="D139" t="s">
        <v>46</v>
      </c>
      <c r="E139" t="s">
        <v>647</v>
      </c>
      <c r="F139" t="s">
        <v>667</v>
      </c>
      <c r="G139" s="10">
        <v>13</v>
      </c>
      <c r="H139" s="10">
        <v>7357</v>
      </c>
      <c r="I139" s="10">
        <v>95641</v>
      </c>
      <c r="J139" t="s">
        <v>37</v>
      </c>
      <c r="K139" s="11">
        <v>648.20000000000005</v>
      </c>
      <c r="L139" s="12">
        <v>147.55000000000001</v>
      </c>
    </row>
    <row r="140" spans="1:12" x14ac:dyDescent="0.2">
      <c r="A140" s="9">
        <v>46235</v>
      </c>
      <c r="B140" t="s">
        <v>460</v>
      </c>
      <c r="C140" t="s">
        <v>461</v>
      </c>
      <c r="D140" t="s">
        <v>75</v>
      </c>
      <c r="E140" t="s">
        <v>647</v>
      </c>
      <c r="F140" t="s">
        <v>668</v>
      </c>
      <c r="G140" s="10">
        <v>6</v>
      </c>
      <c r="H140" s="10">
        <v>118684</v>
      </c>
      <c r="I140" s="10">
        <v>712104</v>
      </c>
      <c r="J140" t="s">
        <v>42</v>
      </c>
      <c r="K140" s="11">
        <v>3145.8</v>
      </c>
      <c r="L140" s="12">
        <v>226.37</v>
      </c>
    </row>
    <row r="141" spans="1:12" x14ac:dyDescent="0.2">
      <c r="A141" s="9">
        <v>46235</v>
      </c>
      <c r="B141" t="s">
        <v>460</v>
      </c>
      <c r="C141" t="s">
        <v>461</v>
      </c>
      <c r="D141" t="s">
        <v>75</v>
      </c>
      <c r="E141" t="s">
        <v>647</v>
      </c>
      <c r="F141" t="s">
        <v>667</v>
      </c>
      <c r="G141" s="10">
        <v>37</v>
      </c>
      <c r="H141" s="10">
        <v>35775</v>
      </c>
      <c r="I141" s="10">
        <v>1323675</v>
      </c>
      <c r="J141" t="s">
        <v>42</v>
      </c>
      <c r="K141" s="11">
        <v>3145.8</v>
      </c>
      <c r="L141" s="12">
        <v>420.78</v>
      </c>
    </row>
    <row r="142" spans="1:12" x14ac:dyDescent="0.2">
      <c r="A142" s="9">
        <v>46235</v>
      </c>
      <c r="B142" t="s">
        <v>463</v>
      </c>
      <c r="C142" t="s">
        <v>464</v>
      </c>
      <c r="D142" t="s">
        <v>36</v>
      </c>
      <c r="E142" t="s">
        <v>653</v>
      </c>
      <c r="F142" t="s">
        <v>658</v>
      </c>
      <c r="G142" s="10">
        <v>6</v>
      </c>
      <c r="H142" s="10">
        <v>2668</v>
      </c>
      <c r="I142" s="10">
        <v>16008</v>
      </c>
      <c r="J142" t="s">
        <v>37</v>
      </c>
      <c r="K142" s="11">
        <v>648.20000000000005</v>
      </c>
      <c r="L142" s="12">
        <v>24.7</v>
      </c>
    </row>
    <row r="143" spans="1:12" x14ac:dyDescent="0.2">
      <c r="A143" s="9">
        <v>46235</v>
      </c>
      <c r="B143" t="s">
        <v>463</v>
      </c>
      <c r="C143" t="s">
        <v>464</v>
      </c>
      <c r="D143" t="s">
        <v>36</v>
      </c>
      <c r="E143" t="s">
        <v>649</v>
      </c>
      <c r="F143" t="s">
        <v>663</v>
      </c>
      <c r="G143" s="10">
        <v>8</v>
      </c>
      <c r="H143" s="10">
        <v>2026</v>
      </c>
      <c r="I143" s="10">
        <v>16208</v>
      </c>
      <c r="J143" t="s">
        <v>37</v>
      </c>
      <c r="K143" s="11">
        <v>648.20000000000005</v>
      </c>
      <c r="L143" s="12">
        <v>25</v>
      </c>
    </row>
    <row r="144" spans="1:12" x14ac:dyDescent="0.2">
      <c r="A144" s="9">
        <v>46235</v>
      </c>
      <c r="B144" t="s">
        <v>463</v>
      </c>
      <c r="C144" t="s">
        <v>464</v>
      </c>
      <c r="D144" t="s">
        <v>36</v>
      </c>
      <c r="E144" t="s">
        <v>660</v>
      </c>
      <c r="F144" t="s">
        <v>661</v>
      </c>
      <c r="G144" s="10">
        <v>18</v>
      </c>
      <c r="H144" s="10">
        <v>4236</v>
      </c>
      <c r="I144" s="10">
        <v>76248</v>
      </c>
      <c r="J144" t="s">
        <v>37</v>
      </c>
      <c r="K144" s="11">
        <v>648.20000000000005</v>
      </c>
      <c r="L144" s="12">
        <v>117.63</v>
      </c>
    </row>
    <row r="145" spans="1:12" x14ac:dyDescent="0.2">
      <c r="A145" s="9">
        <v>46235</v>
      </c>
      <c r="B145" t="s">
        <v>466</v>
      </c>
      <c r="C145" t="s">
        <v>467</v>
      </c>
      <c r="D145" t="s">
        <v>50</v>
      </c>
      <c r="E145" t="s">
        <v>647</v>
      </c>
      <c r="F145" t="s">
        <v>667</v>
      </c>
      <c r="G145" s="10">
        <v>12</v>
      </c>
      <c r="H145" s="10">
        <v>7318</v>
      </c>
      <c r="I145" s="10">
        <v>87816</v>
      </c>
      <c r="J145" t="s">
        <v>51</v>
      </c>
      <c r="K145" s="11">
        <v>648.20000000000005</v>
      </c>
      <c r="L145" s="12">
        <v>135.47999999999999</v>
      </c>
    </row>
    <row r="146" spans="1:12" x14ac:dyDescent="0.2">
      <c r="A146" s="9">
        <v>46235</v>
      </c>
      <c r="B146" t="s">
        <v>466</v>
      </c>
      <c r="C146" t="s">
        <v>467</v>
      </c>
      <c r="D146" t="s">
        <v>50</v>
      </c>
      <c r="E146" t="s">
        <v>651</v>
      </c>
      <c r="F146" t="s">
        <v>657</v>
      </c>
      <c r="G146" s="10">
        <v>14</v>
      </c>
      <c r="H146" s="10">
        <v>6540</v>
      </c>
      <c r="I146" s="10">
        <v>91560</v>
      </c>
      <c r="J146" t="s">
        <v>51</v>
      </c>
      <c r="K146" s="11">
        <v>648.20000000000005</v>
      </c>
      <c r="L146" s="12">
        <v>141.25</v>
      </c>
    </row>
    <row r="147" spans="1:12" x14ac:dyDescent="0.2">
      <c r="A147" s="9">
        <v>46235</v>
      </c>
      <c r="B147" t="s">
        <v>469</v>
      </c>
      <c r="C147" t="s">
        <v>470</v>
      </c>
      <c r="D147" t="s">
        <v>41</v>
      </c>
      <c r="E147" t="s">
        <v>655</v>
      </c>
      <c r="F147" t="s">
        <v>662</v>
      </c>
      <c r="G147" s="10">
        <v>37</v>
      </c>
      <c r="H147" s="10">
        <v>5670</v>
      </c>
      <c r="I147" s="10">
        <v>209790</v>
      </c>
      <c r="J147" t="s">
        <v>42</v>
      </c>
      <c r="K147" s="11">
        <v>3145.8</v>
      </c>
      <c r="L147" s="12">
        <v>66.69</v>
      </c>
    </row>
    <row r="148" spans="1:12" x14ac:dyDescent="0.2">
      <c r="A148" s="9">
        <v>46235</v>
      </c>
      <c r="B148" t="s">
        <v>469</v>
      </c>
      <c r="C148" t="s">
        <v>470</v>
      </c>
      <c r="D148" t="s">
        <v>41</v>
      </c>
      <c r="E148" t="s">
        <v>647</v>
      </c>
      <c r="F148" t="s">
        <v>668</v>
      </c>
      <c r="G148" s="10">
        <v>1</v>
      </c>
      <c r="H148" s="10">
        <v>120586</v>
      </c>
      <c r="I148" s="10">
        <v>120586</v>
      </c>
      <c r="J148" t="s">
        <v>42</v>
      </c>
      <c r="K148" s="11">
        <v>3145.8</v>
      </c>
      <c r="L148" s="12">
        <v>38.33</v>
      </c>
    </row>
    <row r="149" spans="1:12" x14ac:dyDescent="0.2">
      <c r="A149" s="9">
        <v>46235</v>
      </c>
      <c r="B149" t="s">
        <v>472</v>
      </c>
      <c r="C149" t="s">
        <v>473</v>
      </c>
      <c r="D149" t="s">
        <v>68</v>
      </c>
      <c r="E149" t="s">
        <v>660</v>
      </c>
      <c r="F149" t="s">
        <v>670</v>
      </c>
      <c r="G149" s="10">
        <v>112</v>
      </c>
      <c r="H149" s="10">
        <v>14915</v>
      </c>
      <c r="I149" s="10">
        <v>1670480</v>
      </c>
      <c r="J149" t="s">
        <v>51</v>
      </c>
      <c r="K149" s="11">
        <v>648.20000000000005</v>
      </c>
      <c r="L149" s="12">
        <v>2577.11</v>
      </c>
    </row>
    <row r="150" spans="1:12" x14ac:dyDescent="0.2">
      <c r="A150" s="9">
        <v>46235</v>
      </c>
      <c r="B150" t="s">
        <v>475</v>
      </c>
      <c r="C150" t="s">
        <v>476</v>
      </c>
      <c r="D150" t="s">
        <v>75</v>
      </c>
      <c r="E150" t="s">
        <v>655</v>
      </c>
      <c r="F150" t="s">
        <v>662</v>
      </c>
      <c r="G150" s="10">
        <v>20</v>
      </c>
      <c r="H150" s="10">
        <v>5498</v>
      </c>
      <c r="I150" s="10">
        <v>109960</v>
      </c>
      <c r="J150" t="s">
        <v>42</v>
      </c>
      <c r="K150" s="11">
        <v>3145.8</v>
      </c>
      <c r="L150" s="12">
        <v>34.950000000000003</v>
      </c>
    </row>
    <row r="151" spans="1:12" x14ac:dyDescent="0.2">
      <c r="A151" s="9">
        <v>46235</v>
      </c>
      <c r="B151" t="s">
        <v>475</v>
      </c>
      <c r="C151" t="s">
        <v>476</v>
      </c>
      <c r="D151" t="s">
        <v>75</v>
      </c>
      <c r="E151" t="s">
        <v>647</v>
      </c>
      <c r="F151" t="s">
        <v>668</v>
      </c>
      <c r="G151" s="10">
        <v>9</v>
      </c>
      <c r="H151" s="10">
        <v>120162</v>
      </c>
      <c r="I151" s="10">
        <v>1081458</v>
      </c>
      <c r="J151" t="s">
        <v>42</v>
      </c>
      <c r="K151" s="11">
        <v>3145.8</v>
      </c>
      <c r="L151" s="12">
        <v>343.78</v>
      </c>
    </row>
    <row r="152" spans="1:12" x14ac:dyDescent="0.2">
      <c r="A152" s="9">
        <v>46235</v>
      </c>
      <c r="B152" t="s">
        <v>483</v>
      </c>
      <c r="C152" t="s">
        <v>340</v>
      </c>
      <c r="D152" t="s">
        <v>46</v>
      </c>
      <c r="E152" t="s">
        <v>647</v>
      </c>
      <c r="F152" t="s">
        <v>667</v>
      </c>
      <c r="G152" s="10">
        <v>15</v>
      </c>
      <c r="H152" s="10">
        <v>7430</v>
      </c>
      <c r="I152" s="10">
        <v>111450</v>
      </c>
      <c r="J152" t="s">
        <v>37</v>
      </c>
      <c r="K152" s="11">
        <v>648.20000000000005</v>
      </c>
      <c r="L152" s="12">
        <v>171.94</v>
      </c>
    </row>
    <row r="153" spans="1:12" x14ac:dyDescent="0.2">
      <c r="A153" s="9">
        <v>46235</v>
      </c>
      <c r="B153" t="s">
        <v>485</v>
      </c>
      <c r="C153" t="s">
        <v>486</v>
      </c>
      <c r="D153" t="s">
        <v>41</v>
      </c>
      <c r="E153" t="s">
        <v>660</v>
      </c>
      <c r="F153" t="s">
        <v>670</v>
      </c>
      <c r="G153" s="10">
        <v>10</v>
      </c>
      <c r="H153" s="10">
        <v>72781</v>
      </c>
      <c r="I153" s="10">
        <v>727810</v>
      </c>
      <c r="J153" t="s">
        <v>42</v>
      </c>
      <c r="K153" s="11">
        <v>3145.8</v>
      </c>
      <c r="L153" s="12">
        <v>231.36</v>
      </c>
    </row>
    <row r="154" spans="1:12" x14ac:dyDescent="0.2">
      <c r="A154" s="9">
        <v>46235</v>
      </c>
      <c r="B154" t="s">
        <v>485</v>
      </c>
      <c r="C154" t="s">
        <v>486</v>
      </c>
      <c r="D154" t="s">
        <v>41</v>
      </c>
      <c r="E154" t="s">
        <v>647</v>
      </c>
      <c r="F154" t="s">
        <v>668</v>
      </c>
      <c r="G154" s="10">
        <v>23</v>
      </c>
      <c r="H154" s="10">
        <v>117741</v>
      </c>
      <c r="I154" s="10">
        <v>2708043</v>
      </c>
      <c r="J154" t="s">
        <v>42</v>
      </c>
      <c r="K154" s="11">
        <v>3145.8</v>
      </c>
      <c r="L154" s="12">
        <v>860.84</v>
      </c>
    </row>
    <row r="155" spans="1:12" x14ac:dyDescent="0.2">
      <c r="A155" s="9">
        <v>46235</v>
      </c>
      <c r="B155" t="s">
        <v>485</v>
      </c>
      <c r="C155" t="s">
        <v>486</v>
      </c>
      <c r="D155" t="s">
        <v>41</v>
      </c>
      <c r="E155" t="s">
        <v>651</v>
      </c>
      <c r="F155" t="s">
        <v>657</v>
      </c>
      <c r="G155" s="10">
        <v>12</v>
      </c>
      <c r="H155" s="10">
        <v>32319</v>
      </c>
      <c r="I155" s="10">
        <v>387828</v>
      </c>
      <c r="J155" t="s">
        <v>42</v>
      </c>
      <c r="K155" s="11">
        <v>3145.8</v>
      </c>
      <c r="L155" s="12">
        <v>123.28</v>
      </c>
    </row>
    <row r="156" spans="1:12" x14ac:dyDescent="0.2">
      <c r="A156" s="9">
        <v>46235</v>
      </c>
      <c r="B156" t="s">
        <v>488</v>
      </c>
      <c r="C156" t="s">
        <v>489</v>
      </c>
      <c r="D156" t="s">
        <v>46</v>
      </c>
      <c r="E156" t="s">
        <v>647</v>
      </c>
      <c r="F156" t="s">
        <v>648</v>
      </c>
      <c r="G156" s="10">
        <v>10</v>
      </c>
      <c r="H156" s="10">
        <v>16351</v>
      </c>
      <c r="I156" s="10">
        <v>163510</v>
      </c>
      <c r="J156" t="s">
        <v>37</v>
      </c>
      <c r="K156" s="11">
        <v>648.20000000000005</v>
      </c>
      <c r="L156" s="12">
        <v>252.25</v>
      </c>
    </row>
    <row r="157" spans="1:12" x14ac:dyDescent="0.2">
      <c r="A157" s="9">
        <v>46235</v>
      </c>
      <c r="B157" t="s">
        <v>496</v>
      </c>
      <c r="C157" t="s">
        <v>497</v>
      </c>
      <c r="D157" t="s">
        <v>41</v>
      </c>
      <c r="E157" t="s">
        <v>660</v>
      </c>
      <c r="F157" t="s">
        <v>661</v>
      </c>
      <c r="G157" s="10">
        <v>19</v>
      </c>
      <c r="H157" s="10">
        <v>19932</v>
      </c>
      <c r="I157" s="10">
        <v>378708</v>
      </c>
      <c r="J157" t="s">
        <v>42</v>
      </c>
      <c r="K157" s="11">
        <v>3145.8</v>
      </c>
      <c r="L157" s="12">
        <v>120.39</v>
      </c>
    </row>
    <row r="158" spans="1:12" x14ac:dyDescent="0.2">
      <c r="A158" s="9">
        <v>46235</v>
      </c>
      <c r="B158" t="s">
        <v>499</v>
      </c>
      <c r="C158" t="s">
        <v>500</v>
      </c>
      <c r="D158" t="s">
        <v>41</v>
      </c>
      <c r="E158" t="s">
        <v>660</v>
      </c>
      <c r="F158" t="s">
        <v>670</v>
      </c>
      <c r="G158" s="10">
        <v>11</v>
      </c>
      <c r="H158" s="10">
        <v>71592</v>
      </c>
      <c r="I158" s="10">
        <v>787512</v>
      </c>
      <c r="J158" t="s">
        <v>42</v>
      </c>
      <c r="K158" s="11">
        <v>3145.8</v>
      </c>
      <c r="L158" s="12">
        <v>250.34</v>
      </c>
    </row>
    <row r="159" spans="1:12" x14ac:dyDescent="0.2">
      <c r="A159" s="9">
        <v>46235</v>
      </c>
      <c r="B159" t="s">
        <v>499</v>
      </c>
      <c r="C159" t="s">
        <v>500</v>
      </c>
      <c r="D159" t="s">
        <v>41</v>
      </c>
      <c r="E159" t="s">
        <v>647</v>
      </c>
      <c r="F159" t="s">
        <v>668</v>
      </c>
      <c r="G159" s="10">
        <v>13</v>
      </c>
      <c r="H159" s="10">
        <v>125939</v>
      </c>
      <c r="I159" s="10">
        <v>1637207</v>
      </c>
      <c r="J159" t="s">
        <v>42</v>
      </c>
      <c r="K159" s="11">
        <v>3145.8</v>
      </c>
      <c r="L159" s="12">
        <v>520.44000000000005</v>
      </c>
    </row>
    <row r="160" spans="1:12" x14ac:dyDescent="0.2">
      <c r="A160" s="9">
        <v>46235</v>
      </c>
      <c r="B160" t="s">
        <v>499</v>
      </c>
      <c r="C160" t="s">
        <v>500</v>
      </c>
      <c r="D160" t="s">
        <v>41</v>
      </c>
      <c r="E160" t="s">
        <v>647</v>
      </c>
      <c r="F160" t="s">
        <v>648</v>
      </c>
      <c r="G160" s="10">
        <v>100</v>
      </c>
      <c r="H160" s="10">
        <v>76216</v>
      </c>
      <c r="I160" s="10">
        <v>7621600</v>
      </c>
      <c r="J160" t="s">
        <v>42</v>
      </c>
      <c r="K160" s="11">
        <v>3145.8</v>
      </c>
      <c r="L160" s="12">
        <v>2422.79</v>
      </c>
    </row>
    <row r="161" spans="1:12" x14ac:dyDescent="0.2">
      <c r="A161" s="9">
        <v>46235</v>
      </c>
      <c r="B161" t="s">
        <v>499</v>
      </c>
      <c r="C161" t="s">
        <v>500</v>
      </c>
      <c r="D161" t="s">
        <v>41</v>
      </c>
      <c r="E161" t="s">
        <v>647</v>
      </c>
      <c r="F161" t="s">
        <v>648</v>
      </c>
      <c r="G161" s="10">
        <v>7</v>
      </c>
      <c r="H161" s="10">
        <v>78154</v>
      </c>
      <c r="I161" s="10">
        <v>547078</v>
      </c>
      <c r="J161" t="s">
        <v>42</v>
      </c>
      <c r="K161" s="11">
        <v>3145.8</v>
      </c>
      <c r="L161" s="12">
        <v>173.91</v>
      </c>
    </row>
    <row r="162" spans="1:12" x14ac:dyDescent="0.2">
      <c r="A162" s="9">
        <v>46235</v>
      </c>
      <c r="B162" t="s">
        <v>499</v>
      </c>
      <c r="C162" t="s">
        <v>500</v>
      </c>
      <c r="D162" t="s">
        <v>41</v>
      </c>
      <c r="E162" t="s">
        <v>647</v>
      </c>
      <c r="F162" t="s">
        <v>648</v>
      </c>
      <c r="G162" s="10">
        <v>22</v>
      </c>
      <c r="H162" s="10">
        <v>76079</v>
      </c>
      <c r="I162" s="10">
        <v>1673738</v>
      </c>
      <c r="J162" t="s">
        <v>42</v>
      </c>
      <c r="K162" s="11">
        <v>3145.8</v>
      </c>
      <c r="L162" s="12">
        <v>532.04999999999995</v>
      </c>
    </row>
    <row r="163" spans="1:12" x14ac:dyDescent="0.2">
      <c r="A163" s="9">
        <v>46235</v>
      </c>
      <c r="B163" t="s">
        <v>505</v>
      </c>
      <c r="C163" t="s">
        <v>506</v>
      </c>
      <c r="D163" t="s">
        <v>36</v>
      </c>
      <c r="E163" t="s">
        <v>649</v>
      </c>
      <c r="F163" t="s">
        <v>650</v>
      </c>
      <c r="G163" s="10">
        <v>20</v>
      </c>
      <c r="H163" s="10">
        <v>18587</v>
      </c>
      <c r="I163" s="10">
        <v>371740</v>
      </c>
      <c r="J163" t="s">
        <v>37</v>
      </c>
      <c r="K163" s="11">
        <v>648.20000000000005</v>
      </c>
      <c r="L163" s="12">
        <v>573.5</v>
      </c>
    </row>
    <row r="164" spans="1:12" x14ac:dyDescent="0.2">
      <c r="A164" s="9">
        <v>46235</v>
      </c>
      <c r="B164" t="s">
        <v>508</v>
      </c>
      <c r="C164" t="s">
        <v>509</v>
      </c>
      <c r="D164" t="s">
        <v>68</v>
      </c>
      <c r="E164" t="s">
        <v>660</v>
      </c>
      <c r="F164" t="s">
        <v>661</v>
      </c>
      <c r="G164" s="10">
        <v>21</v>
      </c>
      <c r="H164" s="10">
        <v>4135</v>
      </c>
      <c r="I164" s="10">
        <v>86835</v>
      </c>
      <c r="J164" t="s">
        <v>51</v>
      </c>
      <c r="K164" s="11">
        <v>648.20000000000005</v>
      </c>
      <c r="L164" s="12">
        <v>133.96</v>
      </c>
    </row>
    <row r="165" spans="1:12" x14ac:dyDescent="0.2">
      <c r="A165" s="9">
        <v>46235</v>
      </c>
      <c r="B165" t="s">
        <v>508</v>
      </c>
      <c r="C165" t="s">
        <v>509</v>
      </c>
      <c r="D165" t="s">
        <v>68</v>
      </c>
      <c r="E165" t="s">
        <v>655</v>
      </c>
      <c r="F165" t="s">
        <v>656</v>
      </c>
      <c r="G165" s="10">
        <v>7</v>
      </c>
      <c r="H165" s="10">
        <v>587</v>
      </c>
      <c r="I165" s="10">
        <v>4109</v>
      </c>
      <c r="J165" t="s">
        <v>51</v>
      </c>
      <c r="K165" s="11">
        <v>648.20000000000005</v>
      </c>
      <c r="L165" s="12">
        <v>6.34</v>
      </c>
    </row>
    <row r="166" spans="1:12" x14ac:dyDescent="0.2">
      <c r="A166" s="9">
        <v>46235</v>
      </c>
      <c r="B166" t="s">
        <v>511</v>
      </c>
      <c r="C166" t="s">
        <v>512</v>
      </c>
      <c r="D166" t="s">
        <v>75</v>
      </c>
      <c r="E166" t="s">
        <v>653</v>
      </c>
      <c r="F166" t="s">
        <v>658</v>
      </c>
      <c r="G166" s="10">
        <v>7</v>
      </c>
      <c r="H166" s="10">
        <v>13704</v>
      </c>
      <c r="I166" s="10">
        <v>95928</v>
      </c>
      <c r="J166" t="s">
        <v>42</v>
      </c>
      <c r="K166" s="11">
        <v>3145.8</v>
      </c>
      <c r="L166" s="12">
        <v>30.49</v>
      </c>
    </row>
    <row r="167" spans="1:12" x14ac:dyDescent="0.2">
      <c r="A167" s="9">
        <v>46235</v>
      </c>
      <c r="B167" t="s">
        <v>520</v>
      </c>
      <c r="C167" t="s">
        <v>489</v>
      </c>
      <c r="D167" t="s">
        <v>46</v>
      </c>
      <c r="E167" t="s">
        <v>655</v>
      </c>
      <c r="F167" t="s">
        <v>662</v>
      </c>
      <c r="G167" s="10">
        <v>7</v>
      </c>
      <c r="H167" s="10">
        <v>1140</v>
      </c>
      <c r="I167" s="10">
        <v>7980</v>
      </c>
      <c r="J167" t="s">
        <v>37</v>
      </c>
      <c r="K167" s="11">
        <v>648.20000000000005</v>
      </c>
      <c r="L167" s="12">
        <v>12.31</v>
      </c>
    </row>
    <row r="168" spans="1:12" x14ac:dyDescent="0.2">
      <c r="A168" s="9">
        <v>46235</v>
      </c>
      <c r="B168" t="s">
        <v>520</v>
      </c>
      <c r="C168" t="s">
        <v>489</v>
      </c>
      <c r="D168" t="s">
        <v>46</v>
      </c>
      <c r="E168" t="s">
        <v>660</v>
      </c>
      <c r="F168" t="s">
        <v>670</v>
      </c>
      <c r="G168" s="10">
        <v>9</v>
      </c>
      <c r="H168" s="10">
        <v>14121</v>
      </c>
      <c r="I168" s="10">
        <v>127089</v>
      </c>
      <c r="J168" t="s">
        <v>37</v>
      </c>
      <c r="K168" s="11">
        <v>648.20000000000005</v>
      </c>
      <c r="L168" s="12">
        <v>196.06</v>
      </c>
    </row>
    <row r="169" spans="1:12" x14ac:dyDescent="0.2">
      <c r="A169" s="9">
        <v>46235</v>
      </c>
      <c r="B169" t="s">
        <v>525</v>
      </c>
      <c r="C169" t="s">
        <v>526</v>
      </c>
      <c r="D169" t="s">
        <v>46</v>
      </c>
      <c r="E169" t="s">
        <v>655</v>
      </c>
      <c r="F169" t="s">
        <v>656</v>
      </c>
      <c r="G169" s="10">
        <v>6</v>
      </c>
      <c r="H169" s="10">
        <v>554</v>
      </c>
      <c r="I169" s="10">
        <v>3324</v>
      </c>
      <c r="J169" t="s">
        <v>37</v>
      </c>
      <c r="K169" s="11">
        <v>648.20000000000005</v>
      </c>
      <c r="L169" s="12">
        <v>5.13</v>
      </c>
    </row>
    <row r="170" spans="1:12" x14ac:dyDescent="0.2">
      <c r="A170" s="9">
        <v>46235</v>
      </c>
      <c r="B170" t="s">
        <v>528</v>
      </c>
      <c r="C170" t="s">
        <v>529</v>
      </c>
      <c r="D170" t="s">
        <v>46</v>
      </c>
      <c r="E170" t="s">
        <v>653</v>
      </c>
      <c r="F170" t="s">
        <v>658</v>
      </c>
      <c r="G170" s="10">
        <v>49</v>
      </c>
      <c r="H170" s="10">
        <v>2737</v>
      </c>
      <c r="I170" s="10">
        <v>134113</v>
      </c>
      <c r="J170" t="s">
        <v>37</v>
      </c>
      <c r="K170" s="11">
        <v>648.20000000000005</v>
      </c>
      <c r="L170" s="12">
        <v>206.9</v>
      </c>
    </row>
    <row r="171" spans="1:12" x14ac:dyDescent="0.2">
      <c r="A171" s="9">
        <v>46235</v>
      </c>
      <c r="B171" t="s">
        <v>528</v>
      </c>
      <c r="C171" t="s">
        <v>529</v>
      </c>
      <c r="D171" t="s">
        <v>46</v>
      </c>
      <c r="E171" t="s">
        <v>649</v>
      </c>
      <c r="F171" t="s">
        <v>663</v>
      </c>
      <c r="G171" s="10">
        <v>26</v>
      </c>
      <c r="H171" s="10">
        <v>2061</v>
      </c>
      <c r="I171" s="10">
        <v>53586</v>
      </c>
      <c r="J171" t="s">
        <v>37</v>
      </c>
      <c r="K171" s="11">
        <v>648.20000000000005</v>
      </c>
      <c r="L171" s="12">
        <v>82.67</v>
      </c>
    </row>
    <row r="172" spans="1:12" x14ac:dyDescent="0.2">
      <c r="A172" s="9">
        <v>46235</v>
      </c>
      <c r="B172" t="s">
        <v>528</v>
      </c>
      <c r="C172" t="s">
        <v>529</v>
      </c>
      <c r="D172" t="s">
        <v>46</v>
      </c>
      <c r="E172" t="s">
        <v>649</v>
      </c>
      <c r="F172" t="s">
        <v>663</v>
      </c>
      <c r="G172" s="10">
        <v>81</v>
      </c>
      <c r="H172" s="10">
        <v>2068</v>
      </c>
      <c r="I172" s="10">
        <v>167508</v>
      </c>
      <c r="J172" t="s">
        <v>37</v>
      </c>
      <c r="K172" s="11">
        <v>648.20000000000005</v>
      </c>
      <c r="L172" s="12">
        <v>258.42</v>
      </c>
    </row>
    <row r="173" spans="1:12" x14ac:dyDescent="0.2">
      <c r="A173" s="9">
        <v>46235</v>
      </c>
      <c r="B173" t="s">
        <v>531</v>
      </c>
      <c r="C173" t="s">
        <v>532</v>
      </c>
      <c r="D173" t="s">
        <v>50</v>
      </c>
      <c r="E173" t="s">
        <v>649</v>
      </c>
      <c r="F173" t="s">
        <v>650</v>
      </c>
      <c r="G173" s="10">
        <v>107</v>
      </c>
      <c r="H173" s="10">
        <v>18646</v>
      </c>
      <c r="I173" s="10">
        <v>1995122</v>
      </c>
      <c r="J173" t="s">
        <v>51</v>
      </c>
      <c r="K173" s="11">
        <v>648.20000000000005</v>
      </c>
      <c r="L173" s="12">
        <v>3077.94</v>
      </c>
    </row>
    <row r="174" spans="1:12" x14ac:dyDescent="0.2">
      <c r="A174" s="9">
        <v>46235</v>
      </c>
      <c r="B174" t="s">
        <v>531</v>
      </c>
      <c r="C174" t="s">
        <v>532</v>
      </c>
      <c r="D174" t="s">
        <v>50</v>
      </c>
      <c r="E174" t="s">
        <v>653</v>
      </c>
      <c r="F174" t="s">
        <v>654</v>
      </c>
      <c r="G174" s="10">
        <v>17</v>
      </c>
      <c r="H174" s="10">
        <v>5863</v>
      </c>
      <c r="I174" s="10">
        <v>99671</v>
      </c>
      <c r="J174" t="s">
        <v>51</v>
      </c>
      <c r="K174" s="11">
        <v>648.20000000000005</v>
      </c>
      <c r="L174" s="12">
        <v>153.77000000000001</v>
      </c>
    </row>
    <row r="175" spans="1:12" x14ac:dyDescent="0.2">
      <c r="A175" s="9">
        <v>46235</v>
      </c>
      <c r="B175" t="s">
        <v>531</v>
      </c>
      <c r="C175" t="s">
        <v>532</v>
      </c>
      <c r="D175" t="s">
        <v>50</v>
      </c>
      <c r="E175" t="s">
        <v>653</v>
      </c>
      <c r="F175" t="s">
        <v>654</v>
      </c>
      <c r="G175" s="10">
        <v>18</v>
      </c>
      <c r="H175" s="10">
        <v>5703</v>
      </c>
      <c r="I175" s="10">
        <v>102654</v>
      </c>
      <c r="J175" t="s">
        <v>51</v>
      </c>
      <c r="K175" s="11">
        <v>648.20000000000005</v>
      </c>
      <c r="L175" s="12">
        <v>158.37</v>
      </c>
    </row>
    <row r="176" spans="1:12" x14ac:dyDescent="0.2">
      <c r="A176" s="9">
        <v>46235</v>
      </c>
      <c r="B176" t="s">
        <v>531</v>
      </c>
      <c r="C176" t="s">
        <v>532</v>
      </c>
      <c r="D176" t="s">
        <v>50</v>
      </c>
      <c r="E176" t="s">
        <v>647</v>
      </c>
      <c r="F176" t="s">
        <v>668</v>
      </c>
      <c r="G176" s="10">
        <v>81</v>
      </c>
      <c r="H176" s="10">
        <v>24389</v>
      </c>
      <c r="I176" s="10">
        <v>1975509</v>
      </c>
      <c r="J176" t="s">
        <v>51</v>
      </c>
      <c r="K176" s="11">
        <v>648.20000000000005</v>
      </c>
      <c r="L176" s="12">
        <v>3047.68</v>
      </c>
    </row>
    <row r="177" spans="1:12" x14ac:dyDescent="0.2">
      <c r="A177" s="9">
        <v>46235</v>
      </c>
      <c r="B177" t="s">
        <v>531</v>
      </c>
      <c r="C177" t="s">
        <v>532</v>
      </c>
      <c r="D177" t="s">
        <v>50</v>
      </c>
      <c r="E177" t="s">
        <v>647</v>
      </c>
      <c r="F177" t="s">
        <v>648</v>
      </c>
      <c r="G177" s="10">
        <v>29</v>
      </c>
      <c r="H177" s="10">
        <v>16398</v>
      </c>
      <c r="I177" s="10">
        <v>475542</v>
      </c>
      <c r="J177" t="s">
        <v>51</v>
      </c>
      <c r="K177" s="11">
        <v>648.20000000000005</v>
      </c>
      <c r="L177" s="12">
        <v>733.63</v>
      </c>
    </row>
    <row r="178" spans="1:12" x14ac:dyDescent="0.2">
      <c r="A178" s="9">
        <v>46235</v>
      </c>
      <c r="B178" t="s">
        <v>531</v>
      </c>
      <c r="C178" t="s">
        <v>532</v>
      </c>
      <c r="D178" t="s">
        <v>50</v>
      </c>
      <c r="E178" t="s">
        <v>647</v>
      </c>
      <c r="F178" t="s">
        <v>667</v>
      </c>
      <c r="G178" s="10">
        <v>301</v>
      </c>
      <c r="H178" s="10">
        <v>7435</v>
      </c>
      <c r="I178" s="10">
        <v>2237935</v>
      </c>
      <c r="J178" t="s">
        <v>51</v>
      </c>
      <c r="K178" s="11">
        <v>648.20000000000005</v>
      </c>
      <c r="L178" s="12">
        <v>3452.54</v>
      </c>
    </row>
    <row r="179" spans="1:12" x14ac:dyDescent="0.2">
      <c r="A179" s="9">
        <v>46235</v>
      </c>
      <c r="B179" t="s">
        <v>531</v>
      </c>
      <c r="C179" t="s">
        <v>532</v>
      </c>
      <c r="D179" t="s">
        <v>50</v>
      </c>
      <c r="E179" t="s">
        <v>651</v>
      </c>
      <c r="F179" t="s">
        <v>664</v>
      </c>
      <c r="G179" s="10">
        <v>21</v>
      </c>
      <c r="H179" s="10">
        <v>11682</v>
      </c>
      <c r="I179" s="10">
        <v>245322</v>
      </c>
      <c r="J179" t="s">
        <v>51</v>
      </c>
      <c r="K179" s="11">
        <v>648.20000000000005</v>
      </c>
      <c r="L179" s="12">
        <v>378.47</v>
      </c>
    </row>
    <row r="180" spans="1:12" x14ac:dyDescent="0.2">
      <c r="A180" s="9">
        <v>46235</v>
      </c>
      <c r="B180" t="s">
        <v>537</v>
      </c>
      <c r="C180" t="s">
        <v>538</v>
      </c>
      <c r="D180" t="s">
        <v>68</v>
      </c>
      <c r="E180" t="s">
        <v>655</v>
      </c>
      <c r="F180" t="s">
        <v>656</v>
      </c>
      <c r="G180" s="10">
        <v>86</v>
      </c>
      <c r="H180" s="10">
        <v>592</v>
      </c>
      <c r="I180" s="10">
        <v>50912</v>
      </c>
      <c r="J180" t="s">
        <v>51</v>
      </c>
      <c r="K180" s="11">
        <v>648.20000000000005</v>
      </c>
      <c r="L180" s="12">
        <v>78.540000000000006</v>
      </c>
    </row>
    <row r="181" spans="1:12" x14ac:dyDescent="0.2">
      <c r="A181" s="9">
        <v>46235</v>
      </c>
      <c r="B181" t="s">
        <v>540</v>
      </c>
      <c r="C181" t="s">
        <v>541</v>
      </c>
      <c r="D181" t="s">
        <v>41</v>
      </c>
      <c r="E181" t="s">
        <v>649</v>
      </c>
      <c r="F181" t="s">
        <v>663</v>
      </c>
      <c r="G181" s="10">
        <v>4</v>
      </c>
      <c r="H181" s="10">
        <v>10083</v>
      </c>
      <c r="I181" s="10">
        <v>40332</v>
      </c>
      <c r="J181" t="s">
        <v>42</v>
      </c>
      <c r="K181" s="11">
        <v>3145.8</v>
      </c>
      <c r="L181" s="12">
        <v>12.82</v>
      </c>
    </row>
    <row r="182" spans="1:12" x14ac:dyDescent="0.2">
      <c r="A182" s="9">
        <v>46235</v>
      </c>
      <c r="B182" t="s">
        <v>543</v>
      </c>
      <c r="C182" t="s">
        <v>544</v>
      </c>
      <c r="D182" t="s">
        <v>68</v>
      </c>
      <c r="E182" t="s">
        <v>653</v>
      </c>
      <c r="F182" t="s">
        <v>658</v>
      </c>
      <c r="G182" s="10">
        <v>10</v>
      </c>
      <c r="H182" s="10">
        <v>2682</v>
      </c>
      <c r="I182" s="10">
        <v>26820</v>
      </c>
      <c r="J182" t="s">
        <v>51</v>
      </c>
      <c r="K182" s="11">
        <v>648.20000000000005</v>
      </c>
      <c r="L182" s="12">
        <v>41.38</v>
      </c>
    </row>
    <row r="183" spans="1:12" x14ac:dyDescent="0.2">
      <c r="A183" s="9">
        <v>46235</v>
      </c>
      <c r="B183" t="s">
        <v>546</v>
      </c>
      <c r="C183" t="s">
        <v>547</v>
      </c>
      <c r="D183" t="s">
        <v>41</v>
      </c>
      <c r="E183" t="s">
        <v>651</v>
      </c>
      <c r="F183" t="s">
        <v>657</v>
      </c>
      <c r="G183" s="10">
        <v>18</v>
      </c>
      <c r="H183" s="10">
        <v>30395</v>
      </c>
      <c r="I183" s="10">
        <v>547110</v>
      </c>
      <c r="J183" t="s">
        <v>42</v>
      </c>
      <c r="K183" s="11">
        <v>3145.8</v>
      </c>
      <c r="L183" s="12">
        <v>173.92</v>
      </c>
    </row>
    <row r="184" spans="1:12" x14ac:dyDescent="0.2">
      <c r="A184" s="9">
        <v>46235</v>
      </c>
      <c r="B184" t="s">
        <v>549</v>
      </c>
      <c r="C184" t="s">
        <v>550</v>
      </c>
      <c r="D184" t="s">
        <v>41</v>
      </c>
      <c r="E184" t="s">
        <v>649</v>
      </c>
      <c r="F184" t="s">
        <v>659</v>
      </c>
      <c r="G184" s="10">
        <v>4</v>
      </c>
      <c r="H184" s="10">
        <v>44656</v>
      </c>
      <c r="I184" s="10">
        <v>178624</v>
      </c>
      <c r="J184" t="s">
        <v>42</v>
      </c>
      <c r="K184" s="11">
        <v>3145.8</v>
      </c>
      <c r="L184" s="12">
        <v>56.78</v>
      </c>
    </row>
    <row r="185" spans="1:12" x14ac:dyDescent="0.2">
      <c r="A185" s="9">
        <v>46235</v>
      </c>
      <c r="B185" t="s">
        <v>549</v>
      </c>
      <c r="C185" t="s">
        <v>550</v>
      </c>
      <c r="D185" t="s">
        <v>41</v>
      </c>
      <c r="E185" t="s">
        <v>647</v>
      </c>
      <c r="F185" t="s">
        <v>648</v>
      </c>
      <c r="G185" s="10">
        <v>5</v>
      </c>
      <c r="H185" s="10">
        <v>80456</v>
      </c>
      <c r="I185" s="10">
        <v>402280</v>
      </c>
      <c r="J185" t="s">
        <v>42</v>
      </c>
      <c r="K185" s="11">
        <v>3145.8</v>
      </c>
      <c r="L185" s="12">
        <v>127.88</v>
      </c>
    </row>
    <row r="186" spans="1:12" x14ac:dyDescent="0.2">
      <c r="A186" s="9">
        <v>46235</v>
      </c>
      <c r="B186" t="s">
        <v>549</v>
      </c>
      <c r="C186" t="s">
        <v>550</v>
      </c>
      <c r="D186" t="s">
        <v>41</v>
      </c>
      <c r="E186" t="s">
        <v>651</v>
      </c>
      <c r="F186" t="s">
        <v>657</v>
      </c>
      <c r="G186" s="10">
        <v>51</v>
      </c>
      <c r="H186" s="10">
        <v>31333</v>
      </c>
      <c r="I186" s="10">
        <v>1597983</v>
      </c>
      <c r="J186" t="s">
        <v>42</v>
      </c>
      <c r="K186" s="11">
        <v>3145.8</v>
      </c>
      <c r="L186" s="12">
        <v>507.97</v>
      </c>
    </row>
    <row r="187" spans="1:12" x14ac:dyDescent="0.2">
      <c r="A187" s="9">
        <v>46235</v>
      </c>
      <c r="B187" t="s">
        <v>555</v>
      </c>
      <c r="C187" t="s">
        <v>556</v>
      </c>
      <c r="D187" t="s">
        <v>41</v>
      </c>
      <c r="E187" t="s">
        <v>647</v>
      </c>
      <c r="F187" t="s">
        <v>668</v>
      </c>
      <c r="G187" s="10">
        <v>10</v>
      </c>
      <c r="H187" s="10">
        <v>122526</v>
      </c>
      <c r="I187" s="10">
        <v>1225260</v>
      </c>
      <c r="J187" t="s">
        <v>42</v>
      </c>
      <c r="K187" s="11">
        <v>3145.8</v>
      </c>
      <c r="L187" s="12">
        <v>389.49</v>
      </c>
    </row>
    <row r="188" spans="1:12" x14ac:dyDescent="0.2">
      <c r="A188" s="9">
        <v>46235</v>
      </c>
      <c r="B188" t="s">
        <v>561</v>
      </c>
      <c r="C188" t="s">
        <v>562</v>
      </c>
      <c r="D188" t="s">
        <v>46</v>
      </c>
      <c r="E188" t="s">
        <v>651</v>
      </c>
      <c r="F188" t="s">
        <v>652</v>
      </c>
      <c r="G188" s="10">
        <v>35</v>
      </c>
      <c r="H188" s="10">
        <v>9711</v>
      </c>
      <c r="I188" s="10">
        <v>339885</v>
      </c>
      <c r="J188" t="s">
        <v>37</v>
      </c>
      <c r="K188" s="11">
        <v>648.20000000000005</v>
      </c>
      <c r="L188" s="12">
        <v>524.35</v>
      </c>
    </row>
    <row r="189" spans="1:12" x14ac:dyDescent="0.2">
      <c r="A189" s="9">
        <v>46235</v>
      </c>
      <c r="B189" t="s">
        <v>561</v>
      </c>
      <c r="C189" t="s">
        <v>562</v>
      </c>
      <c r="D189" t="s">
        <v>46</v>
      </c>
      <c r="E189" t="s">
        <v>660</v>
      </c>
      <c r="F189" t="s">
        <v>669</v>
      </c>
      <c r="G189" s="10">
        <v>24</v>
      </c>
      <c r="H189" s="10">
        <v>2632</v>
      </c>
      <c r="I189" s="10">
        <v>63168</v>
      </c>
      <c r="J189" t="s">
        <v>37</v>
      </c>
      <c r="K189" s="11">
        <v>648.20000000000005</v>
      </c>
      <c r="L189" s="12">
        <v>97.45</v>
      </c>
    </row>
    <row r="190" spans="1:12" x14ac:dyDescent="0.2">
      <c r="A190" s="9">
        <v>46235</v>
      </c>
      <c r="B190" t="s">
        <v>561</v>
      </c>
      <c r="C190" t="s">
        <v>562</v>
      </c>
      <c r="D190" t="s">
        <v>46</v>
      </c>
      <c r="E190" t="s">
        <v>660</v>
      </c>
      <c r="F190" t="s">
        <v>661</v>
      </c>
      <c r="G190" s="10">
        <v>34</v>
      </c>
      <c r="H190" s="10">
        <v>4243</v>
      </c>
      <c r="I190" s="10">
        <v>144262</v>
      </c>
      <c r="J190" t="s">
        <v>37</v>
      </c>
      <c r="K190" s="11">
        <v>648.20000000000005</v>
      </c>
      <c r="L190" s="12">
        <v>222.56</v>
      </c>
    </row>
    <row r="191" spans="1:12" x14ac:dyDescent="0.2">
      <c r="A191" s="9">
        <v>46235</v>
      </c>
      <c r="B191" t="s">
        <v>564</v>
      </c>
      <c r="C191" t="s">
        <v>565</v>
      </c>
      <c r="D191" t="s">
        <v>41</v>
      </c>
      <c r="E191" t="s">
        <v>660</v>
      </c>
      <c r="F191" t="s">
        <v>670</v>
      </c>
      <c r="G191" s="10">
        <v>12</v>
      </c>
      <c r="H191" s="10">
        <v>72395</v>
      </c>
      <c r="I191" s="10">
        <v>868740</v>
      </c>
      <c r="J191" t="s">
        <v>42</v>
      </c>
      <c r="K191" s="11">
        <v>3145.8</v>
      </c>
      <c r="L191" s="12">
        <v>276.16000000000003</v>
      </c>
    </row>
    <row r="192" spans="1:12" x14ac:dyDescent="0.2">
      <c r="A192" s="9">
        <v>46235</v>
      </c>
      <c r="B192" t="s">
        <v>567</v>
      </c>
      <c r="C192" t="s">
        <v>568</v>
      </c>
      <c r="D192" t="s">
        <v>41</v>
      </c>
      <c r="E192" t="s">
        <v>655</v>
      </c>
      <c r="F192" t="s">
        <v>665</v>
      </c>
      <c r="G192" s="10">
        <v>13</v>
      </c>
      <c r="H192" s="10">
        <v>3274</v>
      </c>
      <c r="I192" s="10">
        <v>42562</v>
      </c>
      <c r="J192" t="s">
        <v>42</v>
      </c>
      <c r="K192" s="11">
        <v>3145.8</v>
      </c>
      <c r="L192" s="12">
        <v>13.53</v>
      </c>
    </row>
    <row r="193" spans="1:12" x14ac:dyDescent="0.2">
      <c r="A193" s="9">
        <v>46235</v>
      </c>
      <c r="B193" t="s">
        <v>570</v>
      </c>
      <c r="C193" t="s">
        <v>571</v>
      </c>
      <c r="D193" t="s">
        <v>68</v>
      </c>
      <c r="E193" t="s">
        <v>653</v>
      </c>
      <c r="F193" t="s">
        <v>666</v>
      </c>
      <c r="G193" s="10">
        <v>2</v>
      </c>
      <c r="H193" s="10">
        <v>1504</v>
      </c>
      <c r="I193" s="10">
        <v>3008</v>
      </c>
      <c r="J193" t="s">
        <v>51</v>
      </c>
      <c r="K193" s="11">
        <v>648.20000000000005</v>
      </c>
      <c r="L193" s="12">
        <v>4.6399999999999997</v>
      </c>
    </row>
    <row r="194" spans="1:12" x14ac:dyDescent="0.2">
      <c r="A194" s="9">
        <v>46235</v>
      </c>
      <c r="B194" t="s">
        <v>573</v>
      </c>
      <c r="C194" t="s">
        <v>574</v>
      </c>
      <c r="D194" t="s">
        <v>41</v>
      </c>
      <c r="E194" t="s">
        <v>653</v>
      </c>
      <c r="F194" t="s">
        <v>658</v>
      </c>
      <c r="G194" s="10">
        <v>4</v>
      </c>
      <c r="H194" s="10">
        <v>13645</v>
      </c>
      <c r="I194" s="10">
        <v>54580</v>
      </c>
      <c r="J194" t="s">
        <v>42</v>
      </c>
      <c r="K194" s="11">
        <v>3145.8</v>
      </c>
      <c r="L194" s="12">
        <v>17.350000000000001</v>
      </c>
    </row>
    <row r="195" spans="1:12" x14ac:dyDescent="0.2">
      <c r="A195" s="9">
        <v>46235</v>
      </c>
      <c r="B195" t="s">
        <v>573</v>
      </c>
      <c r="C195" t="s">
        <v>574</v>
      </c>
      <c r="D195" t="s">
        <v>41</v>
      </c>
      <c r="E195" t="s">
        <v>651</v>
      </c>
      <c r="F195" t="s">
        <v>652</v>
      </c>
      <c r="G195" s="10">
        <v>5</v>
      </c>
      <c r="H195" s="10">
        <v>47982</v>
      </c>
      <c r="I195" s="10">
        <v>239910</v>
      </c>
      <c r="J195" t="s">
        <v>42</v>
      </c>
      <c r="K195" s="11">
        <v>3145.8</v>
      </c>
      <c r="L195" s="12">
        <v>76.260000000000005</v>
      </c>
    </row>
    <row r="196" spans="1:12" x14ac:dyDescent="0.2">
      <c r="A196" s="9">
        <v>46235</v>
      </c>
      <c r="B196" t="s">
        <v>590</v>
      </c>
      <c r="C196" t="s">
        <v>591</v>
      </c>
      <c r="D196" t="s">
        <v>41</v>
      </c>
      <c r="E196" t="s">
        <v>655</v>
      </c>
      <c r="F196" t="s">
        <v>665</v>
      </c>
      <c r="G196" s="10">
        <v>12</v>
      </c>
      <c r="H196" s="10">
        <v>3343</v>
      </c>
      <c r="I196" s="10">
        <v>40116</v>
      </c>
      <c r="J196" t="s">
        <v>42</v>
      </c>
      <c r="K196" s="11">
        <v>3145.8</v>
      </c>
      <c r="L196" s="12">
        <v>12.75</v>
      </c>
    </row>
    <row r="197" spans="1:12" x14ac:dyDescent="0.2">
      <c r="A197" s="9">
        <v>46235</v>
      </c>
      <c r="B197" t="s">
        <v>599</v>
      </c>
      <c r="C197" t="s">
        <v>600</v>
      </c>
      <c r="D197" t="s">
        <v>75</v>
      </c>
      <c r="E197" t="s">
        <v>653</v>
      </c>
      <c r="F197" t="s">
        <v>666</v>
      </c>
      <c r="G197" s="10">
        <v>14</v>
      </c>
      <c r="H197" s="10">
        <v>7184</v>
      </c>
      <c r="I197" s="10">
        <v>100576</v>
      </c>
      <c r="J197" t="s">
        <v>42</v>
      </c>
      <c r="K197" s="11">
        <v>3145.8</v>
      </c>
      <c r="L197" s="12">
        <v>31.97</v>
      </c>
    </row>
    <row r="198" spans="1:12" x14ac:dyDescent="0.2">
      <c r="A198" s="9">
        <v>46235</v>
      </c>
      <c r="B198" t="s">
        <v>599</v>
      </c>
      <c r="C198" t="s">
        <v>600</v>
      </c>
      <c r="D198" t="s">
        <v>75</v>
      </c>
      <c r="E198" t="s">
        <v>649</v>
      </c>
      <c r="F198" t="s">
        <v>650</v>
      </c>
      <c r="G198" s="10">
        <v>9</v>
      </c>
      <c r="H198" s="10">
        <v>90604</v>
      </c>
      <c r="I198" s="10">
        <v>815436</v>
      </c>
      <c r="J198" t="s">
        <v>42</v>
      </c>
      <c r="K198" s="11">
        <v>3145.8</v>
      </c>
      <c r="L198" s="12">
        <v>259.20999999999998</v>
      </c>
    </row>
    <row r="199" spans="1:12" x14ac:dyDescent="0.2">
      <c r="A199" s="9">
        <v>46235</v>
      </c>
      <c r="B199" t="s">
        <v>602</v>
      </c>
      <c r="C199" t="s">
        <v>603</v>
      </c>
      <c r="D199" t="s">
        <v>50</v>
      </c>
      <c r="E199" t="s">
        <v>649</v>
      </c>
      <c r="F199" t="s">
        <v>659</v>
      </c>
      <c r="G199" s="10">
        <v>3</v>
      </c>
      <c r="H199" s="10">
        <v>9164</v>
      </c>
      <c r="I199" s="10">
        <v>27492</v>
      </c>
      <c r="J199" t="s">
        <v>51</v>
      </c>
      <c r="K199" s="11">
        <v>648.20000000000005</v>
      </c>
      <c r="L199" s="12">
        <v>42.41</v>
      </c>
    </row>
    <row r="200" spans="1:12" x14ac:dyDescent="0.2">
      <c r="A200" s="9">
        <v>46235</v>
      </c>
      <c r="B200" t="s">
        <v>605</v>
      </c>
      <c r="C200" t="s">
        <v>606</v>
      </c>
      <c r="D200" t="s">
        <v>68</v>
      </c>
      <c r="E200" t="s">
        <v>647</v>
      </c>
      <c r="F200" t="s">
        <v>668</v>
      </c>
      <c r="G200" s="10">
        <v>7</v>
      </c>
      <c r="H200" s="10">
        <v>26020</v>
      </c>
      <c r="I200" s="10">
        <v>182140</v>
      </c>
      <c r="J200" t="s">
        <v>51</v>
      </c>
      <c r="K200" s="11">
        <v>648.20000000000005</v>
      </c>
      <c r="L200" s="12">
        <v>280.99</v>
      </c>
    </row>
    <row r="201" spans="1:12" x14ac:dyDescent="0.2">
      <c r="A201" s="9">
        <v>46235</v>
      </c>
      <c r="B201" t="s">
        <v>611</v>
      </c>
      <c r="C201" t="s">
        <v>612</v>
      </c>
      <c r="D201" t="s">
        <v>41</v>
      </c>
      <c r="E201" t="s">
        <v>647</v>
      </c>
      <c r="F201" t="s">
        <v>667</v>
      </c>
      <c r="G201" s="10">
        <v>3</v>
      </c>
      <c r="H201" s="10">
        <v>35324</v>
      </c>
      <c r="I201" s="10">
        <v>105972</v>
      </c>
      <c r="J201" t="s">
        <v>42</v>
      </c>
      <c r="K201" s="11">
        <v>3145.8</v>
      </c>
      <c r="L201" s="12">
        <v>33.69</v>
      </c>
    </row>
    <row r="202" spans="1:12" x14ac:dyDescent="0.2">
      <c r="A202" s="9">
        <v>46235</v>
      </c>
      <c r="B202" t="s">
        <v>611</v>
      </c>
      <c r="C202" t="s">
        <v>612</v>
      </c>
      <c r="D202" t="s">
        <v>41</v>
      </c>
      <c r="E202" t="s">
        <v>651</v>
      </c>
      <c r="F202" t="s">
        <v>657</v>
      </c>
      <c r="G202" s="10">
        <v>17</v>
      </c>
      <c r="H202" s="10">
        <v>32303</v>
      </c>
      <c r="I202" s="10">
        <v>549151</v>
      </c>
      <c r="J202" t="s">
        <v>42</v>
      </c>
      <c r="K202" s="11">
        <v>3145.8</v>
      </c>
      <c r="L202" s="12">
        <v>174.57</v>
      </c>
    </row>
    <row r="203" spans="1:12" x14ac:dyDescent="0.2">
      <c r="A203" s="9">
        <v>46235</v>
      </c>
      <c r="B203" t="s">
        <v>617</v>
      </c>
      <c r="C203" t="s">
        <v>618</v>
      </c>
      <c r="D203" t="s">
        <v>75</v>
      </c>
      <c r="E203" t="s">
        <v>649</v>
      </c>
      <c r="F203" t="s">
        <v>659</v>
      </c>
      <c r="G203" s="10">
        <v>12</v>
      </c>
      <c r="H203" s="10">
        <v>42160</v>
      </c>
      <c r="I203" s="10">
        <v>505920</v>
      </c>
      <c r="J203" t="s">
        <v>42</v>
      </c>
      <c r="K203" s="11">
        <v>3145.8</v>
      </c>
      <c r="L203" s="12">
        <v>160.82</v>
      </c>
    </row>
    <row r="204" spans="1:12" x14ac:dyDescent="0.2">
      <c r="A204" s="9">
        <v>46235</v>
      </c>
      <c r="B204" t="s">
        <v>620</v>
      </c>
      <c r="C204" t="s">
        <v>621</v>
      </c>
      <c r="D204" t="s">
        <v>50</v>
      </c>
      <c r="E204" t="s">
        <v>653</v>
      </c>
      <c r="F204" t="s">
        <v>658</v>
      </c>
      <c r="G204" s="10">
        <v>7</v>
      </c>
      <c r="H204" s="10">
        <v>2724</v>
      </c>
      <c r="I204" s="10">
        <v>19068</v>
      </c>
      <c r="J204" t="s">
        <v>51</v>
      </c>
      <c r="K204" s="11">
        <v>648.20000000000005</v>
      </c>
      <c r="L204" s="12">
        <v>29.42</v>
      </c>
    </row>
    <row r="205" spans="1:12" x14ac:dyDescent="0.2">
      <c r="A205" s="9">
        <v>46235</v>
      </c>
      <c r="B205" t="s">
        <v>626</v>
      </c>
      <c r="C205" t="s">
        <v>627</v>
      </c>
      <c r="D205" t="s">
        <v>50</v>
      </c>
      <c r="E205" t="s">
        <v>660</v>
      </c>
      <c r="F205" t="s">
        <v>661</v>
      </c>
      <c r="G205" s="10">
        <v>5</v>
      </c>
      <c r="H205" s="10">
        <v>4063</v>
      </c>
      <c r="I205" s="10">
        <v>20315</v>
      </c>
      <c r="J205" t="s">
        <v>51</v>
      </c>
      <c r="K205" s="11">
        <v>648.20000000000005</v>
      </c>
      <c r="L205" s="12">
        <v>31.34</v>
      </c>
    </row>
    <row r="206" spans="1:12" x14ac:dyDescent="0.2">
      <c r="A206" s="9">
        <v>46235</v>
      </c>
      <c r="B206" t="s">
        <v>632</v>
      </c>
      <c r="C206" t="s">
        <v>633</v>
      </c>
      <c r="D206" t="s">
        <v>68</v>
      </c>
      <c r="E206" t="s">
        <v>647</v>
      </c>
      <c r="F206" t="s">
        <v>668</v>
      </c>
      <c r="G206" s="10">
        <v>4</v>
      </c>
      <c r="H206" s="10">
        <v>25244</v>
      </c>
      <c r="I206" s="10">
        <v>100976</v>
      </c>
      <c r="J206" t="s">
        <v>51</v>
      </c>
      <c r="K206" s="11">
        <v>648.20000000000005</v>
      </c>
      <c r="L206" s="12">
        <v>155.78</v>
      </c>
    </row>
    <row r="207" spans="1:12" x14ac:dyDescent="0.2">
      <c r="A207" s="9">
        <v>46235</v>
      </c>
      <c r="B207" t="s">
        <v>635</v>
      </c>
      <c r="C207" t="s">
        <v>636</v>
      </c>
      <c r="D207" t="s">
        <v>41</v>
      </c>
      <c r="E207" t="s">
        <v>660</v>
      </c>
      <c r="F207" t="s">
        <v>669</v>
      </c>
      <c r="G207" s="10">
        <v>7</v>
      </c>
      <c r="H207" s="10">
        <v>13035</v>
      </c>
      <c r="I207" s="10">
        <v>91245</v>
      </c>
      <c r="J207" t="s">
        <v>42</v>
      </c>
      <c r="K207" s="11">
        <v>3145.8</v>
      </c>
      <c r="L207" s="12">
        <v>29.01</v>
      </c>
    </row>
    <row r="208" spans="1:12" x14ac:dyDescent="0.2">
      <c r="A208" s="9">
        <v>46235</v>
      </c>
      <c r="B208" t="s">
        <v>635</v>
      </c>
      <c r="C208" t="s">
        <v>636</v>
      </c>
      <c r="D208" t="s">
        <v>41</v>
      </c>
      <c r="E208" t="s">
        <v>660</v>
      </c>
      <c r="F208" t="s">
        <v>670</v>
      </c>
      <c r="G208" s="10">
        <v>10</v>
      </c>
      <c r="H208" s="10">
        <v>67523</v>
      </c>
      <c r="I208" s="10">
        <v>675230</v>
      </c>
      <c r="J208" t="s">
        <v>42</v>
      </c>
      <c r="K208" s="11">
        <v>3145.8</v>
      </c>
      <c r="L208" s="12">
        <v>214.64</v>
      </c>
    </row>
    <row r="209" spans="1:12" x14ac:dyDescent="0.2">
      <c r="A209" s="9">
        <v>46235</v>
      </c>
      <c r="B209" t="s">
        <v>635</v>
      </c>
      <c r="C209" t="s">
        <v>636</v>
      </c>
      <c r="D209" t="s">
        <v>41</v>
      </c>
      <c r="E209" t="s">
        <v>647</v>
      </c>
      <c r="F209" t="s">
        <v>668</v>
      </c>
      <c r="G209" s="10">
        <v>12</v>
      </c>
      <c r="H209" s="10">
        <v>123965</v>
      </c>
      <c r="I209" s="10">
        <v>1487580</v>
      </c>
      <c r="J209" t="s">
        <v>42</v>
      </c>
      <c r="K209" s="11">
        <v>3145.8</v>
      </c>
      <c r="L209" s="12">
        <v>472.88</v>
      </c>
    </row>
    <row r="210" spans="1:12" x14ac:dyDescent="0.2">
      <c r="A210" s="9">
        <v>46235</v>
      </c>
      <c r="B210" t="s">
        <v>635</v>
      </c>
      <c r="C210" t="s">
        <v>636</v>
      </c>
      <c r="D210" t="s">
        <v>41</v>
      </c>
      <c r="E210" t="s">
        <v>647</v>
      </c>
      <c r="F210" t="s">
        <v>648</v>
      </c>
      <c r="G210" s="10">
        <v>7</v>
      </c>
      <c r="H210" s="10">
        <v>77566</v>
      </c>
      <c r="I210" s="10">
        <v>542962</v>
      </c>
      <c r="J210" t="s">
        <v>42</v>
      </c>
      <c r="K210" s="11">
        <v>3145.8</v>
      </c>
      <c r="L210" s="12">
        <v>172.6</v>
      </c>
    </row>
    <row r="211" spans="1:12" x14ac:dyDescent="0.2">
      <c r="A211" s="9">
        <v>46237</v>
      </c>
      <c r="B211" t="s">
        <v>34</v>
      </c>
      <c r="C211" t="s">
        <v>35</v>
      </c>
      <c r="D211" t="s">
        <v>36</v>
      </c>
      <c r="E211" t="s">
        <v>653</v>
      </c>
      <c r="F211" t="s">
        <v>666</v>
      </c>
      <c r="G211" s="10">
        <v>6</v>
      </c>
      <c r="H211" s="10">
        <v>1494</v>
      </c>
      <c r="I211" s="10">
        <v>8964</v>
      </c>
      <c r="J211" t="s">
        <v>37</v>
      </c>
      <c r="K211" s="11">
        <v>648.20000000000005</v>
      </c>
      <c r="L211" s="12">
        <v>13.83</v>
      </c>
    </row>
    <row r="212" spans="1:12" x14ac:dyDescent="0.2">
      <c r="A212" s="9">
        <v>46237</v>
      </c>
      <c r="B212" t="s">
        <v>39</v>
      </c>
      <c r="C212" t="s">
        <v>40</v>
      </c>
      <c r="D212" t="s">
        <v>41</v>
      </c>
      <c r="E212" t="s">
        <v>655</v>
      </c>
      <c r="F212" t="s">
        <v>656</v>
      </c>
      <c r="G212" s="10">
        <v>1</v>
      </c>
      <c r="H212" s="10">
        <v>2720</v>
      </c>
      <c r="I212" s="10">
        <v>2720</v>
      </c>
      <c r="J212" t="s">
        <v>42</v>
      </c>
      <c r="K212" s="11">
        <v>3145.8</v>
      </c>
      <c r="L212" s="12">
        <v>0.86</v>
      </c>
    </row>
    <row r="213" spans="1:12" x14ac:dyDescent="0.2">
      <c r="A213" s="9">
        <v>46237</v>
      </c>
      <c r="B213" t="s">
        <v>44</v>
      </c>
      <c r="C213" t="s">
        <v>45</v>
      </c>
      <c r="D213" t="s">
        <v>46</v>
      </c>
      <c r="E213" t="s">
        <v>649</v>
      </c>
      <c r="F213" t="s">
        <v>650</v>
      </c>
      <c r="G213" s="10">
        <v>11</v>
      </c>
      <c r="H213" s="10">
        <v>19292</v>
      </c>
      <c r="I213" s="10">
        <v>212212</v>
      </c>
      <c r="J213" t="s">
        <v>37</v>
      </c>
      <c r="K213" s="11">
        <v>648.20000000000005</v>
      </c>
      <c r="L213" s="12">
        <v>327.39</v>
      </c>
    </row>
    <row r="214" spans="1:12" x14ac:dyDescent="0.2">
      <c r="A214" s="9">
        <v>46237</v>
      </c>
      <c r="B214" t="s">
        <v>44</v>
      </c>
      <c r="C214" t="s">
        <v>45</v>
      </c>
      <c r="D214" t="s">
        <v>46</v>
      </c>
      <c r="E214" t="s">
        <v>647</v>
      </c>
      <c r="F214" t="s">
        <v>648</v>
      </c>
      <c r="G214" s="10">
        <v>8</v>
      </c>
      <c r="H214" s="10">
        <v>16406</v>
      </c>
      <c r="I214" s="10">
        <v>131248</v>
      </c>
      <c r="J214" t="s">
        <v>37</v>
      </c>
      <c r="K214" s="11">
        <v>648.20000000000005</v>
      </c>
      <c r="L214" s="12">
        <v>202.48</v>
      </c>
    </row>
    <row r="215" spans="1:12" x14ac:dyDescent="0.2">
      <c r="A215" s="9">
        <v>46237</v>
      </c>
      <c r="B215" t="s">
        <v>48</v>
      </c>
      <c r="C215" t="s">
        <v>49</v>
      </c>
      <c r="D215" t="s">
        <v>50</v>
      </c>
      <c r="E215" t="s">
        <v>653</v>
      </c>
      <c r="F215" t="s">
        <v>654</v>
      </c>
      <c r="G215" s="10">
        <v>2</v>
      </c>
      <c r="H215" s="10">
        <v>5622</v>
      </c>
      <c r="I215" s="10">
        <v>11244</v>
      </c>
      <c r="J215" t="s">
        <v>51</v>
      </c>
      <c r="K215" s="11">
        <v>648.20000000000005</v>
      </c>
      <c r="L215" s="12">
        <v>17.350000000000001</v>
      </c>
    </row>
    <row r="216" spans="1:12" x14ac:dyDescent="0.2">
      <c r="A216" s="9">
        <v>46237</v>
      </c>
      <c r="B216" t="s">
        <v>60</v>
      </c>
      <c r="C216" t="s">
        <v>61</v>
      </c>
      <c r="D216" t="s">
        <v>41</v>
      </c>
      <c r="E216" t="s">
        <v>660</v>
      </c>
      <c r="F216" t="s">
        <v>670</v>
      </c>
      <c r="G216" s="10">
        <v>10</v>
      </c>
      <c r="H216" s="10">
        <v>68033</v>
      </c>
      <c r="I216" s="10">
        <v>680330</v>
      </c>
      <c r="J216" t="s">
        <v>42</v>
      </c>
      <c r="K216" s="11">
        <v>3145.8</v>
      </c>
      <c r="L216" s="12">
        <v>216.27</v>
      </c>
    </row>
    <row r="217" spans="1:12" x14ac:dyDescent="0.2">
      <c r="A217" s="9">
        <v>46237</v>
      </c>
      <c r="B217" t="s">
        <v>63</v>
      </c>
      <c r="C217" t="s">
        <v>64</v>
      </c>
      <c r="D217" t="s">
        <v>50</v>
      </c>
      <c r="E217" t="s">
        <v>660</v>
      </c>
      <c r="F217" t="s">
        <v>661</v>
      </c>
      <c r="G217" s="10">
        <v>56</v>
      </c>
      <c r="H217" s="10">
        <v>4299</v>
      </c>
      <c r="I217" s="10">
        <v>240744</v>
      </c>
      <c r="J217" t="s">
        <v>51</v>
      </c>
      <c r="K217" s="11">
        <v>648.20000000000005</v>
      </c>
      <c r="L217" s="12">
        <v>371.4</v>
      </c>
    </row>
    <row r="218" spans="1:12" x14ac:dyDescent="0.2">
      <c r="A218" s="9">
        <v>46237</v>
      </c>
      <c r="B218" t="s">
        <v>70</v>
      </c>
      <c r="C218" t="s">
        <v>71</v>
      </c>
      <c r="D218" t="s">
        <v>46</v>
      </c>
      <c r="E218" t="s">
        <v>653</v>
      </c>
      <c r="F218" t="s">
        <v>666</v>
      </c>
      <c r="G218" s="10">
        <v>7</v>
      </c>
      <c r="H218" s="10">
        <v>1531</v>
      </c>
      <c r="I218" s="10">
        <v>10717</v>
      </c>
      <c r="J218" t="s">
        <v>37</v>
      </c>
      <c r="K218" s="11">
        <v>648.20000000000005</v>
      </c>
      <c r="L218" s="12">
        <v>16.53</v>
      </c>
    </row>
    <row r="219" spans="1:12" x14ac:dyDescent="0.2">
      <c r="A219" s="9">
        <v>46237</v>
      </c>
      <c r="B219" t="s">
        <v>73</v>
      </c>
      <c r="C219" t="s">
        <v>74</v>
      </c>
      <c r="D219" t="s">
        <v>75</v>
      </c>
      <c r="E219" t="s">
        <v>660</v>
      </c>
      <c r="F219" t="s">
        <v>669</v>
      </c>
      <c r="G219" s="10">
        <v>25</v>
      </c>
      <c r="H219" s="10">
        <v>12439</v>
      </c>
      <c r="I219" s="10">
        <v>310975</v>
      </c>
      <c r="J219" t="s">
        <v>42</v>
      </c>
      <c r="K219" s="11">
        <v>3145.8</v>
      </c>
      <c r="L219" s="12">
        <v>98.85</v>
      </c>
    </row>
    <row r="220" spans="1:12" x14ac:dyDescent="0.2">
      <c r="A220" s="9">
        <v>46237</v>
      </c>
      <c r="B220" t="s">
        <v>73</v>
      </c>
      <c r="C220" t="s">
        <v>74</v>
      </c>
      <c r="D220" t="s">
        <v>75</v>
      </c>
      <c r="E220" t="s">
        <v>653</v>
      </c>
      <c r="F220" t="s">
        <v>654</v>
      </c>
      <c r="G220" s="10">
        <v>74</v>
      </c>
      <c r="H220" s="10">
        <v>26673</v>
      </c>
      <c r="I220" s="10">
        <v>1973802</v>
      </c>
      <c r="J220" t="s">
        <v>42</v>
      </c>
      <c r="K220" s="11">
        <v>3145.8</v>
      </c>
      <c r="L220" s="12">
        <v>627.44000000000005</v>
      </c>
    </row>
    <row r="221" spans="1:12" x14ac:dyDescent="0.2">
      <c r="A221" s="9">
        <v>46237</v>
      </c>
      <c r="B221" t="s">
        <v>73</v>
      </c>
      <c r="C221" t="s">
        <v>74</v>
      </c>
      <c r="D221" t="s">
        <v>75</v>
      </c>
      <c r="E221" t="s">
        <v>647</v>
      </c>
      <c r="F221" t="s">
        <v>648</v>
      </c>
      <c r="G221" s="10">
        <v>26</v>
      </c>
      <c r="H221" s="10">
        <v>80916</v>
      </c>
      <c r="I221" s="10">
        <v>2103816</v>
      </c>
      <c r="J221" t="s">
        <v>42</v>
      </c>
      <c r="K221" s="11">
        <v>3145.8</v>
      </c>
      <c r="L221" s="12">
        <v>668.77</v>
      </c>
    </row>
    <row r="222" spans="1:12" x14ac:dyDescent="0.2">
      <c r="A222" s="9">
        <v>46237</v>
      </c>
      <c r="B222" t="s">
        <v>77</v>
      </c>
      <c r="C222" t="s">
        <v>78</v>
      </c>
      <c r="D222" t="s">
        <v>50</v>
      </c>
      <c r="E222" t="s">
        <v>653</v>
      </c>
      <c r="F222" t="s">
        <v>654</v>
      </c>
      <c r="G222" s="10">
        <v>11</v>
      </c>
      <c r="H222" s="10">
        <v>5544</v>
      </c>
      <c r="I222" s="10">
        <v>60984</v>
      </c>
      <c r="J222" t="s">
        <v>51</v>
      </c>
      <c r="K222" s="11">
        <v>648.20000000000005</v>
      </c>
      <c r="L222" s="12">
        <v>94.08</v>
      </c>
    </row>
    <row r="223" spans="1:12" x14ac:dyDescent="0.2">
      <c r="A223" s="9">
        <v>46237</v>
      </c>
      <c r="B223" t="s">
        <v>77</v>
      </c>
      <c r="C223" t="s">
        <v>78</v>
      </c>
      <c r="D223" t="s">
        <v>50</v>
      </c>
      <c r="E223" t="s">
        <v>647</v>
      </c>
      <c r="F223" t="s">
        <v>648</v>
      </c>
      <c r="G223" s="10">
        <v>24</v>
      </c>
      <c r="H223" s="10">
        <v>16171</v>
      </c>
      <c r="I223" s="10">
        <v>388104</v>
      </c>
      <c r="J223" t="s">
        <v>51</v>
      </c>
      <c r="K223" s="11">
        <v>648.20000000000005</v>
      </c>
      <c r="L223" s="12">
        <v>598.74</v>
      </c>
    </row>
    <row r="224" spans="1:12" x14ac:dyDescent="0.2">
      <c r="A224" s="9">
        <v>46237</v>
      </c>
      <c r="B224" t="s">
        <v>86</v>
      </c>
      <c r="C224" t="s">
        <v>87</v>
      </c>
      <c r="D224" t="s">
        <v>50</v>
      </c>
      <c r="E224" t="s">
        <v>649</v>
      </c>
      <c r="F224" t="s">
        <v>659</v>
      </c>
      <c r="G224" s="10">
        <v>5</v>
      </c>
      <c r="H224" s="10">
        <v>8838</v>
      </c>
      <c r="I224" s="10">
        <v>44190</v>
      </c>
      <c r="J224" t="s">
        <v>51</v>
      </c>
      <c r="K224" s="11">
        <v>648.20000000000005</v>
      </c>
      <c r="L224" s="12">
        <v>68.17</v>
      </c>
    </row>
    <row r="225" spans="1:12" x14ac:dyDescent="0.2">
      <c r="A225" s="9">
        <v>46237</v>
      </c>
      <c r="B225" t="s">
        <v>89</v>
      </c>
      <c r="C225" t="s">
        <v>90</v>
      </c>
      <c r="D225" t="s">
        <v>68</v>
      </c>
      <c r="E225" t="s">
        <v>651</v>
      </c>
      <c r="F225" t="s">
        <v>664</v>
      </c>
      <c r="G225" s="10">
        <v>63</v>
      </c>
      <c r="H225" s="10">
        <v>12054</v>
      </c>
      <c r="I225" s="10">
        <v>759402</v>
      </c>
      <c r="J225" t="s">
        <v>51</v>
      </c>
      <c r="K225" s="11">
        <v>648.20000000000005</v>
      </c>
      <c r="L225" s="12">
        <v>1171.56</v>
      </c>
    </row>
    <row r="226" spans="1:12" x14ac:dyDescent="0.2">
      <c r="A226" s="9">
        <v>46237</v>
      </c>
      <c r="B226" t="s">
        <v>102</v>
      </c>
      <c r="C226" t="s">
        <v>103</v>
      </c>
      <c r="D226" t="s">
        <v>41</v>
      </c>
      <c r="E226" t="s">
        <v>653</v>
      </c>
      <c r="F226" t="s">
        <v>654</v>
      </c>
      <c r="G226" s="10">
        <v>6</v>
      </c>
      <c r="H226" s="10">
        <v>28196</v>
      </c>
      <c r="I226" s="10">
        <v>169176</v>
      </c>
      <c r="J226" t="s">
        <v>42</v>
      </c>
      <c r="K226" s="11">
        <v>3145.8</v>
      </c>
      <c r="L226" s="12">
        <v>53.78</v>
      </c>
    </row>
    <row r="227" spans="1:12" x14ac:dyDescent="0.2">
      <c r="A227" s="9">
        <v>46237</v>
      </c>
      <c r="B227" t="s">
        <v>108</v>
      </c>
      <c r="C227" t="s">
        <v>109</v>
      </c>
      <c r="D227" t="s">
        <v>36</v>
      </c>
      <c r="E227" t="s">
        <v>647</v>
      </c>
      <c r="F227" t="s">
        <v>648</v>
      </c>
      <c r="G227" s="10">
        <v>20</v>
      </c>
      <c r="H227" s="10">
        <v>16542</v>
      </c>
      <c r="I227" s="10">
        <v>330840</v>
      </c>
      <c r="J227" t="s">
        <v>37</v>
      </c>
      <c r="K227" s="11">
        <v>648.20000000000005</v>
      </c>
      <c r="L227" s="12">
        <v>510.4</v>
      </c>
    </row>
    <row r="228" spans="1:12" x14ac:dyDescent="0.2">
      <c r="A228" s="9">
        <v>46237</v>
      </c>
      <c r="B228" t="s">
        <v>111</v>
      </c>
      <c r="C228" t="s">
        <v>112</v>
      </c>
      <c r="D228" t="s">
        <v>41</v>
      </c>
      <c r="E228" t="s">
        <v>651</v>
      </c>
      <c r="F228" t="s">
        <v>657</v>
      </c>
      <c r="G228" s="10">
        <v>23</v>
      </c>
      <c r="H228" s="10">
        <v>30005</v>
      </c>
      <c r="I228" s="10">
        <v>690115</v>
      </c>
      <c r="J228" t="s">
        <v>42</v>
      </c>
      <c r="K228" s="11">
        <v>3145.8</v>
      </c>
      <c r="L228" s="12">
        <v>219.38</v>
      </c>
    </row>
    <row r="229" spans="1:12" x14ac:dyDescent="0.2">
      <c r="A229" s="9">
        <v>46237</v>
      </c>
      <c r="B229" t="s">
        <v>118</v>
      </c>
      <c r="C229" t="s">
        <v>119</v>
      </c>
      <c r="D229" t="s">
        <v>36</v>
      </c>
      <c r="E229" t="s">
        <v>649</v>
      </c>
      <c r="F229" t="s">
        <v>663</v>
      </c>
      <c r="G229" s="10">
        <v>54</v>
      </c>
      <c r="H229" s="10">
        <v>2023</v>
      </c>
      <c r="I229" s="10">
        <v>109242</v>
      </c>
      <c r="J229" t="s">
        <v>37</v>
      </c>
      <c r="K229" s="11">
        <v>648.20000000000005</v>
      </c>
      <c r="L229" s="12">
        <v>168.53</v>
      </c>
    </row>
    <row r="230" spans="1:12" x14ac:dyDescent="0.2">
      <c r="A230" s="9">
        <v>46237</v>
      </c>
      <c r="B230" t="s">
        <v>118</v>
      </c>
      <c r="C230" t="s">
        <v>119</v>
      </c>
      <c r="D230" t="s">
        <v>36</v>
      </c>
      <c r="E230" t="s">
        <v>660</v>
      </c>
      <c r="F230" t="s">
        <v>670</v>
      </c>
      <c r="G230" s="10">
        <v>77</v>
      </c>
      <c r="H230" s="10">
        <v>13957</v>
      </c>
      <c r="I230" s="10">
        <v>1074689</v>
      </c>
      <c r="J230" t="s">
        <v>37</v>
      </c>
      <c r="K230" s="11">
        <v>648.20000000000005</v>
      </c>
      <c r="L230" s="12">
        <v>1657.96</v>
      </c>
    </row>
    <row r="231" spans="1:12" x14ac:dyDescent="0.2">
      <c r="A231" s="9">
        <v>46237</v>
      </c>
      <c r="B231" t="s">
        <v>118</v>
      </c>
      <c r="C231" t="s">
        <v>119</v>
      </c>
      <c r="D231" t="s">
        <v>36</v>
      </c>
      <c r="E231" t="s">
        <v>655</v>
      </c>
      <c r="F231" t="s">
        <v>656</v>
      </c>
      <c r="G231" s="10">
        <v>16</v>
      </c>
      <c r="H231" s="10">
        <v>592</v>
      </c>
      <c r="I231" s="10">
        <v>9472</v>
      </c>
      <c r="J231" t="s">
        <v>37</v>
      </c>
      <c r="K231" s="11">
        <v>648.20000000000005</v>
      </c>
      <c r="L231" s="12">
        <v>14.61</v>
      </c>
    </row>
    <row r="232" spans="1:12" x14ac:dyDescent="0.2">
      <c r="A232" s="9">
        <v>46237</v>
      </c>
      <c r="B232" t="s">
        <v>121</v>
      </c>
      <c r="C232" t="s">
        <v>122</v>
      </c>
      <c r="D232" t="s">
        <v>75</v>
      </c>
      <c r="E232" t="s">
        <v>649</v>
      </c>
      <c r="F232" t="s">
        <v>650</v>
      </c>
      <c r="G232" s="10">
        <v>19</v>
      </c>
      <c r="H232" s="10">
        <v>90367</v>
      </c>
      <c r="I232" s="10">
        <v>1716973</v>
      </c>
      <c r="J232" t="s">
        <v>42</v>
      </c>
      <c r="K232" s="11">
        <v>3145.8</v>
      </c>
      <c r="L232" s="12">
        <v>545.79999999999995</v>
      </c>
    </row>
    <row r="233" spans="1:12" x14ac:dyDescent="0.2">
      <c r="A233" s="9">
        <v>46237</v>
      </c>
      <c r="B233" t="s">
        <v>121</v>
      </c>
      <c r="C233" t="s">
        <v>122</v>
      </c>
      <c r="D233" t="s">
        <v>75</v>
      </c>
      <c r="E233" t="s">
        <v>649</v>
      </c>
      <c r="F233" t="s">
        <v>650</v>
      </c>
      <c r="G233" s="10">
        <v>2</v>
      </c>
      <c r="H233" s="10">
        <v>91769</v>
      </c>
      <c r="I233" s="10">
        <v>183538</v>
      </c>
      <c r="J233" t="s">
        <v>42</v>
      </c>
      <c r="K233" s="11">
        <v>3145.8</v>
      </c>
      <c r="L233" s="12">
        <v>58.34</v>
      </c>
    </row>
    <row r="234" spans="1:12" x14ac:dyDescent="0.2">
      <c r="A234" s="9">
        <v>46237</v>
      </c>
      <c r="B234" t="s">
        <v>121</v>
      </c>
      <c r="C234" t="s">
        <v>122</v>
      </c>
      <c r="D234" t="s">
        <v>75</v>
      </c>
      <c r="E234" t="s">
        <v>660</v>
      </c>
      <c r="F234" t="s">
        <v>661</v>
      </c>
      <c r="G234" s="10">
        <v>14</v>
      </c>
      <c r="H234" s="10">
        <v>20789</v>
      </c>
      <c r="I234" s="10">
        <v>291046</v>
      </c>
      <c r="J234" t="s">
        <v>42</v>
      </c>
      <c r="K234" s="11">
        <v>3145.8</v>
      </c>
      <c r="L234" s="12">
        <v>92.52</v>
      </c>
    </row>
    <row r="235" spans="1:12" x14ac:dyDescent="0.2">
      <c r="A235" s="9">
        <v>46237</v>
      </c>
      <c r="B235" t="s">
        <v>133</v>
      </c>
      <c r="C235" t="s">
        <v>134</v>
      </c>
      <c r="D235" t="s">
        <v>41</v>
      </c>
      <c r="E235" t="s">
        <v>649</v>
      </c>
      <c r="F235" t="s">
        <v>663</v>
      </c>
      <c r="G235" s="10">
        <v>9</v>
      </c>
      <c r="H235" s="10">
        <v>10032</v>
      </c>
      <c r="I235" s="10">
        <v>90288</v>
      </c>
      <c r="J235" t="s">
        <v>42</v>
      </c>
      <c r="K235" s="11">
        <v>3145.8</v>
      </c>
      <c r="L235" s="12">
        <v>28.7</v>
      </c>
    </row>
    <row r="236" spans="1:12" x14ac:dyDescent="0.2">
      <c r="A236" s="9">
        <v>46237</v>
      </c>
      <c r="B236" t="s">
        <v>133</v>
      </c>
      <c r="C236" t="s">
        <v>134</v>
      </c>
      <c r="D236" t="s">
        <v>41</v>
      </c>
      <c r="E236" t="s">
        <v>655</v>
      </c>
      <c r="F236" t="s">
        <v>665</v>
      </c>
      <c r="G236" s="10">
        <v>6</v>
      </c>
      <c r="H236" s="10">
        <v>3325</v>
      </c>
      <c r="I236" s="10">
        <v>19950</v>
      </c>
      <c r="J236" t="s">
        <v>42</v>
      </c>
      <c r="K236" s="11">
        <v>3145.8</v>
      </c>
      <c r="L236" s="12">
        <v>6.34</v>
      </c>
    </row>
    <row r="237" spans="1:12" x14ac:dyDescent="0.2">
      <c r="A237" s="9">
        <v>46237</v>
      </c>
      <c r="B237" t="s">
        <v>142</v>
      </c>
      <c r="C237" t="s">
        <v>143</v>
      </c>
      <c r="D237" t="s">
        <v>75</v>
      </c>
      <c r="E237" t="s">
        <v>649</v>
      </c>
      <c r="F237" t="s">
        <v>663</v>
      </c>
      <c r="G237" s="10">
        <v>13</v>
      </c>
      <c r="H237" s="10">
        <v>9581</v>
      </c>
      <c r="I237" s="10">
        <v>124553</v>
      </c>
      <c r="J237" t="s">
        <v>42</v>
      </c>
      <c r="K237" s="11">
        <v>3145.8</v>
      </c>
      <c r="L237" s="12">
        <v>39.590000000000003</v>
      </c>
    </row>
    <row r="238" spans="1:12" x14ac:dyDescent="0.2">
      <c r="A238" s="9">
        <v>46237</v>
      </c>
      <c r="B238" t="s">
        <v>142</v>
      </c>
      <c r="C238" t="s">
        <v>143</v>
      </c>
      <c r="D238" t="s">
        <v>75</v>
      </c>
      <c r="E238" t="s">
        <v>660</v>
      </c>
      <c r="F238" t="s">
        <v>670</v>
      </c>
      <c r="G238" s="10">
        <v>25</v>
      </c>
      <c r="H238" s="10">
        <v>68893</v>
      </c>
      <c r="I238" s="10">
        <v>1722325</v>
      </c>
      <c r="J238" t="s">
        <v>42</v>
      </c>
      <c r="K238" s="11">
        <v>3145.8</v>
      </c>
      <c r="L238" s="12">
        <v>547.5</v>
      </c>
    </row>
    <row r="239" spans="1:12" x14ac:dyDescent="0.2">
      <c r="A239" s="9">
        <v>46237</v>
      </c>
      <c r="B239" t="s">
        <v>142</v>
      </c>
      <c r="C239" t="s">
        <v>143</v>
      </c>
      <c r="D239" t="s">
        <v>75</v>
      </c>
      <c r="E239" t="s">
        <v>647</v>
      </c>
      <c r="F239" t="s">
        <v>667</v>
      </c>
      <c r="G239" s="10">
        <v>5</v>
      </c>
      <c r="H239" s="10">
        <v>35890</v>
      </c>
      <c r="I239" s="10">
        <v>179450</v>
      </c>
      <c r="J239" t="s">
        <v>42</v>
      </c>
      <c r="K239" s="11">
        <v>3145.8</v>
      </c>
      <c r="L239" s="12">
        <v>57.04</v>
      </c>
    </row>
    <row r="240" spans="1:12" x14ac:dyDescent="0.2">
      <c r="A240" s="9">
        <v>46237</v>
      </c>
      <c r="B240" t="s">
        <v>149</v>
      </c>
      <c r="C240" t="s">
        <v>150</v>
      </c>
      <c r="D240" t="s">
        <v>50</v>
      </c>
      <c r="E240" t="s">
        <v>655</v>
      </c>
      <c r="F240" t="s">
        <v>662</v>
      </c>
      <c r="G240" s="10">
        <v>1</v>
      </c>
      <c r="H240" s="10">
        <v>1111</v>
      </c>
      <c r="I240" s="10">
        <v>1111</v>
      </c>
      <c r="J240" t="s">
        <v>51</v>
      </c>
      <c r="K240" s="11">
        <v>648.20000000000005</v>
      </c>
      <c r="L240" s="12">
        <v>1.71</v>
      </c>
    </row>
    <row r="241" spans="1:12" x14ac:dyDescent="0.2">
      <c r="A241" s="9">
        <v>46237</v>
      </c>
      <c r="B241" t="s">
        <v>149</v>
      </c>
      <c r="C241" t="s">
        <v>150</v>
      </c>
      <c r="D241" t="s">
        <v>50</v>
      </c>
      <c r="E241" t="s">
        <v>647</v>
      </c>
      <c r="F241" t="s">
        <v>668</v>
      </c>
      <c r="G241" s="10">
        <v>4</v>
      </c>
      <c r="H241" s="10">
        <v>25486</v>
      </c>
      <c r="I241" s="10">
        <v>101944</v>
      </c>
      <c r="J241" t="s">
        <v>51</v>
      </c>
      <c r="K241" s="11">
        <v>648.20000000000005</v>
      </c>
      <c r="L241" s="12">
        <v>157.27000000000001</v>
      </c>
    </row>
    <row r="242" spans="1:12" x14ac:dyDescent="0.2">
      <c r="A242" s="9">
        <v>46237</v>
      </c>
      <c r="B242" t="s">
        <v>152</v>
      </c>
      <c r="C242" t="s">
        <v>153</v>
      </c>
      <c r="D242" t="s">
        <v>75</v>
      </c>
      <c r="E242" t="s">
        <v>647</v>
      </c>
      <c r="F242" t="s">
        <v>667</v>
      </c>
      <c r="G242" s="10">
        <v>12</v>
      </c>
      <c r="H242" s="10">
        <v>36566</v>
      </c>
      <c r="I242" s="10">
        <v>438792</v>
      </c>
      <c r="J242" t="s">
        <v>42</v>
      </c>
      <c r="K242" s="11">
        <v>3145.8</v>
      </c>
      <c r="L242" s="12">
        <v>139.49</v>
      </c>
    </row>
    <row r="243" spans="1:12" x14ac:dyDescent="0.2">
      <c r="A243" s="9">
        <v>46237</v>
      </c>
      <c r="B243" t="s">
        <v>155</v>
      </c>
      <c r="C243" t="s">
        <v>156</v>
      </c>
      <c r="D243" t="s">
        <v>46</v>
      </c>
      <c r="E243" t="s">
        <v>655</v>
      </c>
      <c r="F243" t="s">
        <v>656</v>
      </c>
      <c r="G243" s="10">
        <v>26</v>
      </c>
      <c r="H243" s="10">
        <v>578</v>
      </c>
      <c r="I243" s="10">
        <v>15028</v>
      </c>
      <c r="J243" t="s">
        <v>37</v>
      </c>
      <c r="K243" s="11">
        <v>648.20000000000005</v>
      </c>
      <c r="L243" s="12">
        <v>23.18</v>
      </c>
    </row>
    <row r="244" spans="1:12" x14ac:dyDescent="0.2">
      <c r="A244" s="9">
        <v>46237</v>
      </c>
      <c r="B244" t="s">
        <v>158</v>
      </c>
      <c r="C244" t="s">
        <v>159</v>
      </c>
      <c r="D244" t="s">
        <v>41</v>
      </c>
      <c r="E244" t="s">
        <v>649</v>
      </c>
      <c r="F244" t="s">
        <v>650</v>
      </c>
      <c r="G244" s="10">
        <v>16</v>
      </c>
      <c r="H244" s="10">
        <v>94523</v>
      </c>
      <c r="I244" s="10">
        <v>1512368</v>
      </c>
      <c r="J244" t="s">
        <v>42</v>
      </c>
      <c r="K244" s="11">
        <v>3145.8</v>
      </c>
      <c r="L244" s="12">
        <v>480.76</v>
      </c>
    </row>
    <row r="245" spans="1:12" x14ac:dyDescent="0.2">
      <c r="A245" s="9">
        <v>46237</v>
      </c>
      <c r="B245" t="s">
        <v>158</v>
      </c>
      <c r="C245" t="s">
        <v>159</v>
      </c>
      <c r="D245" t="s">
        <v>41</v>
      </c>
      <c r="E245" t="s">
        <v>651</v>
      </c>
      <c r="F245" t="s">
        <v>664</v>
      </c>
      <c r="G245" s="10">
        <v>10</v>
      </c>
      <c r="H245" s="10">
        <v>59179</v>
      </c>
      <c r="I245" s="10">
        <v>591790</v>
      </c>
      <c r="J245" t="s">
        <v>42</v>
      </c>
      <c r="K245" s="11">
        <v>3145.8</v>
      </c>
      <c r="L245" s="12">
        <v>188.12</v>
      </c>
    </row>
    <row r="246" spans="1:12" x14ac:dyDescent="0.2">
      <c r="A246" s="9">
        <v>46237</v>
      </c>
      <c r="B246" t="s">
        <v>163</v>
      </c>
      <c r="C246" t="s">
        <v>164</v>
      </c>
      <c r="D246" t="s">
        <v>41</v>
      </c>
      <c r="E246" t="s">
        <v>653</v>
      </c>
      <c r="F246" t="s">
        <v>654</v>
      </c>
      <c r="G246" s="10">
        <v>14</v>
      </c>
      <c r="H246" s="10">
        <v>26639</v>
      </c>
      <c r="I246" s="10">
        <v>372946</v>
      </c>
      <c r="J246" t="s">
        <v>42</v>
      </c>
      <c r="K246" s="11">
        <v>3145.8</v>
      </c>
      <c r="L246" s="12">
        <v>118.55</v>
      </c>
    </row>
    <row r="247" spans="1:12" x14ac:dyDescent="0.2">
      <c r="A247" s="9">
        <v>46237</v>
      </c>
      <c r="B247" t="s">
        <v>163</v>
      </c>
      <c r="C247" t="s">
        <v>164</v>
      </c>
      <c r="D247" t="s">
        <v>41</v>
      </c>
      <c r="E247" t="s">
        <v>647</v>
      </c>
      <c r="F247" t="s">
        <v>667</v>
      </c>
      <c r="G247" s="10">
        <v>6</v>
      </c>
      <c r="H247" s="10">
        <v>35055</v>
      </c>
      <c r="I247" s="10">
        <v>210330</v>
      </c>
      <c r="J247" t="s">
        <v>42</v>
      </c>
      <c r="K247" s="11">
        <v>3145.8</v>
      </c>
      <c r="L247" s="12">
        <v>66.86</v>
      </c>
    </row>
    <row r="248" spans="1:12" x14ac:dyDescent="0.2">
      <c r="A248" s="9">
        <v>46237</v>
      </c>
      <c r="B248" t="s">
        <v>166</v>
      </c>
      <c r="C248" t="s">
        <v>167</v>
      </c>
      <c r="D248" t="s">
        <v>46</v>
      </c>
      <c r="E248" t="s">
        <v>653</v>
      </c>
      <c r="F248" t="s">
        <v>666</v>
      </c>
      <c r="G248" s="10">
        <v>8</v>
      </c>
      <c r="H248" s="10">
        <v>1453</v>
      </c>
      <c r="I248" s="10">
        <v>11624</v>
      </c>
      <c r="J248" t="s">
        <v>37</v>
      </c>
      <c r="K248" s="11">
        <v>648.20000000000005</v>
      </c>
      <c r="L248" s="12">
        <v>17.93</v>
      </c>
    </row>
    <row r="249" spans="1:12" x14ac:dyDescent="0.2">
      <c r="A249" s="9">
        <v>46237</v>
      </c>
      <c r="B249" t="s">
        <v>166</v>
      </c>
      <c r="C249" t="s">
        <v>167</v>
      </c>
      <c r="D249" t="s">
        <v>46</v>
      </c>
      <c r="E249" t="s">
        <v>660</v>
      </c>
      <c r="F249" t="s">
        <v>670</v>
      </c>
      <c r="G249" s="10">
        <v>1</v>
      </c>
      <c r="H249" s="10">
        <v>14044</v>
      </c>
      <c r="I249" s="10">
        <v>14044</v>
      </c>
      <c r="J249" t="s">
        <v>37</v>
      </c>
      <c r="K249" s="11">
        <v>648.20000000000005</v>
      </c>
      <c r="L249" s="12">
        <v>21.67</v>
      </c>
    </row>
    <row r="250" spans="1:12" x14ac:dyDescent="0.2">
      <c r="A250" s="9">
        <v>46237</v>
      </c>
      <c r="B250" t="s">
        <v>169</v>
      </c>
      <c r="C250" t="s">
        <v>170</v>
      </c>
      <c r="D250" t="s">
        <v>41</v>
      </c>
      <c r="E250" t="s">
        <v>647</v>
      </c>
      <c r="F250" t="s">
        <v>667</v>
      </c>
      <c r="G250" s="10">
        <v>3</v>
      </c>
      <c r="H250" s="10">
        <v>35162</v>
      </c>
      <c r="I250" s="10">
        <v>105486</v>
      </c>
      <c r="J250" t="s">
        <v>42</v>
      </c>
      <c r="K250" s="11">
        <v>3145.8</v>
      </c>
      <c r="L250" s="12">
        <v>33.53</v>
      </c>
    </row>
    <row r="251" spans="1:12" x14ac:dyDescent="0.2">
      <c r="A251" s="9">
        <v>46237</v>
      </c>
      <c r="B251" t="s">
        <v>169</v>
      </c>
      <c r="C251" t="s">
        <v>170</v>
      </c>
      <c r="D251" t="s">
        <v>41</v>
      </c>
      <c r="E251" t="s">
        <v>647</v>
      </c>
      <c r="F251" t="s">
        <v>667</v>
      </c>
      <c r="G251" s="10">
        <v>10</v>
      </c>
      <c r="H251" s="10">
        <v>34880</v>
      </c>
      <c r="I251" s="10">
        <v>348800</v>
      </c>
      <c r="J251" t="s">
        <v>42</v>
      </c>
      <c r="K251" s="11">
        <v>3145.8</v>
      </c>
      <c r="L251" s="12">
        <v>110.88</v>
      </c>
    </row>
    <row r="252" spans="1:12" x14ac:dyDescent="0.2">
      <c r="A252" s="9">
        <v>46237</v>
      </c>
      <c r="B252" t="s">
        <v>175</v>
      </c>
      <c r="C252" t="s">
        <v>176</v>
      </c>
      <c r="D252" t="s">
        <v>50</v>
      </c>
      <c r="E252" t="s">
        <v>647</v>
      </c>
      <c r="F252" t="s">
        <v>648</v>
      </c>
      <c r="G252" s="10">
        <v>19</v>
      </c>
      <c r="H252" s="10">
        <v>15712</v>
      </c>
      <c r="I252" s="10">
        <v>298528</v>
      </c>
      <c r="J252" t="s">
        <v>51</v>
      </c>
      <c r="K252" s="11">
        <v>648.20000000000005</v>
      </c>
      <c r="L252" s="12">
        <v>460.55</v>
      </c>
    </row>
    <row r="253" spans="1:12" x14ac:dyDescent="0.2">
      <c r="A253" s="9">
        <v>46237</v>
      </c>
      <c r="B253" t="s">
        <v>184</v>
      </c>
      <c r="C253" t="s">
        <v>185</v>
      </c>
      <c r="D253" t="s">
        <v>41</v>
      </c>
      <c r="E253" t="s">
        <v>660</v>
      </c>
      <c r="F253" t="s">
        <v>669</v>
      </c>
      <c r="G253" s="10">
        <v>2</v>
      </c>
      <c r="H253" s="10">
        <v>12092</v>
      </c>
      <c r="I253" s="10">
        <v>24184</v>
      </c>
      <c r="J253" t="s">
        <v>42</v>
      </c>
      <c r="K253" s="11">
        <v>3145.8</v>
      </c>
      <c r="L253" s="12">
        <v>7.69</v>
      </c>
    </row>
    <row r="254" spans="1:12" x14ac:dyDescent="0.2">
      <c r="A254" s="9">
        <v>46237</v>
      </c>
      <c r="B254" t="s">
        <v>190</v>
      </c>
      <c r="C254" t="s">
        <v>191</v>
      </c>
      <c r="D254" t="s">
        <v>68</v>
      </c>
      <c r="E254" t="s">
        <v>647</v>
      </c>
      <c r="F254" t="s">
        <v>668</v>
      </c>
      <c r="G254" s="10">
        <v>3</v>
      </c>
      <c r="H254" s="10">
        <v>25837</v>
      </c>
      <c r="I254" s="10">
        <v>77511</v>
      </c>
      <c r="J254" t="s">
        <v>51</v>
      </c>
      <c r="K254" s="11">
        <v>648.20000000000005</v>
      </c>
      <c r="L254" s="12">
        <v>119.58</v>
      </c>
    </row>
    <row r="255" spans="1:12" x14ac:dyDescent="0.2">
      <c r="A255" s="9">
        <v>46237</v>
      </c>
      <c r="B255" t="s">
        <v>193</v>
      </c>
      <c r="C255" t="s">
        <v>194</v>
      </c>
      <c r="D255" t="s">
        <v>68</v>
      </c>
      <c r="E255" t="s">
        <v>649</v>
      </c>
      <c r="F255" t="s">
        <v>650</v>
      </c>
      <c r="G255" s="10">
        <v>1</v>
      </c>
      <c r="H255" s="10">
        <v>19908</v>
      </c>
      <c r="I255" s="10">
        <v>19908</v>
      </c>
      <c r="J255" t="s">
        <v>51</v>
      </c>
      <c r="K255" s="11">
        <v>648.20000000000005</v>
      </c>
      <c r="L255" s="12">
        <v>30.71</v>
      </c>
    </row>
    <row r="256" spans="1:12" x14ac:dyDescent="0.2">
      <c r="A256" s="9">
        <v>46237</v>
      </c>
      <c r="B256" t="s">
        <v>196</v>
      </c>
      <c r="C256" t="s">
        <v>197</v>
      </c>
      <c r="D256" t="s">
        <v>46</v>
      </c>
      <c r="E256" t="s">
        <v>660</v>
      </c>
      <c r="F256" t="s">
        <v>669</v>
      </c>
      <c r="G256" s="10">
        <v>25</v>
      </c>
      <c r="H256" s="10">
        <v>2598</v>
      </c>
      <c r="I256" s="10">
        <v>64950</v>
      </c>
      <c r="J256" t="s">
        <v>37</v>
      </c>
      <c r="K256" s="11">
        <v>648.20000000000005</v>
      </c>
      <c r="L256" s="12">
        <v>100.2</v>
      </c>
    </row>
    <row r="257" spans="1:12" x14ac:dyDescent="0.2">
      <c r="A257" s="9">
        <v>46237</v>
      </c>
      <c r="B257" t="s">
        <v>196</v>
      </c>
      <c r="C257" t="s">
        <v>197</v>
      </c>
      <c r="D257" t="s">
        <v>46</v>
      </c>
      <c r="E257" t="s">
        <v>651</v>
      </c>
      <c r="F257" t="s">
        <v>657</v>
      </c>
      <c r="G257" s="10">
        <v>17</v>
      </c>
      <c r="H257" s="10">
        <v>6184</v>
      </c>
      <c r="I257" s="10">
        <v>105128</v>
      </c>
      <c r="J257" t="s">
        <v>37</v>
      </c>
      <c r="K257" s="11">
        <v>648.20000000000005</v>
      </c>
      <c r="L257" s="12">
        <v>162.18</v>
      </c>
    </row>
    <row r="258" spans="1:12" x14ac:dyDescent="0.2">
      <c r="A258" s="9">
        <v>46237</v>
      </c>
      <c r="B258" t="s">
        <v>199</v>
      </c>
      <c r="C258" t="s">
        <v>200</v>
      </c>
      <c r="D258" t="s">
        <v>46</v>
      </c>
      <c r="E258" t="s">
        <v>651</v>
      </c>
      <c r="F258" t="s">
        <v>657</v>
      </c>
      <c r="G258" s="10">
        <v>85</v>
      </c>
      <c r="H258" s="10">
        <v>6310</v>
      </c>
      <c r="I258" s="10">
        <v>536350</v>
      </c>
      <c r="J258" t="s">
        <v>37</v>
      </c>
      <c r="K258" s="11">
        <v>648.20000000000005</v>
      </c>
      <c r="L258" s="12">
        <v>827.45</v>
      </c>
    </row>
    <row r="259" spans="1:12" x14ac:dyDescent="0.2">
      <c r="A259" s="9">
        <v>46237</v>
      </c>
      <c r="B259" t="s">
        <v>205</v>
      </c>
      <c r="C259" t="s">
        <v>206</v>
      </c>
      <c r="D259" t="s">
        <v>50</v>
      </c>
      <c r="E259" t="s">
        <v>647</v>
      </c>
      <c r="F259" t="s">
        <v>668</v>
      </c>
      <c r="G259" s="10">
        <v>1</v>
      </c>
      <c r="H259" s="10">
        <v>25219</v>
      </c>
      <c r="I259" s="10">
        <v>25219</v>
      </c>
      <c r="J259" t="s">
        <v>51</v>
      </c>
      <c r="K259" s="11">
        <v>648.20000000000005</v>
      </c>
      <c r="L259" s="12">
        <v>38.909999999999997</v>
      </c>
    </row>
    <row r="260" spans="1:12" x14ac:dyDescent="0.2">
      <c r="A260" s="9">
        <v>46237</v>
      </c>
      <c r="B260" t="s">
        <v>211</v>
      </c>
      <c r="C260" t="s">
        <v>212</v>
      </c>
      <c r="D260" t="s">
        <v>46</v>
      </c>
      <c r="E260" t="s">
        <v>649</v>
      </c>
      <c r="F260" t="s">
        <v>663</v>
      </c>
      <c r="G260" s="10">
        <v>2</v>
      </c>
      <c r="H260" s="10">
        <v>1975</v>
      </c>
      <c r="I260" s="10">
        <v>3950</v>
      </c>
      <c r="J260" t="s">
        <v>37</v>
      </c>
      <c r="K260" s="11">
        <v>648.20000000000005</v>
      </c>
      <c r="L260" s="12">
        <v>6.09</v>
      </c>
    </row>
    <row r="261" spans="1:12" x14ac:dyDescent="0.2">
      <c r="A261" s="9">
        <v>46237</v>
      </c>
      <c r="B261" t="s">
        <v>211</v>
      </c>
      <c r="C261" t="s">
        <v>212</v>
      </c>
      <c r="D261" t="s">
        <v>46</v>
      </c>
      <c r="E261" t="s">
        <v>655</v>
      </c>
      <c r="F261" t="s">
        <v>662</v>
      </c>
      <c r="G261" s="10">
        <v>8</v>
      </c>
      <c r="H261" s="10">
        <v>1162</v>
      </c>
      <c r="I261" s="10">
        <v>9296</v>
      </c>
      <c r="J261" t="s">
        <v>37</v>
      </c>
      <c r="K261" s="11">
        <v>648.20000000000005</v>
      </c>
      <c r="L261" s="12">
        <v>14.34</v>
      </c>
    </row>
    <row r="262" spans="1:12" x14ac:dyDescent="0.2">
      <c r="A262" s="9">
        <v>46237</v>
      </c>
      <c r="B262" t="s">
        <v>214</v>
      </c>
      <c r="C262" t="s">
        <v>215</v>
      </c>
      <c r="D262" t="s">
        <v>46</v>
      </c>
      <c r="E262" t="s">
        <v>649</v>
      </c>
      <c r="F262" t="s">
        <v>663</v>
      </c>
      <c r="G262" s="10">
        <v>39</v>
      </c>
      <c r="H262" s="10">
        <v>2090</v>
      </c>
      <c r="I262" s="10">
        <v>81510</v>
      </c>
      <c r="J262" t="s">
        <v>37</v>
      </c>
      <c r="K262" s="11">
        <v>648.20000000000005</v>
      </c>
      <c r="L262" s="12">
        <v>125.75</v>
      </c>
    </row>
    <row r="263" spans="1:12" x14ac:dyDescent="0.2">
      <c r="A263" s="9">
        <v>46237</v>
      </c>
      <c r="B263" t="s">
        <v>214</v>
      </c>
      <c r="C263" t="s">
        <v>215</v>
      </c>
      <c r="D263" t="s">
        <v>46</v>
      </c>
      <c r="E263" t="s">
        <v>649</v>
      </c>
      <c r="F263" t="s">
        <v>659</v>
      </c>
      <c r="G263" s="10">
        <v>4</v>
      </c>
      <c r="H263" s="10">
        <v>8963</v>
      </c>
      <c r="I263" s="10">
        <v>35852</v>
      </c>
      <c r="J263" t="s">
        <v>37</v>
      </c>
      <c r="K263" s="11">
        <v>648.20000000000005</v>
      </c>
      <c r="L263" s="12">
        <v>55.31</v>
      </c>
    </row>
    <row r="264" spans="1:12" x14ac:dyDescent="0.2">
      <c r="A264" s="9">
        <v>46237</v>
      </c>
      <c r="B264" t="s">
        <v>214</v>
      </c>
      <c r="C264" t="s">
        <v>215</v>
      </c>
      <c r="D264" t="s">
        <v>46</v>
      </c>
      <c r="E264" t="s">
        <v>660</v>
      </c>
      <c r="F264" t="s">
        <v>669</v>
      </c>
      <c r="G264" s="10">
        <v>12</v>
      </c>
      <c r="H264" s="10">
        <v>2636</v>
      </c>
      <c r="I264" s="10">
        <v>31632</v>
      </c>
      <c r="J264" t="s">
        <v>37</v>
      </c>
      <c r="K264" s="11">
        <v>648.20000000000005</v>
      </c>
      <c r="L264" s="12">
        <v>48.8</v>
      </c>
    </row>
    <row r="265" spans="1:12" x14ac:dyDescent="0.2">
      <c r="A265" s="9">
        <v>46237</v>
      </c>
      <c r="B265" t="s">
        <v>223</v>
      </c>
      <c r="C265" t="s">
        <v>224</v>
      </c>
      <c r="D265" t="s">
        <v>36</v>
      </c>
      <c r="E265" t="s">
        <v>647</v>
      </c>
      <c r="F265" t="s">
        <v>668</v>
      </c>
      <c r="G265" s="10">
        <v>1</v>
      </c>
      <c r="H265" s="10">
        <v>24885</v>
      </c>
      <c r="I265" s="10">
        <v>24885</v>
      </c>
      <c r="J265" t="s">
        <v>37</v>
      </c>
      <c r="K265" s="11">
        <v>648.20000000000005</v>
      </c>
      <c r="L265" s="12">
        <v>38.39</v>
      </c>
    </row>
    <row r="266" spans="1:12" x14ac:dyDescent="0.2">
      <c r="A266" s="9">
        <v>46237</v>
      </c>
      <c r="B266" t="s">
        <v>226</v>
      </c>
      <c r="C266" t="s">
        <v>227</v>
      </c>
      <c r="D266" t="s">
        <v>41</v>
      </c>
      <c r="E266" t="s">
        <v>660</v>
      </c>
      <c r="F266" t="s">
        <v>669</v>
      </c>
      <c r="G266" s="10">
        <v>52</v>
      </c>
      <c r="H266" s="10">
        <v>12586</v>
      </c>
      <c r="I266" s="10">
        <v>654472</v>
      </c>
      <c r="J266" t="s">
        <v>42</v>
      </c>
      <c r="K266" s="11">
        <v>3145.8</v>
      </c>
      <c r="L266" s="12">
        <v>208.05</v>
      </c>
    </row>
    <row r="267" spans="1:12" x14ac:dyDescent="0.2">
      <c r="A267" s="9">
        <v>46237</v>
      </c>
      <c r="B267" t="s">
        <v>229</v>
      </c>
      <c r="C267" t="s">
        <v>230</v>
      </c>
      <c r="D267" t="s">
        <v>36</v>
      </c>
      <c r="E267" t="s">
        <v>653</v>
      </c>
      <c r="F267" t="s">
        <v>666</v>
      </c>
      <c r="G267" s="10">
        <v>4</v>
      </c>
      <c r="H267" s="10">
        <v>1564</v>
      </c>
      <c r="I267" s="10">
        <v>6256</v>
      </c>
      <c r="J267" t="s">
        <v>37</v>
      </c>
      <c r="K267" s="11">
        <v>648.20000000000005</v>
      </c>
      <c r="L267" s="12">
        <v>9.65</v>
      </c>
    </row>
    <row r="268" spans="1:12" x14ac:dyDescent="0.2">
      <c r="A268" s="9">
        <v>46237</v>
      </c>
      <c r="B268" t="s">
        <v>229</v>
      </c>
      <c r="C268" t="s">
        <v>230</v>
      </c>
      <c r="D268" t="s">
        <v>36</v>
      </c>
      <c r="E268" t="s">
        <v>653</v>
      </c>
      <c r="F268" t="s">
        <v>666</v>
      </c>
      <c r="G268" s="10">
        <v>3</v>
      </c>
      <c r="H268" s="10">
        <v>1499</v>
      </c>
      <c r="I268" s="10">
        <v>4497</v>
      </c>
      <c r="J268" t="s">
        <v>37</v>
      </c>
      <c r="K268" s="11">
        <v>648.20000000000005</v>
      </c>
      <c r="L268" s="12">
        <v>6.94</v>
      </c>
    </row>
    <row r="269" spans="1:12" x14ac:dyDescent="0.2">
      <c r="A269" s="9">
        <v>46237</v>
      </c>
      <c r="B269" t="s">
        <v>232</v>
      </c>
      <c r="C269" t="s">
        <v>233</v>
      </c>
      <c r="D269" t="s">
        <v>46</v>
      </c>
      <c r="E269" t="s">
        <v>655</v>
      </c>
      <c r="F269" t="s">
        <v>662</v>
      </c>
      <c r="G269" s="10">
        <v>6</v>
      </c>
      <c r="H269" s="10">
        <v>1105</v>
      </c>
      <c r="I269" s="10">
        <v>6630</v>
      </c>
      <c r="J269" t="s">
        <v>37</v>
      </c>
      <c r="K269" s="11">
        <v>648.20000000000005</v>
      </c>
      <c r="L269" s="12">
        <v>10.23</v>
      </c>
    </row>
    <row r="270" spans="1:12" x14ac:dyDescent="0.2">
      <c r="A270" s="9">
        <v>46237</v>
      </c>
      <c r="B270" t="s">
        <v>232</v>
      </c>
      <c r="C270" t="s">
        <v>233</v>
      </c>
      <c r="D270" t="s">
        <v>46</v>
      </c>
      <c r="E270" t="s">
        <v>660</v>
      </c>
      <c r="F270" t="s">
        <v>661</v>
      </c>
      <c r="G270" s="10">
        <v>19</v>
      </c>
      <c r="H270" s="10">
        <v>4171</v>
      </c>
      <c r="I270" s="10">
        <v>79249</v>
      </c>
      <c r="J270" t="s">
        <v>37</v>
      </c>
      <c r="K270" s="11">
        <v>648.20000000000005</v>
      </c>
      <c r="L270" s="12">
        <v>122.26</v>
      </c>
    </row>
    <row r="271" spans="1:12" x14ac:dyDescent="0.2">
      <c r="A271" s="9">
        <v>46237</v>
      </c>
      <c r="B271" t="s">
        <v>232</v>
      </c>
      <c r="C271" t="s">
        <v>233</v>
      </c>
      <c r="D271" t="s">
        <v>46</v>
      </c>
      <c r="E271" t="s">
        <v>653</v>
      </c>
      <c r="F271" t="s">
        <v>654</v>
      </c>
      <c r="G271" s="10">
        <v>8</v>
      </c>
      <c r="H271" s="10">
        <v>5523</v>
      </c>
      <c r="I271" s="10">
        <v>44184</v>
      </c>
      <c r="J271" t="s">
        <v>37</v>
      </c>
      <c r="K271" s="11">
        <v>648.20000000000005</v>
      </c>
      <c r="L271" s="12">
        <v>68.16</v>
      </c>
    </row>
    <row r="272" spans="1:12" x14ac:dyDescent="0.2">
      <c r="A272" s="9">
        <v>46237</v>
      </c>
      <c r="B272" t="s">
        <v>232</v>
      </c>
      <c r="C272" t="s">
        <v>233</v>
      </c>
      <c r="D272" t="s">
        <v>46</v>
      </c>
      <c r="E272" t="s">
        <v>655</v>
      </c>
      <c r="F272" t="s">
        <v>656</v>
      </c>
      <c r="G272" s="10">
        <v>8</v>
      </c>
      <c r="H272" s="10">
        <v>575</v>
      </c>
      <c r="I272" s="10">
        <v>4600</v>
      </c>
      <c r="J272" t="s">
        <v>37</v>
      </c>
      <c r="K272" s="11">
        <v>648.20000000000005</v>
      </c>
      <c r="L272" s="12">
        <v>7.1</v>
      </c>
    </row>
    <row r="273" spans="1:12" x14ac:dyDescent="0.2">
      <c r="A273" s="9">
        <v>46237</v>
      </c>
      <c r="B273" t="s">
        <v>235</v>
      </c>
      <c r="C273" t="s">
        <v>236</v>
      </c>
      <c r="D273" t="s">
        <v>50</v>
      </c>
      <c r="E273" t="s">
        <v>649</v>
      </c>
      <c r="F273" t="s">
        <v>650</v>
      </c>
      <c r="G273" s="10">
        <v>3</v>
      </c>
      <c r="H273" s="10">
        <v>19430</v>
      </c>
      <c r="I273" s="10">
        <v>58290</v>
      </c>
      <c r="J273" t="s">
        <v>51</v>
      </c>
      <c r="K273" s="11">
        <v>648.20000000000005</v>
      </c>
      <c r="L273" s="12">
        <v>89.93</v>
      </c>
    </row>
    <row r="274" spans="1:12" x14ac:dyDescent="0.2">
      <c r="A274" s="9">
        <v>46237</v>
      </c>
      <c r="B274" t="s">
        <v>235</v>
      </c>
      <c r="C274" t="s">
        <v>236</v>
      </c>
      <c r="D274" t="s">
        <v>50</v>
      </c>
      <c r="E274" t="s">
        <v>660</v>
      </c>
      <c r="F274" t="s">
        <v>669</v>
      </c>
      <c r="G274" s="10">
        <v>41</v>
      </c>
      <c r="H274" s="10">
        <v>2501</v>
      </c>
      <c r="I274" s="10">
        <v>102541</v>
      </c>
      <c r="J274" t="s">
        <v>51</v>
      </c>
      <c r="K274" s="11">
        <v>648.20000000000005</v>
      </c>
      <c r="L274" s="12">
        <v>158.19</v>
      </c>
    </row>
    <row r="275" spans="1:12" x14ac:dyDescent="0.2">
      <c r="A275" s="9">
        <v>46237</v>
      </c>
      <c r="B275" t="s">
        <v>235</v>
      </c>
      <c r="C275" t="s">
        <v>236</v>
      </c>
      <c r="D275" t="s">
        <v>50</v>
      </c>
      <c r="E275" t="s">
        <v>660</v>
      </c>
      <c r="F275" t="s">
        <v>661</v>
      </c>
      <c r="G275" s="10">
        <v>92</v>
      </c>
      <c r="H275" s="10">
        <v>4052</v>
      </c>
      <c r="I275" s="10">
        <v>372784</v>
      </c>
      <c r="J275" t="s">
        <v>51</v>
      </c>
      <c r="K275" s="11">
        <v>648.20000000000005</v>
      </c>
      <c r="L275" s="12">
        <v>575.11</v>
      </c>
    </row>
    <row r="276" spans="1:12" x14ac:dyDescent="0.2">
      <c r="A276" s="9">
        <v>46237</v>
      </c>
      <c r="B276" t="s">
        <v>235</v>
      </c>
      <c r="C276" t="s">
        <v>236</v>
      </c>
      <c r="D276" t="s">
        <v>50</v>
      </c>
      <c r="E276" t="s">
        <v>647</v>
      </c>
      <c r="F276" t="s">
        <v>668</v>
      </c>
      <c r="G276" s="10">
        <v>28</v>
      </c>
      <c r="H276" s="10">
        <v>24775</v>
      </c>
      <c r="I276" s="10">
        <v>693700</v>
      </c>
      <c r="J276" t="s">
        <v>51</v>
      </c>
      <c r="K276" s="11">
        <v>648.20000000000005</v>
      </c>
      <c r="L276" s="12">
        <v>1070.19</v>
      </c>
    </row>
    <row r="277" spans="1:12" x14ac:dyDescent="0.2">
      <c r="A277" s="9">
        <v>46237</v>
      </c>
      <c r="B277" t="s">
        <v>238</v>
      </c>
      <c r="C277" t="s">
        <v>239</v>
      </c>
      <c r="D277" t="s">
        <v>68</v>
      </c>
      <c r="E277" t="s">
        <v>647</v>
      </c>
      <c r="F277" t="s">
        <v>668</v>
      </c>
      <c r="G277" s="10">
        <v>9</v>
      </c>
      <c r="H277" s="10">
        <v>25443</v>
      </c>
      <c r="I277" s="10">
        <v>228987</v>
      </c>
      <c r="J277" t="s">
        <v>51</v>
      </c>
      <c r="K277" s="11">
        <v>648.20000000000005</v>
      </c>
      <c r="L277" s="12">
        <v>353.27</v>
      </c>
    </row>
    <row r="278" spans="1:12" x14ac:dyDescent="0.2">
      <c r="A278" s="9">
        <v>46237</v>
      </c>
      <c r="B278" t="s">
        <v>244</v>
      </c>
      <c r="C278" t="s">
        <v>245</v>
      </c>
      <c r="D278" t="s">
        <v>75</v>
      </c>
      <c r="E278" t="s">
        <v>649</v>
      </c>
      <c r="F278" t="s">
        <v>650</v>
      </c>
      <c r="G278" s="10">
        <v>27</v>
      </c>
      <c r="H278" s="10">
        <v>90592</v>
      </c>
      <c r="I278" s="10">
        <v>2445984</v>
      </c>
      <c r="J278" t="s">
        <v>42</v>
      </c>
      <c r="K278" s="11">
        <v>3145.8</v>
      </c>
      <c r="L278" s="12">
        <v>777.54</v>
      </c>
    </row>
    <row r="279" spans="1:12" x14ac:dyDescent="0.2">
      <c r="A279" s="9">
        <v>46237</v>
      </c>
      <c r="B279" t="s">
        <v>244</v>
      </c>
      <c r="C279" t="s">
        <v>245</v>
      </c>
      <c r="D279" t="s">
        <v>75</v>
      </c>
      <c r="E279" t="s">
        <v>647</v>
      </c>
      <c r="F279" t="s">
        <v>668</v>
      </c>
      <c r="G279" s="10">
        <v>21</v>
      </c>
      <c r="H279" s="10">
        <v>126720</v>
      </c>
      <c r="I279" s="10">
        <v>2661120</v>
      </c>
      <c r="J279" t="s">
        <v>42</v>
      </c>
      <c r="K279" s="11">
        <v>3145.8</v>
      </c>
      <c r="L279" s="12">
        <v>845.93</v>
      </c>
    </row>
    <row r="280" spans="1:12" x14ac:dyDescent="0.2">
      <c r="A280" s="9">
        <v>46237</v>
      </c>
      <c r="B280" t="s">
        <v>247</v>
      </c>
      <c r="C280" t="s">
        <v>248</v>
      </c>
      <c r="D280" t="s">
        <v>75</v>
      </c>
      <c r="E280" t="s">
        <v>651</v>
      </c>
      <c r="F280" t="s">
        <v>657</v>
      </c>
      <c r="G280" s="10">
        <v>11</v>
      </c>
      <c r="H280" s="10">
        <v>30978</v>
      </c>
      <c r="I280" s="10">
        <v>340758</v>
      </c>
      <c r="J280" t="s">
        <v>42</v>
      </c>
      <c r="K280" s="11">
        <v>3145.8</v>
      </c>
      <c r="L280" s="12">
        <v>108.32</v>
      </c>
    </row>
    <row r="281" spans="1:12" x14ac:dyDescent="0.2">
      <c r="A281" s="9">
        <v>46237</v>
      </c>
      <c r="B281" t="s">
        <v>253</v>
      </c>
      <c r="C281" t="s">
        <v>254</v>
      </c>
      <c r="D281" t="s">
        <v>50</v>
      </c>
      <c r="E281" t="s">
        <v>649</v>
      </c>
      <c r="F281" t="s">
        <v>663</v>
      </c>
      <c r="G281" s="10">
        <v>4</v>
      </c>
      <c r="H281" s="10">
        <v>1968</v>
      </c>
      <c r="I281" s="10">
        <v>7872</v>
      </c>
      <c r="J281" t="s">
        <v>51</v>
      </c>
      <c r="K281" s="11">
        <v>648.20000000000005</v>
      </c>
      <c r="L281" s="12">
        <v>12.14</v>
      </c>
    </row>
    <row r="282" spans="1:12" x14ac:dyDescent="0.2">
      <c r="A282" s="9">
        <v>46237</v>
      </c>
      <c r="B282" t="s">
        <v>253</v>
      </c>
      <c r="C282" t="s">
        <v>254</v>
      </c>
      <c r="D282" t="s">
        <v>50</v>
      </c>
      <c r="E282" t="s">
        <v>647</v>
      </c>
      <c r="F282" t="s">
        <v>668</v>
      </c>
      <c r="G282" s="10">
        <v>6</v>
      </c>
      <c r="H282" s="10">
        <v>24250</v>
      </c>
      <c r="I282" s="10">
        <v>145500</v>
      </c>
      <c r="J282" t="s">
        <v>51</v>
      </c>
      <c r="K282" s="11">
        <v>648.20000000000005</v>
      </c>
      <c r="L282" s="12">
        <v>224.47</v>
      </c>
    </row>
    <row r="283" spans="1:12" x14ac:dyDescent="0.2">
      <c r="A283" s="9">
        <v>46237</v>
      </c>
      <c r="B283" t="s">
        <v>258</v>
      </c>
      <c r="C283" t="s">
        <v>259</v>
      </c>
      <c r="D283" t="s">
        <v>50</v>
      </c>
      <c r="E283" t="s">
        <v>651</v>
      </c>
      <c r="F283" t="s">
        <v>664</v>
      </c>
      <c r="G283" s="10">
        <v>2</v>
      </c>
      <c r="H283" s="10">
        <v>11779</v>
      </c>
      <c r="I283" s="10">
        <v>23558</v>
      </c>
      <c r="J283" t="s">
        <v>51</v>
      </c>
      <c r="K283" s="11">
        <v>648.20000000000005</v>
      </c>
      <c r="L283" s="12">
        <v>36.340000000000003</v>
      </c>
    </row>
    <row r="284" spans="1:12" x14ac:dyDescent="0.2">
      <c r="A284" s="9">
        <v>46237</v>
      </c>
      <c r="B284" t="s">
        <v>261</v>
      </c>
      <c r="C284" t="s">
        <v>262</v>
      </c>
      <c r="D284" t="s">
        <v>41</v>
      </c>
      <c r="E284" t="s">
        <v>649</v>
      </c>
      <c r="F284" t="s">
        <v>650</v>
      </c>
      <c r="G284" s="10">
        <v>9</v>
      </c>
      <c r="H284" s="10">
        <v>89952</v>
      </c>
      <c r="I284" s="10">
        <v>809568</v>
      </c>
      <c r="J284" t="s">
        <v>42</v>
      </c>
      <c r="K284" s="11">
        <v>3145.8</v>
      </c>
      <c r="L284" s="12">
        <v>257.35000000000002</v>
      </c>
    </row>
    <row r="285" spans="1:12" x14ac:dyDescent="0.2">
      <c r="A285" s="9">
        <v>46237</v>
      </c>
      <c r="B285" t="s">
        <v>261</v>
      </c>
      <c r="C285" t="s">
        <v>262</v>
      </c>
      <c r="D285" t="s">
        <v>41</v>
      </c>
      <c r="E285" t="s">
        <v>660</v>
      </c>
      <c r="F285" t="s">
        <v>669</v>
      </c>
      <c r="G285" s="10">
        <v>6</v>
      </c>
      <c r="H285" s="10">
        <v>12397</v>
      </c>
      <c r="I285" s="10">
        <v>74382</v>
      </c>
      <c r="J285" t="s">
        <v>42</v>
      </c>
      <c r="K285" s="11">
        <v>3145.8</v>
      </c>
      <c r="L285" s="12">
        <v>23.64</v>
      </c>
    </row>
    <row r="286" spans="1:12" x14ac:dyDescent="0.2">
      <c r="A286" s="9">
        <v>46237</v>
      </c>
      <c r="B286" t="s">
        <v>267</v>
      </c>
      <c r="C286" t="s">
        <v>268</v>
      </c>
      <c r="D286" t="s">
        <v>46</v>
      </c>
      <c r="E286" t="s">
        <v>649</v>
      </c>
      <c r="F286" t="s">
        <v>650</v>
      </c>
      <c r="G286" s="10">
        <v>9</v>
      </c>
      <c r="H286" s="10">
        <v>19569</v>
      </c>
      <c r="I286" s="10">
        <v>176121</v>
      </c>
      <c r="J286" t="s">
        <v>37</v>
      </c>
      <c r="K286" s="11">
        <v>648.20000000000005</v>
      </c>
      <c r="L286" s="12">
        <v>271.70999999999998</v>
      </c>
    </row>
    <row r="287" spans="1:12" x14ac:dyDescent="0.2">
      <c r="A287" s="9">
        <v>46237</v>
      </c>
      <c r="B287" t="s">
        <v>267</v>
      </c>
      <c r="C287" t="s">
        <v>268</v>
      </c>
      <c r="D287" t="s">
        <v>46</v>
      </c>
      <c r="E287" t="s">
        <v>649</v>
      </c>
      <c r="F287" t="s">
        <v>659</v>
      </c>
      <c r="G287" s="10">
        <v>27</v>
      </c>
      <c r="H287" s="10">
        <v>8936</v>
      </c>
      <c r="I287" s="10">
        <v>241272</v>
      </c>
      <c r="J287" t="s">
        <v>37</v>
      </c>
      <c r="K287" s="11">
        <v>648.20000000000005</v>
      </c>
      <c r="L287" s="12">
        <v>372.22</v>
      </c>
    </row>
    <row r="288" spans="1:12" x14ac:dyDescent="0.2">
      <c r="A288" s="9">
        <v>46237</v>
      </c>
      <c r="B288" t="s">
        <v>267</v>
      </c>
      <c r="C288" t="s">
        <v>268</v>
      </c>
      <c r="D288" t="s">
        <v>46</v>
      </c>
      <c r="E288" t="s">
        <v>660</v>
      </c>
      <c r="F288" t="s">
        <v>669</v>
      </c>
      <c r="G288" s="10">
        <v>40</v>
      </c>
      <c r="H288" s="10">
        <v>2497</v>
      </c>
      <c r="I288" s="10">
        <v>99880</v>
      </c>
      <c r="J288" t="s">
        <v>37</v>
      </c>
      <c r="K288" s="11">
        <v>648.20000000000005</v>
      </c>
      <c r="L288" s="12">
        <v>154.09</v>
      </c>
    </row>
    <row r="289" spans="1:12" x14ac:dyDescent="0.2">
      <c r="A289" s="9">
        <v>46237</v>
      </c>
      <c r="B289" t="s">
        <v>267</v>
      </c>
      <c r="C289" t="s">
        <v>268</v>
      </c>
      <c r="D289" t="s">
        <v>46</v>
      </c>
      <c r="E289" t="s">
        <v>647</v>
      </c>
      <c r="F289" t="s">
        <v>668</v>
      </c>
      <c r="G289" s="10">
        <v>38</v>
      </c>
      <c r="H289" s="10">
        <v>24853</v>
      </c>
      <c r="I289" s="10">
        <v>944414</v>
      </c>
      <c r="J289" t="s">
        <v>37</v>
      </c>
      <c r="K289" s="11">
        <v>648.20000000000005</v>
      </c>
      <c r="L289" s="12">
        <v>1456.98</v>
      </c>
    </row>
    <row r="290" spans="1:12" x14ac:dyDescent="0.2">
      <c r="A290" s="9">
        <v>46237</v>
      </c>
      <c r="B290" t="s">
        <v>267</v>
      </c>
      <c r="C290" t="s">
        <v>268</v>
      </c>
      <c r="D290" t="s">
        <v>46</v>
      </c>
      <c r="E290" t="s">
        <v>647</v>
      </c>
      <c r="F290" t="s">
        <v>648</v>
      </c>
      <c r="G290" s="10">
        <v>85</v>
      </c>
      <c r="H290" s="10">
        <v>16740</v>
      </c>
      <c r="I290" s="10">
        <v>1422900</v>
      </c>
      <c r="J290" t="s">
        <v>37</v>
      </c>
      <c r="K290" s="11">
        <v>648.20000000000005</v>
      </c>
      <c r="L290" s="12">
        <v>2195.16</v>
      </c>
    </row>
    <row r="291" spans="1:12" x14ac:dyDescent="0.2">
      <c r="A291" s="9">
        <v>46237</v>
      </c>
      <c r="B291" t="s">
        <v>267</v>
      </c>
      <c r="C291" t="s">
        <v>268</v>
      </c>
      <c r="D291" t="s">
        <v>46</v>
      </c>
      <c r="E291" t="s">
        <v>655</v>
      </c>
      <c r="F291" t="s">
        <v>656</v>
      </c>
      <c r="G291" s="10">
        <v>31</v>
      </c>
      <c r="H291" s="10">
        <v>586</v>
      </c>
      <c r="I291" s="10">
        <v>18166</v>
      </c>
      <c r="J291" t="s">
        <v>37</v>
      </c>
      <c r="K291" s="11">
        <v>648.20000000000005</v>
      </c>
      <c r="L291" s="12">
        <v>28.03</v>
      </c>
    </row>
    <row r="292" spans="1:12" x14ac:dyDescent="0.2">
      <c r="A292" s="9">
        <v>46237</v>
      </c>
      <c r="B292" t="s">
        <v>273</v>
      </c>
      <c r="C292" t="s">
        <v>274</v>
      </c>
      <c r="D292" t="s">
        <v>41</v>
      </c>
      <c r="E292" t="s">
        <v>649</v>
      </c>
      <c r="F292" t="s">
        <v>659</v>
      </c>
      <c r="G292" s="10">
        <v>4</v>
      </c>
      <c r="H292" s="10">
        <v>42362</v>
      </c>
      <c r="I292" s="10">
        <v>169448</v>
      </c>
      <c r="J292" t="s">
        <v>42</v>
      </c>
      <c r="K292" s="11">
        <v>3145.8</v>
      </c>
      <c r="L292" s="12">
        <v>53.86</v>
      </c>
    </row>
    <row r="293" spans="1:12" x14ac:dyDescent="0.2">
      <c r="A293" s="9">
        <v>46237</v>
      </c>
      <c r="B293" t="s">
        <v>279</v>
      </c>
      <c r="C293" t="s">
        <v>280</v>
      </c>
      <c r="D293" t="s">
        <v>68</v>
      </c>
      <c r="E293" t="s">
        <v>649</v>
      </c>
      <c r="F293" t="s">
        <v>659</v>
      </c>
      <c r="G293" s="10">
        <v>19</v>
      </c>
      <c r="H293" s="10">
        <v>8671</v>
      </c>
      <c r="I293" s="10">
        <v>164749</v>
      </c>
      <c r="J293" t="s">
        <v>51</v>
      </c>
      <c r="K293" s="11">
        <v>648.20000000000005</v>
      </c>
      <c r="L293" s="12">
        <v>254.16</v>
      </c>
    </row>
    <row r="294" spans="1:12" x14ac:dyDescent="0.2">
      <c r="A294" s="9">
        <v>46237</v>
      </c>
      <c r="B294" t="s">
        <v>279</v>
      </c>
      <c r="C294" t="s">
        <v>280</v>
      </c>
      <c r="D294" t="s">
        <v>68</v>
      </c>
      <c r="E294" t="s">
        <v>660</v>
      </c>
      <c r="F294" t="s">
        <v>670</v>
      </c>
      <c r="G294" s="10">
        <v>26</v>
      </c>
      <c r="H294" s="10">
        <v>14607</v>
      </c>
      <c r="I294" s="10">
        <v>379782</v>
      </c>
      <c r="J294" t="s">
        <v>51</v>
      </c>
      <c r="K294" s="11">
        <v>648.20000000000005</v>
      </c>
      <c r="L294" s="12">
        <v>585.9</v>
      </c>
    </row>
    <row r="295" spans="1:12" x14ac:dyDescent="0.2">
      <c r="A295" s="9">
        <v>46237</v>
      </c>
      <c r="B295" t="s">
        <v>279</v>
      </c>
      <c r="C295" t="s">
        <v>280</v>
      </c>
      <c r="D295" t="s">
        <v>68</v>
      </c>
      <c r="E295" t="s">
        <v>647</v>
      </c>
      <c r="F295" t="s">
        <v>648</v>
      </c>
      <c r="G295" s="10">
        <v>37</v>
      </c>
      <c r="H295" s="10">
        <v>16818</v>
      </c>
      <c r="I295" s="10">
        <v>622266</v>
      </c>
      <c r="J295" t="s">
        <v>51</v>
      </c>
      <c r="K295" s="11">
        <v>648.20000000000005</v>
      </c>
      <c r="L295" s="12">
        <v>959.99</v>
      </c>
    </row>
    <row r="296" spans="1:12" x14ac:dyDescent="0.2">
      <c r="A296" s="9">
        <v>46237</v>
      </c>
      <c r="B296" t="s">
        <v>279</v>
      </c>
      <c r="C296" t="s">
        <v>280</v>
      </c>
      <c r="D296" t="s">
        <v>68</v>
      </c>
      <c r="E296" t="s">
        <v>655</v>
      </c>
      <c r="F296" t="s">
        <v>665</v>
      </c>
      <c r="G296" s="10">
        <v>6</v>
      </c>
      <c r="H296" s="10">
        <v>688</v>
      </c>
      <c r="I296" s="10">
        <v>4128</v>
      </c>
      <c r="J296" t="s">
        <v>51</v>
      </c>
      <c r="K296" s="11">
        <v>648.20000000000005</v>
      </c>
      <c r="L296" s="12">
        <v>6.37</v>
      </c>
    </row>
    <row r="297" spans="1:12" x14ac:dyDescent="0.2">
      <c r="A297" s="9">
        <v>46237</v>
      </c>
      <c r="B297" t="s">
        <v>282</v>
      </c>
      <c r="C297" t="s">
        <v>283</v>
      </c>
      <c r="D297" t="s">
        <v>41</v>
      </c>
      <c r="E297" t="s">
        <v>649</v>
      </c>
      <c r="F297" t="s">
        <v>650</v>
      </c>
      <c r="G297" s="10">
        <v>12</v>
      </c>
      <c r="H297" s="10">
        <v>95279</v>
      </c>
      <c r="I297" s="10">
        <v>1143348</v>
      </c>
      <c r="J297" t="s">
        <v>42</v>
      </c>
      <c r="K297" s="11">
        <v>3145.8</v>
      </c>
      <c r="L297" s="12">
        <v>363.45</v>
      </c>
    </row>
    <row r="298" spans="1:12" x14ac:dyDescent="0.2">
      <c r="A298" s="9">
        <v>46237</v>
      </c>
      <c r="B298" t="s">
        <v>282</v>
      </c>
      <c r="C298" t="s">
        <v>283</v>
      </c>
      <c r="D298" t="s">
        <v>41</v>
      </c>
      <c r="E298" t="s">
        <v>655</v>
      </c>
      <c r="F298" t="s">
        <v>662</v>
      </c>
      <c r="G298" s="10">
        <v>3</v>
      </c>
      <c r="H298" s="10">
        <v>5475</v>
      </c>
      <c r="I298" s="10">
        <v>16425</v>
      </c>
      <c r="J298" t="s">
        <v>42</v>
      </c>
      <c r="K298" s="11">
        <v>3145.8</v>
      </c>
      <c r="L298" s="12">
        <v>5.22</v>
      </c>
    </row>
    <row r="299" spans="1:12" x14ac:dyDescent="0.2">
      <c r="A299" s="9">
        <v>46237</v>
      </c>
      <c r="B299" t="s">
        <v>282</v>
      </c>
      <c r="C299" t="s">
        <v>283</v>
      </c>
      <c r="D299" t="s">
        <v>41</v>
      </c>
      <c r="E299" t="s">
        <v>647</v>
      </c>
      <c r="F299" t="s">
        <v>648</v>
      </c>
      <c r="G299" s="10">
        <v>15</v>
      </c>
      <c r="H299" s="10">
        <v>81066</v>
      </c>
      <c r="I299" s="10">
        <v>1215990</v>
      </c>
      <c r="J299" t="s">
        <v>42</v>
      </c>
      <c r="K299" s="11">
        <v>3145.8</v>
      </c>
      <c r="L299" s="12">
        <v>386.54</v>
      </c>
    </row>
    <row r="300" spans="1:12" x14ac:dyDescent="0.2">
      <c r="A300" s="9">
        <v>46237</v>
      </c>
      <c r="B300" t="s">
        <v>288</v>
      </c>
      <c r="C300" t="s">
        <v>289</v>
      </c>
      <c r="D300" t="s">
        <v>41</v>
      </c>
      <c r="E300" t="s">
        <v>660</v>
      </c>
      <c r="F300" t="s">
        <v>669</v>
      </c>
      <c r="G300" s="10">
        <v>5</v>
      </c>
      <c r="H300" s="10">
        <v>12131</v>
      </c>
      <c r="I300" s="10">
        <v>60655</v>
      </c>
      <c r="J300" t="s">
        <v>42</v>
      </c>
      <c r="K300" s="11">
        <v>3145.8</v>
      </c>
      <c r="L300" s="12">
        <v>19.28</v>
      </c>
    </row>
    <row r="301" spans="1:12" x14ac:dyDescent="0.2">
      <c r="A301" s="9">
        <v>46237</v>
      </c>
      <c r="B301" t="s">
        <v>288</v>
      </c>
      <c r="C301" t="s">
        <v>289</v>
      </c>
      <c r="D301" t="s">
        <v>41</v>
      </c>
      <c r="E301" t="s">
        <v>647</v>
      </c>
      <c r="F301" t="s">
        <v>648</v>
      </c>
      <c r="G301" s="10">
        <v>7</v>
      </c>
      <c r="H301" s="10">
        <v>79184</v>
      </c>
      <c r="I301" s="10">
        <v>554288</v>
      </c>
      <c r="J301" t="s">
        <v>42</v>
      </c>
      <c r="K301" s="11">
        <v>3145.8</v>
      </c>
      <c r="L301" s="12">
        <v>176.2</v>
      </c>
    </row>
    <row r="302" spans="1:12" x14ac:dyDescent="0.2">
      <c r="A302" s="9">
        <v>46237</v>
      </c>
      <c r="B302" t="s">
        <v>288</v>
      </c>
      <c r="C302" t="s">
        <v>289</v>
      </c>
      <c r="D302" t="s">
        <v>41</v>
      </c>
      <c r="E302" t="s">
        <v>655</v>
      </c>
      <c r="F302" t="s">
        <v>656</v>
      </c>
      <c r="G302" s="10">
        <v>3</v>
      </c>
      <c r="H302" s="10">
        <v>2742</v>
      </c>
      <c r="I302" s="10">
        <v>8226</v>
      </c>
      <c r="J302" t="s">
        <v>42</v>
      </c>
      <c r="K302" s="11">
        <v>3145.8</v>
      </c>
      <c r="L302" s="12">
        <v>2.61</v>
      </c>
    </row>
    <row r="303" spans="1:12" x14ac:dyDescent="0.2">
      <c r="A303" s="9">
        <v>46237</v>
      </c>
      <c r="B303" t="s">
        <v>297</v>
      </c>
      <c r="C303" t="s">
        <v>298</v>
      </c>
      <c r="D303" t="s">
        <v>36</v>
      </c>
      <c r="E303" t="s">
        <v>647</v>
      </c>
      <c r="F303" t="s">
        <v>648</v>
      </c>
      <c r="G303" s="10">
        <v>24</v>
      </c>
      <c r="H303" s="10">
        <v>16159</v>
      </c>
      <c r="I303" s="10">
        <v>387816</v>
      </c>
      <c r="J303" t="s">
        <v>37</v>
      </c>
      <c r="K303" s="11">
        <v>648.20000000000005</v>
      </c>
      <c r="L303" s="12">
        <v>598.29999999999995</v>
      </c>
    </row>
    <row r="304" spans="1:12" x14ac:dyDescent="0.2">
      <c r="A304" s="9">
        <v>46237</v>
      </c>
      <c r="B304" t="s">
        <v>297</v>
      </c>
      <c r="C304" t="s">
        <v>298</v>
      </c>
      <c r="D304" t="s">
        <v>36</v>
      </c>
      <c r="E304" t="s">
        <v>651</v>
      </c>
      <c r="F304" t="s">
        <v>657</v>
      </c>
      <c r="G304" s="10">
        <v>4</v>
      </c>
      <c r="H304" s="10">
        <v>6226</v>
      </c>
      <c r="I304" s="10">
        <v>24904</v>
      </c>
      <c r="J304" t="s">
        <v>37</v>
      </c>
      <c r="K304" s="11">
        <v>648.20000000000005</v>
      </c>
      <c r="L304" s="12">
        <v>38.42</v>
      </c>
    </row>
    <row r="305" spans="1:12" x14ac:dyDescent="0.2">
      <c r="A305" s="9">
        <v>46237</v>
      </c>
      <c r="B305" t="s">
        <v>303</v>
      </c>
      <c r="C305" t="s">
        <v>304</v>
      </c>
      <c r="D305" t="s">
        <v>36</v>
      </c>
      <c r="E305" t="s">
        <v>660</v>
      </c>
      <c r="F305" t="s">
        <v>661</v>
      </c>
      <c r="G305" s="10">
        <v>6</v>
      </c>
      <c r="H305" s="10">
        <v>4134</v>
      </c>
      <c r="I305" s="10">
        <v>24804</v>
      </c>
      <c r="J305" t="s">
        <v>37</v>
      </c>
      <c r="K305" s="11">
        <v>648.20000000000005</v>
      </c>
      <c r="L305" s="12">
        <v>38.270000000000003</v>
      </c>
    </row>
    <row r="306" spans="1:12" x14ac:dyDescent="0.2">
      <c r="A306" s="9">
        <v>46237</v>
      </c>
      <c r="B306" t="s">
        <v>309</v>
      </c>
      <c r="C306" t="s">
        <v>310</v>
      </c>
      <c r="D306" t="s">
        <v>41</v>
      </c>
      <c r="E306" t="s">
        <v>647</v>
      </c>
      <c r="F306" t="s">
        <v>648</v>
      </c>
      <c r="G306" s="10">
        <v>10</v>
      </c>
      <c r="H306" s="10">
        <v>79615</v>
      </c>
      <c r="I306" s="10">
        <v>796150</v>
      </c>
      <c r="J306" t="s">
        <v>42</v>
      </c>
      <c r="K306" s="11">
        <v>3145.8</v>
      </c>
      <c r="L306" s="12">
        <v>253.08</v>
      </c>
    </row>
    <row r="307" spans="1:12" x14ac:dyDescent="0.2">
      <c r="A307" s="9">
        <v>46237</v>
      </c>
      <c r="B307" t="s">
        <v>318</v>
      </c>
      <c r="C307" t="s">
        <v>319</v>
      </c>
      <c r="D307" t="s">
        <v>41</v>
      </c>
      <c r="E307" t="s">
        <v>649</v>
      </c>
      <c r="F307" t="s">
        <v>650</v>
      </c>
      <c r="G307" s="10">
        <v>6</v>
      </c>
      <c r="H307" s="10">
        <v>93995</v>
      </c>
      <c r="I307" s="10">
        <v>563970</v>
      </c>
      <c r="J307" t="s">
        <v>42</v>
      </c>
      <c r="K307" s="11">
        <v>3145.8</v>
      </c>
      <c r="L307" s="12">
        <v>179.28</v>
      </c>
    </row>
    <row r="308" spans="1:12" x14ac:dyDescent="0.2">
      <c r="A308" s="9">
        <v>46237</v>
      </c>
      <c r="B308" t="s">
        <v>321</v>
      </c>
      <c r="C308" t="s">
        <v>322</v>
      </c>
      <c r="D308" t="s">
        <v>41</v>
      </c>
      <c r="E308" t="s">
        <v>647</v>
      </c>
      <c r="F308" t="s">
        <v>667</v>
      </c>
      <c r="G308" s="10">
        <v>15</v>
      </c>
      <c r="H308" s="10">
        <v>35107</v>
      </c>
      <c r="I308" s="10">
        <v>526605</v>
      </c>
      <c r="J308" t="s">
        <v>42</v>
      </c>
      <c r="K308" s="11">
        <v>3145.8</v>
      </c>
      <c r="L308" s="12">
        <v>167.4</v>
      </c>
    </row>
    <row r="309" spans="1:12" x14ac:dyDescent="0.2">
      <c r="A309" s="9">
        <v>46237</v>
      </c>
      <c r="B309" t="s">
        <v>327</v>
      </c>
      <c r="C309" t="s">
        <v>328</v>
      </c>
      <c r="D309" t="s">
        <v>46</v>
      </c>
      <c r="E309" t="s">
        <v>647</v>
      </c>
      <c r="F309" t="s">
        <v>668</v>
      </c>
      <c r="G309" s="10">
        <v>3</v>
      </c>
      <c r="H309" s="10">
        <v>25794</v>
      </c>
      <c r="I309" s="10">
        <v>77382</v>
      </c>
      <c r="J309" t="s">
        <v>37</v>
      </c>
      <c r="K309" s="11">
        <v>648.20000000000005</v>
      </c>
      <c r="L309" s="12">
        <v>119.38</v>
      </c>
    </row>
    <row r="310" spans="1:12" x14ac:dyDescent="0.2">
      <c r="A310" s="9">
        <v>46237</v>
      </c>
      <c r="B310" t="s">
        <v>330</v>
      </c>
      <c r="C310" t="s">
        <v>331</v>
      </c>
      <c r="D310" t="s">
        <v>68</v>
      </c>
      <c r="E310" t="s">
        <v>647</v>
      </c>
      <c r="F310" t="s">
        <v>668</v>
      </c>
      <c r="G310" s="10">
        <v>42</v>
      </c>
      <c r="H310" s="10">
        <v>25352</v>
      </c>
      <c r="I310" s="10">
        <v>1064784</v>
      </c>
      <c r="J310" t="s">
        <v>51</v>
      </c>
      <c r="K310" s="11">
        <v>648.20000000000005</v>
      </c>
      <c r="L310" s="12">
        <v>1642.68</v>
      </c>
    </row>
    <row r="311" spans="1:12" x14ac:dyDescent="0.2">
      <c r="A311" s="9">
        <v>46237</v>
      </c>
      <c r="B311" t="s">
        <v>330</v>
      </c>
      <c r="C311" t="s">
        <v>331</v>
      </c>
      <c r="D311" t="s">
        <v>68</v>
      </c>
      <c r="E311" t="s">
        <v>647</v>
      </c>
      <c r="F311" t="s">
        <v>668</v>
      </c>
      <c r="G311" s="10">
        <v>17</v>
      </c>
      <c r="H311" s="10">
        <v>24830</v>
      </c>
      <c r="I311" s="10">
        <v>422110</v>
      </c>
      <c r="J311" t="s">
        <v>51</v>
      </c>
      <c r="K311" s="11">
        <v>648.20000000000005</v>
      </c>
      <c r="L311" s="12">
        <v>651.20000000000005</v>
      </c>
    </row>
    <row r="312" spans="1:12" x14ac:dyDescent="0.2">
      <c r="A312" s="9">
        <v>46237</v>
      </c>
      <c r="B312" t="s">
        <v>333</v>
      </c>
      <c r="C312" t="s">
        <v>334</v>
      </c>
      <c r="D312" t="s">
        <v>68</v>
      </c>
      <c r="E312" t="s">
        <v>649</v>
      </c>
      <c r="F312" t="s">
        <v>663</v>
      </c>
      <c r="G312" s="10">
        <v>4</v>
      </c>
      <c r="H312" s="10">
        <v>2002</v>
      </c>
      <c r="I312" s="10">
        <v>8008</v>
      </c>
      <c r="J312" t="s">
        <v>51</v>
      </c>
      <c r="K312" s="11">
        <v>648.20000000000005</v>
      </c>
      <c r="L312" s="12">
        <v>12.35</v>
      </c>
    </row>
    <row r="313" spans="1:12" x14ac:dyDescent="0.2">
      <c r="A313" s="9">
        <v>46237</v>
      </c>
      <c r="B313" t="s">
        <v>336</v>
      </c>
      <c r="C313" t="s">
        <v>337</v>
      </c>
      <c r="D313" t="s">
        <v>68</v>
      </c>
      <c r="E313" t="s">
        <v>660</v>
      </c>
      <c r="F313" t="s">
        <v>661</v>
      </c>
      <c r="G313" s="10">
        <v>3</v>
      </c>
      <c r="H313" s="10">
        <v>4299</v>
      </c>
      <c r="I313" s="10">
        <v>12897</v>
      </c>
      <c r="J313" t="s">
        <v>51</v>
      </c>
      <c r="K313" s="11">
        <v>648.20000000000005</v>
      </c>
      <c r="L313" s="12">
        <v>19.899999999999999</v>
      </c>
    </row>
    <row r="314" spans="1:12" x14ac:dyDescent="0.2">
      <c r="A314" s="9">
        <v>46237</v>
      </c>
      <c r="B314" t="s">
        <v>339</v>
      </c>
      <c r="C314" t="s">
        <v>340</v>
      </c>
      <c r="D314" t="s">
        <v>68</v>
      </c>
      <c r="E314" t="s">
        <v>647</v>
      </c>
      <c r="F314" t="s">
        <v>667</v>
      </c>
      <c r="G314" s="10">
        <v>5</v>
      </c>
      <c r="H314" s="10">
        <v>7159</v>
      </c>
      <c r="I314" s="10">
        <v>35795</v>
      </c>
      <c r="J314" t="s">
        <v>51</v>
      </c>
      <c r="K314" s="11">
        <v>648.20000000000005</v>
      </c>
      <c r="L314" s="12">
        <v>55.22</v>
      </c>
    </row>
    <row r="315" spans="1:12" x14ac:dyDescent="0.2">
      <c r="A315" s="9">
        <v>46237</v>
      </c>
      <c r="B315" t="s">
        <v>345</v>
      </c>
      <c r="C315" t="s">
        <v>346</v>
      </c>
      <c r="D315" t="s">
        <v>68</v>
      </c>
      <c r="E315" t="s">
        <v>649</v>
      </c>
      <c r="F315" t="s">
        <v>650</v>
      </c>
      <c r="G315" s="10">
        <v>1</v>
      </c>
      <c r="H315" s="10">
        <v>19504</v>
      </c>
      <c r="I315" s="10">
        <v>19504</v>
      </c>
      <c r="J315" t="s">
        <v>51</v>
      </c>
      <c r="K315" s="11">
        <v>648.20000000000005</v>
      </c>
      <c r="L315" s="12">
        <v>30.09</v>
      </c>
    </row>
    <row r="316" spans="1:12" x14ac:dyDescent="0.2">
      <c r="A316" s="9">
        <v>46237</v>
      </c>
      <c r="B316" t="s">
        <v>348</v>
      </c>
      <c r="C316" t="s">
        <v>349</v>
      </c>
      <c r="D316" t="s">
        <v>36</v>
      </c>
      <c r="E316" t="s">
        <v>649</v>
      </c>
      <c r="F316" t="s">
        <v>650</v>
      </c>
      <c r="G316" s="10">
        <v>14</v>
      </c>
      <c r="H316" s="10">
        <v>19247</v>
      </c>
      <c r="I316" s="10">
        <v>269458</v>
      </c>
      <c r="J316" t="s">
        <v>37</v>
      </c>
      <c r="K316" s="11">
        <v>648.20000000000005</v>
      </c>
      <c r="L316" s="12">
        <v>415.7</v>
      </c>
    </row>
    <row r="317" spans="1:12" x14ac:dyDescent="0.2">
      <c r="A317" s="9">
        <v>46237</v>
      </c>
      <c r="B317" t="s">
        <v>348</v>
      </c>
      <c r="C317" t="s">
        <v>349</v>
      </c>
      <c r="D317" t="s">
        <v>36</v>
      </c>
      <c r="E317" t="s">
        <v>660</v>
      </c>
      <c r="F317" t="s">
        <v>669</v>
      </c>
      <c r="G317" s="10">
        <v>84</v>
      </c>
      <c r="H317" s="10">
        <v>2668</v>
      </c>
      <c r="I317" s="10">
        <v>224112</v>
      </c>
      <c r="J317" t="s">
        <v>37</v>
      </c>
      <c r="K317" s="11">
        <v>648.20000000000005</v>
      </c>
      <c r="L317" s="12">
        <v>345.75</v>
      </c>
    </row>
    <row r="318" spans="1:12" x14ac:dyDescent="0.2">
      <c r="A318" s="9">
        <v>46237</v>
      </c>
      <c r="B318" t="s">
        <v>354</v>
      </c>
      <c r="C318" t="s">
        <v>355</v>
      </c>
      <c r="D318" t="s">
        <v>68</v>
      </c>
      <c r="E318" t="s">
        <v>647</v>
      </c>
      <c r="F318" t="s">
        <v>667</v>
      </c>
      <c r="G318" s="10">
        <v>19</v>
      </c>
      <c r="H318" s="10">
        <v>7305</v>
      </c>
      <c r="I318" s="10">
        <v>138795</v>
      </c>
      <c r="J318" t="s">
        <v>51</v>
      </c>
      <c r="K318" s="11">
        <v>648.20000000000005</v>
      </c>
      <c r="L318" s="12">
        <v>214.12</v>
      </c>
    </row>
    <row r="319" spans="1:12" x14ac:dyDescent="0.2">
      <c r="A319" s="9">
        <v>46237</v>
      </c>
      <c r="B319" t="s">
        <v>357</v>
      </c>
      <c r="C319" t="s">
        <v>358</v>
      </c>
      <c r="D319" t="s">
        <v>36</v>
      </c>
      <c r="E319" t="s">
        <v>649</v>
      </c>
      <c r="F319" t="s">
        <v>650</v>
      </c>
      <c r="G319" s="10">
        <v>67</v>
      </c>
      <c r="H319" s="10">
        <v>19711</v>
      </c>
      <c r="I319" s="10">
        <v>1320637</v>
      </c>
      <c r="J319" t="s">
        <v>37</v>
      </c>
      <c r="K319" s="11">
        <v>648.20000000000005</v>
      </c>
      <c r="L319" s="12">
        <v>2037.39</v>
      </c>
    </row>
    <row r="320" spans="1:12" x14ac:dyDescent="0.2">
      <c r="A320" s="9">
        <v>46237</v>
      </c>
      <c r="B320" t="s">
        <v>357</v>
      </c>
      <c r="C320" t="s">
        <v>358</v>
      </c>
      <c r="D320" t="s">
        <v>36</v>
      </c>
      <c r="E320" t="s">
        <v>649</v>
      </c>
      <c r="F320" t="s">
        <v>663</v>
      </c>
      <c r="G320" s="10">
        <v>12</v>
      </c>
      <c r="H320" s="10">
        <v>1977</v>
      </c>
      <c r="I320" s="10">
        <v>23724</v>
      </c>
      <c r="J320" t="s">
        <v>37</v>
      </c>
      <c r="K320" s="11">
        <v>648.20000000000005</v>
      </c>
      <c r="L320" s="12">
        <v>36.6</v>
      </c>
    </row>
    <row r="321" spans="1:12" x14ac:dyDescent="0.2">
      <c r="A321" s="9">
        <v>46237</v>
      </c>
      <c r="B321" t="s">
        <v>357</v>
      </c>
      <c r="C321" t="s">
        <v>358</v>
      </c>
      <c r="D321" t="s">
        <v>36</v>
      </c>
      <c r="E321" t="s">
        <v>647</v>
      </c>
      <c r="F321" t="s">
        <v>648</v>
      </c>
      <c r="G321" s="10">
        <v>8</v>
      </c>
      <c r="H321" s="10">
        <v>15734</v>
      </c>
      <c r="I321" s="10">
        <v>125872</v>
      </c>
      <c r="J321" t="s">
        <v>37</v>
      </c>
      <c r="K321" s="11">
        <v>648.20000000000005</v>
      </c>
      <c r="L321" s="12">
        <v>194.19</v>
      </c>
    </row>
    <row r="322" spans="1:12" x14ac:dyDescent="0.2">
      <c r="A322" s="9">
        <v>46237</v>
      </c>
      <c r="B322" t="s">
        <v>363</v>
      </c>
      <c r="C322" t="s">
        <v>364</v>
      </c>
      <c r="D322" t="s">
        <v>46</v>
      </c>
      <c r="E322" t="s">
        <v>660</v>
      </c>
      <c r="F322" t="s">
        <v>669</v>
      </c>
      <c r="G322" s="10">
        <v>79</v>
      </c>
      <c r="H322" s="10">
        <v>2678</v>
      </c>
      <c r="I322" s="10">
        <v>211562</v>
      </c>
      <c r="J322" t="s">
        <v>37</v>
      </c>
      <c r="K322" s="11">
        <v>648.20000000000005</v>
      </c>
      <c r="L322" s="12">
        <v>326.38</v>
      </c>
    </row>
    <row r="323" spans="1:12" x14ac:dyDescent="0.2">
      <c r="A323" s="9">
        <v>46237</v>
      </c>
      <c r="B323" t="s">
        <v>369</v>
      </c>
      <c r="C323" t="s">
        <v>370</v>
      </c>
      <c r="D323" t="s">
        <v>36</v>
      </c>
      <c r="E323" t="s">
        <v>660</v>
      </c>
      <c r="F323" t="s">
        <v>661</v>
      </c>
      <c r="G323" s="10">
        <v>1</v>
      </c>
      <c r="H323" s="10">
        <v>4124</v>
      </c>
      <c r="I323" s="10">
        <v>4124</v>
      </c>
      <c r="J323" t="s">
        <v>37</v>
      </c>
      <c r="K323" s="11">
        <v>648.20000000000005</v>
      </c>
      <c r="L323" s="12">
        <v>6.36</v>
      </c>
    </row>
    <row r="324" spans="1:12" x14ac:dyDescent="0.2">
      <c r="A324" s="9">
        <v>46237</v>
      </c>
      <c r="B324" t="s">
        <v>369</v>
      </c>
      <c r="C324" t="s">
        <v>370</v>
      </c>
      <c r="D324" t="s">
        <v>36</v>
      </c>
      <c r="E324" t="s">
        <v>653</v>
      </c>
      <c r="F324" t="s">
        <v>654</v>
      </c>
      <c r="G324" s="10">
        <v>33</v>
      </c>
      <c r="H324" s="10">
        <v>5508</v>
      </c>
      <c r="I324" s="10">
        <v>181764</v>
      </c>
      <c r="J324" t="s">
        <v>37</v>
      </c>
      <c r="K324" s="11">
        <v>648.20000000000005</v>
      </c>
      <c r="L324" s="12">
        <v>280.41000000000003</v>
      </c>
    </row>
    <row r="325" spans="1:12" x14ac:dyDescent="0.2">
      <c r="A325" s="9">
        <v>46237</v>
      </c>
      <c r="B325" t="s">
        <v>378</v>
      </c>
      <c r="C325" t="s">
        <v>379</v>
      </c>
      <c r="D325" t="s">
        <v>50</v>
      </c>
      <c r="E325" t="s">
        <v>655</v>
      </c>
      <c r="F325" t="s">
        <v>662</v>
      </c>
      <c r="G325" s="10">
        <v>6</v>
      </c>
      <c r="H325" s="10">
        <v>1116</v>
      </c>
      <c r="I325" s="10">
        <v>6696</v>
      </c>
      <c r="J325" t="s">
        <v>51</v>
      </c>
      <c r="K325" s="11">
        <v>648.20000000000005</v>
      </c>
      <c r="L325" s="12">
        <v>10.33</v>
      </c>
    </row>
    <row r="326" spans="1:12" x14ac:dyDescent="0.2">
      <c r="A326" s="9">
        <v>46237</v>
      </c>
      <c r="B326" t="s">
        <v>378</v>
      </c>
      <c r="C326" t="s">
        <v>379</v>
      </c>
      <c r="D326" t="s">
        <v>50</v>
      </c>
      <c r="E326" t="s">
        <v>651</v>
      </c>
      <c r="F326" t="s">
        <v>657</v>
      </c>
      <c r="G326" s="10">
        <v>7</v>
      </c>
      <c r="H326" s="10">
        <v>6259</v>
      </c>
      <c r="I326" s="10">
        <v>43813</v>
      </c>
      <c r="J326" t="s">
        <v>51</v>
      </c>
      <c r="K326" s="11">
        <v>648.20000000000005</v>
      </c>
      <c r="L326" s="12">
        <v>67.59</v>
      </c>
    </row>
    <row r="327" spans="1:12" x14ac:dyDescent="0.2">
      <c r="A327" s="9">
        <v>46237</v>
      </c>
      <c r="B327" t="s">
        <v>381</v>
      </c>
      <c r="C327" t="s">
        <v>382</v>
      </c>
      <c r="D327" t="s">
        <v>36</v>
      </c>
      <c r="E327" t="s">
        <v>649</v>
      </c>
      <c r="F327" t="s">
        <v>659</v>
      </c>
      <c r="G327" s="10">
        <v>24</v>
      </c>
      <c r="H327" s="10">
        <v>9101</v>
      </c>
      <c r="I327" s="10">
        <v>218424</v>
      </c>
      <c r="J327" t="s">
        <v>37</v>
      </c>
      <c r="K327" s="11">
        <v>648.20000000000005</v>
      </c>
      <c r="L327" s="12">
        <v>336.97</v>
      </c>
    </row>
    <row r="328" spans="1:12" x14ac:dyDescent="0.2">
      <c r="A328" s="9">
        <v>46237</v>
      </c>
      <c r="B328" t="s">
        <v>381</v>
      </c>
      <c r="C328" t="s">
        <v>382</v>
      </c>
      <c r="D328" t="s">
        <v>36</v>
      </c>
      <c r="E328" t="s">
        <v>649</v>
      </c>
      <c r="F328" t="s">
        <v>659</v>
      </c>
      <c r="G328" s="10">
        <v>9</v>
      </c>
      <c r="H328" s="10">
        <v>9200</v>
      </c>
      <c r="I328" s="10">
        <v>82800</v>
      </c>
      <c r="J328" t="s">
        <v>37</v>
      </c>
      <c r="K328" s="11">
        <v>648.20000000000005</v>
      </c>
      <c r="L328" s="12">
        <v>127.74</v>
      </c>
    </row>
    <row r="329" spans="1:12" x14ac:dyDescent="0.2">
      <c r="A329" s="9">
        <v>46237</v>
      </c>
      <c r="B329" t="s">
        <v>381</v>
      </c>
      <c r="C329" t="s">
        <v>382</v>
      </c>
      <c r="D329" t="s">
        <v>36</v>
      </c>
      <c r="E329" t="s">
        <v>655</v>
      </c>
      <c r="F329" t="s">
        <v>656</v>
      </c>
      <c r="G329" s="10">
        <v>9</v>
      </c>
      <c r="H329" s="10">
        <v>585</v>
      </c>
      <c r="I329" s="10">
        <v>5265</v>
      </c>
      <c r="J329" t="s">
        <v>37</v>
      </c>
      <c r="K329" s="11">
        <v>648.20000000000005</v>
      </c>
      <c r="L329" s="12">
        <v>8.1199999999999992</v>
      </c>
    </row>
    <row r="330" spans="1:12" x14ac:dyDescent="0.2">
      <c r="A330" s="9">
        <v>46237</v>
      </c>
      <c r="B330" t="s">
        <v>384</v>
      </c>
      <c r="C330" t="s">
        <v>385</v>
      </c>
      <c r="D330" t="s">
        <v>46</v>
      </c>
      <c r="E330" t="s">
        <v>649</v>
      </c>
      <c r="F330" t="s">
        <v>650</v>
      </c>
      <c r="G330" s="10">
        <v>6</v>
      </c>
      <c r="H330" s="10">
        <v>18544</v>
      </c>
      <c r="I330" s="10">
        <v>111264</v>
      </c>
      <c r="J330" t="s">
        <v>37</v>
      </c>
      <c r="K330" s="11">
        <v>648.20000000000005</v>
      </c>
      <c r="L330" s="12">
        <v>171.65</v>
      </c>
    </row>
    <row r="331" spans="1:12" x14ac:dyDescent="0.2">
      <c r="A331" s="9">
        <v>46237</v>
      </c>
      <c r="B331" t="s">
        <v>384</v>
      </c>
      <c r="C331" t="s">
        <v>385</v>
      </c>
      <c r="D331" t="s">
        <v>46</v>
      </c>
      <c r="E331" t="s">
        <v>651</v>
      </c>
      <c r="F331" t="s">
        <v>664</v>
      </c>
      <c r="G331" s="10">
        <v>25</v>
      </c>
      <c r="H331" s="10">
        <v>11594</v>
      </c>
      <c r="I331" s="10">
        <v>289850</v>
      </c>
      <c r="J331" t="s">
        <v>37</v>
      </c>
      <c r="K331" s="11">
        <v>648.20000000000005</v>
      </c>
      <c r="L331" s="12">
        <v>447.16</v>
      </c>
    </row>
    <row r="332" spans="1:12" x14ac:dyDescent="0.2">
      <c r="A332" s="9">
        <v>46237</v>
      </c>
      <c r="B332" t="s">
        <v>387</v>
      </c>
      <c r="C332" t="s">
        <v>388</v>
      </c>
      <c r="D332" t="s">
        <v>50</v>
      </c>
      <c r="E332" t="s">
        <v>660</v>
      </c>
      <c r="F332" t="s">
        <v>669</v>
      </c>
      <c r="G332" s="10">
        <v>3</v>
      </c>
      <c r="H332" s="10">
        <v>2662</v>
      </c>
      <c r="I332" s="10">
        <v>7986</v>
      </c>
      <c r="J332" t="s">
        <v>51</v>
      </c>
      <c r="K332" s="11">
        <v>648.20000000000005</v>
      </c>
      <c r="L332" s="12">
        <v>12.32</v>
      </c>
    </row>
    <row r="333" spans="1:12" x14ac:dyDescent="0.2">
      <c r="A333" s="9">
        <v>46237</v>
      </c>
      <c r="B333" t="s">
        <v>390</v>
      </c>
      <c r="C333" t="s">
        <v>391</v>
      </c>
      <c r="D333" t="s">
        <v>46</v>
      </c>
      <c r="E333" t="s">
        <v>660</v>
      </c>
      <c r="F333" t="s">
        <v>669</v>
      </c>
      <c r="G333" s="10">
        <v>59</v>
      </c>
      <c r="H333" s="10">
        <v>2509</v>
      </c>
      <c r="I333" s="10">
        <v>148031</v>
      </c>
      <c r="J333" t="s">
        <v>37</v>
      </c>
      <c r="K333" s="11">
        <v>648.20000000000005</v>
      </c>
      <c r="L333" s="12">
        <v>228.37</v>
      </c>
    </row>
    <row r="334" spans="1:12" x14ac:dyDescent="0.2">
      <c r="A334" s="9">
        <v>46237</v>
      </c>
      <c r="B334" t="s">
        <v>395</v>
      </c>
      <c r="C334" t="s">
        <v>396</v>
      </c>
      <c r="D334" t="s">
        <v>46</v>
      </c>
      <c r="E334" t="s">
        <v>655</v>
      </c>
      <c r="F334" t="s">
        <v>662</v>
      </c>
      <c r="G334" s="10">
        <v>7</v>
      </c>
      <c r="H334" s="10">
        <v>1164</v>
      </c>
      <c r="I334" s="10">
        <v>8148</v>
      </c>
      <c r="J334" t="s">
        <v>37</v>
      </c>
      <c r="K334" s="11">
        <v>648.20000000000005</v>
      </c>
      <c r="L334" s="12">
        <v>12.57</v>
      </c>
    </row>
    <row r="335" spans="1:12" x14ac:dyDescent="0.2">
      <c r="A335" s="9">
        <v>46237</v>
      </c>
      <c r="B335" t="s">
        <v>395</v>
      </c>
      <c r="C335" t="s">
        <v>396</v>
      </c>
      <c r="D335" t="s">
        <v>46</v>
      </c>
      <c r="E335" t="s">
        <v>647</v>
      </c>
      <c r="F335" t="s">
        <v>667</v>
      </c>
      <c r="G335" s="10">
        <v>10</v>
      </c>
      <c r="H335" s="10">
        <v>7099</v>
      </c>
      <c r="I335" s="10">
        <v>70990</v>
      </c>
      <c r="J335" t="s">
        <v>37</v>
      </c>
      <c r="K335" s="11">
        <v>648.20000000000005</v>
      </c>
      <c r="L335" s="12">
        <v>109.52</v>
      </c>
    </row>
    <row r="336" spans="1:12" x14ac:dyDescent="0.2">
      <c r="A336" s="9">
        <v>46237</v>
      </c>
      <c r="B336" t="s">
        <v>398</v>
      </c>
      <c r="C336" t="s">
        <v>399</v>
      </c>
      <c r="D336" t="s">
        <v>46</v>
      </c>
      <c r="E336" t="s">
        <v>647</v>
      </c>
      <c r="F336" t="s">
        <v>648</v>
      </c>
      <c r="G336" s="10">
        <v>17</v>
      </c>
      <c r="H336" s="10">
        <v>16478</v>
      </c>
      <c r="I336" s="10">
        <v>280126</v>
      </c>
      <c r="J336" t="s">
        <v>37</v>
      </c>
      <c r="K336" s="11">
        <v>648.20000000000005</v>
      </c>
      <c r="L336" s="12">
        <v>432.16</v>
      </c>
    </row>
    <row r="337" spans="1:12" x14ac:dyDescent="0.2">
      <c r="A337" s="9">
        <v>46237</v>
      </c>
      <c r="B337" t="s">
        <v>401</v>
      </c>
      <c r="C337" t="s">
        <v>402</v>
      </c>
      <c r="D337" t="s">
        <v>36</v>
      </c>
      <c r="E337" t="s">
        <v>649</v>
      </c>
      <c r="F337" t="s">
        <v>650</v>
      </c>
      <c r="G337" s="10">
        <v>3</v>
      </c>
      <c r="H337" s="10">
        <v>19600</v>
      </c>
      <c r="I337" s="10">
        <v>58800</v>
      </c>
      <c r="J337" t="s">
        <v>37</v>
      </c>
      <c r="K337" s="11">
        <v>648.20000000000005</v>
      </c>
      <c r="L337" s="12">
        <v>90.71</v>
      </c>
    </row>
    <row r="338" spans="1:12" x14ac:dyDescent="0.2">
      <c r="A338" s="9">
        <v>46237</v>
      </c>
      <c r="B338" t="s">
        <v>401</v>
      </c>
      <c r="C338" t="s">
        <v>402</v>
      </c>
      <c r="D338" t="s">
        <v>36</v>
      </c>
      <c r="E338" t="s">
        <v>649</v>
      </c>
      <c r="F338" t="s">
        <v>650</v>
      </c>
      <c r="G338" s="10">
        <v>18</v>
      </c>
      <c r="H338" s="10">
        <v>19549</v>
      </c>
      <c r="I338" s="10">
        <v>351882</v>
      </c>
      <c r="J338" t="s">
        <v>37</v>
      </c>
      <c r="K338" s="11">
        <v>648.20000000000005</v>
      </c>
      <c r="L338" s="12">
        <v>542.86</v>
      </c>
    </row>
    <row r="339" spans="1:12" x14ac:dyDescent="0.2">
      <c r="A339" s="9">
        <v>46237</v>
      </c>
      <c r="B339" t="s">
        <v>401</v>
      </c>
      <c r="C339" t="s">
        <v>402</v>
      </c>
      <c r="D339" t="s">
        <v>36</v>
      </c>
      <c r="E339" t="s">
        <v>660</v>
      </c>
      <c r="F339" t="s">
        <v>661</v>
      </c>
      <c r="G339" s="10">
        <v>9</v>
      </c>
      <c r="H339" s="10">
        <v>4196</v>
      </c>
      <c r="I339" s="10">
        <v>37764</v>
      </c>
      <c r="J339" t="s">
        <v>37</v>
      </c>
      <c r="K339" s="11">
        <v>648.20000000000005</v>
      </c>
      <c r="L339" s="12">
        <v>58.26</v>
      </c>
    </row>
    <row r="340" spans="1:12" x14ac:dyDescent="0.2">
      <c r="A340" s="9">
        <v>46237</v>
      </c>
      <c r="B340" t="s">
        <v>401</v>
      </c>
      <c r="C340" t="s">
        <v>402</v>
      </c>
      <c r="D340" t="s">
        <v>36</v>
      </c>
      <c r="E340" t="s">
        <v>651</v>
      </c>
      <c r="F340" t="s">
        <v>657</v>
      </c>
      <c r="G340" s="10">
        <v>42</v>
      </c>
      <c r="H340" s="10">
        <v>6346</v>
      </c>
      <c r="I340" s="10">
        <v>266532</v>
      </c>
      <c r="J340" t="s">
        <v>37</v>
      </c>
      <c r="K340" s="11">
        <v>648.20000000000005</v>
      </c>
      <c r="L340" s="12">
        <v>411.19</v>
      </c>
    </row>
    <row r="341" spans="1:12" x14ac:dyDescent="0.2">
      <c r="A341" s="9">
        <v>46237</v>
      </c>
      <c r="B341" t="s">
        <v>404</v>
      </c>
      <c r="C341" t="s">
        <v>405</v>
      </c>
      <c r="D341" t="s">
        <v>46</v>
      </c>
      <c r="E341" t="s">
        <v>649</v>
      </c>
      <c r="F341" t="s">
        <v>663</v>
      </c>
      <c r="G341" s="10">
        <v>14</v>
      </c>
      <c r="H341" s="10">
        <v>2104</v>
      </c>
      <c r="I341" s="10">
        <v>29456</v>
      </c>
      <c r="J341" t="s">
        <v>37</v>
      </c>
      <c r="K341" s="11">
        <v>648.20000000000005</v>
      </c>
      <c r="L341" s="12">
        <v>45.44</v>
      </c>
    </row>
    <row r="342" spans="1:12" x14ac:dyDescent="0.2">
      <c r="A342" s="9">
        <v>46237</v>
      </c>
      <c r="B342" t="s">
        <v>404</v>
      </c>
      <c r="C342" t="s">
        <v>405</v>
      </c>
      <c r="D342" t="s">
        <v>46</v>
      </c>
      <c r="E342" t="s">
        <v>647</v>
      </c>
      <c r="F342" t="s">
        <v>648</v>
      </c>
      <c r="G342" s="10">
        <v>12</v>
      </c>
      <c r="H342" s="10">
        <v>16771</v>
      </c>
      <c r="I342" s="10">
        <v>201252</v>
      </c>
      <c r="J342" t="s">
        <v>37</v>
      </c>
      <c r="K342" s="11">
        <v>648.20000000000005</v>
      </c>
      <c r="L342" s="12">
        <v>310.48</v>
      </c>
    </row>
    <row r="343" spans="1:12" x14ac:dyDescent="0.2">
      <c r="A343" s="9">
        <v>46237</v>
      </c>
      <c r="B343" t="s">
        <v>404</v>
      </c>
      <c r="C343" t="s">
        <v>405</v>
      </c>
      <c r="D343" t="s">
        <v>46</v>
      </c>
      <c r="E343" t="s">
        <v>651</v>
      </c>
      <c r="F343" t="s">
        <v>664</v>
      </c>
      <c r="G343" s="10">
        <v>41</v>
      </c>
      <c r="H343" s="10">
        <v>11785</v>
      </c>
      <c r="I343" s="10">
        <v>483185</v>
      </c>
      <c r="J343" t="s">
        <v>37</v>
      </c>
      <c r="K343" s="11">
        <v>648.20000000000005</v>
      </c>
      <c r="L343" s="12">
        <v>745.43</v>
      </c>
    </row>
    <row r="344" spans="1:12" x14ac:dyDescent="0.2">
      <c r="A344" s="9">
        <v>46237</v>
      </c>
      <c r="B344" t="s">
        <v>407</v>
      </c>
      <c r="C344" t="s">
        <v>408</v>
      </c>
      <c r="D344" t="s">
        <v>75</v>
      </c>
      <c r="E344" t="s">
        <v>651</v>
      </c>
      <c r="F344" t="s">
        <v>652</v>
      </c>
      <c r="G344" s="10">
        <v>1</v>
      </c>
      <c r="H344" s="10">
        <v>47720</v>
      </c>
      <c r="I344" s="10">
        <v>47720</v>
      </c>
      <c r="J344" t="s">
        <v>42</v>
      </c>
      <c r="K344" s="11">
        <v>3145.8</v>
      </c>
      <c r="L344" s="12">
        <v>15.17</v>
      </c>
    </row>
    <row r="345" spans="1:12" x14ac:dyDescent="0.2">
      <c r="A345" s="9">
        <v>46237</v>
      </c>
      <c r="B345" t="s">
        <v>407</v>
      </c>
      <c r="C345" t="s">
        <v>408</v>
      </c>
      <c r="D345" t="s">
        <v>75</v>
      </c>
      <c r="E345" t="s">
        <v>651</v>
      </c>
      <c r="F345" t="s">
        <v>657</v>
      </c>
      <c r="G345" s="10">
        <v>4</v>
      </c>
      <c r="H345" s="10">
        <v>31736</v>
      </c>
      <c r="I345" s="10">
        <v>126944</v>
      </c>
      <c r="J345" t="s">
        <v>42</v>
      </c>
      <c r="K345" s="11">
        <v>3145.8</v>
      </c>
      <c r="L345" s="12">
        <v>40.35</v>
      </c>
    </row>
    <row r="346" spans="1:12" x14ac:dyDescent="0.2">
      <c r="A346" s="9">
        <v>46237</v>
      </c>
      <c r="B346" t="s">
        <v>416</v>
      </c>
      <c r="C346" t="s">
        <v>417</v>
      </c>
      <c r="D346" t="s">
        <v>36</v>
      </c>
      <c r="E346" t="s">
        <v>653</v>
      </c>
      <c r="F346" t="s">
        <v>666</v>
      </c>
      <c r="G346" s="10">
        <v>4</v>
      </c>
      <c r="H346" s="10">
        <v>1533</v>
      </c>
      <c r="I346" s="10">
        <v>6132</v>
      </c>
      <c r="J346" t="s">
        <v>37</v>
      </c>
      <c r="K346" s="11">
        <v>648.20000000000005</v>
      </c>
      <c r="L346" s="12">
        <v>9.4600000000000009</v>
      </c>
    </row>
    <row r="347" spans="1:12" x14ac:dyDescent="0.2">
      <c r="A347" s="9">
        <v>46237</v>
      </c>
      <c r="B347" t="s">
        <v>416</v>
      </c>
      <c r="C347" t="s">
        <v>417</v>
      </c>
      <c r="D347" t="s">
        <v>36</v>
      </c>
      <c r="E347" t="s">
        <v>651</v>
      </c>
      <c r="F347" t="s">
        <v>664</v>
      </c>
      <c r="G347" s="10">
        <v>3</v>
      </c>
      <c r="H347" s="10">
        <v>11929</v>
      </c>
      <c r="I347" s="10">
        <v>35787</v>
      </c>
      <c r="J347" t="s">
        <v>37</v>
      </c>
      <c r="K347" s="11">
        <v>648.20000000000005</v>
      </c>
      <c r="L347" s="12">
        <v>55.21</v>
      </c>
    </row>
    <row r="348" spans="1:12" x14ac:dyDescent="0.2">
      <c r="A348" s="9">
        <v>46237</v>
      </c>
      <c r="B348" t="s">
        <v>419</v>
      </c>
      <c r="C348" t="s">
        <v>420</v>
      </c>
      <c r="D348" t="s">
        <v>46</v>
      </c>
      <c r="E348" t="s">
        <v>660</v>
      </c>
      <c r="F348" t="s">
        <v>670</v>
      </c>
      <c r="G348" s="10">
        <v>19</v>
      </c>
      <c r="H348" s="10">
        <v>14226</v>
      </c>
      <c r="I348" s="10">
        <v>270294</v>
      </c>
      <c r="J348" t="s">
        <v>37</v>
      </c>
      <c r="K348" s="11">
        <v>648.20000000000005</v>
      </c>
      <c r="L348" s="12">
        <v>416.99</v>
      </c>
    </row>
    <row r="349" spans="1:12" x14ac:dyDescent="0.2">
      <c r="A349" s="9">
        <v>46237</v>
      </c>
      <c r="B349" t="s">
        <v>419</v>
      </c>
      <c r="C349" t="s">
        <v>420</v>
      </c>
      <c r="D349" t="s">
        <v>46</v>
      </c>
      <c r="E349" t="s">
        <v>660</v>
      </c>
      <c r="F349" t="s">
        <v>661</v>
      </c>
      <c r="G349" s="10">
        <v>24</v>
      </c>
      <c r="H349" s="10">
        <v>4281</v>
      </c>
      <c r="I349" s="10">
        <v>102744</v>
      </c>
      <c r="J349" t="s">
        <v>37</v>
      </c>
      <c r="K349" s="11">
        <v>648.20000000000005</v>
      </c>
      <c r="L349" s="12">
        <v>158.51</v>
      </c>
    </row>
    <row r="350" spans="1:12" x14ac:dyDescent="0.2">
      <c r="A350" s="9">
        <v>46237</v>
      </c>
      <c r="B350" t="s">
        <v>422</v>
      </c>
      <c r="C350" t="s">
        <v>423</v>
      </c>
      <c r="D350" t="s">
        <v>68</v>
      </c>
      <c r="E350" t="s">
        <v>651</v>
      </c>
      <c r="F350" t="s">
        <v>652</v>
      </c>
      <c r="G350" s="10">
        <v>7</v>
      </c>
      <c r="H350" s="10">
        <v>9730</v>
      </c>
      <c r="I350" s="10">
        <v>68110</v>
      </c>
      <c r="J350" t="s">
        <v>51</v>
      </c>
      <c r="K350" s="11">
        <v>648.20000000000005</v>
      </c>
      <c r="L350" s="12">
        <v>105.08</v>
      </c>
    </row>
    <row r="351" spans="1:12" x14ac:dyDescent="0.2">
      <c r="A351" s="9">
        <v>46237</v>
      </c>
      <c r="B351" t="s">
        <v>425</v>
      </c>
      <c r="C351" t="s">
        <v>426</v>
      </c>
      <c r="D351" t="s">
        <v>50</v>
      </c>
      <c r="E351" t="s">
        <v>647</v>
      </c>
      <c r="F351" t="s">
        <v>667</v>
      </c>
      <c r="G351" s="10">
        <v>1</v>
      </c>
      <c r="H351" s="10">
        <v>7537</v>
      </c>
      <c r="I351" s="10">
        <v>7537</v>
      </c>
      <c r="J351" t="s">
        <v>51</v>
      </c>
      <c r="K351" s="11">
        <v>648.20000000000005</v>
      </c>
      <c r="L351" s="12">
        <v>11.63</v>
      </c>
    </row>
    <row r="352" spans="1:12" x14ac:dyDescent="0.2">
      <c r="A352" s="9">
        <v>46237</v>
      </c>
      <c r="B352" t="s">
        <v>434</v>
      </c>
      <c r="C352" t="s">
        <v>176</v>
      </c>
      <c r="D352" t="s">
        <v>46</v>
      </c>
      <c r="E352" t="s">
        <v>660</v>
      </c>
      <c r="F352" t="s">
        <v>670</v>
      </c>
      <c r="G352" s="10">
        <v>41</v>
      </c>
      <c r="H352" s="10">
        <v>14398</v>
      </c>
      <c r="I352" s="10">
        <v>590318</v>
      </c>
      <c r="J352" t="s">
        <v>37</v>
      </c>
      <c r="K352" s="11">
        <v>648.20000000000005</v>
      </c>
      <c r="L352" s="12">
        <v>910.7</v>
      </c>
    </row>
    <row r="353" spans="1:12" x14ac:dyDescent="0.2">
      <c r="A353" s="9">
        <v>46237</v>
      </c>
      <c r="B353" t="s">
        <v>445</v>
      </c>
      <c r="C353" t="s">
        <v>446</v>
      </c>
      <c r="D353" t="s">
        <v>68</v>
      </c>
      <c r="E353" t="s">
        <v>649</v>
      </c>
      <c r="F353" t="s">
        <v>650</v>
      </c>
      <c r="G353" s="10">
        <v>14</v>
      </c>
      <c r="H353" s="10">
        <v>19357</v>
      </c>
      <c r="I353" s="10">
        <v>270998</v>
      </c>
      <c r="J353" t="s">
        <v>51</v>
      </c>
      <c r="K353" s="11">
        <v>648.20000000000005</v>
      </c>
      <c r="L353" s="12">
        <v>418.08</v>
      </c>
    </row>
    <row r="354" spans="1:12" x14ac:dyDescent="0.2">
      <c r="A354" s="9">
        <v>46237</v>
      </c>
      <c r="B354" t="s">
        <v>445</v>
      </c>
      <c r="C354" t="s">
        <v>446</v>
      </c>
      <c r="D354" t="s">
        <v>68</v>
      </c>
      <c r="E354" t="s">
        <v>649</v>
      </c>
      <c r="F354" t="s">
        <v>659</v>
      </c>
      <c r="G354" s="10">
        <v>5</v>
      </c>
      <c r="H354" s="10">
        <v>8654</v>
      </c>
      <c r="I354" s="10">
        <v>43270</v>
      </c>
      <c r="J354" t="s">
        <v>51</v>
      </c>
      <c r="K354" s="11">
        <v>648.20000000000005</v>
      </c>
      <c r="L354" s="12">
        <v>66.75</v>
      </c>
    </row>
    <row r="355" spans="1:12" x14ac:dyDescent="0.2">
      <c r="A355" s="9">
        <v>46237</v>
      </c>
      <c r="B355" t="s">
        <v>445</v>
      </c>
      <c r="C355" t="s">
        <v>446</v>
      </c>
      <c r="D355" t="s">
        <v>68</v>
      </c>
      <c r="E355" t="s">
        <v>647</v>
      </c>
      <c r="F355" t="s">
        <v>668</v>
      </c>
      <c r="G355" s="10">
        <v>7</v>
      </c>
      <c r="H355" s="10">
        <v>24480</v>
      </c>
      <c r="I355" s="10">
        <v>171360</v>
      </c>
      <c r="J355" t="s">
        <v>51</v>
      </c>
      <c r="K355" s="11">
        <v>648.20000000000005</v>
      </c>
      <c r="L355" s="12">
        <v>264.36</v>
      </c>
    </row>
    <row r="356" spans="1:12" x14ac:dyDescent="0.2">
      <c r="A356" s="9">
        <v>46237</v>
      </c>
      <c r="B356" t="s">
        <v>448</v>
      </c>
      <c r="C356" t="s">
        <v>449</v>
      </c>
      <c r="D356" t="s">
        <v>75</v>
      </c>
      <c r="E356" t="s">
        <v>647</v>
      </c>
      <c r="F356" t="s">
        <v>667</v>
      </c>
      <c r="G356" s="10">
        <v>19</v>
      </c>
      <c r="H356" s="10">
        <v>35656</v>
      </c>
      <c r="I356" s="10">
        <v>677464</v>
      </c>
      <c r="J356" t="s">
        <v>42</v>
      </c>
      <c r="K356" s="11">
        <v>3145.8</v>
      </c>
      <c r="L356" s="12">
        <v>215.36</v>
      </c>
    </row>
    <row r="357" spans="1:12" x14ac:dyDescent="0.2">
      <c r="A357" s="9">
        <v>46237</v>
      </c>
      <c r="B357" t="s">
        <v>451</v>
      </c>
      <c r="C357" t="s">
        <v>452</v>
      </c>
      <c r="D357" t="s">
        <v>68</v>
      </c>
      <c r="E357" t="s">
        <v>649</v>
      </c>
      <c r="F357" t="s">
        <v>659</v>
      </c>
      <c r="G357" s="10">
        <v>1</v>
      </c>
      <c r="H357" s="10">
        <v>9091</v>
      </c>
      <c r="I357" s="10">
        <v>9091</v>
      </c>
      <c r="J357" t="s">
        <v>51</v>
      </c>
      <c r="K357" s="11">
        <v>648.20000000000005</v>
      </c>
      <c r="L357" s="12">
        <v>14.02</v>
      </c>
    </row>
    <row r="358" spans="1:12" x14ac:dyDescent="0.2">
      <c r="A358" s="9">
        <v>46237</v>
      </c>
      <c r="B358" t="s">
        <v>457</v>
      </c>
      <c r="C358" t="s">
        <v>458</v>
      </c>
      <c r="D358" t="s">
        <v>46</v>
      </c>
      <c r="E358" t="s">
        <v>653</v>
      </c>
      <c r="F358" t="s">
        <v>654</v>
      </c>
      <c r="G358" s="10">
        <v>18</v>
      </c>
      <c r="H358" s="10">
        <v>5776</v>
      </c>
      <c r="I358" s="10">
        <v>103968</v>
      </c>
      <c r="J358" t="s">
        <v>37</v>
      </c>
      <c r="K358" s="11">
        <v>648.20000000000005</v>
      </c>
      <c r="L358" s="12">
        <v>160.38999999999999</v>
      </c>
    </row>
    <row r="359" spans="1:12" x14ac:dyDescent="0.2">
      <c r="A359" s="9">
        <v>46237</v>
      </c>
      <c r="B359" t="s">
        <v>457</v>
      </c>
      <c r="C359" t="s">
        <v>458</v>
      </c>
      <c r="D359" t="s">
        <v>46</v>
      </c>
      <c r="E359" t="s">
        <v>655</v>
      </c>
      <c r="F359" t="s">
        <v>665</v>
      </c>
      <c r="G359" s="10">
        <v>5</v>
      </c>
      <c r="H359" s="10">
        <v>712</v>
      </c>
      <c r="I359" s="10">
        <v>3560</v>
      </c>
      <c r="J359" t="s">
        <v>37</v>
      </c>
      <c r="K359" s="11">
        <v>648.20000000000005</v>
      </c>
      <c r="L359" s="12">
        <v>5.49</v>
      </c>
    </row>
    <row r="360" spans="1:12" x14ac:dyDescent="0.2">
      <c r="A360" s="9">
        <v>46237</v>
      </c>
      <c r="B360" t="s">
        <v>460</v>
      </c>
      <c r="C360" t="s">
        <v>461</v>
      </c>
      <c r="D360" t="s">
        <v>75</v>
      </c>
      <c r="E360" t="s">
        <v>649</v>
      </c>
      <c r="F360" t="s">
        <v>663</v>
      </c>
      <c r="G360" s="10">
        <v>13</v>
      </c>
      <c r="H360" s="10">
        <v>9526</v>
      </c>
      <c r="I360" s="10">
        <v>123838</v>
      </c>
      <c r="J360" t="s">
        <v>42</v>
      </c>
      <c r="K360" s="11">
        <v>3145.8</v>
      </c>
      <c r="L360" s="12">
        <v>39.369999999999997</v>
      </c>
    </row>
    <row r="361" spans="1:12" x14ac:dyDescent="0.2">
      <c r="A361" s="9">
        <v>46237</v>
      </c>
      <c r="B361" t="s">
        <v>460</v>
      </c>
      <c r="C361" t="s">
        <v>461</v>
      </c>
      <c r="D361" t="s">
        <v>75</v>
      </c>
      <c r="E361" t="s">
        <v>647</v>
      </c>
      <c r="F361" t="s">
        <v>668</v>
      </c>
      <c r="G361" s="10">
        <v>33</v>
      </c>
      <c r="H361" s="10">
        <v>124945</v>
      </c>
      <c r="I361" s="10">
        <v>4123185</v>
      </c>
      <c r="J361" t="s">
        <v>42</v>
      </c>
      <c r="K361" s="11">
        <v>3145.8</v>
      </c>
      <c r="L361" s="12">
        <v>1310.7</v>
      </c>
    </row>
    <row r="362" spans="1:12" x14ac:dyDescent="0.2">
      <c r="A362" s="9">
        <v>46237</v>
      </c>
      <c r="B362" t="s">
        <v>460</v>
      </c>
      <c r="C362" t="s">
        <v>461</v>
      </c>
      <c r="D362" t="s">
        <v>75</v>
      </c>
      <c r="E362" t="s">
        <v>651</v>
      </c>
      <c r="F362" t="s">
        <v>664</v>
      </c>
      <c r="G362" s="10">
        <v>24</v>
      </c>
      <c r="H362" s="10">
        <v>58562</v>
      </c>
      <c r="I362" s="10">
        <v>1405488</v>
      </c>
      <c r="J362" t="s">
        <v>42</v>
      </c>
      <c r="K362" s="11">
        <v>3145.8</v>
      </c>
      <c r="L362" s="12">
        <v>446.78</v>
      </c>
    </row>
    <row r="363" spans="1:12" x14ac:dyDescent="0.2">
      <c r="A363" s="9">
        <v>46237</v>
      </c>
      <c r="B363" t="s">
        <v>463</v>
      </c>
      <c r="C363" t="s">
        <v>464</v>
      </c>
      <c r="D363" t="s">
        <v>36</v>
      </c>
      <c r="E363" t="s">
        <v>653</v>
      </c>
      <c r="F363" t="s">
        <v>666</v>
      </c>
      <c r="G363" s="10">
        <v>2</v>
      </c>
      <c r="H363" s="10">
        <v>1485</v>
      </c>
      <c r="I363" s="10">
        <v>2970</v>
      </c>
      <c r="J363" t="s">
        <v>37</v>
      </c>
      <c r="K363" s="11">
        <v>648.20000000000005</v>
      </c>
      <c r="L363" s="12">
        <v>4.58</v>
      </c>
    </row>
    <row r="364" spans="1:12" x14ac:dyDescent="0.2">
      <c r="A364" s="9">
        <v>46237</v>
      </c>
      <c r="B364" t="s">
        <v>469</v>
      </c>
      <c r="C364" t="s">
        <v>470</v>
      </c>
      <c r="D364" t="s">
        <v>41</v>
      </c>
      <c r="E364" t="s">
        <v>647</v>
      </c>
      <c r="F364" t="s">
        <v>648</v>
      </c>
      <c r="G364" s="10">
        <v>13</v>
      </c>
      <c r="H364" s="10">
        <v>77489</v>
      </c>
      <c r="I364" s="10">
        <v>1007357</v>
      </c>
      <c r="J364" t="s">
        <v>42</v>
      </c>
      <c r="K364" s="11">
        <v>3145.8</v>
      </c>
      <c r="L364" s="12">
        <v>320.22000000000003</v>
      </c>
    </row>
    <row r="365" spans="1:12" x14ac:dyDescent="0.2">
      <c r="A365" s="9">
        <v>46237</v>
      </c>
      <c r="B365" t="s">
        <v>472</v>
      </c>
      <c r="C365" t="s">
        <v>473</v>
      </c>
      <c r="D365" t="s">
        <v>68</v>
      </c>
      <c r="E365" t="s">
        <v>655</v>
      </c>
      <c r="F365" t="s">
        <v>665</v>
      </c>
      <c r="G365" s="10">
        <v>4</v>
      </c>
      <c r="H365" s="10">
        <v>695</v>
      </c>
      <c r="I365" s="10">
        <v>2780</v>
      </c>
      <c r="J365" t="s">
        <v>51</v>
      </c>
      <c r="K365" s="11">
        <v>648.20000000000005</v>
      </c>
      <c r="L365" s="12">
        <v>4.29</v>
      </c>
    </row>
    <row r="366" spans="1:12" x14ac:dyDescent="0.2">
      <c r="A366" s="9">
        <v>46237</v>
      </c>
      <c r="B366" t="s">
        <v>475</v>
      </c>
      <c r="C366" t="s">
        <v>476</v>
      </c>
      <c r="D366" t="s">
        <v>75</v>
      </c>
      <c r="E366" t="s">
        <v>660</v>
      </c>
      <c r="F366" t="s">
        <v>670</v>
      </c>
      <c r="G366" s="10">
        <v>9</v>
      </c>
      <c r="H366" s="10">
        <v>68868</v>
      </c>
      <c r="I366" s="10">
        <v>619812</v>
      </c>
      <c r="J366" t="s">
        <v>42</v>
      </c>
      <c r="K366" s="11">
        <v>3145.8</v>
      </c>
      <c r="L366" s="12">
        <v>197.03</v>
      </c>
    </row>
    <row r="367" spans="1:12" x14ac:dyDescent="0.2">
      <c r="A367" s="9">
        <v>46237</v>
      </c>
      <c r="B367" t="s">
        <v>475</v>
      </c>
      <c r="C367" t="s">
        <v>476</v>
      </c>
      <c r="D367" t="s">
        <v>75</v>
      </c>
      <c r="E367" t="s">
        <v>660</v>
      </c>
      <c r="F367" t="s">
        <v>661</v>
      </c>
      <c r="G367" s="10">
        <v>71</v>
      </c>
      <c r="H367" s="10">
        <v>20333</v>
      </c>
      <c r="I367" s="10">
        <v>1443643</v>
      </c>
      <c r="J367" t="s">
        <v>42</v>
      </c>
      <c r="K367" s="11">
        <v>3145.8</v>
      </c>
      <c r="L367" s="12">
        <v>458.91</v>
      </c>
    </row>
    <row r="368" spans="1:12" x14ac:dyDescent="0.2">
      <c r="A368" s="9">
        <v>46237</v>
      </c>
      <c r="B368" t="s">
        <v>475</v>
      </c>
      <c r="C368" t="s">
        <v>476</v>
      </c>
      <c r="D368" t="s">
        <v>75</v>
      </c>
      <c r="E368" t="s">
        <v>660</v>
      </c>
      <c r="F368" t="s">
        <v>661</v>
      </c>
      <c r="G368" s="10">
        <v>16</v>
      </c>
      <c r="H368" s="10">
        <v>19825</v>
      </c>
      <c r="I368" s="10">
        <v>317200</v>
      </c>
      <c r="J368" t="s">
        <v>42</v>
      </c>
      <c r="K368" s="11">
        <v>3145.8</v>
      </c>
      <c r="L368" s="12">
        <v>100.83</v>
      </c>
    </row>
    <row r="369" spans="1:12" x14ac:dyDescent="0.2">
      <c r="A369" s="9">
        <v>46237</v>
      </c>
      <c r="B369" t="s">
        <v>475</v>
      </c>
      <c r="C369" t="s">
        <v>476</v>
      </c>
      <c r="D369" t="s">
        <v>75</v>
      </c>
      <c r="E369" t="s">
        <v>647</v>
      </c>
      <c r="F369" t="s">
        <v>668</v>
      </c>
      <c r="G369" s="10">
        <v>52</v>
      </c>
      <c r="H369" s="10">
        <v>126498</v>
      </c>
      <c r="I369" s="10">
        <v>6577896</v>
      </c>
      <c r="J369" t="s">
        <v>42</v>
      </c>
      <c r="K369" s="11">
        <v>3145.8</v>
      </c>
      <c r="L369" s="12">
        <v>2091.0100000000002</v>
      </c>
    </row>
    <row r="370" spans="1:12" x14ac:dyDescent="0.2">
      <c r="A370" s="9">
        <v>46237</v>
      </c>
      <c r="B370" t="s">
        <v>481</v>
      </c>
      <c r="C370" t="s">
        <v>78</v>
      </c>
      <c r="D370" t="s">
        <v>41</v>
      </c>
      <c r="E370" t="s">
        <v>660</v>
      </c>
      <c r="F370" t="s">
        <v>670</v>
      </c>
      <c r="G370" s="10">
        <v>64</v>
      </c>
      <c r="H370" s="10">
        <v>68060</v>
      </c>
      <c r="I370" s="10">
        <v>4355840</v>
      </c>
      <c r="J370" t="s">
        <v>42</v>
      </c>
      <c r="K370" s="11">
        <v>3145.8</v>
      </c>
      <c r="L370" s="12">
        <v>1384.65</v>
      </c>
    </row>
    <row r="371" spans="1:12" x14ac:dyDescent="0.2">
      <c r="A371" s="9">
        <v>46237</v>
      </c>
      <c r="B371" t="s">
        <v>481</v>
      </c>
      <c r="C371" t="s">
        <v>78</v>
      </c>
      <c r="D371" t="s">
        <v>41</v>
      </c>
      <c r="E371" t="s">
        <v>647</v>
      </c>
      <c r="F371" t="s">
        <v>667</v>
      </c>
      <c r="G371" s="10">
        <v>19</v>
      </c>
      <c r="H371" s="10">
        <v>35909</v>
      </c>
      <c r="I371" s="10">
        <v>682271</v>
      </c>
      <c r="J371" t="s">
        <v>42</v>
      </c>
      <c r="K371" s="11">
        <v>3145.8</v>
      </c>
      <c r="L371" s="12">
        <v>216.88</v>
      </c>
    </row>
    <row r="372" spans="1:12" x14ac:dyDescent="0.2">
      <c r="A372" s="9">
        <v>46237</v>
      </c>
      <c r="B372" t="s">
        <v>483</v>
      </c>
      <c r="C372" t="s">
        <v>340</v>
      </c>
      <c r="D372" t="s">
        <v>46</v>
      </c>
      <c r="E372" t="s">
        <v>655</v>
      </c>
      <c r="F372" t="s">
        <v>662</v>
      </c>
      <c r="G372" s="10">
        <v>3</v>
      </c>
      <c r="H372" s="10">
        <v>1149</v>
      </c>
      <c r="I372" s="10">
        <v>3447</v>
      </c>
      <c r="J372" t="s">
        <v>37</v>
      </c>
      <c r="K372" s="11">
        <v>648.20000000000005</v>
      </c>
      <c r="L372" s="12">
        <v>5.32</v>
      </c>
    </row>
    <row r="373" spans="1:12" x14ac:dyDescent="0.2">
      <c r="A373" s="9">
        <v>46237</v>
      </c>
      <c r="B373" t="s">
        <v>485</v>
      </c>
      <c r="C373" t="s">
        <v>486</v>
      </c>
      <c r="D373" t="s">
        <v>41</v>
      </c>
      <c r="E373" t="s">
        <v>647</v>
      </c>
      <c r="F373" t="s">
        <v>668</v>
      </c>
      <c r="G373" s="10">
        <v>6</v>
      </c>
      <c r="H373" s="10">
        <v>123508</v>
      </c>
      <c r="I373" s="10">
        <v>741048</v>
      </c>
      <c r="J373" t="s">
        <v>42</v>
      </c>
      <c r="K373" s="11">
        <v>3145.8</v>
      </c>
      <c r="L373" s="12">
        <v>235.57</v>
      </c>
    </row>
    <row r="374" spans="1:12" x14ac:dyDescent="0.2">
      <c r="A374" s="9">
        <v>46237</v>
      </c>
      <c r="B374" t="s">
        <v>485</v>
      </c>
      <c r="C374" t="s">
        <v>486</v>
      </c>
      <c r="D374" t="s">
        <v>41</v>
      </c>
      <c r="E374" t="s">
        <v>647</v>
      </c>
      <c r="F374" t="s">
        <v>667</v>
      </c>
      <c r="G374" s="10">
        <v>4</v>
      </c>
      <c r="H374" s="10">
        <v>36844</v>
      </c>
      <c r="I374" s="10">
        <v>147376</v>
      </c>
      <c r="J374" t="s">
        <v>42</v>
      </c>
      <c r="K374" s="11">
        <v>3145.8</v>
      </c>
      <c r="L374" s="12">
        <v>46.85</v>
      </c>
    </row>
    <row r="375" spans="1:12" x14ac:dyDescent="0.2">
      <c r="A375" s="9">
        <v>46237</v>
      </c>
      <c r="B375" t="s">
        <v>488</v>
      </c>
      <c r="C375" t="s">
        <v>489</v>
      </c>
      <c r="D375" t="s">
        <v>46</v>
      </c>
      <c r="E375" t="s">
        <v>649</v>
      </c>
      <c r="F375" t="s">
        <v>663</v>
      </c>
      <c r="G375" s="10">
        <v>13</v>
      </c>
      <c r="H375" s="10">
        <v>2096</v>
      </c>
      <c r="I375" s="10">
        <v>27248</v>
      </c>
      <c r="J375" t="s">
        <v>37</v>
      </c>
      <c r="K375" s="11">
        <v>648.20000000000005</v>
      </c>
      <c r="L375" s="12">
        <v>42.04</v>
      </c>
    </row>
    <row r="376" spans="1:12" x14ac:dyDescent="0.2">
      <c r="A376" s="9">
        <v>46237</v>
      </c>
      <c r="B376" t="s">
        <v>488</v>
      </c>
      <c r="C376" t="s">
        <v>489</v>
      </c>
      <c r="D376" t="s">
        <v>46</v>
      </c>
      <c r="E376" t="s">
        <v>660</v>
      </c>
      <c r="F376" t="s">
        <v>669</v>
      </c>
      <c r="G376" s="10">
        <v>3</v>
      </c>
      <c r="H376" s="10">
        <v>2652</v>
      </c>
      <c r="I376" s="10">
        <v>7956</v>
      </c>
      <c r="J376" t="s">
        <v>37</v>
      </c>
      <c r="K376" s="11">
        <v>648.20000000000005</v>
      </c>
      <c r="L376" s="12">
        <v>12.27</v>
      </c>
    </row>
    <row r="377" spans="1:12" x14ac:dyDescent="0.2">
      <c r="A377" s="9">
        <v>46237</v>
      </c>
      <c r="B377" t="s">
        <v>491</v>
      </c>
      <c r="C377" t="s">
        <v>125</v>
      </c>
      <c r="D377" t="s">
        <v>75</v>
      </c>
      <c r="E377" t="s">
        <v>647</v>
      </c>
      <c r="F377" t="s">
        <v>668</v>
      </c>
      <c r="G377" s="10">
        <v>43</v>
      </c>
      <c r="H377" s="10">
        <v>122224</v>
      </c>
      <c r="I377" s="10">
        <v>5255632</v>
      </c>
      <c r="J377" t="s">
        <v>42</v>
      </c>
      <c r="K377" s="11">
        <v>3145.8</v>
      </c>
      <c r="L377" s="12">
        <v>1670.68</v>
      </c>
    </row>
    <row r="378" spans="1:12" x14ac:dyDescent="0.2">
      <c r="A378" s="9">
        <v>46237</v>
      </c>
      <c r="B378" t="s">
        <v>499</v>
      </c>
      <c r="C378" t="s">
        <v>500</v>
      </c>
      <c r="D378" t="s">
        <v>41</v>
      </c>
      <c r="E378" t="s">
        <v>653</v>
      </c>
      <c r="F378" t="s">
        <v>666</v>
      </c>
      <c r="G378" s="10">
        <v>35</v>
      </c>
      <c r="H378" s="10">
        <v>7173</v>
      </c>
      <c r="I378" s="10">
        <v>251055</v>
      </c>
      <c r="J378" t="s">
        <v>42</v>
      </c>
      <c r="K378" s="11">
        <v>3145.8</v>
      </c>
      <c r="L378" s="12">
        <v>79.81</v>
      </c>
    </row>
    <row r="379" spans="1:12" x14ac:dyDescent="0.2">
      <c r="A379" s="9">
        <v>46237</v>
      </c>
      <c r="B379" t="s">
        <v>505</v>
      </c>
      <c r="C379" t="s">
        <v>506</v>
      </c>
      <c r="D379" t="s">
        <v>36</v>
      </c>
      <c r="E379" t="s">
        <v>649</v>
      </c>
      <c r="F379" t="s">
        <v>663</v>
      </c>
      <c r="G379" s="10">
        <v>19</v>
      </c>
      <c r="H379" s="10">
        <v>2009</v>
      </c>
      <c r="I379" s="10">
        <v>38171</v>
      </c>
      <c r="J379" t="s">
        <v>37</v>
      </c>
      <c r="K379" s="11">
        <v>648.20000000000005</v>
      </c>
      <c r="L379" s="12">
        <v>58.89</v>
      </c>
    </row>
    <row r="380" spans="1:12" x14ac:dyDescent="0.2">
      <c r="A380" s="9">
        <v>46237</v>
      </c>
      <c r="B380" t="s">
        <v>508</v>
      </c>
      <c r="C380" t="s">
        <v>509</v>
      </c>
      <c r="D380" t="s">
        <v>68</v>
      </c>
      <c r="E380" t="s">
        <v>647</v>
      </c>
      <c r="F380" t="s">
        <v>668</v>
      </c>
      <c r="G380" s="10">
        <v>4</v>
      </c>
      <c r="H380" s="10">
        <v>25675</v>
      </c>
      <c r="I380" s="10">
        <v>102700</v>
      </c>
      <c r="J380" t="s">
        <v>51</v>
      </c>
      <c r="K380" s="11">
        <v>648.20000000000005</v>
      </c>
      <c r="L380" s="12">
        <v>158.44</v>
      </c>
    </row>
    <row r="381" spans="1:12" x14ac:dyDescent="0.2">
      <c r="A381" s="9">
        <v>46237</v>
      </c>
      <c r="B381" t="s">
        <v>511</v>
      </c>
      <c r="C381" t="s">
        <v>512</v>
      </c>
      <c r="D381" t="s">
        <v>75</v>
      </c>
      <c r="E381" t="s">
        <v>660</v>
      </c>
      <c r="F381" t="s">
        <v>670</v>
      </c>
      <c r="G381" s="10">
        <v>13</v>
      </c>
      <c r="H381" s="10">
        <v>67490</v>
      </c>
      <c r="I381" s="10">
        <v>877370</v>
      </c>
      <c r="J381" t="s">
        <v>42</v>
      </c>
      <c r="K381" s="11">
        <v>3145.8</v>
      </c>
      <c r="L381" s="12">
        <v>278.89999999999998</v>
      </c>
    </row>
    <row r="382" spans="1:12" x14ac:dyDescent="0.2">
      <c r="A382" s="9">
        <v>46237</v>
      </c>
      <c r="B382" t="s">
        <v>511</v>
      </c>
      <c r="C382" t="s">
        <v>512</v>
      </c>
      <c r="D382" t="s">
        <v>75</v>
      </c>
      <c r="E382" t="s">
        <v>651</v>
      </c>
      <c r="F382" t="s">
        <v>657</v>
      </c>
      <c r="G382" s="10">
        <v>13</v>
      </c>
      <c r="H382" s="10">
        <v>30031</v>
      </c>
      <c r="I382" s="10">
        <v>390403</v>
      </c>
      <c r="J382" t="s">
        <v>42</v>
      </c>
      <c r="K382" s="11">
        <v>3145.8</v>
      </c>
      <c r="L382" s="12">
        <v>124.1</v>
      </c>
    </row>
    <row r="383" spans="1:12" x14ac:dyDescent="0.2">
      <c r="A383" s="9">
        <v>46237</v>
      </c>
      <c r="B383" t="s">
        <v>514</v>
      </c>
      <c r="C383" t="s">
        <v>515</v>
      </c>
      <c r="D383" t="s">
        <v>41</v>
      </c>
      <c r="E383" t="s">
        <v>649</v>
      </c>
      <c r="F383" t="s">
        <v>650</v>
      </c>
      <c r="G383" s="10">
        <v>8</v>
      </c>
      <c r="H383" s="10">
        <v>96262</v>
      </c>
      <c r="I383" s="10">
        <v>770096</v>
      </c>
      <c r="J383" t="s">
        <v>42</v>
      </c>
      <c r="K383" s="11">
        <v>3145.8</v>
      </c>
      <c r="L383" s="12">
        <v>244.8</v>
      </c>
    </row>
    <row r="384" spans="1:12" x14ac:dyDescent="0.2">
      <c r="A384" s="9">
        <v>46237</v>
      </c>
      <c r="B384" t="s">
        <v>514</v>
      </c>
      <c r="C384" t="s">
        <v>515</v>
      </c>
      <c r="D384" t="s">
        <v>41</v>
      </c>
      <c r="E384" t="s">
        <v>660</v>
      </c>
      <c r="F384" t="s">
        <v>669</v>
      </c>
      <c r="G384" s="10">
        <v>2</v>
      </c>
      <c r="H384" s="10">
        <v>12434</v>
      </c>
      <c r="I384" s="10">
        <v>24868</v>
      </c>
      <c r="J384" t="s">
        <v>42</v>
      </c>
      <c r="K384" s="11">
        <v>3145.8</v>
      </c>
      <c r="L384" s="12">
        <v>7.91</v>
      </c>
    </row>
    <row r="385" spans="1:12" x14ac:dyDescent="0.2">
      <c r="A385" s="9">
        <v>46237</v>
      </c>
      <c r="B385" t="s">
        <v>514</v>
      </c>
      <c r="C385" t="s">
        <v>515</v>
      </c>
      <c r="D385" t="s">
        <v>41</v>
      </c>
      <c r="E385" t="s">
        <v>653</v>
      </c>
      <c r="F385" t="s">
        <v>654</v>
      </c>
      <c r="G385" s="10">
        <v>2</v>
      </c>
      <c r="H385" s="10">
        <v>27646</v>
      </c>
      <c r="I385" s="10">
        <v>55292</v>
      </c>
      <c r="J385" t="s">
        <v>42</v>
      </c>
      <c r="K385" s="11">
        <v>3145.8</v>
      </c>
      <c r="L385" s="12">
        <v>17.579999999999998</v>
      </c>
    </row>
    <row r="386" spans="1:12" x14ac:dyDescent="0.2">
      <c r="A386" s="9">
        <v>46237</v>
      </c>
      <c r="B386" t="s">
        <v>520</v>
      </c>
      <c r="C386" t="s">
        <v>489</v>
      </c>
      <c r="D386" t="s">
        <v>46</v>
      </c>
      <c r="E386" t="s">
        <v>660</v>
      </c>
      <c r="F386" t="s">
        <v>669</v>
      </c>
      <c r="G386" s="10">
        <v>2</v>
      </c>
      <c r="H386" s="10">
        <v>2626</v>
      </c>
      <c r="I386" s="10">
        <v>5252</v>
      </c>
      <c r="J386" t="s">
        <v>37</v>
      </c>
      <c r="K386" s="11">
        <v>648.20000000000005</v>
      </c>
      <c r="L386" s="12">
        <v>8.1</v>
      </c>
    </row>
    <row r="387" spans="1:12" x14ac:dyDescent="0.2">
      <c r="A387" s="9">
        <v>46237</v>
      </c>
      <c r="B387" t="s">
        <v>525</v>
      </c>
      <c r="C387" t="s">
        <v>526</v>
      </c>
      <c r="D387" t="s">
        <v>46</v>
      </c>
      <c r="E387" t="s">
        <v>660</v>
      </c>
      <c r="F387" t="s">
        <v>661</v>
      </c>
      <c r="G387" s="10">
        <v>4</v>
      </c>
      <c r="H387" s="10">
        <v>4161</v>
      </c>
      <c r="I387" s="10">
        <v>16644</v>
      </c>
      <c r="J387" t="s">
        <v>37</v>
      </c>
      <c r="K387" s="11">
        <v>648.20000000000005</v>
      </c>
      <c r="L387" s="12">
        <v>25.68</v>
      </c>
    </row>
    <row r="388" spans="1:12" x14ac:dyDescent="0.2">
      <c r="A388" s="9">
        <v>46237</v>
      </c>
      <c r="B388" t="s">
        <v>528</v>
      </c>
      <c r="C388" t="s">
        <v>529</v>
      </c>
      <c r="D388" t="s">
        <v>46</v>
      </c>
      <c r="E388" t="s">
        <v>649</v>
      </c>
      <c r="F388" t="s">
        <v>650</v>
      </c>
      <c r="G388" s="10">
        <v>23</v>
      </c>
      <c r="H388" s="10">
        <v>18957</v>
      </c>
      <c r="I388" s="10">
        <v>436011</v>
      </c>
      <c r="J388" t="s">
        <v>37</v>
      </c>
      <c r="K388" s="11">
        <v>648.20000000000005</v>
      </c>
      <c r="L388" s="12">
        <v>672.65</v>
      </c>
    </row>
    <row r="389" spans="1:12" x14ac:dyDescent="0.2">
      <c r="A389" s="9">
        <v>46237</v>
      </c>
      <c r="B389" t="s">
        <v>528</v>
      </c>
      <c r="C389" t="s">
        <v>529</v>
      </c>
      <c r="D389" t="s">
        <v>46</v>
      </c>
      <c r="E389" t="s">
        <v>649</v>
      </c>
      <c r="F389" t="s">
        <v>659</v>
      </c>
      <c r="G389" s="10">
        <v>88</v>
      </c>
      <c r="H389" s="10">
        <v>8861</v>
      </c>
      <c r="I389" s="10">
        <v>779768</v>
      </c>
      <c r="J389" t="s">
        <v>37</v>
      </c>
      <c r="K389" s="11">
        <v>648.20000000000005</v>
      </c>
      <c r="L389" s="12">
        <v>1202.97</v>
      </c>
    </row>
    <row r="390" spans="1:12" x14ac:dyDescent="0.2">
      <c r="A390" s="9">
        <v>46237</v>
      </c>
      <c r="B390" t="s">
        <v>528</v>
      </c>
      <c r="C390" t="s">
        <v>529</v>
      </c>
      <c r="D390" t="s">
        <v>46</v>
      </c>
      <c r="E390" t="s">
        <v>649</v>
      </c>
      <c r="F390" t="s">
        <v>659</v>
      </c>
      <c r="G390" s="10">
        <v>17</v>
      </c>
      <c r="H390" s="10">
        <v>8783</v>
      </c>
      <c r="I390" s="10">
        <v>149311</v>
      </c>
      <c r="J390" t="s">
        <v>37</v>
      </c>
      <c r="K390" s="11">
        <v>648.20000000000005</v>
      </c>
      <c r="L390" s="12">
        <v>230.35</v>
      </c>
    </row>
    <row r="391" spans="1:12" x14ac:dyDescent="0.2">
      <c r="A391" s="9">
        <v>46237</v>
      </c>
      <c r="B391" t="s">
        <v>528</v>
      </c>
      <c r="C391" t="s">
        <v>529</v>
      </c>
      <c r="D391" t="s">
        <v>46</v>
      </c>
      <c r="E391" t="s">
        <v>660</v>
      </c>
      <c r="F391" t="s">
        <v>669</v>
      </c>
      <c r="G391" s="10">
        <v>27</v>
      </c>
      <c r="H391" s="10">
        <v>2592</v>
      </c>
      <c r="I391" s="10">
        <v>69984</v>
      </c>
      <c r="J391" t="s">
        <v>37</v>
      </c>
      <c r="K391" s="11">
        <v>648.20000000000005</v>
      </c>
      <c r="L391" s="12">
        <v>107.97</v>
      </c>
    </row>
    <row r="392" spans="1:12" x14ac:dyDescent="0.2">
      <c r="A392" s="9">
        <v>46237</v>
      </c>
      <c r="B392" t="s">
        <v>528</v>
      </c>
      <c r="C392" t="s">
        <v>529</v>
      </c>
      <c r="D392" t="s">
        <v>46</v>
      </c>
      <c r="E392" t="s">
        <v>655</v>
      </c>
      <c r="F392" t="s">
        <v>665</v>
      </c>
      <c r="G392" s="10">
        <v>102</v>
      </c>
      <c r="H392" s="10">
        <v>697</v>
      </c>
      <c r="I392" s="10">
        <v>71094</v>
      </c>
      <c r="J392" t="s">
        <v>37</v>
      </c>
      <c r="K392" s="11">
        <v>648.20000000000005</v>
      </c>
      <c r="L392" s="12">
        <v>109.68</v>
      </c>
    </row>
    <row r="393" spans="1:12" x14ac:dyDescent="0.2">
      <c r="A393" s="9">
        <v>46237</v>
      </c>
      <c r="B393" t="s">
        <v>531</v>
      </c>
      <c r="C393" t="s">
        <v>532</v>
      </c>
      <c r="D393" t="s">
        <v>50</v>
      </c>
      <c r="E393" t="s">
        <v>660</v>
      </c>
      <c r="F393" t="s">
        <v>670</v>
      </c>
      <c r="G393" s="10">
        <v>40</v>
      </c>
      <c r="H393" s="10">
        <v>14602</v>
      </c>
      <c r="I393" s="10">
        <v>584080</v>
      </c>
      <c r="J393" t="s">
        <v>51</v>
      </c>
      <c r="K393" s="11">
        <v>648.20000000000005</v>
      </c>
      <c r="L393" s="12">
        <v>901.08</v>
      </c>
    </row>
    <row r="394" spans="1:12" x14ac:dyDescent="0.2">
      <c r="A394" s="9">
        <v>46237</v>
      </c>
      <c r="B394" t="s">
        <v>537</v>
      </c>
      <c r="C394" t="s">
        <v>538</v>
      </c>
      <c r="D394" t="s">
        <v>68</v>
      </c>
      <c r="E394" t="s">
        <v>649</v>
      </c>
      <c r="F394" t="s">
        <v>663</v>
      </c>
      <c r="G394" s="10">
        <v>36</v>
      </c>
      <c r="H394" s="10">
        <v>2109</v>
      </c>
      <c r="I394" s="10">
        <v>75924</v>
      </c>
      <c r="J394" t="s">
        <v>51</v>
      </c>
      <c r="K394" s="11">
        <v>648.20000000000005</v>
      </c>
      <c r="L394" s="12">
        <v>117.13</v>
      </c>
    </row>
    <row r="395" spans="1:12" x14ac:dyDescent="0.2">
      <c r="A395" s="9">
        <v>46237</v>
      </c>
      <c r="B395" t="s">
        <v>543</v>
      </c>
      <c r="C395" t="s">
        <v>544</v>
      </c>
      <c r="D395" t="s">
        <v>68</v>
      </c>
      <c r="E395" t="s">
        <v>653</v>
      </c>
      <c r="F395" t="s">
        <v>654</v>
      </c>
      <c r="G395" s="10">
        <v>76</v>
      </c>
      <c r="H395" s="10">
        <v>5918</v>
      </c>
      <c r="I395" s="10">
        <v>449768</v>
      </c>
      <c r="J395" t="s">
        <v>51</v>
      </c>
      <c r="K395" s="11">
        <v>648.20000000000005</v>
      </c>
      <c r="L395" s="12">
        <v>693.87</v>
      </c>
    </row>
    <row r="396" spans="1:12" x14ac:dyDescent="0.2">
      <c r="A396" s="9">
        <v>46237</v>
      </c>
      <c r="B396" t="s">
        <v>546</v>
      </c>
      <c r="C396" t="s">
        <v>547</v>
      </c>
      <c r="D396" t="s">
        <v>41</v>
      </c>
      <c r="E396" t="s">
        <v>651</v>
      </c>
      <c r="F396" t="s">
        <v>652</v>
      </c>
      <c r="G396" s="10">
        <v>13</v>
      </c>
      <c r="H396" s="10">
        <v>46123</v>
      </c>
      <c r="I396" s="10">
        <v>599599</v>
      </c>
      <c r="J396" t="s">
        <v>42</v>
      </c>
      <c r="K396" s="11">
        <v>3145.8</v>
      </c>
      <c r="L396" s="12">
        <v>190.6</v>
      </c>
    </row>
    <row r="397" spans="1:12" x14ac:dyDescent="0.2">
      <c r="A397" s="9">
        <v>46237</v>
      </c>
      <c r="B397" t="s">
        <v>546</v>
      </c>
      <c r="C397" t="s">
        <v>547</v>
      </c>
      <c r="D397" t="s">
        <v>41</v>
      </c>
      <c r="E397" t="s">
        <v>660</v>
      </c>
      <c r="F397" t="s">
        <v>670</v>
      </c>
      <c r="G397" s="10">
        <v>12</v>
      </c>
      <c r="H397" s="10">
        <v>70651</v>
      </c>
      <c r="I397" s="10">
        <v>847812</v>
      </c>
      <c r="J397" t="s">
        <v>42</v>
      </c>
      <c r="K397" s="11">
        <v>3145.8</v>
      </c>
      <c r="L397" s="12">
        <v>269.51</v>
      </c>
    </row>
    <row r="398" spans="1:12" x14ac:dyDescent="0.2">
      <c r="A398" s="9">
        <v>46237</v>
      </c>
      <c r="B398" t="s">
        <v>546</v>
      </c>
      <c r="C398" t="s">
        <v>547</v>
      </c>
      <c r="D398" t="s">
        <v>41</v>
      </c>
      <c r="E398" t="s">
        <v>655</v>
      </c>
      <c r="F398" t="s">
        <v>656</v>
      </c>
      <c r="G398" s="10">
        <v>3</v>
      </c>
      <c r="H398" s="10">
        <v>2705</v>
      </c>
      <c r="I398" s="10">
        <v>8115</v>
      </c>
      <c r="J398" t="s">
        <v>42</v>
      </c>
      <c r="K398" s="11">
        <v>3145.8</v>
      </c>
      <c r="L398" s="12">
        <v>2.58</v>
      </c>
    </row>
    <row r="399" spans="1:12" x14ac:dyDescent="0.2">
      <c r="A399" s="9">
        <v>46237</v>
      </c>
      <c r="B399" t="s">
        <v>549</v>
      </c>
      <c r="C399" t="s">
        <v>550</v>
      </c>
      <c r="D399" t="s">
        <v>41</v>
      </c>
      <c r="E399" t="s">
        <v>653</v>
      </c>
      <c r="F399" t="s">
        <v>666</v>
      </c>
      <c r="G399" s="10">
        <v>20</v>
      </c>
      <c r="H399" s="10">
        <v>7554</v>
      </c>
      <c r="I399" s="10">
        <v>151080</v>
      </c>
      <c r="J399" t="s">
        <v>42</v>
      </c>
      <c r="K399" s="11">
        <v>3145.8</v>
      </c>
      <c r="L399" s="12">
        <v>48.03</v>
      </c>
    </row>
    <row r="400" spans="1:12" x14ac:dyDescent="0.2">
      <c r="A400" s="9">
        <v>46237</v>
      </c>
      <c r="B400" t="s">
        <v>549</v>
      </c>
      <c r="C400" t="s">
        <v>550</v>
      </c>
      <c r="D400" t="s">
        <v>41</v>
      </c>
      <c r="E400" t="s">
        <v>651</v>
      </c>
      <c r="F400" t="s">
        <v>657</v>
      </c>
      <c r="G400" s="10">
        <v>64</v>
      </c>
      <c r="H400" s="10">
        <v>30572</v>
      </c>
      <c r="I400" s="10">
        <v>1956608</v>
      </c>
      <c r="J400" t="s">
        <v>42</v>
      </c>
      <c r="K400" s="11">
        <v>3145.8</v>
      </c>
      <c r="L400" s="12">
        <v>621.97</v>
      </c>
    </row>
    <row r="401" spans="1:12" x14ac:dyDescent="0.2">
      <c r="A401" s="9">
        <v>46237</v>
      </c>
      <c r="B401" t="s">
        <v>552</v>
      </c>
      <c r="C401" t="s">
        <v>553</v>
      </c>
      <c r="D401" t="s">
        <v>41</v>
      </c>
      <c r="E401" t="s">
        <v>655</v>
      </c>
      <c r="F401" t="s">
        <v>656</v>
      </c>
      <c r="G401" s="10">
        <v>6</v>
      </c>
      <c r="H401" s="10">
        <v>2701</v>
      </c>
      <c r="I401" s="10">
        <v>16206</v>
      </c>
      <c r="J401" t="s">
        <v>42</v>
      </c>
      <c r="K401" s="11">
        <v>3145.8</v>
      </c>
      <c r="L401" s="12">
        <v>5.15</v>
      </c>
    </row>
    <row r="402" spans="1:12" x14ac:dyDescent="0.2">
      <c r="A402" s="9">
        <v>46237</v>
      </c>
      <c r="B402" t="s">
        <v>552</v>
      </c>
      <c r="C402" t="s">
        <v>553</v>
      </c>
      <c r="D402" t="s">
        <v>41</v>
      </c>
      <c r="E402" t="s">
        <v>651</v>
      </c>
      <c r="F402" t="s">
        <v>657</v>
      </c>
      <c r="G402" s="10">
        <v>3</v>
      </c>
      <c r="H402" s="10">
        <v>31886</v>
      </c>
      <c r="I402" s="10">
        <v>95658</v>
      </c>
      <c r="J402" t="s">
        <v>42</v>
      </c>
      <c r="K402" s="11">
        <v>3145.8</v>
      </c>
      <c r="L402" s="12">
        <v>30.41</v>
      </c>
    </row>
    <row r="403" spans="1:12" x14ac:dyDescent="0.2">
      <c r="A403" s="9">
        <v>46237</v>
      </c>
      <c r="B403" t="s">
        <v>561</v>
      </c>
      <c r="C403" t="s">
        <v>562</v>
      </c>
      <c r="D403" t="s">
        <v>46</v>
      </c>
      <c r="E403" t="s">
        <v>647</v>
      </c>
      <c r="F403" t="s">
        <v>667</v>
      </c>
      <c r="G403" s="10">
        <v>3</v>
      </c>
      <c r="H403" s="10">
        <v>7519</v>
      </c>
      <c r="I403" s="10">
        <v>22557</v>
      </c>
      <c r="J403" t="s">
        <v>37</v>
      </c>
      <c r="K403" s="11">
        <v>648.20000000000005</v>
      </c>
      <c r="L403" s="12">
        <v>34.799999999999997</v>
      </c>
    </row>
    <row r="404" spans="1:12" x14ac:dyDescent="0.2">
      <c r="A404" s="9">
        <v>46237</v>
      </c>
      <c r="B404" t="s">
        <v>561</v>
      </c>
      <c r="C404" t="s">
        <v>562</v>
      </c>
      <c r="D404" t="s">
        <v>46</v>
      </c>
      <c r="E404" t="s">
        <v>651</v>
      </c>
      <c r="F404" t="s">
        <v>657</v>
      </c>
      <c r="G404" s="10">
        <v>9</v>
      </c>
      <c r="H404" s="10">
        <v>6289</v>
      </c>
      <c r="I404" s="10">
        <v>56601</v>
      </c>
      <c r="J404" t="s">
        <v>37</v>
      </c>
      <c r="K404" s="11">
        <v>648.20000000000005</v>
      </c>
      <c r="L404" s="12">
        <v>87.32</v>
      </c>
    </row>
    <row r="405" spans="1:12" x14ac:dyDescent="0.2">
      <c r="A405" s="9">
        <v>46237</v>
      </c>
      <c r="B405" t="s">
        <v>564</v>
      </c>
      <c r="C405" t="s">
        <v>565</v>
      </c>
      <c r="D405" t="s">
        <v>41</v>
      </c>
      <c r="E405" t="s">
        <v>651</v>
      </c>
      <c r="F405" t="s">
        <v>652</v>
      </c>
      <c r="G405" s="10">
        <v>31</v>
      </c>
      <c r="H405" s="10">
        <v>45035</v>
      </c>
      <c r="I405" s="10">
        <v>1396085</v>
      </c>
      <c r="J405" t="s">
        <v>42</v>
      </c>
      <c r="K405" s="11">
        <v>3145.8</v>
      </c>
      <c r="L405" s="12">
        <v>443.79</v>
      </c>
    </row>
    <row r="406" spans="1:12" x14ac:dyDescent="0.2">
      <c r="A406" s="9">
        <v>46237</v>
      </c>
      <c r="B406" t="s">
        <v>564</v>
      </c>
      <c r="C406" t="s">
        <v>565</v>
      </c>
      <c r="D406" t="s">
        <v>41</v>
      </c>
      <c r="E406" t="s">
        <v>660</v>
      </c>
      <c r="F406" t="s">
        <v>661</v>
      </c>
      <c r="G406" s="10">
        <v>24</v>
      </c>
      <c r="H406" s="10">
        <v>20442</v>
      </c>
      <c r="I406" s="10">
        <v>490608</v>
      </c>
      <c r="J406" t="s">
        <v>42</v>
      </c>
      <c r="K406" s="11">
        <v>3145.8</v>
      </c>
      <c r="L406" s="12">
        <v>155.96</v>
      </c>
    </row>
    <row r="407" spans="1:12" x14ac:dyDescent="0.2">
      <c r="A407" s="9">
        <v>46237</v>
      </c>
      <c r="B407" t="s">
        <v>564</v>
      </c>
      <c r="C407" t="s">
        <v>565</v>
      </c>
      <c r="D407" t="s">
        <v>41</v>
      </c>
      <c r="E407" t="s">
        <v>655</v>
      </c>
      <c r="F407" t="s">
        <v>665</v>
      </c>
      <c r="G407" s="10">
        <v>3</v>
      </c>
      <c r="H407" s="10">
        <v>3377</v>
      </c>
      <c r="I407" s="10">
        <v>10131</v>
      </c>
      <c r="J407" t="s">
        <v>42</v>
      </c>
      <c r="K407" s="11">
        <v>3145.8</v>
      </c>
      <c r="L407" s="12">
        <v>3.22</v>
      </c>
    </row>
    <row r="408" spans="1:12" x14ac:dyDescent="0.2">
      <c r="A408" s="9">
        <v>46237</v>
      </c>
      <c r="B408" t="s">
        <v>567</v>
      </c>
      <c r="C408" t="s">
        <v>568</v>
      </c>
      <c r="D408" t="s">
        <v>41</v>
      </c>
      <c r="E408" t="s">
        <v>660</v>
      </c>
      <c r="F408" t="s">
        <v>661</v>
      </c>
      <c r="G408" s="10">
        <v>14</v>
      </c>
      <c r="H408" s="10">
        <v>20024</v>
      </c>
      <c r="I408" s="10">
        <v>280336</v>
      </c>
      <c r="J408" t="s">
        <v>42</v>
      </c>
      <c r="K408" s="11">
        <v>3145.8</v>
      </c>
      <c r="L408" s="12">
        <v>89.11</v>
      </c>
    </row>
    <row r="409" spans="1:12" x14ac:dyDescent="0.2">
      <c r="A409" s="9">
        <v>46237</v>
      </c>
      <c r="B409" t="s">
        <v>567</v>
      </c>
      <c r="C409" t="s">
        <v>568</v>
      </c>
      <c r="D409" t="s">
        <v>41</v>
      </c>
      <c r="E409" t="s">
        <v>647</v>
      </c>
      <c r="F409" t="s">
        <v>667</v>
      </c>
      <c r="G409" s="10">
        <v>24</v>
      </c>
      <c r="H409" s="10">
        <v>34798</v>
      </c>
      <c r="I409" s="10">
        <v>835152</v>
      </c>
      <c r="J409" t="s">
        <v>42</v>
      </c>
      <c r="K409" s="11">
        <v>3145.8</v>
      </c>
      <c r="L409" s="12">
        <v>265.48</v>
      </c>
    </row>
    <row r="410" spans="1:12" x14ac:dyDescent="0.2">
      <c r="A410" s="9">
        <v>46237</v>
      </c>
      <c r="B410" t="s">
        <v>567</v>
      </c>
      <c r="C410" t="s">
        <v>568</v>
      </c>
      <c r="D410" t="s">
        <v>41</v>
      </c>
      <c r="E410" t="s">
        <v>651</v>
      </c>
      <c r="F410" t="s">
        <v>657</v>
      </c>
      <c r="G410" s="10">
        <v>38</v>
      </c>
      <c r="H410" s="10">
        <v>32182</v>
      </c>
      <c r="I410" s="10">
        <v>1222916</v>
      </c>
      <c r="J410" t="s">
        <v>42</v>
      </c>
      <c r="K410" s="11">
        <v>3145.8</v>
      </c>
      <c r="L410" s="12">
        <v>388.75</v>
      </c>
    </row>
    <row r="411" spans="1:12" x14ac:dyDescent="0.2">
      <c r="A411" s="9">
        <v>46237</v>
      </c>
      <c r="B411" t="s">
        <v>570</v>
      </c>
      <c r="C411" t="s">
        <v>571</v>
      </c>
      <c r="D411" t="s">
        <v>68</v>
      </c>
      <c r="E411" t="s">
        <v>660</v>
      </c>
      <c r="F411" t="s">
        <v>661</v>
      </c>
      <c r="G411" s="10">
        <v>1</v>
      </c>
      <c r="H411" s="10">
        <v>4048</v>
      </c>
      <c r="I411" s="10">
        <v>4048</v>
      </c>
      <c r="J411" t="s">
        <v>51</v>
      </c>
      <c r="K411" s="11">
        <v>648.20000000000005</v>
      </c>
      <c r="L411" s="12">
        <v>6.24</v>
      </c>
    </row>
    <row r="412" spans="1:12" x14ac:dyDescent="0.2">
      <c r="A412" s="9">
        <v>46237</v>
      </c>
      <c r="B412" t="s">
        <v>579</v>
      </c>
      <c r="C412" t="s">
        <v>580</v>
      </c>
      <c r="D412" t="s">
        <v>75</v>
      </c>
      <c r="E412" t="s">
        <v>653</v>
      </c>
      <c r="F412" t="s">
        <v>654</v>
      </c>
      <c r="G412" s="10">
        <v>5</v>
      </c>
      <c r="H412" s="10">
        <v>28351</v>
      </c>
      <c r="I412" s="10">
        <v>141755</v>
      </c>
      <c r="J412" t="s">
        <v>42</v>
      </c>
      <c r="K412" s="11">
        <v>3145.8</v>
      </c>
      <c r="L412" s="12">
        <v>45.06</v>
      </c>
    </row>
    <row r="413" spans="1:12" x14ac:dyDescent="0.2">
      <c r="A413" s="9">
        <v>46237</v>
      </c>
      <c r="B413" t="s">
        <v>582</v>
      </c>
      <c r="C413" t="s">
        <v>583</v>
      </c>
      <c r="D413" t="s">
        <v>36</v>
      </c>
      <c r="E413" t="s">
        <v>655</v>
      </c>
      <c r="F413" t="s">
        <v>662</v>
      </c>
      <c r="G413" s="10">
        <v>7</v>
      </c>
      <c r="H413" s="10">
        <v>1102</v>
      </c>
      <c r="I413" s="10">
        <v>7714</v>
      </c>
      <c r="J413" t="s">
        <v>37</v>
      </c>
      <c r="K413" s="11">
        <v>648.20000000000005</v>
      </c>
      <c r="L413" s="12">
        <v>11.9</v>
      </c>
    </row>
    <row r="414" spans="1:12" x14ac:dyDescent="0.2">
      <c r="A414" s="9">
        <v>46237</v>
      </c>
      <c r="B414" t="s">
        <v>593</v>
      </c>
      <c r="C414" t="s">
        <v>594</v>
      </c>
      <c r="D414" t="s">
        <v>50</v>
      </c>
      <c r="E414" t="s">
        <v>649</v>
      </c>
      <c r="F414" t="s">
        <v>663</v>
      </c>
      <c r="G414" s="10">
        <v>2</v>
      </c>
      <c r="H414" s="10">
        <v>2108</v>
      </c>
      <c r="I414" s="10">
        <v>4216</v>
      </c>
      <c r="J414" t="s">
        <v>51</v>
      </c>
      <c r="K414" s="11">
        <v>648.20000000000005</v>
      </c>
      <c r="L414" s="12">
        <v>6.5</v>
      </c>
    </row>
    <row r="415" spans="1:12" x14ac:dyDescent="0.2">
      <c r="A415" s="9">
        <v>46237</v>
      </c>
      <c r="B415" t="s">
        <v>593</v>
      </c>
      <c r="C415" t="s">
        <v>594</v>
      </c>
      <c r="D415" t="s">
        <v>50</v>
      </c>
      <c r="E415" t="s">
        <v>647</v>
      </c>
      <c r="F415" t="s">
        <v>667</v>
      </c>
      <c r="G415" s="10">
        <v>11</v>
      </c>
      <c r="H415" s="10">
        <v>7104</v>
      </c>
      <c r="I415" s="10">
        <v>78144</v>
      </c>
      <c r="J415" t="s">
        <v>51</v>
      </c>
      <c r="K415" s="11">
        <v>648.20000000000005</v>
      </c>
      <c r="L415" s="12">
        <v>120.56</v>
      </c>
    </row>
    <row r="416" spans="1:12" x14ac:dyDescent="0.2">
      <c r="A416" s="9">
        <v>46237</v>
      </c>
      <c r="B416" t="s">
        <v>599</v>
      </c>
      <c r="C416" t="s">
        <v>600</v>
      </c>
      <c r="D416" t="s">
        <v>75</v>
      </c>
      <c r="E416" t="s">
        <v>647</v>
      </c>
      <c r="F416" t="s">
        <v>648</v>
      </c>
      <c r="G416" s="10">
        <v>6</v>
      </c>
      <c r="H416" s="10">
        <v>78597</v>
      </c>
      <c r="I416" s="10">
        <v>471582</v>
      </c>
      <c r="J416" t="s">
        <v>42</v>
      </c>
      <c r="K416" s="11">
        <v>3145.8</v>
      </c>
      <c r="L416" s="12">
        <v>149.91</v>
      </c>
    </row>
    <row r="417" spans="1:12" x14ac:dyDescent="0.2">
      <c r="A417" s="9">
        <v>46237</v>
      </c>
      <c r="B417" t="s">
        <v>599</v>
      </c>
      <c r="C417" t="s">
        <v>600</v>
      </c>
      <c r="D417" t="s">
        <v>75</v>
      </c>
      <c r="E417" t="s">
        <v>647</v>
      </c>
      <c r="F417" t="s">
        <v>648</v>
      </c>
      <c r="G417" s="10">
        <v>25</v>
      </c>
      <c r="H417" s="10">
        <v>79507</v>
      </c>
      <c r="I417" s="10">
        <v>1987675</v>
      </c>
      <c r="J417" t="s">
        <v>42</v>
      </c>
      <c r="K417" s="11">
        <v>3145.8</v>
      </c>
      <c r="L417" s="12">
        <v>631.85</v>
      </c>
    </row>
    <row r="418" spans="1:12" x14ac:dyDescent="0.2">
      <c r="A418" s="9">
        <v>46237</v>
      </c>
      <c r="B418" t="s">
        <v>611</v>
      </c>
      <c r="C418" t="s">
        <v>612</v>
      </c>
      <c r="D418" t="s">
        <v>41</v>
      </c>
      <c r="E418" t="s">
        <v>647</v>
      </c>
      <c r="F418" t="s">
        <v>648</v>
      </c>
      <c r="G418" s="10">
        <v>14</v>
      </c>
      <c r="H418" s="10">
        <v>76482</v>
      </c>
      <c r="I418" s="10">
        <v>1070748</v>
      </c>
      <c r="J418" t="s">
        <v>42</v>
      </c>
      <c r="K418" s="11">
        <v>3145.8</v>
      </c>
      <c r="L418" s="12">
        <v>340.37</v>
      </c>
    </row>
    <row r="419" spans="1:12" x14ac:dyDescent="0.2">
      <c r="A419" s="9">
        <v>46237</v>
      </c>
      <c r="B419" t="s">
        <v>611</v>
      </c>
      <c r="C419" t="s">
        <v>612</v>
      </c>
      <c r="D419" t="s">
        <v>41</v>
      </c>
      <c r="E419" t="s">
        <v>651</v>
      </c>
      <c r="F419" t="s">
        <v>657</v>
      </c>
      <c r="G419" s="10">
        <v>1</v>
      </c>
      <c r="H419" s="10">
        <v>32359</v>
      </c>
      <c r="I419" s="10">
        <v>32359</v>
      </c>
      <c r="J419" t="s">
        <v>42</v>
      </c>
      <c r="K419" s="11">
        <v>3145.8</v>
      </c>
      <c r="L419" s="12">
        <v>10.29</v>
      </c>
    </row>
    <row r="420" spans="1:12" x14ac:dyDescent="0.2">
      <c r="A420" s="9">
        <v>46237</v>
      </c>
      <c r="B420" t="s">
        <v>614</v>
      </c>
      <c r="C420" t="s">
        <v>615</v>
      </c>
      <c r="D420" t="s">
        <v>68</v>
      </c>
      <c r="E420" t="s">
        <v>660</v>
      </c>
      <c r="F420" t="s">
        <v>670</v>
      </c>
      <c r="G420" s="10">
        <v>8</v>
      </c>
      <c r="H420" s="10">
        <v>14756</v>
      </c>
      <c r="I420" s="10">
        <v>118048</v>
      </c>
      <c r="J420" t="s">
        <v>51</v>
      </c>
      <c r="K420" s="11">
        <v>648.20000000000005</v>
      </c>
      <c r="L420" s="12">
        <v>182.12</v>
      </c>
    </row>
    <row r="421" spans="1:12" x14ac:dyDescent="0.2">
      <c r="A421" s="9">
        <v>46237</v>
      </c>
      <c r="B421" t="s">
        <v>614</v>
      </c>
      <c r="C421" t="s">
        <v>615</v>
      </c>
      <c r="D421" t="s">
        <v>68</v>
      </c>
      <c r="E421" t="s">
        <v>647</v>
      </c>
      <c r="F421" t="s">
        <v>648</v>
      </c>
      <c r="G421" s="10">
        <v>14</v>
      </c>
      <c r="H421" s="10">
        <v>16054</v>
      </c>
      <c r="I421" s="10">
        <v>224756</v>
      </c>
      <c r="J421" t="s">
        <v>51</v>
      </c>
      <c r="K421" s="11">
        <v>648.20000000000005</v>
      </c>
      <c r="L421" s="12">
        <v>346.74</v>
      </c>
    </row>
    <row r="422" spans="1:12" x14ac:dyDescent="0.2">
      <c r="A422" s="9">
        <v>46237</v>
      </c>
      <c r="B422" t="s">
        <v>614</v>
      </c>
      <c r="C422" t="s">
        <v>615</v>
      </c>
      <c r="D422" t="s">
        <v>68</v>
      </c>
      <c r="E422" t="s">
        <v>647</v>
      </c>
      <c r="F422" t="s">
        <v>648</v>
      </c>
      <c r="G422" s="10">
        <v>4</v>
      </c>
      <c r="H422" s="10">
        <v>16773</v>
      </c>
      <c r="I422" s="10">
        <v>67092</v>
      </c>
      <c r="J422" t="s">
        <v>51</v>
      </c>
      <c r="K422" s="11">
        <v>648.20000000000005</v>
      </c>
      <c r="L422" s="12">
        <v>103.51</v>
      </c>
    </row>
    <row r="423" spans="1:12" x14ac:dyDescent="0.2">
      <c r="A423" s="9">
        <v>46237</v>
      </c>
      <c r="B423" t="s">
        <v>623</v>
      </c>
      <c r="C423" t="s">
        <v>624</v>
      </c>
      <c r="D423" t="s">
        <v>68</v>
      </c>
      <c r="E423" t="s">
        <v>660</v>
      </c>
      <c r="F423" t="s">
        <v>669</v>
      </c>
      <c r="G423" s="10">
        <v>115</v>
      </c>
      <c r="H423" s="10">
        <v>2604</v>
      </c>
      <c r="I423" s="10">
        <v>299460</v>
      </c>
      <c r="J423" t="s">
        <v>51</v>
      </c>
      <c r="K423" s="11">
        <v>648.20000000000005</v>
      </c>
      <c r="L423" s="12">
        <v>461.99</v>
      </c>
    </row>
    <row r="424" spans="1:12" x14ac:dyDescent="0.2">
      <c r="A424" s="9">
        <v>46237</v>
      </c>
      <c r="B424" t="s">
        <v>623</v>
      </c>
      <c r="C424" t="s">
        <v>624</v>
      </c>
      <c r="D424" t="s">
        <v>68</v>
      </c>
      <c r="E424" t="s">
        <v>647</v>
      </c>
      <c r="F424" t="s">
        <v>648</v>
      </c>
      <c r="G424" s="10">
        <v>25</v>
      </c>
      <c r="H424" s="10">
        <v>16526</v>
      </c>
      <c r="I424" s="10">
        <v>413150</v>
      </c>
      <c r="J424" t="s">
        <v>51</v>
      </c>
      <c r="K424" s="11">
        <v>648.20000000000005</v>
      </c>
      <c r="L424" s="12">
        <v>637.38</v>
      </c>
    </row>
    <row r="425" spans="1:12" x14ac:dyDescent="0.2">
      <c r="A425" s="9">
        <v>46237</v>
      </c>
      <c r="B425" t="s">
        <v>632</v>
      </c>
      <c r="C425" t="s">
        <v>633</v>
      </c>
      <c r="D425" t="s">
        <v>68</v>
      </c>
      <c r="E425" t="s">
        <v>647</v>
      </c>
      <c r="F425" t="s">
        <v>667</v>
      </c>
      <c r="G425" s="10">
        <v>5</v>
      </c>
      <c r="H425" s="10">
        <v>7203</v>
      </c>
      <c r="I425" s="10">
        <v>36015</v>
      </c>
      <c r="J425" t="s">
        <v>51</v>
      </c>
      <c r="K425" s="11">
        <v>648.20000000000005</v>
      </c>
      <c r="L425" s="12">
        <v>55.56</v>
      </c>
    </row>
    <row r="426" spans="1:12" x14ac:dyDescent="0.2">
      <c r="A426" s="9">
        <v>46237</v>
      </c>
      <c r="B426" t="s">
        <v>635</v>
      </c>
      <c r="C426" t="s">
        <v>636</v>
      </c>
      <c r="D426" t="s">
        <v>41</v>
      </c>
      <c r="E426" t="s">
        <v>660</v>
      </c>
      <c r="F426" t="s">
        <v>669</v>
      </c>
      <c r="G426" s="10">
        <v>16</v>
      </c>
      <c r="H426" s="10">
        <v>12857</v>
      </c>
      <c r="I426" s="10">
        <v>205712</v>
      </c>
      <c r="J426" t="s">
        <v>42</v>
      </c>
      <c r="K426" s="11">
        <v>3145.8</v>
      </c>
      <c r="L426" s="12">
        <v>65.39</v>
      </c>
    </row>
    <row r="427" spans="1:12" x14ac:dyDescent="0.2">
      <c r="A427" s="9">
        <v>46238</v>
      </c>
      <c r="B427" t="s">
        <v>39</v>
      </c>
      <c r="C427" t="s">
        <v>40</v>
      </c>
      <c r="D427" t="s">
        <v>41</v>
      </c>
      <c r="E427" t="s">
        <v>647</v>
      </c>
      <c r="F427" t="s">
        <v>667</v>
      </c>
      <c r="G427" s="10">
        <v>8</v>
      </c>
      <c r="H427" s="10">
        <v>36340</v>
      </c>
      <c r="I427" s="10">
        <v>290720</v>
      </c>
      <c r="J427" t="s">
        <v>42</v>
      </c>
      <c r="K427" s="11">
        <v>3145.8</v>
      </c>
      <c r="L427" s="12">
        <v>92.42</v>
      </c>
    </row>
    <row r="428" spans="1:12" x14ac:dyDescent="0.2">
      <c r="A428" s="9">
        <v>46238</v>
      </c>
      <c r="B428" t="s">
        <v>44</v>
      </c>
      <c r="C428" t="s">
        <v>45</v>
      </c>
      <c r="D428" t="s">
        <v>46</v>
      </c>
      <c r="E428" t="s">
        <v>647</v>
      </c>
      <c r="F428" t="s">
        <v>667</v>
      </c>
      <c r="G428" s="10">
        <v>17</v>
      </c>
      <c r="H428" s="10">
        <v>7424</v>
      </c>
      <c r="I428" s="10">
        <v>126208</v>
      </c>
      <c r="J428" t="s">
        <v>37</v>
      </c>
      <c r="K428" s="11">
        <v>648.20000000000005</v>
      </c>
      <c r="L428" s="12">
        <v>194.71</v>
      </c>
    </row>
    <row r="429" spans="1:12" x14ac:dyDescent="0.2">
      <c r="A429" s="9">
        <v>46238</v>
      </c>
      <c r="B429" t="s">
        <v>77</v>
      </c>
      <c r="C429" t="s">
        <v>78</v>
      </c>
      <c r="D429" t="s">
        <v>50</v>
      </c>
      <c r="E429" t="s">
        <v>649</v>
      </c>
      <c r="F429" t="s">
        <v>650</v>
      </c>
      <c r="G429" s="10">
        <v>14</v>
      </c>
      <c r="H429" s="10">
        <v>19237</v>
      </c>
      <c r="I429" s="10">
        <v>269318</v>
      </c>
      <c r="J429" t="s">
        <v>51</v>
      </c>
      <c r="K429" s="11">
        <v>648.20000000000005</v>
      </c>
      <c r="L429" s="12">
        <v>415.49</v>
      </c>
    </row>
    <row r="430" spans="1:12" x14ac:dyDescent="0.2">
      <c r="A430" s="9">
        <v>46238</v>
      </c>
      <c r="B430" t="s">
        <v>80</v>
      </c>
      <c r="C430" t="s">
        <v>81</v>
      </c>
      <c r="D430" t="s">
        <v>46</v>
      </c>
      <c r="E430" t="s">
        <v>660</v>
      </c>
      <c r="F430" t="s">
        <v>670</v>
      </c>
      <c r="G430" s="10">
        <v>8</v>
      </c>
      <c r="H430" s="10">
        <v>13926</v>
      </c>
      <c r="I430" s="10">
        <v>111408</v>
      </c>
      <c r="J430" t="s">
        <v>37</v>
      </c>
      <c r="K430" s="11">
        <v>648.20000000000005</v>
      </c>
      <c r="L430" s="12">
        <v>171.87</v>
      </c>
    </row>
    <row r="431" spans="1:12" x14ac:dyDescent="0.2">
      <c r="A431" s="9">
        <v>46238</v>
      </c>
      <c r="B431" t="s">
        <v>80</v>
      </c>
      <c r="C431" t="s">
        <v>81</v>
      </c>
      <c r="D431" t="s">
        <v>46</v>
      </c>
      <c r="E431" t="s">
        <v>647</v>
      </c>
      <c r="F431" t="s">
        <v>648</v>
      </c>
      <c r="G431" s="10">
        <v>4</v>
      </c>
      <c r="H431" s="10">
        <v>15835</v>
      </c>
      <c r="I431" s="10">
        <v>63340</v>
      </c>
      <c r="J431" t="s">
        <v>37</v>
      </c>
      <c r="K431" s="11">
        <v>648.20000000000005</v>
      </c>
      <c r="L431" s="12">
        <v>97.72</v>
      </c>
    </row>
    <row r="432" spans="1:12" x14ac:dyDescent="0.2">
      <c r="A432" s="9">
        <v>46238</v>
      </c>
      <c r="B432" t="s">
        <v>83</v>
      </c>
      <c r="C432" t="s">
        <v>84</v>
      </c>
      <c r="D432" t="s">
        <v>41</v>
      </c>
      <c r="E432" t="s">
        <v>647</v>
      </c>
      <c r="F432" t="s">
        <v>668</v>
      </c>
      <c r="G432" s="10">
        <v>41</v>
      </c>
      <c r="H432" s="10">
        <v>125068</v>
      </c>
      <c r="I432" s="10">
        <v>5127788</v>
      </c>
      <c r="J432" t="s">
        <v>42</v>
      </c>
      <c r="K432" s="11">
        <v>3145.8</v>
      </c>
      <c r="L432" s="12">
        <v>1630.04</v>
      </c>
    </row>
    <row r="433" spans="1:12" x14ac:dyDescent="0.2">
      <c r="A433" s="9">
        <v>46238</v>
      </c>
      <c r="B433" t="s">
        <v>86</v>
      </c>
      <c r="C433" t="s">
        <v>87</v>
      </c>
      <c r="D433" t="s">
        <v>50</v>
      </c>
      <c r="E433" t="s">
        <v>649</v>
      </c>
      <c r="F433" t="s">
        <v>650</v>
      </c>
      <c r="G433" s="10">
        <v>6</v>
      </c>
      <c r="H433" s="10">
        <v>19113</v>
      </c>
      <c r="I433" s="10">
        <v>114678</v>
      </c>
      <c r="J433" t="s">
        <v>51</v>
      </c>
      <c r="K433" s="11">
        <v>648.20000000000005</v>
      </c>
      <c r="L433" s="12">
        <v>176.92</v>
      </c>
    </row>
    <row r="434" spans="1:12" x14ac:dyDescent="0.2">
      <c r="A434" s="9">
        <v>46238</v>
      </c>
      <c r="B434" t="s">
        <v>89</v>
      </c>
      <c r="C434" t="s">
        <v>90</v>
      </c>
      <c r="D434" t="s">
        <v>68</v>
      </c>
      <c r="E434" t="s">
        <v>647</v>
      </c>
      <c r="F434" t="s">
        <v>648</v>
      </c>
      <c r="G434" s="10">
        <v>16</v>
      </c>
      <c r="H434" s="10">
        <v>16463</v>
      </c>
      <c r="I434" s="10">
        <v>263408</v>
      </c>
      <c r="J434" t="s">
        <v>51</v>
      </c>
      <c r="K434" s="11">
        <v>648.20000000000005</v>
      </c>
      <c r="L434" s="12">
        <v>406.37</v>
      </c>
    </row>
    <row r="435" spans="1:12" x14ac:dyDescent="0.2">
      <c r="A435" s="9">
        <v>46238</v>
      </c>
      <c r="B435" t="s">
        <v>108</v>
      </c>
      <c r="C435" t="s">
        <v>109</v>
      </c>
      <c r="D435" t="s">
        <v>36</v>
      </c>
      <c r="E435" t="s">
        <v>649</v>
      </c>
      <c r="F435" t="s">
        <v>659</v>
      </c>
      <c r="G435" s="10">
        <v>11</v>
      </c>
      <c r="H435" s="10">
        <v>8742</v>
      </c>
      <c r="I435" s="10">
        <v>96162</v>
      </c>
      <c r="J435" t="s">
        <v>37</v>
      </c>
      <c r="K435" s="11">
        <v>648.20000000000005</v>
      </c>
      <c r="L435" s="12">
        <v>148.35</v>
      </c>
    </row>
    <row r="436" spans="1:12" x14ac:dyDescent="0.2">
      <c r="A436" s="9">
        <v>46238</v>
      </c>
      <c r="B436" t="s">
        <v>108</v>
      </c>
      <c r="C436" t="s">
        <v>109</v>
      </c>
      <c r="D436" t="s">
        <v>36</v>
      </c>
      <c r="E436" t="s">
        <v>647</v>
      </c>
      <c r="F436" t="s">
        <v>668</v>
      </c>
      <c r="G436" s="10">
        <v>19</v>
      </c>
      <c r="H436" s="10">
        <v>26122</v>
      </c>
      <c r="I436" s="10">
        <v>496318</v>
      </c>
      <c r="J436" t="s">
        <v>37</v>
      </c>
      <c r="K436" s="11">
        <v>648.20000000000005</v>
      </c>
      <c r="L436" s="12">
        <v>765.69</v>
      </c>
    </row>
    <row r="437" spans="1:12" x14ac:dyDescent="0.2">
      <c r="A437" s="9">
        <v>46238</v>
      </c>
      <c r="B437" t="s">
        <v>108</v>
      </c>
      <c r="C437" t="s">
        <v>109</v>
      </c>
      <c r="D437" t="s">
        <v>36</v>
      </c>
      <c r="E437" t="s">
        <v>651</v>
      </c>
      <c r="F437" t="s">
        <v>664</v>
      </c>
      <c r="G437" s="10">
        <v>82</v>
      </c>
      <c r="H437" s="10">
        <v>12202</v>
      </c>
      <c r="I437" s="10">
        <v>1000564</v>
      </c>
      <c r="J437" t="s">
        <v>37</v>
      </c>
      <c r="K437" s="11">
        <v>648.20000000000005</v>
      </c>
      <c r="L437" s="12">
        <v>1543.6</v>
      </c>
    </row>
    <row r="438" spans="1:12" x14ac:dyDescent="0.2">
      <c r="A438" s="9">
        <v>46238</v>
      </c>
      <c r="B438" t="s">
        <v>115</v>
      </c>
      <c r="C438" t="s">
        <v>116</v>
      </c>
      <c r="D438" t="s">
        <v>41</v>
      </c>
      <c r="E438" t="s">
        <v>651</v>
      </c>
      <c r="F438" t="s">
        <v>652</v>
      </c>
      <c r="G438" s="10">
        <v>54</v>
      </c>
      <c r="H438" s="10">
        <v>44812</v>
      </c>
      <c r="I438" s="10">
        <v>2419848</v>
      </c>
      <c r="J438" t="s">
        <v>42</v>
      </c>
      <c r="K438" s="11">
        <v>3145.8</v>
      </c>
      <c r="L438" s="12">
        <v>769.23</v>
      </c>
    </row>
    <row r="439" spans="1:12" x14ac:dyDescent="0.2">
      <c r="A439" s="9">
        <v>46238</v>
      </c>
      <c r="B439" t="s">
        <v>121</v>
      </c>
      <c r="C439" t="s">
        <v>122</v>
      </c>
      <c r="D439" t="s">
        <v>75</v>
      </c>
      <c r="E439" t="s">
        <v>649</v>
      </c>
      <c r="F439" t="s">
        <v>650</v>
      </c>
      <c r="G439" s="10">
        <v>4</v>
      </c>
      <c r="H439" s="10">
        <v>93308</v>
      </c>
      <c r="I439" s="10">
        <v>373232</v>
      </c>
      <c r="J439" t="s">
        <v>42</v>
      </c>
      <c r="K439" s="11">
        <v>3145.8</v>
      </c>
      <c r="L439" s="12">
        <v>118.64</v>
      </c>
    </row>
    <row r="440" spans="1:12" x14ac:dyDescent="0.2">
      <c r="A440" s="9">
        <v>46238</v>
      </c>
      <c r="B440" t="s">
        <v>121</v>
      </c>
      <c r="C440" t="s">
        <v>122</v>
      </c>
      <c r="D440" t="s">
        <v>75</v>
      </c>
      <c r="E440" t="s">
        <v>649</v>
      </c>
      <c r="F440" t="s">
        <v>659</v>
      </c>
      <c r="G440" s="10">
        <v>2</v>
      </c>
      <c r="H440" s="10">
        <v>42172</v>
      </c>
      <c r="I440" s="10">
        <v>84344</v>
      </c>
      <c r="J440" t="s">
        <v>42</v>
      </c>
      <c r="K440" s="11">
        <v>3145.8</v>
      </c>
      <c r="L440" s="12">
        <v>26.81</v>
      </c>
    </row>
    <row r="441" spans="1:12" x14ac:dyDescent="0.2">
      <c r="A441" s="9">
        <v>46238</v>
      </c>
      <c r="B441" t="s">
        <v>121</v>
      </c>
      <c r="C441" t="s">
        <v>122</v>
      </c>
      <c r="D441" t="s">
        <v>75</v>
      </c>
      <c r="E441" t="s">
        <v>660</v>
      </c>
      <c r="F441" t="s">
        <v>670</v>
      </c>
      <c r="G441" s="10">
        <v>9</v>
      </c>
      <c r="H441" s="10">
        <v>72742</v>
      </c>
      <c r="I441" s="10">
        <v>654678</v>
      </c>
      <c r="J441" t="s">
        <v>42</v>
      </c>
      <c r="K441" s="11">
        <v>3145.8</v>
      </c>
      <c r="L441" s="12">
        <v>208.11</v>
      </c>
    </row>
    <row r="442" spans="1:12" x14ac:dyDescent="0.2">
      <c r="A442" s="9">
        <v>46238</v>
      </c>
      <c r="B442" t="s">
        <v>124</v>
      </c>
      <c r="C442" t="s">
        <v>125</v>
      </c>
      <c r="D442" t="s">
        <v>75</v>
      </c>
      <c r="E442" t="s">
        <v>647</v>
      </c>
      <c r="F442" t="s">
        <v>667</v>
      </c>
      <c r="G442" s="10">
        <v>16</v>
      </c>
      <c r="H442" s="10">
        <v>36468</v>
      </c>
      <c r="I442" s="10">
        <v>583488</v>
      </c>
      <c r="J442" t="s">
        <v>42</v>
      </c>
      <c r="K442" s="11">
        <v>3145.8</v>
      </c>
      <c r="L442" s="12">
        <v>185.48</v>
      </c>
    </row>
    <row r="443" spans="1:12" x14ac:dyDescent="0.2">
      <c r="A443" s="9">
        <v>46238</v>
      </c>
      <c r="B443" t="s">
        <v>124</v>
      </c>
      <c r="C443" t="s">
        <v>125</v>
      </c>
      <c r="D443" t="s">
        <v>75</v>
      </c>
      <c r="E443" t="s">
        <v>655</v>
      </c>
      <c r="F443" t="s">
        <v>665</v>
      </c>
      <c r="G443" s="10">
        <v>4</v>
      </c>
      <c r="H443" s="10">
        <v>3259</v>
      </c>
      <c r="I443" s="10">
        <v>13036</v>
      </c>
      <c r="J443" t="s">
        <v>42</v>
      </c>
      <c r="K443" s="11">
        <v>3145.8</v>
      </c>
      <c r="L443" s="12">
        <v>4.1399999999999997</v>
      </c>
    </row>
    <row r="444" spans="1:12" x14ac:dyDescent="0.2">
      <c r="A444" s="9">
        <v>46238</v>
      </c>
      <c r="B444" t="s">
        <v>127</v>
      </c>
      <c r="C444" t="s">
        <v>128</v>
      </c>
      <c r="D444" t="s">
        <v>41</v>
      </c>
      <c r="E444" t="s">
        <v>660</v>
      </c>
      <c r="F444" t="s">
        <v>670</v>
      </c>
      <c r="G444" s="10">
        <v>1</v>
      </c>
      <c r="H444" s="10">
        <v>70546</v>
      </c>
      <c r="I444" s="10">
        <v>70546</v>
      </c>
      <c r="J444" t="s">
        <v>42</v>
      </c>
      <c r="K444" s="11">
        <v>3145.8</v>
      </c>
      <c r="L444" s="12">
        <v>22.43</v>
      </c>
    </row>
    <row r="445" spans="1:12" x14ac:dyDescent="0.2">
      <c r="A445" s="9">
        <v>46238</v>
      </c>
      <c r="B445" t="s">
        <v>130</v>
      </c>
      <c r="C445" t="s">
        <v>131</v>
      </c>
      <c r="D445" t="s">
        <v>46</v>
      </c>
      <c r="E445" t="s">
        <v>649</v>
      </c>
      <c r="F445" t="s">
        <v>663</v>
      </c>
      <c r="G445" s="10">
        <v>1</v>
      </c>
      <c r="H445" s="10">
        <v>2065</v>
      </c>
      <c r="I445" s="10">
        <v>2065</v>
      </c>
      <c r="J445" t="s">
        <v>37</v>
      </c>
      <c r="K445" s="11">
        <v>648.20000000000005</v>
      </c>
      <c r="L445" s="12">
        <v>3.19</v>
      </c>
    </row>
    <row r="446" spans="1:12" x14ac:dyDescent="0.2">
      <c r="A446" s="9">
        <v>46238</v>
      </c>
      <c r="B446" t="s">
        <v>133</v>
      </c>
      <c r="C446" t="s">
        <v>134</v>
      </c>
      <c r="D446" t="s">
        <v>41</v>
      </c>
      <c r="E446" t="s">
        <v>651</v>
      </c>
      <c r="F446" t="s">
        <v>664</v>
      </c>
      <c r="G446" s="10">
        <v>2</v>
      </c>
      <c r="H446" s="10">
        <v>57861</v>
      </c>
      <c r="I446" s="10">
        <v>115722</v>
      </c>
      <c r="J446" t="s">
        <v>42</v>
      </c>
      <c r="K446" s="11">
        <v>3145.8</v>
      </c>
      <c r="L446" s="12">
        <v>36.79</v>
      </c>
    </row>
    <row r="447" spans="1:12" x14ac:dyDescent="0.2">
      <c r="A447" s="9">
        <v>46238</v>
      </c>
      <c r="B447" t="s">
        <v>142</v>
      </c>
      <c r="C447" t="s">
        <v>143</v>
      </c>
      <c r="D447" t="s">
        <v>75</v>
      </c>
      <c r="E447" t="s">
        <v>653</v>
      </c>
      <c r="F447" t="s">
        <v>666</v>
      </c>
      <c r="G447" s="10">
        <v>8</v>
      </c>
      <c r="H447" s="10">
        <v>7528</v>
      </c>
      <c r="I447" s="10">
        <v>60224</v>
      </c>
      <c r="J447" t="s">
        <v>42</v>
      </c>
      <c r="K447" s="11">
        <v>3145.8</v>
      </c>
      <c r="L447" s="12">
        <v>19.14</v>
      </c>
    </row>
    <row r="448" spans="1:12" x14ac:dyDescent="0.2">
      <c r="A448" s="9">
        <v>46238</v>
      </c>
      <c r="B448" t="s">
        <v>142</v>
      </c>
      <c r="C448" t="s">
        <v>143</v>
      </c>
      <c r="D448" t="s">
        <v>75</v>
      </c>
      <c r="E448" t="s">
        <v>649</v>
      </c>
      <c r="F448" t="s">
        <v>663</v>
      </c>
      <c r="G448" s="10">
        <v>22</v>
      </c>
      <c r="H448" s="10">
        <v>9539</v>
      </c>
      <c r="I448" s="10">
        <v>209858</v>
      </c>
      <c r="J448" t="s">
        <v>42</v>
      </c>
      <c r="K448" s="11">
        <v>3145.8</v>
      </c>
      <c r="L448" s="12">
        <v>66.709999999999994</v>
      </c>
    </row>
    <row r="449" spans="1:12" x14ac:dyDescent="0.2">
      <c r="A449" s="9">
        <v>46238</v>
      </c>
      <c r="B449" t="s">
        <v>155</v>
      </c>
      <c r="C449" t="s">
        <v>156</v>
      </c>
      <c r="D449" t="s">
        <v>46</v>
      </c>
      <c r="E449" t="s">
        <v>655</v>
      </c>
      <c r="F449" t="s">
        <v>656</v>
      </c>
      <c r="G449" s="10">
        <v>6</v>
      </c>
      <c r="H449" s="10">
        <v>585</v>
      </c>
      <c r="I449" s="10">
        <v>3510</v>
      </c>
      <c r="J449" t="s">
        <v>37</v>
      </c>
      <c r="K449" s="11">
        <v>648.20000000000005</v>
      </c>
      <c r="L449" s="12">
        <v>5.41</v>
      </c>
    </row>
    <row r="450" spans="1:12" x14ac:dyDescent="0.2">
      <c r="A450" s="9">
        <v>46238</v>
      </c>
      <c r="B450" t="s">
        <v>158</v>
      </c>
      <c r="C450" t="s">
        <v>159</v>
      </c>
      <c r="D450" t="s">
        <v>41</v>
      </c>
      <c r="E450" t="s">
        <v>655</v>
      </c>
      <c r="F450" t="s">
        <v>662</v>
      </c>
      <c r="G450" s="10">
        <v>20</v>
      </c>
      <c r="H450" s="10">
        <v>5322</v>
      </c>
      <c r="I450" s="10">
        <v>106440</v>
      </c>
      <c r="J450" t="s">
        <v>42</v>
      </c>
      <c r="K450" s="11">
        <v>3145.8</v>
      </c>
      <c r="L450" s="12">
        <v>33.840000000000003</v>
      </c>
    </row>
    <row r="451" spans="1:12" x14ac:dyDescent="0.2">
      <c r="A451" s="9">
        <v>46238</v>
      </c>
      <c r="B451" t="s">
        <v>161</v>
      </c>
      <c r="C451" t="s">
        <v>67</v>
      </c>
      <c r="D451" t="s">
        <v>41</v>
      </c>
      <c r="E451" t="s">
        <v>655</v>
      </c>
      <c r="F451" t="s">
        <v>665</v>
      </c>
      <c r="G451" s="10">
        <v>7</v>
      </c>
      <c r="H451" s="10">
        <v>3249</v>
      </c>
      <c r="I451" s="10">
        <v>22743</v>
      </c>
      <c r="J451" t="s">
        <v>42</v>
      </c>
      <c r="K451" s="11">
        <v>3145.8</v>
      </c>
      <c r="L451" s="12">
        <v>7.23</v>
      </c>
    </row>
    <row r="452" spans="1:12" x14ac:dyDescent="0.2">
      <c r="A452" s="9">
        <v>46238</v>
      </c>
      <c r="B452" t="s">
        <v>163</v>
      </c>
      <c r="C452" t="s">
        <v>164</v>
      </c>
      <c r="D452" t="s">
        <v>41</v>
      </c>
      <c r="E452" t="s">
        <v>660</v>
      </c>
      <c r="F452" t="s">
        <v>669</v>
      </c>
      <c r="G452" s="10">
        <v>5</v>
      </c>
      <c r="H452" s="10">
        <v>12287</v>
      </c>
      <c r="I452" s="10">
        <v>61435</v>
      </c>
      <c r="J452" t="s">
        <v>42</v>
      </c>
      <c r="K452" s="11">
        <v>3145.8</v>
      </c>
      <c r="L452" s="12">
        <v>19.53</v>
      </c>
    </row>
    <row r="453" spans="1:12" x14ac:dyDescent="0.2">
      <c r="A453" s="9">
        <v>46238</v>
      </c>
      <c r="B453" t="s">
        <v>163</v>
      </c>
      <c r="C453" t="s">
        <v>164</v>
      </c>
      <c r="D453" t="s">
        <v>41</v>
      </c>
      <c r="E453" t="s">
        <v>660</v>
      </c>
      <c r="F453" t="s">
        <v>670</v>
      </c>
      <c r="G453" s="10">
        <v>20</v>
      </c>
      <c r="H453" s="10">
        <v>71169</v>
      </c>
      <c r="I453" s="10">
        <v>1423380</v>
      </c>
      <c r="J453" t="s">
        <v>42</v>
      </c>
      <c r="K453" s="11">
        <v>3145.8</v>
      </c>
      <c r="L453" s="12">
        <v>452.47</v>
      </c>
    </row>
    <row r="454" spans="1:12" x14ac:dyDescent="0.2">
      <c r="A454" s="9">
        <v>46238</v>
      </c>
      <c r="B454" t="s">
        <v>166</v>
      </c>
      <c r="C454" t="s">
        <v>167</v>
      </c>
      <c r="D454" t="s">
        <v>46</v>
      </c>
      <c r="E454" t="s">
        <v>649</v>
      </c>
      <c r="F454" t="s">
        <v>650</v>
      </c>
      <c r="G454" s="10">
        <v>1</v>
      </c>
      <c r="H454" s="10">
        <v>19467</v>
      </c>
      <c r="I454" s="10">
        <v>19467</v>
      </c>
      <c r="J454" t="s">
        <v>37</v>
      </c>
      <c r="K454" s="11">
        <v>648.20000000000005</v>
      </c>
      <c r="L454" s="12">
        <v>30.03</v>
      </c>
    </row>
    <row r="455" spans="1:12" x14ac:dyDescent="0.2">
      <c r="A455" s="9">
        <v>46238</v>
      </c>
      <c r="B455" t="s">
        <v>169</v>
      </c>
      <c r="C455" t="s">
        <v>170</v>
      </c>
      <c r="D455" t="s">
        <v>41</v>
      </c>
      <c r="E455" t="s">
        <v>647</v>
      </c>
      <c r="F455" t="s">
        <v>648</v>
      </c>
      <c r="G455" s="10">
        <v>1</v>
      </c>
      <c r="H455" s="10">
        <v>81552</v>
      </c>
      <c r="I455" s="10">
        <v>81552</v>
      </c>
      <c r="J455" t="s">
        <v>42</v>
      </c>
      <c r="K455" s="11">
        <v>3145.8</v>
      </c>
      <c r="L455" s="12">
        <v>25.92</v>
      </c>
    </row>
    <row r="456" spans="1:12" x14ac:dyDescent="0.2">
      <c r="A456" s="9">
        <v>46238</v>
      </c>
      <c r="B456" t="s">
        <v>169</v>
      </c>
      <c r="C456" t="s">
        <v>170</v>
      </c>
      <c r="D456" t="s">
        <v>41</v>
      </c>
      <c r="E456" t="s">
        <v>655</v>
      </c>
      <c r="F456" t="s">
        <v>656</v>
      </c>
      <c r="G456" s="10">
        <v>8</v>
      </c>
      <c r="H456" s="10">
        <v>2802</v>
      </c>
      <c r="I456" s="10">
        <v>22416</v>
      </c>
      <c r="J456" t="s">
        <v>42</v>
      </c>
      <c r="K456" s="11">
        <v>3145.8</v>
      </c>
      <c r="L456" s="12">
        <v>7.13</v>
      </c>
    </row>
    <row r="457" spans="1:12" x14ac:dyDescent="0.2">
      <c r="A457" s="9">
        <v>46238</v>
      </c>
      <c r="B457" t="s">
        <v>172</v>
      </c>
      <c r="C457" t="s">
        <v>173</v>
      </c>
      <c r="D457" t="s">
        <v>41</v>
      </c>
      <c r="E457" t="s">
        <v>649</v>
      </c>
      <c r="F457" t="s">
        <v>663</v>
      </c>
      <c r="G457" s="10">
        <v>1</v>
      </c>
      <c r="H457" s="10">
        <v>10056</v>
      </c>
      <c r="I457" s="10">
        <v>10056</v>
      </c>
      <c r="J457" t="s">
        <v>42</v>
      </c>
      <c r="K457" s="11">
        <v>3145.8</v>
      </c>
      <c r="L457" s="12">
        <v>3.2</v>
      </c>
    </row>
    <row r="458" spans="1:12" x14ac:dyDescent="0.2">
      <c r="A458" s="9">
        <v>46238</v>
      </c>
      <c r="B458" t="s">
        <v>172</v>
      </c>
      <c r="C458" t="s">
        <v>173</v>
      </c>
      <c r="D458" t="s">
        <v>41</v>
      </c>
      <c r="E458" t="s">
        <v>647</v>
      </c>
      <c r="F458" t="s">
        <v>648</v>
      </c>
      <c r="G458" s="10">
        <v>1</v>
      </c>
      <c r="H458" s="10">
        <v>79597</v>
      </c>
      <c r="I458" s="10">
        <v>79597</v>
      </c>
      <c r="J458" t="s">
        <v>42</v>
      </c>
      <c r="K458" s="11">
        <v>3145.8</v>
      </c>
      <c r="L458" s="12">
        <v>25.3</v>
      </c>
    </row>
    <row r="459" spans="1:12" x14ac:dyDescent="0.2">
      <c r="A459" s="9">
        <v>46238</v>
      </c>
      <c r="B459" t="s">
        <v>190</v>
      </c>
      <c r="C459" t="s">
        <v>191</v>
      </c>
      <c r="D459" t="s">
        <v>68</v>
      </c>
      <c r="E459" t="s">
        <v>649</v>
      </c>
      <c r="F459" t="s">
        <v>659</v>
      </c>
      <c r="G459" s="10">
        <v>15</v>
      </c>
      <c r="H459" s="10">
        <v>8579</v>
      </c>
      <c r="I459" s="10">
        <v>128685</v>
      </c>
      <c r="J459" t="s">
        <v>51</v>
      </c>
      <c r="K459" s="11">
        <v>648.20000000000005</v>
      </c>
      <c r="L459" s="12">
        <v>198.53</v>
      </c>
    </row>
    <row r="460" spans="1:12" x14ac:dyDescent="0.2">
      <c r="A460" s="9">
        <v>46238</v>
      </c>
      <c r="B460" t="s">
        <v>190</v>
      </c>
      <c r="C460" t="s">
        <v>191</v>
      </c>
      <c r="D460" t="s">
        <v>68</v>
      </c>
      <c r="E460" t="s">
        <v>660</v>
      </c>
      <c r="F460" t="s">
        <v>670</v>
      </c>
      <c r="G460" s="10">
        <v>3</v>
      </c>
      <c r="H460" s="10">
        <v>14502</v>
      </c>
      <c r="I460" s="10">
        <v>43506</v>
      </c>
      <c r="J460" t="s">
        <v>51</v>
      </c>
      <c r="K460" s="11">
        <v>648.20000000000005</v>
      </c>
      <c r="L460" s="12">
        <v>67.12</v>
      </c>
    </row>
    <row r="461" spans="1:12" x14ac:dyDescent="0.2">
      <c r="A461" s="9">
        <v>46238</v>
      </c>
      <c r="B461" t="s">
        <v>196</v>
      </c>
      <c r="C461" t="s">
        <v>197</v>
      </c>
      <c r="D461" t="s">
        <v>46</v>
      </c>
      <c r="E461" t="s">
        <v>647</v>
      </c>
      <c r="F461" t="s">
        <v>668</v>
      </c>
      <c r="G461" s="10">
        <v>13</v>
      </c>
      <c r="H461" s="10">
        <v>24862</v>
      </c>
      <c r="I461" s="10">
        <v>323206</v>
      </c>
      <c r="J461" t="s">
        <v>37</v>
      </c>
      <c r="K461" s="11">
        <v>648.20000000000005</v>
      </c>
      <c r="L461" s="12">
        <v>498.62</v>
      </c>
    </row>
    <row r="462" spans="1:12" x14ac:dyDescent="0.2">
      <c r="A462" s="9">
        <v>46238</v>
      </c>
      <c r="B462" t="s">
        <v>196</v>
      </c>
      <c r="C462" t="s">
        <v>197</v>
      </c>
      <c r="D462" t="s">
        <v>46</v>
      </c>
      <c r="E462" t="s">
        <v>647</v>
      </c>
      <c r="F462" t="s">
        <v>648</v>
      </c>
      <c r="G462" s="10">
        <v>9</v>
      </c>
      <c r="H462" s="10">
        <v>15881</v>
      </c>
      <c r="I462" s="10">
        <v>142929</v>
      </c>
      <c r="J462" t="s">
        <v>37</v>
      </c>
      <c r="K462" s="11">
        <v>648.20000000000005</v>
      </c>
      <c r="L462" s="12">
        <v>220.5</v>
      </c>
    </row>
    <row r="463" spans="1:12" x14ac:dyDescent="0.2">
      <c r="A463" s="9">
        <v>46238</v>
      </c>
      <c r="B463" t="s">
        <v>199</v>
      </c>
      <c r="C463" t="s">
        <v>200</v>
      </c>
      <c r="D463" t="s">
        <v>46</v>
      </c>
      <c r="E463" t="s">
        <v>651</v>
      </c>
      <c r="F463" t="s">
        <v>657</v>
      </c>
      <c r="G463" s="10">
        <v>13</v>
      </c>
      <c r="H463" s="10">
        <v>6403</v>
      </c>
      <c r="I463" s="10">
        <v>83239</v>
      </c>
      <c r="J463" t="s">
        <v>37</v>
      </c>
      <c r="K463" s="11">
        <v>648.20000000000005</v>
      </c>
      <c r="L463" s="12">
        <v>128.41999999999999</v>
      </c>
    </row>
    <row r="464" spans="1:12" x14ac:dyDescent="0.2">
      <c r="A464" s="9">
        <v>46238</v>
      </c>
      <c r="B464" t="s">
        <v>205</v>
      </c>
      <c r="C464" t="s">
        <v>206</v>
      </c>
      <c r="D464" t="s">
        <v>50</v>
      </c>
      <c r="E464" t="s">
        <v>649</v>
      </c>
      <c r="F464" t="s">
        <v>650</v>
      </c>
      <c r="G464" s="10">
        <v>4</v>
      </c>
      <c r="H464" s="10">
        <v>19556</v>
      </c>
      <c r="I464" s="10">
        <v>78224</v>
      </c>
      <c r="J464" t="s">
        <v>51</v>
      </c>
      <c r="K464" s="11">
        <v>648.20000000000005</v>
      </c>
      <c r="L464" s="12">
        <v>120.68</v>
      </c>
    </row>
    <row r="465" spans="1:12" x14ac:dyDescent="0.2">
      <c r="A465" s="9">
        <v>46238</v>
      </c>
      <c r="B465" t="s">
        <v>211</v>
      </c>
      <c r="C465" t="s">
        <v>212</v>
      </c>
      <c r="D465" t="s">
        <v>46</v>
      </c>
      <c r="E465" t="s">
        <v>649</v>
      </c>
      <c r="F465" t="s">
        <v>663</v>
      </c>
      <c r="G465" s="10">
        <v>17</v>
      </c>
      <c r="H465" s="10">
        <v>2032</v>
      </c>
      <c r="I465" s="10">
        <v>34544</v>
      </c>
      <c r="J465" t="s">
        <v>37</v>
      </c>
      <c r="K465" s="11">
        <v>648.20000000000005</v>
      </c>
      <c r="L465" s="12">
        <v>53.29</v>
      </c>
    </row>
    <row r="466" spans="1:12" x14ac:dyDescent="0.2">
      <c r="A466" s="9">
        <v>46238</v>
      </c>
      <c r="B466" t="s">
        <v>211</v>
      </c>
      <c r="C466" t="s">
        <v>212</v>
      </c>
      <c r="D466" t="s">
        <v>46</v>
      </c>
      <c r="E466" t="s">
        <v>660</v>
      </c>
      <c r="F466" t="s">
        <v>661</v>
      </c>
      <c r="G466" s="10">
        <v>17</v>
      </c>
      <c r="H466" s="10">
        <v>4195</v>
      </c>
      <c r="I466" s="10">
        <v>71315</v>
      </c>
      <c r="J466" t="s">
        <v>37</v>
      </c>
      <c r="K466" s="11">
        <v>648.20000000000005</v>
      </c>
      <c r="L466" s="12">
        <v>110.02</v>
      </c>
    </row>
    <row r="467" spans="1:12" x14ac:dyDescent="0.2">
      <c r="A467" s="9">
        <v>46238</v>
      </c>
      <c r="B467" t="s">
        <v>214</v>
      </c>
      <c r="C467" t="s">
        <v>215</v>
      </c>
      <c r="D467" t="s">
        <v>46</v>
      </c>
      <c r="E467" t="s">
        <v>649</v>
      </c>
      <c r="F467" t="s">
        <v>659</v>
      </c>
      <c r="G467" s="10">
        <v>4</v>
      </c>
      <c r="H467" s="10">
        <v>8938</v>
      </c>
      <c r="I467" s="10">
        <v>35752</v>
      </c>
      <c r="J467" t="s">
        <v>37</v>
      </c>
      <c r="K467" s="11">
        <v>648.20000000000005</v>
      </c>
      <c r="L467" s="12">
        <v>55.16</v>
      </c>
    </row>
    <row r="468" spans="1:12" x14ac:dyDescent="0.2">
      <c r="A468" s="9">
        <v>46238</v>
      </c>
      <c r="B468" t="s">
        <v>220</v>
      </c>
      <c r="C468" t="s">
        <v>221</v>
      </c>
      <c r="D468" t="s">
        <v>46</v>
      </c>
      <c r="E468" t="s">
        <v>653</v>
      </c>
      <c r="F468" t="s">
        <v>658</v>
      </c>
      <c r="G468" s="10">
        <v>60</v>
      </c>
      <c r="H468" s="10">
        <v>2654</v>
      </c>
      <c r="I468" s="10">
        <v>159240</v>
      </c>
      <c r="J468" t="s">
        <v>37</v>
      </c>
      <c r="K468" s="11">
        <v>648.20000000000005</v>
      </c>
      <c r="L468" s="12">
        <v>245.66</v>
      </c>
    </row>
    <row r="469" spans="1:12" x14ac:dyDescent="0.2">
      <c r="A469" s="9">
        <v>46238</v>
      </c>
      <c r="B469" t="s">
        <v>220</v>
      </c>
      <c r="C469" t="s">
        <v>221</v>
      </c>
      <c r="D469" t="s">
        <v>46</v>
      </c>
      <c r="E469" t="s">
        <v>660</v>
      </c>
      <c r="F469" t="s">
        <v>669</v>
      </c>
      <c r="G469" s="10">
        <v>14</v>
      </c>
      <c r="H469" s="10">
        <v>2637</v>
      </c>
      <c r="I469" s="10">
        <v>36918</v>
      </c>
      <c r="J469" t="s">
        <v>37</v>
      </c>
      <c r="K469" s="11">
        <v>648.20000000000005</v>
      </c>
      <c r="L469" s="12">
        <v>56.95</v>
      </c>
    </row>
    <row r="470" spans="1:12" x14ac:dyDescent="0.2">
      <c r="A470" s="9">
        <v>46238</v>
      </c>
      <c r="B470" t="s">
        <v>220</v>
      </c>
      <c r="C470" t="s">
        <v>221</v>
      </c>
      <c r="D470" t="s">
        <v>46</v>
      </c>
      <c r="E470" t="s">
        <v>647</v>
      </c>
      <c r="F470" t="s">
        <v>648</v>
      </c>
      <c r="G470" s="10">
        <v>10</v>
      </c>
      <c r="H470" s="10">
        <v>16210</v>
      </c>
      <c r="I470" s="10">
        <v>162100</v>
      </c>
      <c r="J470" t="s">
        <v>37</v>
      </c>
      <c r="K470" s="11">
        <v>648.20000000000005</v>
      </c>
      <c r="L470" s="12">
        <v>250.08</v>
      </c>
    </row>
    <row r="471" spans="1:12" x14ac:dyDescent="0.2">
      <c r="A471" s="9">
        <v>46238</v>
      </c>
      <c r="B471" t="s">
        <v>223</v>
      </c>
      <c r="C471" t="s">
        <v>224</v>
      </c>
      <c r="D471" t="s">
        <v>36</v>
      </c>
      <c r="E471" t="s">
        <v>660</v>
      </c>
      <c r="F471" t="s">
        <v>669</v>
      </c>
      <c r="G471" s="10">
        <v>2</v>
      </c>
      <c r="H471" s="10">
        <v>2675</v>
      </c>
      <c r="I471" s="10">
        <v>5350</v>
      </c>
      <c r="J471" t="s">
        <v>37</v>
      </c>
      <c r="K471" s="11">
        <v>648.20000000000005</v>
      </c>
      <c r="L471" s="12">
        <v>8.25</v>
      </c>
    </row>
    <row r="472" spans="1:12" x14ac:dyDescent="0.2">
      <c r="A472" s="9">
        <v>46238</v>
      </c>
      <c r="B472" t="s">
        <v>223</v>
      </c>
      <c r="C472" t="s">
        <v>224</v>
      </c>
      <c r="D472" t="s">
        <v>36</v>
      </c>
      <c r="E472" t="s">
        <v>655</v>
      </c>
      <c r="F472" t="s">
        <v>665</v>
      </c>
      <c r="G472" s="10">
        <v>8</v>
      </c>
      <c r="H472" s="10">
        <v>670</v>
      </c>
      <c r="I472" s="10">
        <v>5360</v>
      </c>
      <c r="J472" t="s">
        <v>37</v>
      </c>
      <c r="K472" s="11">
        <v>648.20000000000005</v>
      </c>
      <c r="L472" s="12">
        <v>8.27</v>
      </c>
    </row>
    <row r="473" spans="1:12" x14ac:dyDescent="0.2">
      <c r="A473" s="9">
        <v>46238</v>
      </c>
      <c r="B473" t="s">
        <v>226</v>
      </c>
      <c r="C473" t="s">
        <v>227</v>
      </c>
      <c r="D473" t="s">
        <v>41</v>
      </c>
      <c r="E473" t="s">
        <v>660</v>
      </c>
      <c r="F473" t="s">
        <v>669</v>
      </c>
      <c r="G473" s="10">
        <v>32</v>
      </c>
      <c r="H473" s="10">
        <v>12859</v>
      </c>
      <c r="I473" s="10">
        <v>411488</v>
      </c>
      <c r="J473" t="s">
        <v>42</v>
      </c>
      <c r="K473" s="11">
        <v>3145.8</v>
      </c>
      <c r="L473" s="12">
        <v>130.81</v>
      </c>
    </row>
    <row r="474" spans="1:12" x14ac:dyDescent="0.2">
      <c r="A474" s="9">
        <v>46238</v>
      </c>
      <c r="B474" t="s">
        <v>226</v>
      </c>
      <c r="C474" t="s">
        <v>227</v>
      </c>
      <c r="D474" t="s">
        <v>41</v>
      </c>
      <c r="E474" t="s">
        <v>660</v>
      </c>
      <c r="F474" t="s">
        <v>670</v>
      </c>
      <c r="G474" s="10">
        <v>25</v>
      </c>
      <c r="H474" s="10">
        <v>67574</v>
      </c>
      <c r="I474" s="10">
        <v>1689350</v>
      </c>
      <c r="J474" t="s">
        <v>42</v>
      </c>
      <c r="K474" s="11">
        <v>3145.8</v>
      </c>
      <c r="L474" s="12">
        <v>537.02</v>
      </c>
    </row>
    <row r="475" spans="1:12" x14ac:dyDescent="0.2">
      <c r="A475" s="9">
        <v>46238</v>
      </c>
      <c r="B475" t="s">
        <v>226</v>
      </c>
      <c r="C475" t="s">
        <v>227</v>
      </c>
      <c r="D475" t="s">
        <v>41</v>
      </c>
      <c r="E475" t="s">
        <v>655</v>
      </c>
      <c r="F475" t="s">
        <v>665</v>
      </c>
      <c r="G475" s="10">
        <v>91</v>
      </c>
      <c r="H475" s="10">
        <v>3395</v>
      </c>
      <c r="I475" s="10">
        <v>308945</v>
      </c>
      <c r="J475" t="s">
        <v>42</v>
      </c>
      <c r="K475" s="11">
        <v>3145.8</v>
      </c>
      <c r="L475" s="12">
        <v>98.21</v>
      </c>
    </row>
    <row r="476" spans="1:12" x14ac:dyDescent="0.2">
      <c r="A476" s="9">
        <v>46238</v>
      </c>
      <c r="B476" t="s">
        <v>229</v>
      </c>
      <c r="C476" t="s">
        <v>230</v>
      </c>
      <c r="D476" t="s">
        <v>36</v>
      </c>
      <c r="E476" t="s">
        <v>651</v>
      </c>
      <c r="F476" t="s">
        <v>652</v>
      </c>
      <c r="G476" s="10">
        <v>7</v>
      </c>
      <c r="H476" s="10">
        <v>9858</v>
      </c>
      <c r="I476" s="10">
        <v>69006</v>
      </c>
      <c r="J476" t="s">
        <v>37</v>
      </c>
      <c r="K476" s="11">
        <v>648.20000000000005</v>
      </c>
      <c r="L476" s="12">
        <v>106.46</v>
      </c>
    </row>
    <row r="477" spans="1:12" x14ac:dyDescent="0.2">
      <c r="A477" s="9">
        <v>46238</v>
      </c>
      <c r="B477" t="s">
        <v>229</v>
      </c>
      <c r="C477" t="s">
        <v>230</v>
      </c>
      <c r="D477" t="s">
        <v>36</v>
      </c>
      <c r="E477" t="s">
        <v>649</v>
      </c>
      <c r="F477" t="s">
        <v>650</v>
      </c>
      <c r="G477" s="10">
        <v>7</v>
      </c>
      <c r="H477" s="10">
        <v>19645</v>
      </c>
      <c r="I477" s="10">
        <v>137515</v>
      </c>
      <c r="J477" t="s">
        <v>37</v>
      </c>
      <c r="K477" s="11">
        <v>648.20000000000005</v>
      </c>
      <c r="L477" s="12">
        <v>212.15</v>
      </c>
    </row>
    <row r="478" spans="1:12" x14ac:dyDescent="0.2">
      <c r="A478" s="9">
        <v>46238</v>
      </c>
      <c r="B478" t="s">
        <v>229</v>
      </c>
      <c r="C478" t="s">
        <v>230</v>
      </c>
      <c r="D478" t="s">
        <v>36</v>
      </c>
      <c r="E478" t="s">
        <v>649</v>
      </c>
      <c r="F478" t="s">
        <v>650</v>
      </c>
      <c r="G478" s="10">
        <v>15</v>
      </c>
      <c r="H478" s="10">
        <v>19844</v>
      </c>
      <c r="I478" s="10">
        <v>297660</v>
      </c>
      <c r="J478" t="s">
        <v>37</v>
      </c>
      <c r="K478" s="11">
        <v>648.20000000000005</v>
      </c>
      <c r="L478" s="12">
        <v>459.21</v>
      </c>
    </row>
    <row r="479" spans="1:12" x14ac:dyDescent="0.2">
      <c r="A479" s="9">
        <v>46238</v>
      </c>
      <c r="B479" t="s">
        <v>229</v>
      </c>
      <c r="C479" t="s">
        <v>230</v>
      </c>
      <c r="D479" t="s">
        <v>36</v>
      </c>
      <c r="E479" t="s">
        <v>660</v>
      </c>
      <c r="F479" t="s">
        <v>669</v>
      </c>
      <c r="G479" s="10">
        <v>3</v>
      </c>
      <c r="H479" s="10">
        <v>2683</v>
      </c>
      <c r="I479" s="10">
        <v>8049</v>
      </c>
      <c r="J479" t="s">
        <v>37</v>
      </c>
      <c r="K479" s="11">
        <v>648.20000000000005</v>
      </c>
      <c r="L479" s="12">
        <v>12.42</v>
      </c>
    </row>
    <row r="480" spans="1:12" x14ac:dyDescent="0.2">
      <c r="A480" s="9">
        <v>46238</v>
      </c>
      <c r="B480" t="s">
        <v>235</v>
      </c>
      <c r="C480" t="s">
        <v>236</v>
      </c>
      <c r="D480" t="s">
        <v>50</v>
      </c>
      <c r="E480" t="s">
        <v>647</v>
      </c>
      <c r="F480" t="s">
        <v>648</v>
      </c>
      <c r="G480" s="10">
        <v>4</v>
      </c>
      <c r="H480" s="10">
        <v>15846</v>
      </c>
      <c r="I480" s="10">
        <v>63384</v>
      </c>
      <c r="J480" t="s">
        <v>51</v>
      </c>
      <c r="K480" s="11">
        <v>648.20000000000005</v>
      </c>
      <c r="L480" s="12">
        <v>97.78</v>
      </c>
    </row>
    <row r="481" spans="1:12" x14ac:dyDescent="0.2">
      <c r="A481" s="9">
        <v>46238</v>
      </c>
      <c r="B481" t="s">
        <v>235</v>
      </c>
      <c r="C481" t="s">
        <v>236</v>
      </c>
      <c r="D481" t="s">
        <v>50</v>
      </c>
      <c r="E481" t="s">
        <v>647</v>
      </c>
      <c r="F481" t="s">
        <v>667</v>
      </c>
      <c r="G481" s="10">
        <v>36</v>
      </c>
      <c r="H481" s="10">
        <v>7129</v>
      </c>
      <c r="I481" s="10">
        <v>256644</v>
      </c>
      <c r="J481" t="s">
        <v>51</v>
      </c>
      <c r="K481" s="11">
        <v>648.20000000000005</v>
      </c>
      <c r="L481" s="12">
        <v>395.93</v>
      </c>
    </row>
    <row r="482" spans="1:12" x14ac:dyDescent="0.2">
      <c r="A482" s="9">
        <v>46238</v>
      </c>
      <c r="B482" t="s">
        <v>238</v>
      </c>
      <c r="C482" t="s">
        <v>239</v>
      </c>
      <c r="D482" t="s">
        <v>68</v>
      </c>
      <c r="E482" t="s">
        <v>647</v>
      </c>
      <c r="F482" t="s">
        <v>668</v>
      </c>
      <c r="G482" s="10">
        <v>7</v>
      </c>
      <c r="H482" s="10">
        <v>24799</v>
      </c>
      <c r="I482" s="10">
        <v>173593</v>
      </c>
      <c r="J482" t="s">
        <v>51</v>
      </c>
      <c r="K482" s="11">
        <v>648.20000000000005</v>
      </c>
      <c r="L482" s="12">
        <v>267.81</v>
      </c>
    </row>
    <row r="483" spans="1:12" x14ac:dyDescent="0.2">
      <c r="A483" s="9">
        <v>46238</v>
      </c>
      <c r="B483" t="s">
        <v>244</v>
      </c>
      <c r="C483" t="s">
        <v>245</v>
      </c>
      <c r="D483" t="s">
        <v>75</v>
      </c>
      <c r="E483" t="s">
        <v>651</v>
      </c>
      <c r="F483" t="s">
        <v>652</v>
      </c>
      <c r="G483" s="10">
        <v>11</v>
      </c>
      <c r="H483" s="10">
        <v>47725</v>
      </c>
      <c r="I483" s="10">
        <v>524975</v>
      </c>
      <c r="J483" t="s">
        <v>42</v>
      </c>
      <c r="K483" s="11">
        <v>3145.8</v>
      </c>
      <c r="L483" s="12">
        <v>166.88</v>
      </c>
    </row>
    <row r="484" spans="1:12" x14ac:dyDescent="0.2">
      <c r="A484" s="9">
        <v>46238</v>
      </c>
      <c r="B484" t="s">
        <v>244</v>
      </c>
      <c r="C484" t="s">
        <v>245</v>
      </c>
      <c r="D484" t="s">
        <v>75</v>
      </c>
      <c r="E484" t="s">
        <v>649</v>
      </c>
      <c r="F484" t="s">
        <v>663</v>
      </c>
      <c r="G484" s="10">
        <v>24</v>
      </c>
      <c r="H484" s="10">
        <v>9745</v>
      </c>
      <c r="I484" s="10">
        <v>233880</v>
      </c>
      <c r="J484" t="s">
        <v>42</v>
      </c>
      <c r="K484" s="11">
        <v>3145.8</v>
      </c>
      <c r="L484" s="12">
        <v>74.349999999999994</v>
      </c>
    </row>
    <row r="485" spans="1:12" x14ac:dyDescent="0.2">
      <c r="A485" s="9">
        <v>46238</v>
      </c>
      <c r="B485" t="s">
        <v>244</v>
      </c>
      <c r="C485" t="s">
        <v>245</v>
      </c>
      <c r="D485" t="s">
        <v>75</v>
      </c>
      <c r="E485" t="s">
        <v>660</v>
      </c>
      <c r="F485" t="s">
        <v>669</v>
      </c>
      <c r="G485" s="10">
        <v>18</v>
      </c>
      <c r="H485" s="10">
        <v>12985</v>
      </c>
      <c r="I485" s="10">
        <v>233730</v>
      </c>
      <c r="J485" t="s">
        <v>42</v>
      </c>
      <c r="K485" s="11">
        <v>3145.8</v>
      </c>
      <c r="L485" s="12">
        <v>74.3</v>
      </c>
    </row>
    <row r="486" spans="1:12" x14ac:dyDescent="0.2">
      <c r="A486" s="9">
        <v>46238</v>
      </c>
      <c r="B486" t="s">
        <v>244</v>
      </c>
      <c r="C486" t="s">
        <v>245</v>
      </c>
      <c r="D486" t="s">
        <v>75</v>
      </c>
      <c r="E486" t="s">
        <v>660</v>
      </c>
      <c r="F486" t="s">
        <v>669</v>
      </c>
      <c r="G486" s="10">
        <v>10</v>
      </c>
      <c r="H486" s="10">
        <v>12845</v>
      </c>
      <c r="I486" s="10">
        <v>128450</v>
      </c>
      <c r="J486" t="s">
        <v>42</v>
      </c>
      <c r="K486" s="11">
        <v>3145.8</v>
      </c>
      <c r="L486" s="12">
        <v>40.83</v>
      </c>
    </row>
    <row r="487" spans="1:12" x14ac:dyDescent="0.2">
      <c r="A487" s="9">
        <v>46238</v>
      </c>
      <c r="B487" t="s">
        <v>244</v>
      </c>
      <c r="C487" t="s">
        <v>245</v>
      </c>
      <c r="D487" t="s">
        <v>75</v>
      </c>
      <c r="E487" t="s">
        <v>660</v>
      </c>
      <c r="F487" t="s">
        <v>661</v>
      </c>
      <c r="G487" s="10">
        <v>30</v>
      </c>
      <c r="H487" s="10">
        <v>19919</v>
      </c>
      <c r="I487" s="10">
        <v>597570</v>
      </c>
      <c r="J487" t="s">
        <v>42</v>
      </c>
      <c r="K487" s="11">
        <v>3145.8</v>
      </c>
      <c r="L487" s="12">
        <v>189.96</v>
      </c>
    </row>
    <row r="488" spans="1:12" x14ac:dyDescent="0.2">
      <c r="A488" s="9">
        <v>46238</v>
      </c>
      <c r="B488" t="s">
        <v>244</v>
      </c>
      <c r="C488" t="s">
        <v>245</v>
      </c>
      <c r="D488" t="s">
        <v>75</v>
      </c>
      <c r="E488" t="s">
        <v>655</v>
      </c>
      <c r="F488" t="s">
        <v>656</v>
      </c>
      <c r="G488" s="10">
        <v>11</v>
      </c>
      <c r="H488" s="10">
        <v>2806</v>
      </c>
      <c r="I488" s="10">
        <v>30866</v>
      </c>
      <c r="J488" t="s">
        <v>42</v>
      </c>
      <c r="K488" s="11">
        <v>3145.8</v>
      </c>
      <c r="L488" s="12">
        <v>9.81</v>
      </c>
    </row>
    <row r="489" spans="1:12" x14ac:dyDescent="0.2">
      <c r="A489" s="9">
        <v>46238</v>
      </c>
      <c r="B489" t="s">
        <v>244</v>
      </c>
      <c r="C489" t="s">
        <v>245</v>
      </c>
      <c r="D489" t="s">
        <v>75</v>
      </c>
      <c r="E489" t="s">
        <v>651</v>
      </c>
      <c r="F489" t="s">
        <v>657</v>
      </c>
      <c r="G489" s="10">
        <v>16</v>
      </c>
      <c r="H489" s="10">
        <v>30186</v>
      </c>
      <c r="I489" s="10">
        <v>482976</v>
      </c>
      <c r="J489" t="s">
        <v>42</v>
      </c>
      <c r="K489" s="11">
        <v>3145.8</v>
      </c>
      <c r="L489" s="12">
        <v>153.53</v>
      </c>
    </row>
    <row r="490" spans="1:12" x14ac:dyDescent="0.2">
      <c r="A490" s="9">
        <v>46238</v>
      </c>
      <c r="B490" t="s">
        <v>247</v>
      </c>
      <c r="C490" t="s">
        <v>248</v>
      </c>
      <c r="D490" t="s">
        <v>75</v>
      </c>
      <c r="E490" t="s">
        <v>660</v>
      </c>
      <c r="F490" t="s">
        <v>669</v>
      </c>
      <c r="G490" s="10">
        <v>9</v>
      </c>
      <c r="H490" s="10">
        <v>12107</v>
      </c>
      <c r="I490" s="10">
        <v>108963</v>
      </c>
      <c r="J490" t="s">
        <v>42</v>
      </c>
      <c r="K490" s="11">
        <v>3145.8</v>
      </c>
      <c r="L490" s="12">
        <v>34.64</v>
      </c>
    </row>
    <row r="491" spans="1:12" x14ac:dyDescent="0.2">
      <c r="A491" s="9">
        <v>46238</v>
      </c>
      <c r="B491" t="s">
        <v>247</v>
      </c>
      <c r="C491" t="s">
        <v>248</v>
      </c>
      <c r="D491" t="s">
        <v>75</v>
      </c>
      <c r="E491" t="s">
        <v>660</v>
      </c>
      <c r="F491" t="s">
        <v>670</v>
      </c>
      <c r="G491" s="10">
        <v>3</v>
      </c>
      <c r="H491" s="10">
        <v>69718</v>
      </c>
      <c r="I491" s="10">
        <v>209154</v>
      </c>
      <c r="J491" t="s">
        <v>42</v>
      </c>
      <c r="K491" s="11">
        <v>3145.8</v>
      </c>
      <c r="L491" s="12">
        <v>66.489999999999995</v>
      </c>
    </row>
    <row r="492" spans="1:12" x14ac:dyDescent="0.2">
      <c r="A492" s="9">
        <v>46238</v>
      </c>
      <c r="B492" t="s">
        <v>250</v>
      </c>
      <c r="C492" t="s">
        <v>251</v>
      </c>
      <c r="D492" t="s">
        <v>46</v>
      </c>
      <c r="E492" t="s">
        <v>655</v>
      </c>
      <c r="F492" t="s">
        <v>656</v>
      </c>
      <c r="G492" s="10">
        <v>2</v>
      </c>
      <c r="H492" s="10">
        <v>598</v>
      </c>
      <c r="I492" s="10">
        <v>1196</v>
      </c>
      <c r="J492" t="s">
        <v>37</v>
      </c>
      <c r="K492" s="11">
        <v>648.20000000000005</v>
      </c>
      <c r="L492" s="12">
        <v>1.85</v>
      </c>
    </row>
    <row r="493" spans="1:12" x14ac:dyDescent="0.2">
      <c r="A493" s="9">
        <v>46238</v>
      </c>
      <c r="B493" t="s">
        <v>261</v>
      </c>
      <c r="C493" t="s">
        <v>262</v>
      </c>
      <c r="D493" t="s">
        <v>41</v>
      </c>
      <c r="E493" t="s">
        <v>660</v>
      </c>
      <c r="F493" t="s">
        <v>661</v>
      </c>
      <c r="G493" s="10">
        <v>14</v>
      </c>
      <c r="H493" s="10">
        <v>20755</v>
      </c>
      <c r="I493" s="10">
        <v>290570</v>
      </c>
      <c r="J493" t="s">
        <v>42</v>
      </c>
      <c r="K493" s="11">
        <v>3145.8</v>
      </c>
      <c r="L493" s="12">
        <v>92.37</v>
      </c>
    </row>
    <row r="494" spans="1:12" x14ac:dyDescent="0.2">
      <c r="A494" s="9">
        <v>46238</v>
      </c>
      <c r="B494" t="s">
        <v>267</v>
      </c>
      <c r="C494" t="s">
        <v>268</v>
      </c>
      <c r="D494" t="s">
        <v>46</v>
      </c>
      <c r="E494" t="s">
        <v>651</v>
      </c>
      <c r="F494" t="s">
        <v>652</v>
      </c>
      <c r="G494" s="10">
        <v>89</v>
      </c>
      <c r="H494" s="10">
        <v>9790</v>
      </c>
      <c r="I494" s="10">
        <v>871310</v>
      </c>
      <c r="J494" t="s">
        <v>37</v>
      </c>
      <c r="K494" s="11">
        <v>648.20000000000005</v>
      </c>
      <c r="L494" s="12">
        <v>1344.2</v>
      </c>
    </row>
    <row r="495" spans="1:12" x14ac:dyDescent="0.2">
      <c r="A495" s="9">
        <v>46238</v>
      </c>
      <c r="B495" t="s">
        <v>267</v>
      </c>
      <c r="C495" t="s">
        <v>268</v>
      </c>
      <c r="D495" t="s">
        <v>46</v>
      </c>
      <c r="E495" t="s">
        <v>649</v>
      </c>
      <c r="F495" t="s">
        <v>650</v>
      </c>
      <c r="G495" s="10">
        <v>11</v>
      </c>
      <c r="H495" s="10">
        <v>19186</v>
      </c>
      <c r="I495" s="10">
        <v>211046</v>
      </c>
      <c r="J495" t="s">
        <v>37</v>
      </c>
      <c r="K495" s="11">
        <v>648.20000000000005</v>
      </c>
      <c r="L495" s="12">
        <v>325.58999999999997</v>
      </c>
    </row>
    <row r="496" spans="1:12" x14ac:dyDescent="0.2">
      <c r="A496" s="9">
        <v>46238</v>
      </c>
      <c r="B496" t="s">
        <v>267</v>
      </c>
      <c r="C496" t="s">
        <v>268</v>
      </c>
      <c r="D496" t="s">
        <v>46</v>
      </c>
      <c r="E496" t="s">
        <v>649</v>
      </c>
      <c r="F496" t="s">
        <v>663</v>
      </c>
      <c r="G496" s="10">
        <v>63</v>
      </c>
      <c r="H496" s="10">
        <v>2065</v>
      </c>
      <c r="I496" s="10">
        <v>130095</v>
      </c>
      <c r="J496" t="s">
        <v>37</v>
      </c>
      <c r="K496" s="11">
        <v>648.20000000000005</v>
      </c>
      <c r="L496" s="12">
        <v>200.7</v>
      </c>
    </row>
    <row r="497" spans="1:12" x14ac:dyDescent="0.2">
      <c r="A497" s="9">
        <v>46238</v>
      </c>
      <c r="B497" t="s">
        <v>267</v>
      </c>
      <c r="C497" t="s">
        <v>268</v>
      </c>
      <c r="D497" t="s">
        <v>46</v>
      </c>
      <c r="E497" t="s">
        <v>647</v>
      </c>
      <c r="F497" t="s">
        <v>668</v>
      </c>
      <c r="G497" s="10">
        <v>2</v>
      </c>
      <c r="H497" s="10">
        <v>26147</v>
      </c>
      <c r="I497" s="10">
        <v>52294</v>
      </c>
      <c r="J497" t="s">
        <v>37</v>
      </c>
      <c r="K497" s="11">
        <v>648.20000000000005</v>
      </c>
      <c r="L497" s="12">
        <v>80.680000000000007</v>
      </c>
    </row>
    <row r="498" spans="1:12" x14ac:dyDescent="0.2">
      <c r="A498" s="9">
        <v>46238</v>
      </c>
      <c r="B498" t="s">
        <v>267</v>
      </c>
      <c r="C498" t="s">
        <v>268</v>
      </c>
      <c r="D498" t="s">
        <v>46</v>
      </c>
      <c r="E498" t="s">
        <v>647</v>
      </c>
      <c r="F498" t="s">
        <v>667</v>
      </c>
      <c r="G498" s="10">
        <v>16</v>
      </c>
      <c r="H498" s="10">
        <v>7301</v>
      </c>
      <c r="I498" s="10">
        <v>116816</v>
      </c>
      <c r="J498" t="s">
        <v>37</v>
      </c>
      <c r="K498" s="11">
        <v>648.20000000000005</v>
      </c>
      <c r="L498" s="12">
        <v>180.22</v>
      </c>
    </row>
    <row r="499" spans="1:12" x14ac:dyDescent="0.2">
      <c r="A499" s="9">
        <v>46238</v>
      </c>
      <c r="B499" t="s">
        <v>267</v>
      </c>
      <c r="C499" t="s">
        <v>268</v>
      </c>
      <c r="D499" t="s">
        <v>46</v>
      </c>
      <c r="E499" t="s">
        <v>651</v>
      </c>
      <c r="F499" t="s">
        <v>664</v>
      </c>
      <c r="G499" s="10">
        <v>2</v>
      </c>
      <c r="H499" s="10">
        <v>12023</v>
      </c>
      <c r="I499" s="10">
        <v>24046</v>
      </c>
      <c r="J499" t="s">
        <v>37</v>
      </c>
      <c r="K499" s="11">
        <v>648.20000000000005</v>
      </c>
      <c r="L499" s="12">
        <v>37.1</v>
      </c>
    </row>
    <row r="500" spans="1:12" x14ac:dyDescent="0.2">
      <c r="A500" s="9">
        <v>46238</v>
      </c>
      <c r="B500" t="s">
        <v>273</v>
      </c>
      <c r="C500" t="s">
        <v>274</v>
      </c>
      <c r="D500" t="s">
        <v>41</v>
      </c>
      <c r="E500" t="s">
        <v>653</v>
      </c>
      <c r="F500" t="s">
        <v>666</v>
      </c>
      <c r="G500" s="10">
        <v>20</v>
      </c>
      <c r="H500" s="10">
        <v>7188</v>
      </c>
      <c r="I500" s="10">
        <v>143760</v>
      </c>
      <c r="J500" t="s">
        <v>42</v>
      </c>
      <c r="K500" s="11">
        <v>3145.8</v>
      </c>
      <c r="L500" s="12">
        <v>45.7</v>
      </c>
    </row>
    <row r="501" spans="1:12" x14ac:dyDescent="0.2">
      <c r="A501" s="9">
        <v>46238</v>
      </c>
      <c r="B501" t="s">
        <v>273</v>
      </c>
      <c r="C501" t="s">
        <v>274</v>
      </c>
      <c r="D501" t="s">
        <v>41</v>
      </c>
      <c r="E501" t="s">
        <v>647</v>
      </c>
      <c r="F501" t="s">
        <v>648</v>
      </c>
      <c r="G501" s="10">
        <v>4</v>
      </c>
      <c r="H501" s="10">
        <v>77839</v>
      </c>
      <c r="I501" s="10">
        <v>311356</v>
      </c>
      <c r="J501" t="s">
        <v>42</v>
      </c>
      <c r="K501" s="11">
        <v>3145.8</v>
      </c>
      <c r="L501" s="12">
        <v>98.98</v>
      </c>
    </row>
    <row r="502" spans="1:12" x14ac:dyDescent="0.2">
      <c r="A502" s="9">
        <v>46238</v>
      </c>
      <c r="B502" t="s">
        <v>279</v>
      </c>
      <c r="C502" t="s">
        <v>280</v>
      </c>
      <c r="D502" t="s">
        <v>68</v>
      </c>
      <c r="E502" t="s">
        <v>649</v>
      </c>
      <c r="F502" t="s">
        <v>659</v>
      </c>
      <c r="G502" s="10">
        <v>6</v>
      </c>
      <c r="H502" s="10">
        <v>9059</v>
      </c>
      <c r="I502" s="10">
        <v>54354</v>
      </c>
      <c r="J502" t="s">
        <v>51</v>
      </c>
      <c r="K502" s="11">
        <v>648.20000000000005</v>
      </c>
      <c r="L502" s="12">
        <v>83.85</v>
      </c>
    </row>
    <row r="503" spans="1:12" x14ac:dyDescent="0.2">
      <c r="A503" s="9">
        <v>46238</v>
      </c>
      <c r="B503" t="s">
        <v>279</v>
      </c>
      <c r="C503" t="s">
        <v>280</v>
      </c>
      <c r="D503" t="s">
        <v>68</v>
      </c>
      <c r="E503" t="s">
        <v>655</v>
      </c>
      <c r="F503" t="s">
        <v>662</v>
      </c>
      <c r="G503" s="10">
        <v>37</v>
      </c>
      <c r="H503" s="10">
        <v>1166</v>
      </c>
      <c r="I503" s="10">
        <v>43142</v>
      </c>
      <c r="J503" t="s">
        <v>51</v>
      </c>
      <c r="K503" s="11">
        <v>648.20000000000005</v>
      </c>
      <c r="L503" s="12">
        <v>66.56</v>
      </c>
    </row>
    <row r="504" spans="1:12" x14ac:dyDescent="0.2">
      <c r="A504" s="9">
        <v>46238</v>
      </c>
      <c r="B504" t="s">
        <v>279</v>
      </c>
      <c r="C504" t="s">
        <v>280</v>
      </c>
      <c r="D504" t="s">
        <v>68</v>
      </c>
      <c r="E504" t="s">
        <v>660</v>
      </c>
      <c r="F504" t="s">
        <v>670</v>
      </c>
      <c r="G504" s="10">
        <v>22</v>
      </c>
      <c r="H504" s="10">
        <v>14975</v>
      </c>
      <c r="I504" s="10">
        <v>329450</v>
      </c>
      <c r="J504" t="s">
        <v>51</v>
      </c>
      <c r="K504" s="11">
        <v>648.20000000000005</v>
      </c>
      <c r="L504" s="12">
        <v>508.25</v>
      </c>
    </row>
    <row r="505" spans="1:12" x14ac:dyDescent="0.2">
      <c r="A505" s="9">
        <v>46238</v>
      </c>
      <c r="B505" t="s">
        <v>288</v>
      </c>
      <c r="C505" t="s">
        <v>289</v>
      </c>
      <c r="D505" t="s">
        <v>41</v>
      </c>
      <c r="E505" t="s">
        <v>647</v>
      </c>
      <c r="F505" t="s">
        <v>648</v>
      </c>
      <c r="G505" s="10">
        <v>28</v>
      </c>
      <c r="H505" s="10">
        <v>77377</v>
      </c>
      <c r="I505" s="10">
        <v>2166556</v>
      </c>
      <c r="J505" t="s">
        <v>42</v>
      </c>
      <c r="K505" s="11">
        <v>3145.8</v>
      </c>
      <c r="L505" s="12">
        <v>688.71</v>
      </c>
    </row>
    <row r="506" spans="1:12" x14ac:dyDescent="0.2">
      <c r="A506" s="9">
        <v>46238</v>
      </c>
      <c r="B506" t="s">
        <v>288</v>
      </c>
      <c r="C506" t="s">
        <v>289</v>
      </c>
      <c r="D506" t="s">
        <v>41</v>
      </c>
      <c r="E506" t="s">
        <v>651</v>
      </c>
      <c r="F506" t="s">
        <v>664</v>
      </c>
      <c r="G506" s="10">
        <v>5</v>
      </c>
      <c r="H506" s="10">
        <v>56309</v>
      </c>
      <c r="I506" s="10">
        <v>281545</v>
      </c>
      <c r="J506" t="s">
        <v>42</v>
      </c>
      <c r="K506" s="11">
        <v>3145.8</v>
      </c>
      <c r="L506" s="12">
        <v>89.5</v>
      </c>
    </row>
    <row r="507" spans="1:12" x14ac:dyDescent="0.2">
      <c r="A507" s="9">
        <v>46238</v>
      </c>
      <c r="B507" t="s">
        <v>294</v>
      </c>
      <c r="C507" t="s">
        <v>295</v>
      </c>
      <c r="D507" t="s">
        <v>41</v>
      </c>
      <c r="E507" t="s">
        <v>655</v>
      </c>
      <c r="F507" t="s">
        <v>662</v>
      </c>
      <c r="G507" s="10">
        <v>5</v>
      </c>
      <c r="H507" s="10">
        <v>5413</v>
      </c>
      <c r="I507" s="10">
        <v>27065</v>
      </c>
      <c r="J507" t="s">
        <v>42</v>
      </c>
      <c r="K507" s="11">
        <v>3145.8</v>
      </c>
      <c r="L507" s="12">
        <v>8.6</v>
      </c>
    </row>
    <row r="508" spans="1:12" x14ac:dyDescent="0.2">
      <c r="A508" s="9">
        <v>46238</v>
      </c>
      <c r="B508" t="s">
        <v>297</v>
      </c>
      <c r="C508" t="s">
        <v>298</v>
      </c>
      <c r="D508" t="s">
        <v>36</v>
      </c>
      <c r="E508" t="s">
        <v>649</v>
      </c>
      <c r="F508" t="s">
        <v>650</v>
      </c>
      <c r="G508" s="10">
        <v>9</v>
      </c>
      <c r="H508" s="10">
        <v>19702</v>
      </c>
      <c r="I508" s="10">
        <v>177318</v>
      </c>
      <c r="J508" t="s">
        <v>37</v>
      </c>
      <c r="K508" s="11">
        <v>648.20000000000005</v>
      </c>
      <c r="L508" s="12">
        <v>273.55</v>
      </c>
    </row>
    <row r="509" spans="1:12" x14ac:dyDescent="0.2">
      <c r="A509" s="9">
        <v>46238</v>
      </c>
      <c r="B509" t="s">
        <v>300</v>
      </c>
      <c r="C509" t="s">
        <v>301</v>
      </c>
      <c r="D509" t="s">
        <v>41</v>
      </c>
      <c r="E509" t="s">
        <v>649</v>
      </c>
      <c r="F509" t="s">
        <v>663</v>
      </c>
      <c r="G509" s="10">
        <v>8</v>
      </c>
      <c r="H509" s="10">
        <v>9735</v>
      </c>
      <c r="I509" s="10">
        <v>77880</v>
      </c>
      <c r="J509" t="s">
        <v>42</v>
      </c>
      <c r="K509" s="11">
        <v>3145.8</v>
      </c>
      <c r="L509" s="12">
        <v>24.76</v>
      </c>
    </row>
    <row r="510" spans="1:12" x14ac:dyDescent="0.2">
      <c r="A510" s="9">
        <v>46238</v>
      </c>
      <c r="B510" t="s">
        <v>306</v>
      </c>
      <c r="C510" t="s">
        <v>307</v>
      </c>
      <c r="D510" t="s">
        <v>36</v>
      </c>
      <c r="E510" t="s">
        <v>649</v>
      </c>
      <c r="F510" t="s">
        <v>659</v>
      </c>
      <c r="G510" s="10">
        <v>7</v>
      </c>
      <c r="H510" s="10">
        <v>9186</v>
      </c>
      <c r="I510" s="10">
        <v>64302</v>
      </c>
      <c r="J510" t="s">
        <v>37</v>
      </c>
      <c r="K510" s="11">
        <v>648.20000000000005</v>
      </c>
      <c r="L510" s="12">
        <v>99.2</v>
      </c>
    </row>
    <row r="511" spans="1:12" x14ac:dyDescent="0.2">
      <c r="A511" s="9">
        <v>46238</v>
      </c>
      <c r="B511" t="s">
        <v>306</v>
      </c>
      <c r="C511" t="s">
        <v>307</v>
      </c>
      <c r="D511" t="s">
        <v>36</v>
      </c>
      <c r="E511" t="s">
        <v>647</v>
      </c>
      <c r="F511" t="s">
        <v>668</v>
      </c>
      <c r="G511" s="10">
        <v>10</v>
      </c>
      <c r="H511" s="10">
        <v>24950</v>
      </c>
      <c r="I511" s="10">
        <v>249500</v>
      </c>
      <c r="J511" t="s">
        <v>37</v>
      </c>
      <c r="K511" s="11">
        <v>648.20000000000005</v>
      </c>
      <c r="L511" s="12">
        <v>384.91</v>
      </c>
    </row>
    <row r="512" spans="1:12" x14ac:dyDescent="0.2">
      <c r="A512" s="9">
        <v>46238</v>
      </c>
      <c r="B512" t="s">
        <v>315</v>
      </c>
      <c r="C512" t="s">
        <v>316</v>
      </c>
      <c r="D512" t="s">
        <v>46</v>
      </c>
      <c r="E512" t="s">
        <v>653</v>
      </c>
      <c r="F512" t="s">
        <v>654</v>
      </c>
      <c r="G512" s="10">
        <v>8</v>
      </c>
      <c r="H512" s="10">
        <v>5597</v>
      </c>
      <c r="I512" s="10">
        <v>44776</v>
      </c>
      <c r="J512" t="s">
        <v>37</v>
      </c>
      <c r="K512" s="11">
        <v>648.20000000000005</v>
      </c>
      <c r="L512" s="12">
        <v>69.08</v>
      </c>
    </row>
    <row r="513" spans="1:12" x14ac:dyDescent="0.2">
      <c r="A513" s="9">
        <v>46238</v>
      </c>
      <c r="B513" t="s">
        <v>315</v>
      </c>
      <c r="C513" t="s">
        <v>316</v>
      </c>
      <c r="D513" t="s">
        <v>46</v>
      </c>
      <c r="E513" t="s">
        <v>655</v>
      </c>
      <c r="F513" t="s">
        <v>665</v>
      </c>
      <c r="G513" s="10">
        <v>6</v>
      </c>
      <c r="H513" s="10">
        <v>668</v>
      </c>
      <c r="I513" s="10">
        <v>4008</v>
      </c>
      <c r="J513" t="s">
        <v>37</v>
      </c>
      <c r="K513" s="11">
        <v>648.20000000000005</v>
      </c>
      <c r="L513" s="12">
        <v>6.18</v>
      </c>
    </row>
    <row r="514" spans="1:12" x14ac:dyDescent="0.2">
      <c r="A514" s="9">
        <v>46238</v>
      </c>
      <c r="B514" t="s">
        <v>327</v>
      </c>
      <c r="C514" t="s">
        <v>328</v>
      </c>
      <c r="D514" t="s">
        <v>46</v>
      </c>
      <c r="E514" t="s">
        <v>649</v>
      </c>
      <c r="F514" t="s">
        <v>663</v>
      </c>
      <c r="G514" s="10">
        <v>3</v>
      </c>
      <c r="H514" s="10">
        <v>1987</v>
      </c>
      <c r="I514" s="10">
        <v>5961</v>
      </c>
      <c r="J514" t="s">
        <v>37</v>
      </c>
      <c r="K514" s="11">
        <v>648.20000000000005</v>
      </c>
      <c r="L514" s="12">
        <v>9.1999999999999993</v>
      </c>
    </row>
    <row r="515" spans="1:12" x14ac:dyDescent="0.2">
      <c r="A515" s="9">
        <v>46238</v>
      </c>
      <c r="B515" t="s">
        <v>327</v>
      </c>
      <c r="C515" t="s">
        <v>328</v>
      </c>
      <c r="D515" t="s">
        <v>46</v>
      </c>
      <c r="E515" t="s">
        <v>649</v>
      </c>
      <c r="F515" t="s">
        <v>663</v>
      </c>
      <c r="G515" s="10">
        <v>2</v>
      </c>
      <c r="H515" s="10">
        <v>1985</v>
      </c>
      <c r="I515" s="10">
        <v>3970</v>
      </c>
      <c r="J515" t="s">
        <v>37</v>
      </c>
      <c r="K515" s="11">
        <v>648.20000000000005</v>
      </c>
      <c r="L515" s="12">
        <v>6.12</v>
      </c>
    </row>
    <row r="516" spans="1:12" x14ac:dyDescent="0.2">
      <c r="A516" s="9">
        <v>46238</v>
      </c>
      <c r="B516" t="s">
        <v>330</v>
      </c>
      <c r="C516" t="s">
        <v>331</v>
      </c>
      <c r="D516" t="s">
        <v>68</v>
      </c>
      <c r="E516" t="s">
        <v>651</v>
      </c>
      <c r="F516" t="s">
        <v>652</v>
      </c>
      <c r="G516" s="10">
        <v>16</v>
      </c>
      <c r="H516" s="10">
        <v>9215</v>
      </c>
      <c r="I516" s="10">
        <v>147440</v>
      </c>
      <c r="J516" t="s">
        <v>51</v>
      </c>
      <c r="K516" s="11">
        <v>648.20000000000005</v>
      </c>
      <c r="L516" s="12">
        <v>227.46</v>
      </c>
    </row>
    <row r="517" spans="1:12" x14ac:dyDescent="0.2">
      <c r="A517" s="9">
        <v>46238</v>
      </c>
      <c r="B517" t="s">
        <v>330</v>
      </c>
      <c r="C517" t="s">
        <v>331</v>
      </c>
      <c r="D517" t="s">
        <v>68</v>
      </c>
      <c r="E517" t="s">
        <v>660</v>
      </c>
      <c r="F517" t="s">
        <v>669</v>
      </c>
      <c r="G517" s="10">
        <v>64</v>
      </c>
      <c r="H517" s="10">
        <v>2596</v>
      </c>
      <c r="I517" s="10">
        <v>166144</v>
      </c>
      <c r="J517" t="s">
        <v>51</v>
      </c>
      <c r="K517" s="11">
        <v>648.20000000000005</v>
      </c>
      <c r="L517" s="12">
        <v>256.32</v>
      </c>
    </row>
    <row r="518" spans="1:12" x14ac:dyDescent="0.2">
      <c r="A518" s="9">
        <v>46238</v>
      </c>
      <c r="B518" t="s">
        <v>333</v>
      </c>
      <c r="C518" t="s">
        <v>334</v>
      </c>
      <c r="D518" t="s">
        <v>68</v>
      </c>
      <c r="E518" t="s">
        <v>660</v>
      </c>
      <c r="F518" t="s">
        <v>669</v>
      </c>
      <c r="G518" s="10">
        <v>10</v>
      </c>
      <c r="H518" s="10">
        <v>2684</v>
      </c>
      <c r="I518" s="10">
        <v>26840</v>
      </c>
      <c r="J518" t="s">
        <v>51</v>
      </c>
      <c r="K518" s="11">
        <v>648.20000000000005</v>
      </c>
      <c r="L518" s="12">
        <v>41.41</v>
      </c>
    </row>
    <row r="519" spans="1:12" x14ac:dyDescent="0.2">
      <c r="A519" s="9">
        <v>46238</v>
      </c>
      <c r="B519" t="s">
        <v>336</v>
      </c>
      <c r="C519" t="s">
        <v>337</v>
      </c>
      <c r="D519" t="s">
        <v>68</v>
      </c>
      <c r="E519" t="s">
        <v>653</v>
      </c>
      <c r="F519" t="s">
        <v>654</v>
      </c>
      <c r="G519" s="10">
        <v>15</v>
      </c>
      <c r="H519" s="10">
        <v>5503</v>
      </c>
      <c r="I519" s="10">
        <v>82545</v>
      </c>
      <c r="J519" t="s">
        <v>51</v>
      </c>
      <c r="K519" s="11">
        <v>648.20000000000005</v>
      </c>
      <c r="L519" s="12">
        <v>127.34</v>
      </c>
    </row>
    <row r="520" spans="1:12" x14ac:dyDescent="0.2">
      <c r="A520" s="9">
        <v>46238</v>
      </c>
      <c r="B520" t="s">
        <v>342</v>
      </c>
      <c r="C520" t="s">
        <v>343</v>
      </c>
      <c r="D520" t="s">
        <v>41</v>
      </c>
      <c r="E520" t="s">
        <v>649</v>
      </c>
      <c r="F520" t="s">
        <v>650</v>
      </c>
      <c r="G520" s="10">
        <v>12</v>
      </c>
      <c r="H520" s="10">
        <v>90933</v>
      </c>
      <c r="I520" s="10">
        <v>1091196</v>
      </c>
      <c r="J520" t="s">
        <v>42</v>
      </c>
      <c r="K520" s="11">
        <v>3145.8</v>
      </c>
      <c r="L520" s="12">
        <v>346.87</v>
      </c>
    </row>
    <row r="521" spans="1:12" x14ac:dyDescent="0.2">
      <c r="A521" s="9">
        <v>46238</v>
      </c>
      <c r="B521" t="s">
        <v>348</v>
      </c>
      <c r="C521" t="s">
        <v>349</v>
      </c>
      <c r="D521" t="s">
        <v>36</v>
      </c>
      <c r="E521" t="s">
        <v>649</v>
      </c>
      <c r="F521" t="s">
        <v>650</v>
      </c>
      <c r="G521" s="10">
        <v>29</v>
      </c>
      <c r="H521" s="10">
        <v>19282</v>
      </c>
      <c r="I521" s="10">
        <v>559178</v>
      </c>
      <c r="J521" t="s">
        <v>37</v>
      </c>
      <c r="K521" s="11">
        <v>648.20000000000005</v>
      </c>
      <c r="L521" s="12">
        <v>862.66</v>
      </c>
    </row>
    <row r="522" spans="1:12" x14ac:dyDescent="0.2">
      <c r="A522" s="9">
        <v>46238</v>
      </c>
      <c r="B522" t="s">
        <v>351</v>
      </c>
      <c r="C522" t="s">
        <v>352</v>
      </c>
      <c r="D522" t="s">
        <v>41</v>
      </c>
      <c r="E522" t="s">
        <v>655</v>
      </c>
      <c r="F522" t="s">
        <v>656</v>
      </c>
      <c r="G522" s="10">
        <v>7</v>
      </c>
      <c r="H522" s="10">
        <v>2800</v>
      </c>
      <c r="I522" s="10">
        <v>19600</v>
      </c>
      <c r="J522" t="s">
        <v>42</v>
      </c>
      <c r="K522" s="11">
        <v>3145.8</v>
      </c>
      <c r="L522" s="12">
        <v>6.23</v>
      </c>
    </row>
    <row r="523" spans="1:12" x14ac:dyDescent="0.2">
      <c r="A523" s="9">
        <v>46238</v>
      </c>
      <c r="B523" t="s">
        <v>357</v>
      </c>
      <c r="C523" t="s">
        <v>358</v>
      </c>
      <c r="D523" t="s">
        <v>36</v>
      </c>
      <c r="E523" t="s">
        <v>660</v>
      </c>
      <c r="F523" t="s">
        <v>670</v>
      </c>
      <c r="G523" s="10">
        <v>19</v>
      </c>
      <c r="H523" s="10">
        <v>14377</v>
      </c>
      <c r="I523" s="10">
        <v>273163</v>
      </c>
      <c r="J523" t="s">
        <v>37</v>
      </c>
      <c r="K523" s="11">
        <v>648.20000000000005</v>
      </c>
      <c r="L523" s="12">
        <v>421.42</v>
      </c>
    </row>
    <row r="524" spans="1:12" x14ac:dyDescent="0.2">
      <c r="A524" s="9">
        <v>46238</v>
      </c>
      <c r="B524" t="s">
        <v>357</v>
      </c>
      <c r="C524" t="s">
        <v>358</v>
      </c>
      <c r="D524" t="s">
        <v>36</v>
      </c>
      <c r="E524" t="s">
        <v>647</v>
      </c>
      <c r="F524" t="s">
        <v>668</v>
      </c>
      <c r="G524" s="10">
        <v>11</v>
      </c>
      <c r="H524" s="10">
        <v>25802</v>
      </c>
      <c r="I524" s="10">
        <v>283822</v>
      </c>
      <c r="J524" t="s">
        <v>37</v>
      </c>
      <c r="K524" s="11">
        <v>648.20000000000005</v>
      </c>
      <c r="L524" s="12">
        <v>437.86</v>
      </c>
    </row>
    <row r="525" spans="1:12" x14ac:dyDescent="0.2">
      <c r="A525" s="9">
        <v>46238</v>
      </c>
      <c r="B525" t="s">
        <v>357</v>
      </c>
      <c r="C525" t="s">
        <v>358</v>
      </c>
      <c r="D525" t="s">
        <v>36</v>
      </c>
      <c r="E525" t="s">
        <v>647</v>
      </c>
      <c r="F525" t="s">
        <v>648</v>
      </c>
      <c r="G525" s="10">
        <v>18</v>
      </c>
      <c r="H525" s="10">
        <v>15883</v>
      </c>
      <c r="I525" s="10">
        <v>285894</v>
      </c>
      <c r="J525" t="s">
        <v>37</v>
      </c>
      <c r="K525" s="11">
        <v>648.20000000000005</v>
      </c>
      <c r="L525" s="12">
        <v>441.06</v>
      </c>
    </row>
    <row r="526" spans="1:12" x14ac:dyDescent="0.2">
      <c r="A526" s="9">
        <v>46238</v>
      </c>
      <c r="B526" t="s">
        <v>357</v>
      </c>
      <c r="C526" t="s">
        <v>358</v>
      </c>
      <c r="D526" t="s">
        <v>36</v>
      </c>
      <c r="E526" t="s">
        <v>655</v>
      </c>
      <c r="F526" t="s">
        <v>665</v>
      </c>
      <c r="G526" s="10">
        <v>77</v>
      </c>
      <c r="H526" s="10">
        <v>660</v>
      </c>
      <c r="I526" s="10">
        <v>50820</v>
      </c>
      <c r="J526" t="s">
        <v>37</v>
      </c>
      <c r="K526" s="11">
        <v>648.20000000000005</v>
      </c>
      <c r="L526" s="12">
        <v>78.400000000000006</v>
      </c>
    </row>
    <row r="527" spans="1:12" x14ac:dyDescent="0.2">
      <c r="A527" s="9">
        <v>46238</v>
      </c>
      <c r="B527" t="s">
        <v>363</v>
      </c>
      <c r="C527" t="s">
        <v>364</v>
      </c>
      <c r="D527" t="s">
        <v>46</v>
      </c>
      <c r="E527" t="s">
        <v>653</v>
      </c>
      <c r="F527" t="s">
        <v>666</v>
      </c>
      <c r="G527" s="10">
        <v>262</v>
      </c>
      <c r="H527" s="10">
        <v>1495</v>
      </c>
      <c r="I527" s="10">
        <v>391690</v>
      </c>
      <c r="J527" t="s">
        <v>37</v>
      </c>
      <c r="K527" s="11">
        <v>648.20000000000005</v>
      </c>
      <c r="L527" s="12">
        <v>604.27</v>
      </c>
    </row>
    <row r="528" spans="1:12" x14ac:dyDescent="0.2">
      <c r="A528" s="9">
        <v>46238</v>
      </c>
      <c r="B528" t="s">
        <v>363</v>
      </c>
      <c r="C528" t="s">
        <v>364</v>
      </c>
      <c r="D528" t="s">
        <v>46</v>
      </c>
      <c r="E528" t="s">
        <v>649</v>
      </c>
      <c r="F528" t="s">
        <v>663</v>
      </c>
      <c r="G528" s="10">
        <v>31</v>
      </c>
      <c r="H528" s="10">
        <v>1996</v>
      </c>
      <c r="I528" s="10">
        <v>61876</v>
      </c>
      <c r="J528" t="s">
        <v>37</v>
      </c>
      <c r="K528" s="11">
        <v>648.20000000000005</v>
      </c>
      <c r="L528" s="12">
        <v>95.46</v>
      </c>
    </row>
    <row r="529" spans="1:12" x14ac:dyDescent="0.2">
      <c r="A529" s="9">
        <v>46238</v>
      </c>
      <c r="B529" t="s">
        <v>363</v>
      </c>
      <c r="C529" t="s">
        <v>364</v>
      </c>
      <c r="D529" t="s">
        <v>46</v>
      </c>
      <c r="E529" t="s">
        <v>649</v>
      </c>
      <c r="F529" t="s">
        <v>663</v>
      </c>
      <c r="G529" s="10">
        <v>20</v>
      </c>
      <c r="H529" s="10">
        <v>2012</v>
      </c>
      <c r="I529" s="10">
        <v>40240</v>
      </c>
      <c r="J529" t="s">
        <v>37</v>
      </c>
      <c r="K529" s="11">
        <v>648.20000000000005</v>
      </c>
      <c r="L529" s="12">
        <v>62.08</v>
      </c>
    </row>
    <row r="530" spans="1:12" x14ac:dyDescent="0.2">
      <c r="A530" s="9">
        <v>46238</v>
      </c>
      <c r="B530" t="s">
        <v>363</v>
      </c>
      <c r="C530" t="s">
        <v>364</v>
      </c>
      <c r="D530" t="s">
        <v>46</v>
      </c>
      <c r="E530" t="s">
        <v>655</v>
      </c>
      <c r="F530" t="s">
        <v>662</v>
      </c>
      <c r="G530" s="10">
        <v>48</v>
      </c>
      <c r="H530" s="10">
        <v>1118</v>
      </c>
      <c r="I530" s="10">
        <v>53664</v>
      </c>
      <c r="J530" t="s">
        <v>37</v>
      </c>
      <c r="K530" s="11">
        <v>648.20000000000005</v>
      </c>
      <c r="L530" s="12">
        <v>82.79</v>
      </c>
    </row>
    <row r="531" spans="1:12" x14ac:dyDescent="0.2">
      <c r="A531" s="9">
        <v>46238</v>
      </c>
      <c r="B531" t="s">
        <v>363</v>
      </c>
      <c r="C531" t="s">
        <v>364</v>
      </c>
      <c r="D531" t="s">
        <v>46</v>
      </c>
      <c r="E531" t="s">
        <v>660</v>
      </c>
      <c r="F531" t="s">
        <v>661</v>
      </c>
      <c r="G531" s="10">
        <v>91</v>
      </c>
      <c r="H531" s="10">
        <v>4101</v>
      </c>
      <c r="I531" s="10">
        <v>373191</v>
      </c>
      <c r="J531" t="s">
        <v>37</v>
      </c>
      <c r="K531" s="11">
        <v>648.20000000000005</v>
      </c>
      <c r="L531" s="12">
        <v>575.73</v>
      </c>
    </row>
    <row r="532" spans="1:12" x14ac:dyDescent="0.2">
      <c r="A532" s="9">
        <v>46238</v>
      </c>
      <c r="B532" t="s">
        <v>369</v>
      </c>
      <c r="C532" t="s">
        <v>370</v>
      </c>
      <c r="D532" t="s">
        <v>36</v>
      </c>
      <c r="E532" t="s">
        <v>649</v>
      </c>
      <c r="F532" t="s">
        <v>663</v>
      </c>
      <c r="G532" s="10">
        <v>44</v>
      </c>
      <c r="H532" s="10">
        <v>2077</v>
      </c>
      <c r="I532" s="10">
        <v>91388</v>
      </c>
      <c r="J532" t="s">
        <v>37</v>
      </c>
      <c r="K532" s="11">
        <v>648.20000000000005</v>
      </c>
      <c r="L532" s="12">
        <v>140.99</v>
      </c>
    </row>
    <row r="533" spans="1:12" x14ac:dyDescent="0.2">
      <c r="A533" s="9">
        <v>46238</v>
      </c>
      <c r="B533" t="s">
        <v>375</v>
      </c>
      <c r="C533" t="s">
        <v>376</v>
      </c>
      <c r="D533" t="s">
        <v>36</v>
      </c>
      <c r="E533" t="s">
        <v>649</v>
      </c>
      <c r="F533" t="s">
        <v>663</v>
      </c>
      <c r="G533" s="10">
        <v>14</v>
      </c>
      <c r="H533" s="10">
        <v>2022</v>
      </c>
      <c r="I533" s="10">
        <v>28308</v>
      </c>
      <c r="J533" t="s">
        <v>37</v>
      </c>
      <c r="K533" s="11">
        <v>648.20000000000005</v>
      </c>
      <c r="L533" s="12">
        <v>43.67</v>
      </c>
    </row>
    <row r="534" spans="1:12" x14ac:dyDescent="0.2">
      <c r="A534" s="9">
        <v>46238</v>
      </c>
      <c r="B534" t="s">
        <v>375</v>
      </c>
      <c r="C534" t="s">
        <v>376</v>
      </c>
      <c r="D534" t="s">
        <v>36</v>
      </c>
      <c r="E534" t="s">
        <v>660</v>
      </c>
      <c r="F534" t="s">
        <v>670</v>
      </c>
      <c r="G534" s="10">
        <v>3</v>
      </c>
      <c r="H534" s="10">
        <v>14794</v>
      </c>
      <c r="I534" s="10">
        <v>44382</v>
      </c>
      <c r="J534" t="s">
        <v>37</v>
      </c>
      <c r="K534" s="11">
        <v>648.20000000000005</v>
      </c>
      <c r="L534" s="12">
        <v>68.47</v>
      </c>
    </row>
    <row r="535" spans="1:12" x14ac:dyDescent="0.2">
      <c r="A535" s="9">
        <v>46238</v>
      </c>
      <c r="B535" t="s">
        <v>384</v>
      </c>
      <c r="C535" t="s">
        <v>385</v>
      </c>
      <c r="D535" t="s">
        <v>46</v>
      </c>
      <c r="E535" t="s">
        <v>651</v>
      </c>
      <c r="F535" t="s">
        <v>657</v>
      </c>
      <c r="G535" s="10">
        <v>6</v>
      </c>
      <c r="H535" s="10">
        <v>6447</v>
      </c>
      <c r="I535" s="10">
        <v>38682</v>
      </c>
      <c r="J535" t="s">
        <v>37</v>
      </c>
      <c r="K535" s="11">
        <v>648.20000000000005</v>
      </c>
      <c r="L535" s="12">
        <v>59.68</v>
      </c>
    </row>
    <row r="536" spans="1:12" x14ac:dyDescent="0.2">
      <c r="A536" s="9">
        <v>46238</v>
      </c>
      <c r="B536" t="s">
        <v>387</v>
      </c>
      <c r="C536" t="s">
        <v>388</v>
      </c>
      <c r="D536" t="s">
        <v>50</v>
      </c>
      <c r="E536" t="s">
        <v>653</v>
      </c>
      <c r="F536" t="s">
        <v>666</v>
      </c>
      <c r="G536" s="10">
        <v>11</v>
      </c>
      <c r="H536" s="10">
        <v>1483</v>
      </c>
      <c r="I536" s="10">
        <v>16313</v>
      </c>
      <c r="J536" t="s">
        <v>51</v>
      </c>
      <c r="K536" s="11">
        <v>648.20000000000005</v>
      </c>
      <c r="L536" s="12">
        <v>25.17</v>
      </c>
    </row>
    <row r="537" spans="1:12" x14ac:dyDescent="0.2">
      <c r="A537" s="9">
        <v>46238</v>
      </c>
      <c r="B537" t="s">
        <v>395</v>
      </c>
      <c r="C537" t="s">
        <v>396</v>
      </c>
      <c r="D537" t="s">
        <v>46</v>
      </c>
      <c r="E537" t="s">
        <v>655</v>
      </c>
      <c r="F537" t="s">
        <v>656</v>
      </c>
      <c r="G537" s="10">
        <v>2</v>
      </c>
      <c r="H537" s="10">
        <v>583</v>
      </c>
      <c r="I537" s="10">
        <v>1166</v>
      </c>
      <c r="J537" t="s">
        <v>37</v>
      </c>
      <c r="K537" s="11">
        <v>648.20000000000005</v>
      </c>
      <c r="L537" s="12">
        <v>1.8</v>
      </c>
    </row>
    <row r="538" spans="1:12" x14ac:dyDescent="0.2">
      <c r="A538" s="9">
        <v>46238</v>
      </c>
      <c r="B538" t="s">
        <v>401</v>
      </c>
      <c r="C538" t="s">
        <v>402</v>
      </c>
      <c r="D538" t="s">
        <v>36</v>
      </c>
      <c r="E538" t="s">
        <v>655</v>
      </c>
      <c r="F538" t="s">
        <v>662</v>
      </c>
      <c r="G538" s="10">
        <v>15</v>
      </c>
      <c r="H538" s="10">
        <v>1125</v>
      </c>
      <c r="I538" s="10">
        <v>16875</v>
      </c>
      <c r="J538" t="s">
        <v>37</v>
      </c>
      <c r="K538" s="11">
        <v>648.20000000000005</v>
      </c>
      <c r="L538" s="12">
        <v>26.03</v>
      </c>
    </row>
    <row r="539" spans="1:12" x14ac:dyDescent="0.2">
      <c r="A539" s="9">
        <v>46238</v>
      </c>
      <c r="B539" t="s">
        <v>401</v>
      </c>
      <c r="C539" t="s">
        <v>402</v>
      </c>
      <c r="D539" t="s">
        <v>36</v>
      </c>
      <c r="E539" t="s">
        <v>655</v>
      </c>
      <c r="F539" t="s">
        <v>662</v>
      </c>
      <c r="G539" s="10">
        <v>13</v>
      </c>
      <c r="H539" s="10">
        <v>1104</v>
      </c>
      <c r="I539" s="10">
        <v>14352</v>
      </c>
      <c r="J539" t="s">
        <v>37</v>
      </c>
      <c r="K539" s="11">
        <v>648.20000000000005</v>
      </c>
      <c r="L539" s="12">
        <v>22.14</v>
      </c>
    </row>
    <row r="540" spans="1:12" x14ac:dyDescent="0.2">
      <c r="A540" s="9">
        <v>46238</v>
      </c>
      <c r="B540" t="s">
        <v>413</v>
      </c>
      <c r="C540" t="s">
        <v>414</v>
      </c>
      <c r="D540" t="s">
        <v>41</v>
      </c>
      <c r="E540" t="s">
        <v>649</v>
      </c>
      <c r="F540" t="s">
        <v>663</v>
      </c>
      <c r="G540" s="10">
        <v>16</v>
      </c>
      <c r="H540" s="10">
        <v>9754</v>
      </c>
      <c r="I540" s="10">
        <v>156064</v>
      </c>
      <c r="J540" t="s">
        <v>42</v>
      </c>
      <c r="K540" s="11">
        <v>3145.8</v>
      </c>
      <c r="L540" s="12">
        <v>49.61</v>
      </c>
    </row>
    <row r="541" spans="1:12" x14ac:dyDescent="0.2">
      <c r="A541" s="9">
        <v>46238</v>
      </c>
      <c r="B541" t="s">
        <v>419</v>
      </c>
      <c r="C541" t="s">
        <v>420</v>
      </c>
      <c r="D541" t="s">
        <v>46</v>
      </c>
      <c r="E541" t="s">
        <v>651</v>
      </c>
      <c r="F541" t="s">
        <v>652</v>
      </c>
      <c r="G541" s="10">
        <v>11</v>
      </c>
      <c r="H541" s="10">
        <v>9559</v>
      </c>
      <c r="I541" s="10">
        <v>105149</v>
      </c>
      <c r="J541" t="s">
        <v>37</v>
      </c>
      <c r="K541" s="11">
        <v>648.20000000000005</v>
      </c>
      <c r="L541" s="12">
        <v>162.22</v>
      </c>
    </row>
    <row r="542" spans="1:12" x14ac:dyDescent="0.2">
      <c r="A542" s="9">
        <v>46238</v>
      </c>
      <c r="B542" t="s">
        <v>419</v>
      </c>
      <c r="C542" t="s">
        <v>420</v>
      </c>
      <c r="D542" t="s">
        <v>46</v>
      </c>
      <c r="E542" t="s">
        <v>655</v>
      </c>
      <c r="F542" t="s">
        <v>656</v>
      </c>
      <c r="G542" s="10">
        <v>21</v>
      </c>
      <c r="H542" s="10">
        <v>598</v>
      </c>
      <c r="I542" s="10">
        <v>12558</v>
      </c>
      <c r="J542" t="s">
        <v>37</v>
      </c>
      <c r="K542" s="11">
        <v>648.20000000000005</v>
      </c>
      <c r="L542" s="12">
        <v>19.37</v>
      </c>
    </row>
    <row r="543" spans="1:12" x14ac:dyDescent="0.2">
      <c r="A543" s="9">
        <v>46238</v>
      </c>
      <c r="B543" t="s">
        <v>422</v>
      </c>
      <c r="C543" t="s">
        <v>423</v>
      </c>
      <c r="D543" t="s">
        <v>68</v>
      </c>
      <c r="E543" t="s">
        <v>653</v>
      </c>
      <c r="F543" t="s">
        <v>658</v>
      </c>
      <c r="G543" s="10">
        <v>27</v>
      </c>
      <c r="H543" s="10">
        <v>2695</v>
      </c>
      <c r="I543" s="10">
        <v>72765</v>
      </c>
      <c r="J543" t="s">
        <v>51</v>
      </c>
      <c r="K543" s="11">
        <v>648.20000000000005</v>
      </c>
      <c r="L543" s="12">
        <v>112.26</v>
      </c>
    </row>
    <row r="544" spans="1:12" x14ac:dyDescent="0.2">
      <c r="A544" s="9">
        <v>46238</v>
      </c>
      <c r="B544" t="s">
        <v>422</v>
      </c>
      <c r="C544" t="s">
        <v>423</v>
      </c>
      <c r="D544" t="s">
        <v>68</v>
      </c>
      <c r="E544" t="s">
        <v>660</v>
      </c>
      <c r="F544" t="s">
        <v>669</v>
      </c>
      <c r="G544" s="10">
        <v>4</v>
      </c>
      <c r="H544" s="10">
        <v>2531</v>
      </c>
      <c r="I544" s="10">
        <v>10124</v>
      </c>
      <c r="J544" t="s">
        <v>51</v>
      </c>
      <c r="K544" s="11">
        <v>648.20000000000005</v>
      </c>
      <c r="L544" s="12">
        <v>15.62</v>
      </c>
    </row>
    <row r="545" spans="1:12" x14ac:dyDescent="0.2">
      <c r="A545" s="9">
        <v>46238</v>
      </c>
      <c r="B545" t="s">
        <v>431</v>
      </c>
      <c r="C545" t="s">
        <v>432</v>
      </c>
      <c r="D545" t="s">
        <v>36</v>
      </c>
      <c r="E545" t="s">
        <v>660</v>
      </c>
      <c r="F545" t="s">
        <v>661</v>
      </c>
      <c r="G545" s="10">
        <v>6</v>
      </c>
      <c r="H545" s="10">
        <v>4192</v>
      </c>
      <c r="I545" s="10">
        <v>25152</v>
      </c>
      <c r="J545" t="s">
        <v>37</v>
      </c>
      <c r="K545" s="11">
        <v>648.20000000000005</v>
      </c>
      <c r="L545" s="12">
        <v>38.799999999999997</v>
      </c>
    </row>
    <row r="546" spans="1:12" x14ac:dyDescent="0.2">
      <c r="A546" s="9">
        <v>46238</v>
      </c>
      <c r="B546" t="s">
        <v>431</v>
      </c>
      <c r="C546" t="s">
        <v>432</v>
      </c>
      <c r="D546" t="s">
        <v>36</v>
      </c>
      <c r="E546" t="s">
        <v>647</v>
      </c>
      <c r="F546" t="s">
        <v>668</v>
      </c>
      <c r="G546" s="10">
        <v>7</v>
      </c>
      <c r="H546" s="10">
        <v>25570</v>
      </c>
      <c r="I546" s="10">
        <v>178990</v>
      </c>
      <c r="J546" t="s">
        <v>37</v>
      </c>
      <c r="K546" s="11">
        <v>648.20000000000005</v>
      </c>
      <c r="L546" s="12">
        <v>276.13</v>
      </c>
    </row>
    <row r="547" spans="1:12" x14ac:dyDescent="0.2">
      <c r="A547" s="9">
        <v>46238</v>
      </c>
      <c r="B547" t="s">
        <v>436</v>
      </c>
      <c r="C547" t="s">
        <v>437</v>
      </c>
      <c r="D547" t="s">
        <v>50</v>
      </c>
      <c r="E547" t="s">
        <v>653</v>
      </c>
      <c r="F547" t="s">
        <v>666</v>
      </c>
      <c r="G547" s="10">
        <v>12</v>
      </c>
      <c r="H547" s="10">
        <v>1460</v>
      </c>
      <c r="I547" s="10">
        <v>17520</v>
      </c>
      <c r="J547" t="s">
        <v>51</v>
      </c>
      <c r="K547" s="11">
        <v>648.20000000000005</v>
      </c>
      <c r="L547" s="12">
        <v>27.03</v>
      </c>
    </row>
    <row r="548" spans="1:12" x14ac:dyDescent="0.2">
      <c r="A548" s="9">
        <v>46238</v>
      </c>
      <c r="B548" t="s">
        <v>442</v>
      </c>
      <c r="C548" t="s">
        <v>443</v>
      </c>
      <c r="D548" t="s">
        <v>41</v>
      </c>
      <c r="E548" t="s">
        <v>660</v>
      </c>
      <c r="F548" t="s">
        <v>669</v>
      </c>
      <c r="G548" s="10">
        <v>2</v>
      </c>
      <c r="H548" s="10">
        <v>12069</v>
      </c>
      <c r="I548" s="10">
        <v>24138</v>
      </c>
      <c r="J548" t="s">
        <v>42</v>
      </c>
      <c r="K548" s="11">
        <v>3145.8</v>
      </c>
      <c r="L548" s="12">
        <v>7.67</v>
      </c>
    </row>
    <row r="549" spans="1:12" x14ac:dyDescent="0.2">
      <c r="A549" s="9">
        <v>46238</v>
      </c>
      <c r="B549" t="s">
        <v>445</v>
      </c>
      <c r="C549" t="s">
        <v>446</v>
      </c>
      <c r="D549" t="s">
        <v>68</v>
      </c>
      <c r="E549" t="s">
        <v>653</v>
      </c>
      <c r="F549" t="s">
        <v>654</v>
      </c>
      <c r="G549" s="10">
        <v>5</v>
      </c>
      <c r="H549" s="10">
        <v>5520</v>
      </c>
      <c r="I549" s="10">
        <v>27600</v>
      </c>
      <c r="J549" t="s">
        <v>51</v>
      </c>
      <c r="K549" s="11">
        <v>648.20000000000005</v>
      </c>
      <c r="L549" s="12">
        <v>42.58</v>
      </c>
    </row>
    <row r="550" spans="1:12" x14ac:dyDescent="0.2">
      <c r="A550" s="9">
        <v>46238</v>
      </c>
      <c r="B550" t="s">
        <v>445</v>
      </c>
      <c r="C550" t="s">
        <v>446</v>
      </c>
      <c r="D550" t="s">
        <v>68</v>
      </c>
      <c r="E550" t="s">
        <v>647</v>
      </c>
      <c r="F550" t="s">
        <v>648</v>
      </c>
      <c r="G550" s="10">
        <v>7</v>
      </c>
      <c r="H550" s="10">
        <v>16758</v>
      </c>
      <c r="I550" s="10">
        <v>117306</v>
      </c>
      <c r="J550" t="s">
        <v>51</v>
      </c>
      <c r="K550" s="11">
        <v>648.20000000000005</v>
      </c>
      <c r="L550" s="12">
        <v>180.97</v>
      </c>
    </row>
    <row r="551" spans="1:12" x14ac:dyDescent="0.2">
      <c r="A551" s="9">
        <v>46238</v>
      </c>
      <c r="B551" t="s">
        <v>454</v>
      </c>
      <c r="C551" t="s">
        <v>455</v>
      </c>
      <c r="D551" t="s">
        <v>41</v>
      </c>
      <c r="E551" t="s">
        <v>649</v>
      </c>
      <c r="F551" t="s">
        <v>663</v>
      </c>
      <c r="G551" s="10">
        <v>27</v>
      </c>
      <c r="H551" s="10">
        <v>9488</v>
      </c>
      <c r="I551" s="10">
        <v>256176</v>
      </c>
      <c r="J551" t="s">
        <v>42</v>
      </c>
      <c r="K551" s="11">
        <v>3145.8</v>
      </c>
      <c r="L551" s="12">
        <v>81.430000000000007</v>
      </c>
    </row>
    <row r="552" spans="1:12" x14ac:dyDescent="0.2">
      <c r="A552" s="9">
        <v>46238</v>
      </c>
      <c r="B552" t="s">
        <v>454</v>
      </c>
      <c r="C552" t="s">
        <v>455</v>
      </c>
      <c r="D552" t="s">
        <v>41</v>
      </c>
      <c r="E552" t="s">
        <v>651</v>
      </c>
      <c r="F552" t="s">
        <v>664</v>
      </c>
      <c r="G552" s="10">
        <v>6</v>
      </c>
      <c r="H552" s="10">
        <v>56032</v>
      </c>
      <c r="I552" s="10">
        <v>336192</v>
      </c>
      <c r="J552" t="s">
        <v>42</v>
      </c>
      <c r="K552" s="11">
        <v>3145.8</v>
      </c>
      <c r="L552" s="12">
        <v>106.87</v>
      </c>
    </row>
    <row r="553" spans="1:12" x14ac:dyDescent="0.2">
      <c r="A553" s="9">
        <v>46238</v>
      </c>
      <c r="B553" t="s">
        <v>457</v>
      </c>
      <c r="C553" t="s">
        <v>458</v>
      </c>
      <c r="D553" t="s">
        <v>46</v>
      </c>
      <c r="E553" t="s">
        <v>647</v>
      </c>
      <c r="F553" t="s">
        <v>667</v>
      </c>
      <c r="G553" s="10">
        <v>41</v>
      </c>
      <c r="H553" s="10">
        <v>7537</v>
      </c>
      <c r="I553" s="10">
        <v>309017</v>
      </c>
      <c r="J553" t="s">
        <v>37</v>
      </c>
      <c r="K553" s="11">
        <v>648.20000000000005</v>
      </c>
      <c r="L553" s="12">
        <v>476.73</v>
      </c>
    </row>
    <row r="554" spans="1:12" x14ac:dyDescent="0.2">
      <c r="A554" s="9">
        <v>46238</v>
      </c>
      <c r="B554" t="s">
        <v>460</v>
      </c>
      <c r="C554" t="s">
        <v>461</v>
      </c>
      <c r="D554" t="s">
        <v>75</v>
      </c>
      <c r="E554" t="s">
        <v>660</v>
      </c>
      <c r="F554" t="s">
        <v>669</v>
      </c>
      <c r="G554" s="10">
        <v>15</v>
      </c>
      <c r="H554" s="10">
        <v>12920</v>
      </c>
      <c r="I554" s="10">
        <v>193800</v>
      </c>
      <c r="J554" t="s">
        <v>42</v>
      </c>
      <c r="K554" s="11">
        <v>3145.8</v>
      </c>
      <c r="L554" s="12">
        <v>61.61</v>
      </c>
    </row>
    <row r="555" spans="1:12" x14ac:dyDescent="0.2">
      <c r="A555" s="9">
        <v>46238</v>
      </c>
      <c r="B555" t="s">
        <v>460</v>
      </c>
      <c r="C555" t="s">
        <v>461</v>
      </c>
      <c r="D555" t="s">
        <v>75</v>
      </c>
      <c r="E555" t="s">
        <v>647</v>
      </c>
      <c r="F555" t="s">
        <v>667</v>
      </c>
      <c r="G555" s="10">
        <v>11</v>
      </c>
      <c r="H555" s="10">
        <v>36924</v>
      </c>
      <c r="I555" s="10">
        <v>406164</v>
      </c>
      <c r="J555" t="s">
        <v>42</v>
      </c>
      <c r="K555" s="11">
        <v>3145.8</v>
      </c>
      <c r="L555" s="12">
        <v>129.11000000000001</v>
      </c>
    </row>
    <row r="556" spans="1:12" x14ac:dyDescent="0.2">
      <c r="A556" s="9">
        <v>46238</v>
      </c>
      <c r="B556" t="s">
        <v>460</v>
      </c>
      <c r="C556" t="s">
        <v>461</v>
      </c>
      <c r="D556" t="s">
        <v>75</v>
      </c>
      <c r="E556" t="s">
        <v>655</v>
      </c>
      <c r="F556" t="s">
        <v>665</v>
      </c>
      <c r="G556" s="10">
        <v>24</v>
      </c>
      <c r="H556" s="10">
        <v>3339</v>
      </c>
      <c r="I556" s="10">
        <v>80136</v>
      </c>
      <c r="J556" t="s">
        <v>42</v>
      </c>
      <c r="K556" s="11">
        <v>3145.8</v>
      </c>
      <c r="L556" s="12">
        <v>25.47</v>
      </c>
    </row>
    <row r="557" spans="1:12" x14ac:dyDescent="0.2">
      <c r="A557" s="9">
        <v>46238</v>
      </c>
      <c r="B557" t="s">
        <v>463</v>
      </c>
      <c r="C557" t="s">
        <v>464</v>
      </c>
      <c r="D557" t="s">
        <v>36</v>
      </c>
      <c r="E557" t="s">
        <v>660</v>
      </c>
      <c r="F557" t="s">
        <v>669</v>
      </c>
      <c r="G557" s="10">
        <v>5</v>
      </c>
      <c r="H557" s="10">
        <v>2685</v>
      </c>
      <c r="I557" s="10">
        <v>13425</v>
      </c>
      <c r="J557" t="s">
        <v>37</v>
      </c>
      <c r="K557" s="11">
        <v>648.20000000000005</v>
      </c>
      <c r="L557" s="12">
        <v>20.71</v>
      </c>
    </row>
    <row r="558" spans="1:12" x14ac:dyDescent="0.2">
      <c r="A558" s="9">
        <v>46238</v>
      </c>
      <c r="B558" t="s">
        <v>463</v>
      </c>
      <c r="C558" t="s">
        <v>464</v>
      </c>
      <c r="D558" t="s">
        <v>36</v>
      </c>
      <c r="E558" t="s">
        <v>647</v>
      </c>
      <c r="F558" t="s">
        <v>668</v>
      </c>
      <c r="G558" s="10">
        <v>7</v>
      </c>
      <c r="H558" s="10">
        <v>25733</v>
      </c>
      <c r="I558" s="10">
        <v>180131</v>
      </c>
      <c r="J558" t="s">
        <v>37</v>
      </c>
      <c r="K558" s="11">
        <v>648.20000000000005</v>
      </c>
      <c r="L558" s="12">
        <v>277.89</v>
      </c>
    </row>
    <row r="559" spans="1:12" x14ac:dyDescent="0.2">
      <c r="A559" s="9">
        <v>46238</v>
      </c>
      <c r="B559" t="s">
        <v>469</v>
      </c>
      <c r="C559" t="s">
        <v>470</v>
      </c>
      <c r="D559" t="s">
        <v>41</v>
      </c>
      <c r="E559" t="s">
        <v>653</v>
      </c>
      <c r="F559" t="s">
        <v>666</v>
      </c>
      <c r="G559" s="10">
        <v>27</v>
      </c>
      <c r="H559" s="10">
        <v>7453</v>
      </c>
      <c r="I559" s="10">
        <v>201231</v>
      </c>
      <c r="J559" t="s">
        <v>42</v>
      </c>
      <c r="K559" s="11">
        <v>3145.8</v>
      </c>
      <c r="L559" s="12">
        <v>63.97</v>
      </c>
    </row>
    <row r="560" spans="1:12" x14ac:dyDescent="0.2">
      <c r="A560" s="9">
        <v>46238</v>
      </c>
      <c r="B560" t="s">
        <v>469</v>
      </c>
      <c r="C560" t="s">
        <v>470</v>
      </c>
      <c r="D560" t="s">
        <v>41</v>
      </c>
      <c r="E560" t="s">
        <v>649</v>
      </c>
      <c r="F560" t="s">
        <v>659</v>
      </c>
      <c r="G560" s="10">
        <v>9</v>
      </c>
      <c r="H560" s="10">
        <v>44044</v>
      </c>
      <c r="I560" s="10">
        <v>396396</v>
      </c>
      <c r="J560" t="s">
        <v>42</v>
      </c>
      <c r="K560" s="11">
        <v>3145.8</v>
      </c>
      <c r="L560" s="12">
        <v>126.01</v>
      </c>
    </row>
    <row r="561" spans="1:12" x14ac:dyDescent="0.2">
      <c r="A561" s="9">
        <v>46238</v>
      </c>
      <c r="B561" t="s">
        <v>469</v>
      </c>
      <c r="C561" t="s">
        <v>470</v>
      </c>
      <c r="D561" t="s">
        <v>41</v>
      </c>
      <c r="E561" t="s">
        <v>660</v>
      </c>
      <c r="F561" t="s">
        <v>661</v>
      </c>
      <c r="G561" s="10">
        <v>113</v>
      </c>
      <c r="H561" s="10">
        <v>20105</v>
      </c>
      <c r="I561" s="10">
        <v>2271865</v>
      </c>
      <c r="J561" t="s">
        <v>42</v>
      </c>
      <c r="K561" s="11">
        <v>3145.8</v>
      </c>
      <c r="L561" s="12">
        <v>722.19</v>
      </c>
    </row>
    <row r="562" spans="1:12" x14ac:dyDescent="0.2">
      <c r="A562" s="9">
        <v>46238</v>
      </c>
      <c r="B562" t="s">
        <v>469</v>
      </c>
      <c r="C562" t="s">
        <v>470</v>
      </c>
      <c r="D562" t="s">
        <v>41</v>
      </c>
      <c r="E562" t="s">
        <v>651</v>
      </c>
      <c r="F562" t="s">
        <v>657</v>
      </c>
      <c r="G562" s="10">
        <v>8</v>
      </c>
      <c r="H562" s="10">
        <v>30662</v>
      </c>
      <c r="I562" s="10">
        <v>245296</v>
      </c>
      <c r="J562" t="s">
        <v>42</v>
      </c>
      <c r="K562" s="11">
        <v>3145.8</v>
      </c>
      <c r="L562" s="12">
        <v>77.98</v>
      </c>
    </row>
    <row r="563" spans="1:12" x14ac:dyDescent="0.2">
      <c r="A563" s="9">
        <v>46238</v>
      </c>
      <c r="B563" t="s">
        <v>469</v>
      </c>
      <c r="C563" t="s">
        <v>470</v>
      </c>
      <c r="D563" t="s">
        <v>41</v>
      </c>
      <c r="E563" t="s">
        <v>655</v>
      </c>
      <c r="F563" t="s">
        <v>665</v>
      </c>
      <c r="G563" s="10">
        <v>10</v>
      </c>
      <c r="H563" s="10">
        <v>3446</v>
      </c>
      <c r="I563" s="10">
        <v>34460</v>
      </c>
      <c r="J563" t="s">
        <v>42</v>
      </c>
      <c r="K563" s="11">
        <v>3145.8</v>
      </c>
      <c r="L563" s="12">
        <v>10.95</v>
      </c>
    </row>
    <row r="564" spans="1:12" x14ac:dyDescent="0.2">
      <c r="A564" s="9">
        <v>46238</v>
      </c>
      <c r="B564" t="s">
        <v>472</v>
      </c>
      <c r="C564" t="s">
        <v>473</v>
      </c>
      <c r="D564" t="s">
        <v>68</v>
      </c>
      <c r="E564" t="s">
        <v>649</v>
      </c>
      <c r="F564" t="s">
        <v>663</v>
      </c>
      <c r="G564" s="10">
        <v>13</v>
      </c>
      <c r="H564" s="10">
        <v>2027</v>
      </c>
      <c r="I564" s="10">
        <v>26351</v>
      </c>
      <c r="J564" t="s">
        <v>51</v>
      </c>
      <c r="K564" s="11">
        <v>648.20000000000005</v>
      </c>
      <c r="L564" s="12">
        <v>40.65</v>
      </c>
    </row>
    <row r="565" spans="1:12" x14ac:dyDescent="0.2">
      <c r="A565" s="9">
        <v>46238</v>
      </c>
      <c r="B565" t="s">
        <v>472</v>
      </c>
      <c r="C565" t="s">
        <v>473</v>
      </c>
      <c r="D565" t="s">
        <v>68</v>
      </c>
      <c r="E565" t="s">
        <v>647</v>
      </c>
      <c r="F565" t="s">
        <v>667</v>
      </c>
      <c r="G565" s="10">
        <v>11</v>
      </c>
      <c r="H565" s="10">
        <v>7147</v>
      </c>
      <c r="I565" s="10">
        <v>78617</v>
      </c>
      <c r="J565" t="s">
        <v>51</v>
      </c>
      <c r="K565" s="11">
        <v>648.20000000000005</v>
      </c>
      <c r="L565" s="12">
        <v>121.29</v>
      </c>
    </row>
    <row r="566" spans="1:12" x14ac:dyDescent="0.2">
      <c r="A566" s="9">
        <v>46238</v>
      </c>
      <c r="B566" t="s">
        <v>475</v>
      </c>
      <c r="C566" t="s">
        <v>476</v>
      </c>
      <c r="D566" t="s">
        <v>75</v>
      </c>
      <c r="E566" t="s">
        <v>653</v>
      </c>
      <c r="F566" t="s">
        <v>666</v>
      </c>
      <c r="G566" s="10">
        <v>31</v>
      </c>
      <c r="H566" s="10">
        <v>7119</v>
      </c>
      <c r="I566" s="10">
        <v>220689</v>
      </c>
      <c r="J566" t="s">
        <v>42</v>
      </c>
      <c r="K566" s="11">
        <v>3145.8</v>
      </c>
      <c r="L566" s="12">
        <v>70.150000000000006</v>
      </c>
    </row>
    <row r="567" spans="1:12" x14ac:dyDescent="0.2">
      <c r="A567" s="9">
        <v>46238</v>
      </c>
      <c r="B567" t="s">
        <v>475</v>
      </c>
      <c r="C567" t="s">
        <v>476</v>
      </c>
      <c r="D567" t="s">
        <v>75</v>
      </c>
      <c r="E567" t="s">
        <v>649</v>
      </c>
      <c r="F567" t="s">
        <v>663</v>
      </c>
      <c r="G567" s="10">
        <v>79</v>
      </c>
      <c r="H567" s="10">
        <v>9645</v>
      </c>
      <c r="I567" s="10">
        <v>761955</v>
      </c>
      <c r="J567" t="s">
        <v>42</v>
      </c>
      <c r="K567" s="11">
        <v>3145.8</v>
      </c>
      <c r="L567" s="12">
        <v>242.21</v>
      </c>
    </row>
    <row r="568" spans="1:12" x14ac:dyDescent="0.2">
      <c r="A568" s="9">
        <v>46238</v>
      </c>
      <c r="B568" t="s">
        <v>475</v>
      </c>
      <c r="C568" t="s">
        <v>476</v>
      </c>
      <c r="D568" t="s">
        <v>75</v>
      </c>
      <c r="E568" t="s">
        <v>655</v>
      </c>
      <c r="F568" t="s">
        <v>662</v>
      </c>
      <c r="G568" s="10">
        <v>44</v>
      </c>
      <c r="H568" s="10">
        <v>5401</v>
      </c>
      <c r="I568" s="10">
        <v>237644</v>
      </c>
      <c r="J568" t="s">
        <v>42</v>
      </c>
      <c r="K568" s="11">
        <v>3145.8</v>
      </c>
      <c r="L568" s="12">
        <v>75.540000000000006</v>
      </c>
    </row>
    <row r="569" spans="1:12" x14ac:dyDescent="0.2">
      <c r="A569" s="9">
        <v>46238</v>
      </c>
      <c r="B569" t="s">
        <v>475</v>
      </c>
      <c r="C569" t="s">
        <v>476</v>
      </c>
      <c r="D569" t="s">
        <v>75</v>
      </c>
      <c r="E569" t="s">
        <v>647</v>
      </c>
      <c r="F569" t="s">
        <v>668</v>
      </c>
      <c r="G569" s="10">
        <v>13</v>
      </c>
      <c r="H569" s="10">
        <v>119864</v>
      </c>
      <c r="I569" s="10">
        <v>1558232</v>
      </c>
      <c r="J569" t="s">
        <v>42</v>
      </c>
      <c r="K569" s="11">
        <v>3145.8</v>
      </c>
      <c r="L569" s="12">
        <v>495.34</v>
      </c>
    </row>
    <row r="570" spans="1:12" x14ac:dyDescent="0.2">
      <c r="A570" s="9">
        <v>46238</v>
      </c>
      <c r="B570" t="s">
        <v>475</v>
      </c>
      <c r="C570" t="s">
        <v>476</v>
      </c>
      <c r="D570" t="s">
        <v>75</v>
      </c>
      <c r="E570" t="s">
        <v>647</v>
      </c>
      <c r="F570" t="s">
        <v>667</v>
      </c>
      <c r="G570" s="10">
        <v>47</v>
      </c>
      <c r="H570" s="10">
        <v>34851</v>
      </c>
      <c r="I570" s="10">
        <v>1637997</v>
      </c>
      <c r="J570" t="s">
        <v>42</v>
      </c>
      <c r="K570" s="11">
        <v>3145.8</v>
      </c>
      <c r="L570" s="12">
        <v>520.69000000000005</v>
      </c>
    </row>
    <row r="571" spans="1:12" x14ac:dyDescent="0.2">
      <c r="A571" s="9">
        <v>46238</v>
      </c>
      <c r="B571" t="s">
        <v>485</v>
      </c>
      <c r="C571" t="s">
        <v>486</v>
      </c>
      <c r="D571" t="s">
        <v>41</v>
      </c>
      <c r="E571" t="s">
        <v>647</v>
      </c>
      <c r="F571" t="s">
        <v>668</v>
      </c>
      <c r="G571" s="10">
        <v>6</v>
      </c>
      <c r="H571" s="10">
        <v>120359</v>
      </c>
      <c r="I571" s="10">
        <v>722154</v>
      </c>
      <c r="J571" t="s">
        <v>42</v>
      </c>
      <c r="K571" s="11">
        <v>3145.8</v>
      </c>
      <c r="L571" s="12">
        <v>229.56</v>
      </c>
    </row>
    <row r="572" spans="1:12" x14ac:dyDescent="0.2">
      <c r="A572" s="9">
        <v>46238</v>
      </c>
      <c r="B572" t="s">
        <v>496</v>
      </c>
      <c r="C572" t="s">
        <v>497</v>
      </c>
      <c r="D572" t="s">
        <v>41</v>
      </c>
      <c r="E572" t="s">
        <v>651</v>
      </c>
      <c r="F572" t="s">
        <v>652</v>
      </c>
      <c r="G572" s="10">
        <v>19</v>
      </c>
      <c r="H572" s="10">
        <v>46937</v>
      </c>
      <c r="I572" s="10">
        <v>891803</v>
      </c>
      <c r="J572" t="s">
        <v>42</v>
      </c>
      <c r="K572" s="11">
        <v>3145.8</v>
      </c>
      <c r="L572" s="12">
        <v>283.49</v>
      </c>
    </row>
    <row r="573" spans="1:12" x14ac:dyDescent="0.2">
      <c r="A573" s="9">
        <v>46238</v>
      </c>
      <c r="B573" t="s">
        <v>496</v>
      </c>
      <c r="C573" t="s">
        <v>497</v>
      </c>
      <c r="D573" t="s">
        <v>41</v>
      </c>
      <c r="E573" t="s">
        <v>647</v>
      </c>
      <c r="F573" t="s">
        <v>648</v>
      </c>
      <c r="G573" s="10">
        <v>116</v>
      </c>
      <c r="H573" s="10">
        <v>77601</v>
      </c>
      <c r="I573" s="10">
        <v>9001716</v>
      </c>
      <c r="J573" t="s">
        <v>42</v>
      </c>
      <c r="K573" s="11">
        <v>3145.8</v>
      </c>
      <c r="L573" s="12">
        <v>2861.5</v>
      </c>
    </row>
    <row r="574" spans="1:12" x14ac:dyDescent="0.2">
      <c r="A574" s="9">
        <v>46238</v>
      </c>
      <c r="B574" t="s">
        <v>499</v>
      </c>
      <c r="C574" t="s">
        <v>500</v>
      </c>
      <c r="D574" t="s">
        <v>41</v>
      </c>
      <c r="E574" t="s">
        <v>647</v>
      </c>
      <c r="F574" t="s">
        <v>648</v>
      </c>
      <c r="G574" s="10">
        <v>12</v>
      </c>
      <c r="H574" s="10">
        <v>80028</v>
      </c>
      <c r="I574" s="10">
        <v>960336</v>
      </c>
      <c r="J574" t="s">
        <v>42</v>
      </c>
      <c r="K574" s="11">
        <v>3145.8</v>
      </c>
      <c r="L574" s="12">
        <v>305.27999999999997</v>
      </c>
    </row>
    <row r="575" spans="1:12" x14ac:dyDescent="0.2">
      <c r="A575" s="9">
        <v>46238</v>
      </c>
      <c r="B575" t="s">
        <v>499</v>
      </c>
      <c r="C575" t="s">
        <v>500</v>
      </c>
      <c r="D575" t="s">
        <v>41</v>
      </c>
      <c r="E575" t="s">
        <v>647</v>
      </c>
      <c r="F575" t="s">
        <v>667</v>
      </c>
      <c r="G575" s="10">
        <v>59</v>
      </c>
      <c r="H575" s="10">
        <v>36176</v>
      </c>
      <c r="I575" s="10">
        <v>2134384</v>
      </c>
      <c r="J575" t="s">
        <v>42</v>
      </c>
      <c r="K575" s="11">
        <v>3145.8</v>
      </c>
      <c r="L575" s="12">
        <v>678.49</v>
      </c>
    </row>
    <row r="576" spans="1:12" x14ac:dyDescent="0.2">
      <c r="A576" s="9">
        <v>46238</v>
      </c>
      <c r="B576" t="s">
        <v>502</v>
      </c>
      <c r="C576" t="s">
        <v>503</v>
      </c>
      <c r="D576" t="s">
        <v>41</v>
      </c>
      <c r="E576" t="s">
        <v>649</v>
      </c>
      <c r="F576" t="s">
        <v>659</v>
      </c>
      <c r="G576" s="10">
        <v>8</v>
      </c>
      <c r="H576" s="10">
        <v>43407</v>
      </c>
      <c r="I576" s="10">
        <v>347256</v>
      </c>
      <c r="J576" t="s">
        <v>42</v>
      </c>
      <c r="K576" s="11">
        <v>3145.8</v>
      </c>
      <c r="L576" s="12">
        <v>110.39</v>
      </c>
    </row>
    <row r="577" spans="1:12" x14ac:dyDescent="0.2">
      <c r="A577" s="9">
        <v>46238</v>
      </c>
      <c r="B577" t="s">
        <v>505</v>
      </c>
      <c r="C577" t="s">
        <v>506</v>
      </c>
      <c r="D577" t="s">
        <v>36</v>
      </c>
      <c r="E577" t="s">
        <v>651</v>
      </c>
      <c r="F577" t="s">
        <v>657</v>
      </c>
      <c r="G577" s="10">
        <v>8</v>
      </c>
      <c r="H577" s="10">
        <v>6185</v>
      </c>
      <c r="I577" s="10">
        <v>49480</v>
      </c>
      <c r="J577" t="s">
        <v>37</v>
      </c>
      <c r="K577" s="11">
        <v>648.20000000000005</v>
      </c>
      <c r="L577" s="12">
        <v>76.33</v>
      </c>
    </row>
    <row r="578" spans="1:12" x14ac:dyDescent="0.2">
      <c r="A578" s="9">
        <v>46238</v>
      </c>
      <c r="B578" t="s">
        <v>505</v>
      </c>
      <c r="C578" t="s">
        <v>506</v>
      </c>
      <c r="D578" t="s">
        <v>36</v>
      </c>
      <c r="E578" t="s">
        <v>651</v>
      </c>
      <c r="F578" t="s">
        <v>657</v>
      </c>
      <c r="G578" s="10">
        <v>88</v>
      </c>
      <c r="H578" s="10">
        <v>6317</v>
      </c>
      <c r="I578" s="10">
        <v>555896</v>
      </c>
      <c r="J578" t="s">
        <v>37</v>
      </c>
      <c r="K578" s="11">
        <v>648.20000000000005</v>
      </c>
      <c r="L578" s="12">
        <v>857.6</v>
      </c>
    </row>
    <row r="579" spans="1:12" x14ac:dyDescent="0.2">
      <c r="A579" s="9">
        <v>46238</v>
      </c>
      <c r="B579" t="s">
        <v>508</v>
      </c>
      <c r="C579" t="s">
        <v>509</v>
      </c>
      <c r="D579" t="s">
        <v>68</v>
      </c>
      <c r="E579" t="s">
        <v>653</v>
      </c>
      <c r="F579" t="s">
        <v>666</v>
      </c>
      <c r="G579" s="10">
        <v>7</v>
      </c>
      <c r="H579" s="10">
        <v>1474</v>
      </c>
      <c r="I579" s="10">
        <v>10318</v>
      </c>
      <c r="J579" t="s">
        <v>51</v>
      </c>
      <c r="K579" s="11">
        <v>648.20000000000005</v>
      </c>
      <c r="L579" s="12">
        <v>15.92</v>
      </c>
    </row>
    <row r="580" spans="1:12" x14ac:dyDescent="0.2">
      <c r="A580" s="9">
        <v>46238</v>
      </c>
      <c r="B580" t="s">
        <v>517</v>
      </c>
      <c r="C580" t="s">
        <v>518</v>
      </c>
      <c r="D580" t="s">
        <v>41</v>
      </c>
      <c r="E580" t="s">
        <v>660</v>
      </c>
      <c r="F580" t="s">
        <v>670</v>
      </c>
      <c r="G580" s="10">
        <v>2</v>
      </c>
      <c r="H580" s="10">
        <v>69025</v>
      </c>
      <c r="I580" s="10">
        <v>138050</v>
      </c>
      <c r="J580" t="s">
        <v>42</v>
      </c>
      <c r="K580" s="11">
        <v>3145.8</v>
      </c>
      <c r="L580" s="12">
        <v>43.88</v>
      </c>
    </row>
    <row r="581" spans="1:12" x14ac:dyDescent="0.2">
      <c r="A581" s="9">
        <v>46238</v>
      </c>
      <c r="B581" t="s">
        <v>522</v>
      </c>
      <c r="C581" t="s">
        <v>523</v>
      </c>
      <c r="D581" t="s">
        <v>50</v>
      </c>
      <c r="E581" t="s">
        <v>653</v>
      </c>
      <c r="F581" t="s">
        <v>658</v>
      </c>
      <c r="G581" s="10">
        <v>30</v>
      </c>
      <c r="H581" s="10">
        <v>2647</v>
      </c>
      <c r="I581" s="10">
        <v>79410</v>
      </c>
      <c r="J581" t="s">
        <v>51</v>
      </c>
      <c r="K581" s="11">
        <v>648.20000000000005</v>
      </c>
      <c r="L581" s="12">
        <v>122.51</v>
      </c>
    </row>
    <row r="582" spans="1:12" x14ac:dyDescent="0.2">
      <c r="A582" s="9">
        <v>46238</v>
      </c>
      <c r="B582" t="s">
        <v>522</v>
      </c>
      <c r="C582" t="s">
        <v>523</v>
      </c>
      <c r="D582" t="s">
        <v>50</v>
      </c>
      <c r="E582" t="s">
        <v>649</v>
      </c>
      <c r="F582" t="s">
        <v>659</v>
      </c>
      <c r="G582" s="10">
        <v>22</v>
      </c>
      <c r="H582" s="10">
        <v>8816</v>
      </c>
      <c r="I582" s="10">
        <v>193952</v>
      </c>
      <c r="J582" t="s">
        <v>51</v>
      </c>
      <c r="K582" s="11">
        <v>648.20000000000005</v>
      </c>
      <c r="L582" s="12">
        <v>299.22000000000003</v>
      </c>
    </row>
    <row r="583" spans="1:12" x14ac:dyDescent="0.2">
      <c r="A583" s="9">
        <v>46238</v>
      </c>
      <c r="B583" t="s">
        <v>525</v>
      </c>
      <c r="C583" t="s">
        <v>526</v>
      </c>
      <c r="D583" t="s">
        <v>46</v>
      </c>
      <c r="E583" t="s">
        <v>649</v>
      </c>
      <c r="F583" t="s">
        <v>650</v>
      </c>
      <c r="G583" s="10">
        <v>23</v>
      </c>
      <c r="H583" s="10">
        <v>18487</v>
      </c>
      <c r="I583" s="10">
        <v>425201</v>
      </c>
      <c r="J583" t="s">
        <v>37</v>
      </c>
      <c r="K583" s="11">
        <v>648.20000000000005</v>
      </c>
      <c r="L583" s="12">
        <v>655.97</v>
      </c>
    </row>
    <row r="584" spans="1:12" x14ac:dyDescent="0.2">
      <c r="A584" s="9">
        <v>46238</v>
      </c>
      <c r="B584" t="s">
        <v>528</v>
      </c>
      <c r="C584" t="s">
        <v>529</v>
      </c>
      <c r="D584" t="s">
        <v>46</v>
      </c>
      <c r="E584" t="s">
        <v>649</v>
      </c>
      <c r="F584" t="s">
        <v>650</v>
      </c>
      <c r="G584" s="10">
        <v>54</v>
      </c>
      <c r="H584" s="10">
        <v>18983</v>
      </c>
      <c r="I584" s="10">
        <v>1025082</v>
      </c>
      <c r="J584" t="s">
        <v>37</v>
      </c>
      <c r="K584" s="11">
        <v>648.20000000000005</v>
      </c>
      <c r="L584" s="12">
        <v>1581.43</v>
      </c>
    </row>
    <row r="585" spans="1:12" x14ac:dyDescent="0.2">
      <c r="A585" s="9">
        <v>46238</v>
      </c>
      <c r="B585" t="s">
        <v>528</v>
      </c>
      <c r="C585" t="s">
        <v>529</v>
      </c>
      <c r="D585" t="s">
        <v>46</v>
      </c>
      <c r="E585" t="s">
        <v>649</v>
      </c>
      <c r="F585" t="s">
        <v>659</v>
      </c>
      <c r="G585" s="10">
        <v>13</v>
      </c>
      <c r="H585" s="10">
        <v>8977</v>
      </c>
      <c r="I585" s="10">
        <v>116701</v>
      </c>
      <c r="J585" t="s">
        <v>37</v>
      </c>
      <c r="K585" s="11">
        <v>648.20000000000005</v>
      </c>
      <c r="L585" s="12">
        <v>180.04</v>
      </c>
    </row>
    <row r="586" spans="1:12" x14ac:dyDescent="0.2">
      <c r="A586" s="9">
        <v>46238</v>
      </c>
      <c r="B586" t="s">
        <v>528</v>
      </c>
      <c r="C586" t="s">
        <v>529</v>
      </c>
      <c r="D586" t="s">
        <v>46</v>
      </c>
      <c r="E586" t="s">
        <v>660</v>
      </c>
      <c r="F586" t="s">
        <v>670</v>
      </c>
      <c r="G586" s="10">
        <v>109</v>
      </c>
      <c r="H586" s="10">
        <v>14875</v>
      </c>
      <c r="I586" s="10">
        <v>1621375</v>
      </c>
      <c r="J586" t="s">
        <v>37</v>
      </c>
      <c r="K586" s="11">
        <v>648.20000000000005</v>
      </c>
      <c r="L586" s="12">
        <v>2501.35</v>
      </c>
    </row>
    <row r="587" spans="1:12" x14ac:dyDescent="0.2">
      <c r="A587" s="9">
        <v>46238</v>
      </c>
      <c r="B587" t="s">
        <v>528</v>
      </c>
      <c r="C587" t="s">
        <v>529</v>
      </c>
      <c r="D587" t="s">
        <v>46</v>
      </c>
      <c r="E587" t="s">
        <v>660</v>
      </c>
      <c r="F587" t="s">
        <v>661</v>
      </c>
      <c r="G587" s="10">
        <v>66</v>
      </c>
      <c r="H587" s="10">
        <v>4290</v>
      </c>
      <c r="I587" s="10">
        <v>283140</v>
      </c>
      <c r="J587" t="s">
        <v>37</v>
      </c>
      <c r="K587" s="11">
        <v>648.20000000000005</v>
      </c>
      <c r="L587" s="12">
        <v>436.81</v>
      </c>
    </row>
    <row r="588" spans="1:12" x14ac:dyDescent="0.2">
      <c r="A588" s="9">
        <v>46238</v>
      </c>
      <c r="B588" t="s">
        <v>528</v>
      </c>
      <c r="C588" t="s">
        <v>529</v>
      </c>
      <c r="D588" t="s">
        <v>46</v>
      </c>
      <c r="E588" t="s">
        <v>647</v>
      </c>
      <c r="F588" t="s">
        <v>667</v>
      </c>
      <c r="G588" s="10">
        <v>37</v>
      </c>
      <c r="H588" s="10">
        <v>7105</v>
      </c>
      <c r="I588" s="10">
        <v>262885</v>
      </c>
      <c r="J588" t="s">
        <v>37</v>
      </c>
      <c r="K588" s="11">
        <v>648.20000000000005</v>
      </c>
      <c r="L588" s="12">
        <v>405.56</v>
      </c>
    </row>
    <row r="589" spans="1:12" x14ac:dyDescent="0.2">
      <c r="A589" s="9">
        <v>46238</v>
      </c>
      <c r="B589" t="s">
        <v>531</v>
      </c>
      <c r="C589" t="s">
        <v>532</v>
      </c>
      <c r="D589" t="s">
        <v>50</v>
      </c>
      <c r="E589" t="s">
        <v>653</v>
      </c>
      <c r="F589" t="s">
        <v>658</v>
      </c>
      <c r="G589" s="10">
        <v>91</v>
      </c>
      <c r="H589" s="10">
        <v>2692</v>
      </c>
      <c r="I589" s="10">
        <v>244972</v>
      </c>
      <c r="J589" t="s">
        <v>51</v>
      </c>
      <c r="K589" s="11">
        <v>648.20000000000005</v>
      </c>
      <c r="L589" s="12">
        <v>377.93</v>
      </c>
    </row>
    <row r="590" spans="1:12" x14ac:dyDescent="0.2">
      <c r="A590" s="9">
        <v>46238</v>
      </c>
      <c r="B590" t="s">
        <v>531</v>
      </c>
      <c r="C590" t="s">
        <v>532</v>
      </c>
      <c r="D590" t="s">
        <v>50</v>
      </c>
      <c r="E590" t="s">
        <v>653</v>
      </c>
      <c r="F590" t="s">
        <v>658</v>
      </c>
      <c r="G590" s="10">
        <v>65</v>
      </c>
      <c r="H590" s="10">
        <v>2636</v>
      </c>
      <c r="I590" s="10">
        <v>171340</v>
      </c>
      <c r="J590" t="s">
        <v>51</v>
      </c>
      <c r="K590" s="11">
        <v>648.20000000000005</v>
      </c>
      <c r="L590" s="12">
        <v>264.33</v>
      </c>
    </row>
    <row r="591" spans="1:12" x14ac:dyDescent="0.2">
      <c r="A591" s="9">
        <v>46238</v>
      </c>
      <c r="B591" t="s">
        <v>531</v>
      </c>
      <c r="C591" t="s">
        <v>532</v>
      </c>
      <c r="D591" t="s">
        <v>50</v>
      </c>
      <c r="E591" t="s">
        <v>660</v>
      </c>
      <c r="F591" t="s">
        <v>670</v>
      </c>
      <c r="G591" s="10">
        <v>42</v>
      </c>
      <c r="H591" s="10">
        <v>14401</v>
      </c>
      <c r="I591" s="10">
        <v>604842</v>
      </c>
      <c r="J591" t="s">
        <v>51</v>
      </c>
      <c r="K591" s="11">
        <v>648.20000000000005</v>
      </c>
      <c r="L591" s="12">
        <v>933.11</v>
      </c>
    </row>
    <row r="592" spans="1:12" x14ac:dyDescent="0.2">
      <c r="A592" s="9">
        <v>46238</v>
      </c>
      <c r="B592" t="s">
        <v>531</v>
      </c>
      <c r="C592" t="s">
        <v>532</v>
      </c>
      <c r="D592" t="s">
        <v>50</v>
      </c>
      <c r="E592" t="s">
        <v>647</v>
      </c>
      <c r="F592" t="s">
        <v>667</v>
      </c>
      <c r="G592" s="10">
        <v>27</v>
      </c>
      <c r="H592" s="10">
        <v>7368</v>
      </c>
      <c r="I592" s="10">
        <v>198936</v>
      </c>
      <c r="J592" t="s">
        <v>51</v>
      </c>
      <c r="K592" s="11">
        <v>648.20000000000005</v>
      </c>
      <c r="L592" s="12">
        <v>306.91000000000003</v>
      </c>
    </row>
    <row r="593" spans="1:12" x14ac:dyDescent="0.2">
      <c r="A593" s="9">
        <v>46238</v>
      </c>
      <c r="B593" t="s">
        <v>531</v>
      </c>
      <c r="C593" t="s">
        <v>532</v>
      </c>
      <c r="D593" t="s">
        <v>50</v>
      </c>
      <c r="E593" t="s">
        <v>651</v>
      </c>
      <c r="F593" t="s">
        <v>664</v>
      </c>
      <c r="G593" s="10">
        <v>183</v>
      </c>
      <c r="H593" s="10">
        <v>12069</v>
      </c>
      <c r="I593" s="10">
        <v>2208627</v>
      </c>
      <c r="J593" t="s">
        <v>51</v>
      </c>
      <c r="K593" s="11">
        <v>648.20000000000005</v>
      </c>
      <c r="L593" s="12">
        <v>3407.32</v>
      </c>
    </row>
    <row r="594" spans="1:12" x14ac:dyDescent="0.2">
      <c r="A594" s="9">
        <v>46238</v>
      </c>
      <c r="B594" t="s">
        <v>534</v>
      </c>
      <c r="C594" t="s">
        <v>535</v>
      </c>
      <c r="D594" t="s">
        <v>36</v>
      </c>
      <c r="E594" t="s">
        <v>649</v>
      </c>
      <c r="F594" t="s">
        <v>663</v>
      </c>
      <c r="G594" s="10">
        <v>1</v>
      </c>
      <c r="H594" s="10">
        <v>2017</v>
      </c>
      <c r="I594" s="10">
        <v>2017</v>
      </c>
      <c r="J594" t="s">
        <v>37</v>
      </c>
      <c r="K594" s="11">
        <v>648.20000000000005</v>
      </c>
      <c r="L594" s="12">
        <v>3.11</v>
      </c>
    </row>
    <row r="595" spans="1:12" x14ac:dyDescent="0.2">
      <c r="A595" s="9">
        <v>46238</v>
      </c>
      <c r="B595" t="s">
        <v>534</v>
      </c>
      <c r="C595" t="s">
        <v>535</v>
      </c>
      <c r="D595" t="s">
        <v>36</v>
      </c>
      <c r="E595" t="s">
        <v>660</v>
      </c>
      <c r="F595" t="s">
        <v>661</v>
      </c>
      <c r="G595" s="10">
        <v>1</v>
      </c>
      <c r="H595" s="10">
        <v>4206</v>
      </c>
      <c r="I595" s="10">
        <v>4206</v>
      </c>
      <c r="J595" t="s">
        <v>37</v>
      </c>
      <c r="K595" s="11">
        <v>648.20000000000005</v>
      </c>
      <c r="L595" s="12">
        <v>6.49</v>
      </c>
    </row>
    <row r="596" spans="1:12" x14ac:dyDescent="0.2">
      <c r="A596" s="9">
        <v>46238</v>
      </c>
      <c r="B596" t="s">
        <v>534</v>
      </c>
      <c r="C596" t="s">
        <v>535</v>
      </c>
      <c r="D596" t="s">
        <v>36</v>
      </c>
      <c r="E596" t="s">
        <v>647</v>
      </c>
      <c r="F596" t="s">
        <v>667</v>
      </c>
      <c r="G596" s="10">
        <v>2</v>
      </c>
      <c r="H596" s="10">
        <v>7127</v>
      </c>
      <c r="I596" s="10">
        <v>14254</v>
      </c>
      <c r="J596" t="s">
        <v>37</v>
      </c>
      <c r="K596" s="11">
        <v>648.20000000000005</v>
      </c>
      <c r="L596" s="12">
        <v>21.99</v>
      </c>
    </row>
    <row r="597" spans="1:12" x14ac:dyDescent="0.2">
      <c r="A597" s="9">
        <v>46238</v>
      </c>
      <c r="B597" t="s">
        <v>534</v>
      </c>
      <c r="C597" t="s">
        <v>535</v>
      </c>
      <c r="D597" t="s">
        <v>36</v>
      </c>
      <c r="E597" t="s">
        <v>655</v>
      </c>
      <c r="F597" t="s">
        <v>656</v>
      </c>
      <c r="G597" s="10">
        <v>1</v>
      </c>
      <c r="H597" s="10">
        <v>594</v>
      </c>
      <c r="I597" s="10">
        <v>594</v>
      </c>
      <c r="J597" t="s">
        <v>37</v>
      </c>
      <c r="K597" s="11">
        <v>648.20000000000005</v>
      </c>
      <c r="L597" s="12">
        <v>0.92</v>
      </c>
    </row>
    <row r="598" spans="1:12" x14ac:dyDescent="0.2">
      <c r="A598" s="9">
        <v>46238</v>
      </c>
      <c r="B598" t="s">
        <v>537</v>
      </c>
      <c r="C598" t="s">
        <v>538</v>
      </c>
      <c r="D598" t="s">
        <v>68</v>
      </c>
      <c r="E598" t="s">
        <v>660</v>
      </c>
      <c r="F598" t="s">
        <v>669</v>
      </c>
      <c r="G598" s="10">
        <v>48</v>
      </c>
      <c r="H598" s="10">
        <v>2500</v>
      </c>
      <c r="I598" s="10">
        <v>120000</v>
      </c>
      <c r="J598" t="s">
        <v>51</v>
      </c>
      <c r="K598" s="11">
        <v>648.20000000000005</v>
      </c>
      <c r="L598" s="12">
        <v>185.13</v>
      </c>
    </row>
    <row r="599" spans="1:12" x14ac:dyDescent="0.2">
      <c r="A599" s="9">
        <v>46238</v>
      </c>
      <c r="B599" t="s">
        <v>546</v>
      </c>
      <c r="C599" t="s">
        <v>547</v>
      </c>
      <c r="D599" t="s">
        <v>41</v>
      </c>
      <c r="E599" t="s">
        <v>649</v>
      </c>
      <c r="F599" t="s">
        <v>659</v>
      </c>
      <c r="G599" s="10">
        <v>10</v>
      </c>
      <c r="H599" s="10">
        <v>42571</v>
      </c>
      <c r="I599" s="10">
        <v>425710</v>
      </c>
      <c r="J599" t="s">
        <v>42</v>
      </c>
      <c r="K599" s="11">
        <v>3145.8</v>
      </c>
      <c r="L599" s="12">
        <v>135.33000000000001</v>
      </c>
    </row>
    <row r="600" spans="1:12" x14ac:dyDescent="0.2">
      <c r="A600" s="9">
        <v>46238</v>
      </c>
      <c r="B600" t="s">
        <v>549</v>
      </c>
      <c r="C600" t="s">
        <v>550</v>
      </c>
      <c r="D600" t="s">
        <v>41</v>
      </c>
      <c r="E600" t="s">
        <v>660</v>
      </c>
      <c r="F600" t="s">
        <v>670</v>
      </c>
      <c r="G600" s="10">
        <v>10</v>
      </c>
      <c r="H600" s="10">
        <v>70908</v>
      </c>
      <c r="I600" s="10">
        <v>709080</v>
      </c>
      <c r="J600" t="s">
        <v>42</v>
      </c>
      <c r="K600" s="11">
        <v>3145.8</v>
      </c>
      <c r="L600" s="12">
        <v>225.41</v>
      </c>
    </row>
    <row r="601" spans="1:12" x14ac:dyDescent="0.2">
      <c r="A601" s="9">
        <v>46238</v>
      </c>
      <c r="B601" t="s">
        <v>552</v>
      </c>
      <c r="C601" t="s">
        <v>553</v>
      </c>
      <c r="D601" t="s">
        <v>41</v>
      </c>
      <c r="E601" t="s">
        <v>649</v>
      </c>
      <c r="F601" t="s">
        <v>650</v>
      </c>
      <c r="G601" s="10">
        <v>2</v>
      </c>
      <c r="H601" s="10">
        <v>90265</v>
      </c>
      <c r="I601" s="10">
        <v>180530</v>
      </c>
      <c r="J601" t="s">
        <v>42</v>
      </c>
      <c r="K601" s="11">
        <v>3145.8</v>
      </c>
      <c r="L601" s="12">
        <v>57.39</v>
      </c>
    </row>
    <row r="602" spans="1:12" x14ac:dyDescent="0.2">
      <c r="A602" s="9">
        <v>46238</v>
      </c>
      <c r="B602" t="s">
        <v>552</v>
      </c>
      <c r="C602" t="s">
        <v>553</v>
      </c>
      <c r="D602" t="s">
        <v>41</v>
      </c>
      <c r="E602" t="s">
        <v>647</v>
      </c>
      <c r="F602" t="s">
        <v>668</v>
      </c>
      <c r="G602" s="10">
        <v>2</v>
      </c>
      <c r="H602" s="10">
        <v>126903</v>
      </c>
      <c r="I602" s="10">
        <v>253806</v>
      </c>
      <c r="J602" t="s">
        <v>42</v>
      </c>
      <c r="K602" s="11">
        <v>3145.8</v>
      </c>
      <c r="L602" s="12">
        <v>80.680000000000007</v>
      </c>
    </row>
    <row r="603" spans="1:12" x14ac:dyDescent="0.2">
      <c r="A603" s="9">
        <v>46238</v>
      </c>
      <c r="B603" t="s">
        <v>555</v>
      </c>
      <c r="C603" t="s">
        <v>556</v>
      </c>
      <c r="D603" t="s">
        <v>41</v>
      </c>
      <c r="E603" t="s">
        <v>653</v>
      </c>
      <c r="F603" t="s">
        <v>658</v>
      </c>
      <c r="G603" s="10">
        <v>3</v>
      </c>
      <c r="H603" s="10">
        <v>13447</v>
      </c>
      <c r="I603" s="10">
        <v>40341</v>
      </c>
      <c r="J603" t="s">
        <v>42</v>
      </c>
      <c r="K603" s="11">
        <v>3145.8</v>
      </c>
      <c r="L603" s="12">
        <v>12.82</v>
      </c>
    </row>
    <row r="604" spans="1:12" x14ac:dyDescent="0.2">
      <c r="A604" s="9">
        <v>46238</v>
      </c>
      <c r="B604" t="s">
        <v>555</v>
      </c>
      <c r="C604" t="s">
        <v>556</v>
      </c>
      <c r="D604" t="s">
        <v>41</v>
      </c>
      <c r="E604" t="s">
        <v>649</v>
      </c>
      <c r="F604" t="s">
        <v>659</v>
      </c>
      <c r="G604" s="10">
        <v>2</v>
      </c>
      <c r="H604" s="10">
        <v>44641</v>
      </c>
      <c r="I604" s="10">
        <v>89282</v>
      </c>
      <c r="J604" t="s">
        <v>42</v>
      </c>
      <c r="K604" s="11">
        <v>3145.8</v>
      </c>
      <c r="L604" s="12">
        <v>28.38</v>
      </c>
    </row>
    <row r="605" spans="1:12" x14ac:dyDescent="0.2">
      <c r="A605" s="9">
        <v>46238</v>
      </c>
      <c r="B605" t="s">
        <v>561</v>
      </c>
      <c r="C605" t="s">
        <v>562</v>
      </c>
      <c r="D605" t="s">
        <v>46</v>
      </c>
      <c r="E605" t="s">
        <v>651</v>
      </c>
      <c r="F605" t="s">
        <v>652</v>
      </c>
      <c r="G605" s="10">
        <v>12</v>
      </c>
      <c r="H605" s="10">
        <v>9926</v>
      </c>
      <c r="I605" s="10">
        <v>119112</v>
      </c>
      <c r="J605" t="s">
        <v>37</v>
      </c>
      <c r="K605" s="11">
        <v>648.20000000000005</v>
      </c>
      <c r="L605" s="12">
        <v>183.76</v>
      </c>
    </row>
    <row r="606" spans="1:12" x14ac:dyDescent="0.2">
      <c r="A606" s="9">
        <v>46238</v>
      </c>
      <c r="B606" t="s">
        <v>561</v>
      </c>
      <c r="C606" t="s">
        <v>562</v>
      </c>
      <c r="D606" t="s">
        <v>46</v>
      </c>
      <c r="E606" t="s">
        <v>649</v>
      </c>
      <c r="F606" t="s">
        <v>659</v>
      </c>
      <c r="G606" s="10">
        <v>22</v>
      </c>
      <c r="H606" s="10">
        <v>8877</v>
      </c>
      <c r="I606" s="10">
        <v>195294</v>
      </c>
      <c r="J606" t="s">
        <v>37</v>
      </c>
      <c r="K606" s="11">
        <v>648.20000000000005</v>
      </c>
      <c r="L606" s="12">
        <v>301.29000000000002</v>
      </c>
    </row>
    <row r="607" spans="1:12" x14ac:dyDescent="0.2">
      <c r="A607" s="9">
        <v>46238</v>
      </c>
      <c r="B607" t="s">
        <v>561</v>
      </c>
      <c r="C607" t="s">
        <v>562</v>
      </c>
      <c r="D607" t="s">
        <v>46</v>
      </c>
      <c r="E607" t="s">
        <v>647</v>
      </c>
      <c r="F607" t="s">
        <v>668</v>
      </c>
      <c r="G607" s="10">
        <v>26</v>
      </c>
      <c r="H607" s="10">
        <v>25498</v>
      </c>
      <c r="I607" s="10">
        <v>662948</v>
      </c>
      <c r="J607" t="s">
        <v>37</v>
      </c>
      <c r="K607" s="11">
        <v>648.20000000000005</v>
      </c>
      <c r="L607" s="12">
        <v>1022.75</v>
      </c>
    </row>
    <row r="608" spans="1:12" x14ac:dyDescent="0.2">
      <c r="A608" s="9">
        <v>46238</v>
      </c>
      <c r="B608" t="s">
        <v>564</v>
      </c>
      <c r="C608" t="s">
        <v>565</v>
      </c>
      <c r="D608" t="s">
        <v>41</v>
      </c>
      <c r="E608" t="s">
        <v>647</v>
      </c>
      <c r="F608" t="s">
        <v>667</v>
      </c>
      <c r="G608" s="10">
        <v>9</v>
      </c>
      <c r="H608" s="10">
        <v>36584</v>
      </c>
      <c r="I608" s="10">
        <v>329256</v>
      </c>
      <c r="J608" t="s">
        <v>42</v>
      </c>
      <c r="K608" s="11">
        <v>3145.8</v>
      </c>
      <c r="L608" s="12">
        <v>104.67</v>
      </c>
    </row>
    <row r="609" spans="1:12" x14ac:dyDescent="0.2">
      <c r="A609" s="9">
        <v>46238</v>
      </c>
      <c r="B609" t="s">
        <v>564</v>
      </c>
      <c r="C609" t="s">
        <v>565</v>
      </c>
      <c r="D609" t="s">
        <v>41</v>
      </c>
      <c r="E609" t="s">
        <v>655</v>
      </c>
      <c r="F609" t="s">
        <v>665</v>
      </c>
      <c r="G609" s="10">
        <v>15</v>
      </c>
      <c r="H609" s="10">
        <v>3434</v>
      </c>
      <c r="I609" s="10">
        <v>51510</v>
      </c>
      <c r="J609" t="s">
        <v>42</v>
      </c>
      <c r="K609" s="11">
        <v>3145.8</v>
      </c>
      <c r="L609" s="12">
        <v>16.37</v>
      </c>
    </row>
    <row r="610" spans="1:12" x14ac:dyDescent="0.2">
      <c r="A610" s="9">
        <v>46238</v>
      </c>
      <c r="B610" t="s">
        <v>564</v>
      </c>
      <c r="C610" t="s">
        <v>565</v>
      </c>
      <c r="D610" t="s">
        <v>41</v>
      </c>
      <c r="E610" t="s">
        <v>655</v>
      </c>
      <c r="F610" t="s">
        <v>665</v>
      </c>
      <c r="G610" s="10">
        <v>9</v>
      </c>
      <c r="H610" s="10">
        <v>3241</v>
      </c>
      <c r="I610" s="10">
        <v>29169</v>
      </c>
      <c r="J610" t="s">
        <v>42</v>
      </c>
      <c r="K610" s="11">
        <v>3145.8</v>
      </c>
      <c r="L610" s="12">
        <v>9.27</v>
      </c>
    </row>
    <row r="611" spans="1:12" x14ac:dyDescent="0.2">
      <c r="A611" s="9">
        <v>46238</v>
      </c>
      <c r="B611" t="s">
        <v>567</v>
      </c>
      <c r="C611" t="s">
        <v>568</v>
      </c>
      <c r="D611" t="s">
        <v>41</v>
      </c>
      <c r="E611" t="s">
        <v>649</v>
      </c>
      <c r="F611" t="s">
        <v>663</v>
      </c>
      <c r="G611" s="10">
        <v>14</v>
      </c>
      <c r="H611" s="10">
        <v>9805</v>
      </c>
      <c r="I611" s="10">
        <v>137270</v>
      </c>
      <c r="J611" t="s">
        <v>42</v>
      </c>
      <c r="K611" s="11">
        <v>3145.8</v>
      </c>
      <c r="L611" s="12">
        <v>43.64</v>
      </c>
    </row>
    <row r="612" spans="1:12" x14ac:dyDescent="0.2">
      <c r="A612" s="9">
        <v>46238</v>
      </c>
      <c r="B612" t="s">
        <v>567</v>
      </c>
      <c r="C612" t="s">
        <v>568</v>
      </c>
      <c r="D612" t="s">
        <v>41</v>
      </c>
      <c r="E612" t="s">
        <v>660</v>
      </c>
      <c r="F612" t="s">
        <v>670</v>
      </c>
      <c r="G612" s="10">
        <v>44</v>
      </c>
      <c r="H612" s="10">
        <v>69894</v>
      </c>
      <c r="I612" s="10">
        <v>3075336</v>
      </c>
      <c r="J612" t="s">
        <v>42</v>
      </c>
      <c r="K612" s="11">
        <v>3145.8</v>
      </c>
      <c r="L612" s="12">
        <v>977.6</v>
      </c>
    </row>
    <row r="613" spans="1:12" x14ac:dyDescent="0.2">
      <c r="A613" s="9">
        <v>46238</v>
      </c>
      <c r="B613" t="s">
        <v>567</v>
      </c>
      <c r="C613" t="s">
        <v>568</v>
      </c>
      <c r="D613" t="s">
        <v>41</v>
      </c>
      <c r="E613" t="s">
        <v>660</v>
      </c>
      <c r="F613" t="s">
        <v>670</v>
      </c>
      <c r="G613" s="10">
        <v>12</v>
      </c>
      <c r="H613" s="10">
        <v>72504</v>
      </c>
      <c r="I613" s="10">
        <v>870048</v>
      </c>
      <c r="J613" t="s">
        <v>42</v>
      </c>
      <c r="K613" s="11">
        <v>3145.8</v>
      </c>
      <c r="L613" s="12">
        <v>276.57</v>
      </c>
    </row>
    <row r="614" spans="1:12" x14ac:dyDescent="0.2">
      <c r="A614" s="9">
        <v>46238</v>
      </c>
      <c r="B614" t="s">
        <v>567</v>
      </c>
      <c r="C614" t="s">
        <v>568</v>
      </c>
      <c r="D614" t="s">
        <v>41</v>
      </c>
      <c r="E614" t="s">
        <v>660</v>
      </c>
      <c r="F614" t="s">
        <v>661</v>
      </c>
      <c r="G614" s="10">
        <v>19</v>
      </c>
      <c r="H614" s="10">
        <v>20223</v>
      </c>
      <c r="I614" s="10">
        <v>384237</v>
      </c>
      <c r="J614" t="s">
        <v>42</v>
      </c>
      <c r="K614" s="11">
        <v>3145.8</v>
      </c>
      <c r="L614" s="12">
        <v>122.14</v>
      </c>
    </row>
    <row r="615" spans="1:12" x14ac:dyDescent="0.2">
      <c r="A615" s="9">
        <v>46238</v>
      </c>
      <c r="B615" t="s">
        <v>567</v>
      </c>
      <c r="C615" t="s">
        <v>568</v>
      </c>
      <c r="D615" t="s">
        <v>41</v>
      </c>
      <c r="E615" t="s">
        <v>653</v>
      </c>
      <c r="F615" t="s">
        <v>654</v>
      </c>
      <c r="G615" s="10">
        <v>13</v>
      </c>
      <c r="H615" s="10">
        <v>28404</v>
      </c>
      <c r="I615" s="10">
        <v>369252</v>
      </c>
      <c r="J615" t="s">
        <v>42</v>
      </c>
      <c r="K615" s="11">
        <v>3145.8</v>
      </c>
      <c r="L615" s="12">
        <v>117.38</v>
      </c>
    </row>
    <row r="616" spans="1:12" x14ac:dyDescent="0.2">
      <c r="A616" s="9">
        <v>46238</v>
      </c>
      <c r="B616" t="s">
        <v>567</v>
      </c>
      <c r="C616" t="s">
        <v>568</v>
      </c>
      <c r="D616" t="s">
        <v>41</v>
      </c>
      <c r="E616" t="s">
        <v>655</v>
      </c>
      <c r="F616" t="s">
        <v>656</v>
      </c>
      <c r="G616" s="10">
        <v>43</v>
      </c>
      <c r="H616" s="10">
        <v>2845</v>
      </c>
      <c r="I616" s="10">
        <v>122335</v>
      </c>
      <c r="J616" t="s">
        <v>42</v>
      </c>
      <c r="K616" s="11">
        <v>3145.8</v>
      </c>
      <c r="L616" s="12">
        <v>38.89</v>
      </c>
    </row>
    <row r="617" spans="1:12" x14ac:dyDescent="0.2">
      <c r="A617" s="9">
        <v>46238</v>
      </c>
      <c r="B617" t="s">
        <v>570</v>
      </c>
      <c r="C617" t="s">
        <v>571</v>
      </c>
      <c r="D617" t="s">
        <v>68</v>
      </c>
      <c r="E617" t="s">
        <v>649</v>
      </c>
      <c r="F617" t="s">
        <v>659</v>
      </c>
      <c r="G617" s="10">
        <v>2</v>
      </c>
      <c r="H617" s="10">
        <v>9014</v>
      </c>
      <c r="I617" s="10">
        <v>18028</v>
      </c>
      <c r="J617" t="s">
        <v>51</v>
      </c>
      <c r="K617" s="11">
        <v>648.20000000000005</v>
      </c>
      <c r="L617" s="12">
        <v>27.81</v>
      </c>
    </row>
    <row r="618" spans="1:12" x14ac:dyDescent="0.2">
      <c r="A618" s="9">
        <v>46238</v>
      </c>
      <c r="B618" t="s">
        <v>573</v>
      </c>
      <c r="C618" t="s">
        <v>574</v>
      </c>
      <c r="D618" t="s">
        <v>41</v>
      </c>
      <c r="E618" t="s">
        <v>649</v>
      </c>
      <c r="F618" t="s">
        <v>659</v>
      </c>
      <c r="G618" s="10">
        <v>3</v>
      </c>
      <c r="H618" s="10">
        <v>42410</v>
      </c>
      <c r="I618" s="10">
        <v>127230</v>
      </c>
      <c r="J618" t="s">
        <v>42</v>
      </c>
      <c r="K618" s="11">
        <v>3145.8</v>
      </c>
      <c r="L618" s="12">
        <v>40.44</v>
      </c>
    </row>
    <row r="619" spans="1:12" x14ac:dyDescent="0.2">
      <c r="A619" s="9">
        <v>46238</v>
      </c>
      <c r="B619" t="s">
        <v>579</v>
      </c>
      <c r="C619" t="s">
        <v>580</v>
      </c>
      <c r="D619" t="s">
        <v>75</v>
      </c>
      <c r="E619" t="s">
        <v>660</v>
      </c>
      <c r="F619" t="s">
        <v>669</v>
      </c>
      <c r="G619" s="10">
        <v>12</v>
      </c>
      <c r="H619" s="10">
        <v>12793</v>
      </c>
      <c r="I619" s="10">
        <v>153516</v>
      </c>
      <c r="J619" t="s">
        <v>42</v>
      </c>
      <c r="K619" s="11">
        <v>3145.8</v>
      </c>
      <c r="L619" s="12">
        <v>48.8</v>
      </c>
    </row>
    <row r="620" spans="1:12" x14ac:dyDescent="0.2">
      <c r="A620" s="9">
        <v>46238</v>
      </c>
      <c r="B620" t="s">
        <v>582</v>
      </c>
      <c r="C620" t="s">
        <v>583</v>
      </c>
      <c r="D620" t="s">
        <v>36</v>
      </c>
      <c r="E620" t="s">
        <v>660</v>
      </c>
      <c r="F620" t="s">
        <v>661</v>
      </c>
      <c r="G620" s="10">
        <v>13</v>
      </c>
      <c r="H620" s="10">
        <v>4121</v>
      </c>
      <c r="I620" s="10">
        <v>53573</v>
      </c>
      <c r="J620" t="s">
        <v>37</v>
      </c>
      <c r="K620" s="11">
        <v>648.20000000000005</v>
      </c>
      <c r="L620" s="12">
        <v>82.65</v>
      </c>
    </row>
    <row r="621" spans="1:12" x14ac:dyDescent="0.2">
      <c r="A621" s="9">
        <v>46238</v>
      </c>
      <c r="B621" t="s">
        <v>590</v>
      </c>
      <c r="C621" t="s">
        <v>591</v>
      </c>
      <c r="D621" t="s">
        <v>41</v>
      </c>
      <c r="E621" t="s">
        <v>653</v>
      </c>
      <c r="F621" t="s">
        <v>666</v>
      </c>
      <c r="G621" s="10">
        <v>9</v>
      </c>
      <c r="H621" s="10">
        <v>7091</v>
      </c>
      <c r="I621" s="10">
        <v>63819</v>
      </c>
      <c r="J621" t="s">
        <v>42</v>
      </c>
      <c r="K621" s="11">
        <v>3145.8</v>
      </c>
      <c r="L621" s="12">
        <v>20.29</v>
      </c>
    </row>
    <row r="622" spans="1:12" x14ac:dyDescent="0.2">
      <c r="A622" s="9">
        <v>46238</v>
      </c>
      <c r="B622" t="s">
        <v>590</v>
      </c>
      <c r="C622" t="s">
        <v>591</v>
      </c>
      <c r="D622" t="s">
        <v>41</v>
      </c>
      <c r="E622" t="s">
        <v>660</v>
      </c>
      <c r="F622" t="s">
        <v>661</v>
      </c>
      <c r="G622" s="10">
        <v>14</v>
      </c>
      <c r="H622" s="10">
        <v>20115</v>
      </c>
      <c r="I622" s="10">
        <v>281610</v>
      </c>
      <c r="J622" t="s">
        <v>42</v>
      </c>
      <c r="K622" s="11">
        <v>3145.8</v>
      </c>
      <c r="L622" s="12">
        <v>89.52</v>
      </c>
    </row>
    <row r="623" spans="1:12" x14ac:dyDescent="0.2">
      <c r="A623" s="9">
        <v>46238</v>
      </c>
      <c r="B623" t="s">
        <v>593</v>
      </c>
      <c r="C623" t="s">
        <v>594</v>
      </c>
      <c r="D623" t="s">
        <v>50</v>
      </c>
      <c r="E623" t="s">
        <v>647</v>
      </c>
      <c r="F623" t="s">
        <v>648</v>
      </c>
      <c r="G623" s="10">
        <v>7</v>
      </c>
      <c r="H623" s="10">
        <v>16799</v>
      </c>
      <c r="I623" s="10">
        <v>117593</v>
      </c>
      <c r="J623" t="s">
        <v>51</v>
      </c>
      <c r="K623" s="11">
        <v>648.20000000000005</v>
      </c>
      <c r="L623" s="12">
        <v>181.41</v>
      </c>
    </row>
    <row r="624" spans="1:12" x14ac:dyDescent="0.2">
      <c r="A624" s="9">
        <v>46238</v>
      </c>
      <c r="B624" t="s">
        <v>605</v>
      </c>
      <c r="C624" t="s">
        <v>606</v>
      </c>
      <c r="D624" t="s">
        <v>68</v>
      </c>
      <c r="E624" t="s">
        <v>653</v>
      </c>
      <c r="F624" t="s">
        <v>654</v>
      </c>
      <c r="G624" s="10">
        <v>6</v>
      </c>
      <c r="H624" s="10">
        <v>5666</v>
      </c>
      <c r="I624" s="10">
        <v>33996</v>
      </c>
      <c r="J624" t="s">
        <v>51</v>
      </c>
      <c r="K624" s="11">
        <v>648.20000000000005</v>
      </c>
      <c r="L624" s="12">
        <v>52.45</v>
      </c>
    </row>
    <row r="625" spans="1:12" x14ac:dyDescent="0.2">
      <c r="A625" s="9">
        <v>46238</v>
      </c>
      <c r="B625" t="s">
        <v>605</v>
      </c>
      <c r="C625" t="s">
        <v>606</v>
      </c>
      <c r="D625" t="s">
        <v>68</v>
      </c>
      <c r="E625" t="s">
        <v>647</v>
      </c>
      <c r="F625" t="s">
        <v>667</v>
      </c>
      <c r="G625" s="10">
        <v>79</v>
      </c>
      <c r="H625" s="10">
        <v>7611</v>
      </c>
      <c r="I625" s="10">
        <v>601269</v>
      </c>
      <c r="J625" t="s">
        <v>51</v>
      </c>
      <c r="K625" s="11">
        <v>648.20000000000005</v>
      </c>
      <c r="L625" s="12">
        <v>927.6</v>
      </c>
    </row>
    <row r="626" spans="1:12" x14ac:dyDescent="0.2">
      <c r="A626" s="9">
        <v>46238</v>
      </c>
      <c r="B626" t="s">
        <v>611</v>
      </c>
      <c r="C626" t="s">
        <v>612</v>
      </c>
      <c r="D626" t="s">
        <v>41</v>
      </c>
      <c r="E626" t="s">
        <v>649</v>
      </c>
      <c r="F626" t="s">
        <v>663</v>
      </c>
      <c r="G626" s="10">
        <v>6</v>
      </c>
      <c r="H626" s="10">
        <v>9480</v>
      </c>
      <c r="I626" s="10">
        <v>56880</v>
      </c>
      <c r="J626" t="s">
        <v>42</v>
      </c>
      <c r="K626" s="11">
        <v>3145.8</v>
      </c>
      <c r="L626" s="12">
        <v>18.079999999999998</v>
      </c>
    </row>
    <row r="627" spans="1:12" x14ac:dyDescent="0.2">
      <c r="A627" s="9">
        <v>46238</v>
      </c>
      <c r="B627" t="s">
        <v>611</v>
      </c>
      <c r="C627" t="s">
        <v>612</v>
      </c>
      <c r="D627" t="s">
        <v>41</v>
      </c>
      <c r="E627" t="s">
        <v>649</v>
      </c>
      <c r="F627" t="s">
        <v>663</v>
      </c>
      <c r="G627" s="10">
        <v>2</v>
      </c>
      <c r="H627" s="10">
        <v>9973</v>
      </c>
      <c r="I627" s="10">
        <v>19946</v>
      </c>
      <c r="J627" t="s">
        <v>42</v>
      </c>
      <c r="K627" s="11">
        <v>3145.8</v>
      </c>
      <c r="L627" s="12">
        <v>6.34</v>
      </c>
    </row>
    <row r="628" spans="1:12" x14ac:dyDescent="0.2">
      <c r="A628" s="9">
        <v>46238</v>
      </c>
      <c r="B628" t="s">
        <v>614</v>
      </c>
      <c r="C628" t="s">
        <v>615</v>
      </c>
      <c r="D628" t="s">
        <v>68</v>
      </c>
      <c r="E628" t="s">
        <v>649</v>
      </c>
      <c r="F628" t="s">
        <v>650</v>
      </c>
      <c r="G628" s="10">
        <v>11</v>
      </c>
      <c r="H628" s="10">
        <v>19296</v>
      </c>
      <c r="I628" s="10">
        <v>212256</v>
      </c>
      <c r="J628" t="s">
        <v>51</v>
      </c>
      <c r="K628" s="11">
        <v>648.20000000000005</v>
      </c>
      <c r="L628" s="12">
        <v>327.45</v>
      </c>
    </row>
    <row r="629" spans="1:12" x14ac:dyDescent="0.2">
      <c r="A629" s="9">
        <v>46238</v>
      </c>
      <c r="B629" t="s">
        <v>614</v>
      </c>
      <c r="C629" t="s">
        <v>615</v>
      </c>
      <c r="D629" t="s">
        <v>68</v>
      </c>
      <c r="E629" t="s">
        <v>647</v>
      </c>
      <c r="F629" t="s">
        <v>667</v>
      </c>
      <c r="G629" s="10">
        <v>6</v>
      </c>
      <c r="H629" s="10">
        <v>7517</v>
      </c>
      <c r="I629" s="10">
        <v>45102</v>
      </c>
      <c r="J629" t="s">
        <v>51</v>
      </c>
      <c r="K629" s="11">
        <v>648.20000000000005</v>
      </c>
      <c r="L629" s="12">
        <v>69.58</v>
      </c>
    </row>
    <row r="630" spans="1:12" x14ac:dyDescent="0.2">
      <c r="A630" s="9">
        <v>46238</v>
      </c>
      <c r="B630" t="s">
        <v>614</v>
      </c>
      <c r="C630" t="s">
        <v>615</v>
      </c>
      <c r="D630" t="s">
        <v>68</v>
      </c>
      <c r="E630" t="s">
        <v>655</v>
      </c>
      <c r="F630" t="s">
        <v>665</v>
      </c>
      <c r="G630" s="10">
        <v>8</v>
      </c>
      <c r="H630" s="10">
        <v>669</v>
      </c>
      <c r="I630" s="10">
        <v>5352</v>
      </c>
      <c r="J630" t="s">
        <v>51</v>
      </c>
      <c r="K630" s="11">
        <v>648.20000000000005</v>
      </c>
      <c r="L630" s="12">
        <v>8.26</v>
      </c>
    </row>
    <row r="631" spans="1:12" x14ac:dyDescent="0.2">
      <c r="A631" s="9">
        <v>46238</v>
      </c>
      <c r="B631" t="s">
        <v>617</v>
      </c>
      <c r="C631" t="s">
        <v>618</v>
      </c>
      <c r="D631" t="s">
        <v>75</v>
      </c>
      <c r="E631" t="s">
        <v>655</v>
      </c>
      <c r="F631" t="s">
        <v>665</v>
      </c>
      <c r="G631" s="10">
        <v>23</v>
      </c>
      <c r="H631" s="10">
        <v>3232</v>
      </c>
      <c r="I631" s="10">
        <v>74336</v>
      </c>
      <c r="J631" t="s">
        <v>42</v>
      </c>
      <c r="K631" s="11">
        <v>3145.8</v>
      </c>
      <c r="L631" s="12">
        <v>23.63</v>
      </c>
    </row>
    <row r="632" spans="1:12" x14ac:dyDescent="0.2">
      <c r="A632" s="9">
        <v>46238</v>
      </c>
      <c r="B632" t="s">
        <v>620</v>
      </c>
      <c r="C632" t="s">
        <v>621</v>
      </c>
      <c r="D632" t="s">
        <v>50</v>
      </c>
      <c r="E632" t="s">
        <v>653</v>
      </c>
      <c r="F632" t="s">
        <v>658</v>
      </c>
      <c r="G632" s="10">
        <v>13</v>
      </c>
      <c r="H632" s="10">
        <v>2764</v>
      </c>
      <c r="I632" s="10">
        <v>35932</v>
      </c>
      <c r="J632" t="s">
        <v>51</v>
      </c>
      <c r="K632" s="11">
        <v>648.20000000000005</v>
      </c>
      <c r="L632" s="12">
        <v>55.43</v>
      </c>
    </row>
    <row r="633" spans="1:12" x14ac:dyDescent="0.2">
      <c r="A633" s="9">
        <v>46238</v>
      </c>
      <c r="B633" t="s">
        <v>620</v>
      </c>
      <c r="C633" t="s">
        <v>621</v>
      </c>
      <c r="D633" t="s">
        <v>50</v>
      </c>
      <c r="E633" t="s">
        <v>649</v>
      </c>
      <c r="F633" t="s">
        <v>650</v>
      </c>
      <c r="G633" s="10">
        <v>20</v>
      </c>
      <c r="H633" s="10">
        <v>18830</v>
      </c>
      <c r="I633" s="10">
        <v>376600</v>
      </c>
      <c r="J633" t="s">
        <v>51</v>
      </c>
      <c r="K633" s="11">
        <v>648.20000000000005</v>
      </c>
      <c r="L633" s="12">
        <v>580.99</v>
      </c>
    </row>
    <row r="634" spans="1:12" x14ac:dyDescent="0.2">
      <c r="A634" s="9">
        <v>46238</v>
      </c>
      <c r="B634" t="s">
        <v>620</v>
      </c>
      <c r="C634" t="s">
        <v>621</v>
      </c>
      <c r="D634" t="s">
        <v>50</v>
      </c>
      <c r="E634" t="s">
        <v>655</v>
      </c>
      <c r="F634" t="s">
        <v>662</v>
      </c>
      <c r="G634" s="10">
        <v>1</v>
      </c>
      <c r="H634" s="10">
        <v>1139</v>
      </c>
      <c r="I634" s="10">
        <v>1139</v>
      </c>
      <c r="J634" t="s">
        <v>51</v>
      </c>
      <c r="K634" s="11">
        <v>648.20000000000005</v>
      </c>
      <c r="L634" s="12">
        <v>1.76</v>
      </c>
    </row>
    <row r="635" spans="1:12" x14ac:dyDescent="0.2">
      <c r="A635" s="9">
        <v>46238</v>
      </c>
      <c r="B635" t="s">
        <v>620</v>
      </c>
      <c r="C635" t="s">
        <v>621</v>
      </c>
      <c r="D635" t="s">
        <v>50</v>
      </c>
      <c r="E635" t="s">
        <v>660</v>
      </c>
      <c r="F635" t="s">
        <v>670</v>
      </c>
      <c r="G635" s="10">
        <v>5</v>
      </c>
      <c r="H635" s="10">
        <v>14644</v>
      </c>
      <c r="I635" s="10">
        <v>73220</v>
      </c>
      <c r="J635" t="s">
        <v>51</v>
      </c>
      <c r="K635" s="11">
        <v>648.20000000000005</v>
      </c>
      <c r="L635" s="12">
        <v>112.96</v>
      </c>
    </row>
    <row r="636" spans="1:12" x14ac:dyDescent="0.2">
      <c r="A636" s="9">
        <v>46238</v>
      </c>
      <c r="B636" t="s">
        <v>623</v>
      </c>
      <c r="C636" t="s">
        <v>624</v>
      </c>
      <c r="D636" t="s">
        <v>68</v>
      </c>
      <c r="E636" t="s">
        <v>649</v>
      </c>
      <c r="F636" t="s">
        <v>659</v>
      </c>
      <c r="G636" s="10">
        <v>24</v>
      </c>
      <c r="H636" s="10">
        <v>9149</v>
      </c>
      <c r="I636" s="10">
        <v>219576</v>
      </c>
      <c r="J636" t="s">
        <v>51</v>
      </c>
      <c r="K636" s="11">
        <v>648.20000000000005</v>
      </c>
      <c r="L636" s="12">
        <v>338.75</v>
      </c>
    </row>
    <row r="637" spans="1:12" x14ac:dyDescent="0.2">
      <c r="A637" s="9">
        <v>46238</v>
      </c>
      <c r="B637" t="s">
        <v>623</v>
      </c>
      <c r="C637" t="s">
        <v>624</v>
      </c>
      <c r="D637" t="s">
        <v>68</v>
      </c>
      <c r="E637" t="s">
        <v>660</v>
      </c>
      <c r="F637" t="s">
        <v>670</v>
      </c>
      <c r="G637" s="10">
        <v>51</v>
      </c>
      <c r="H637" s="10">
        <v>13996</v>
      </c>
      <c r="I637" s="10">
        <v>713796</v>
      </c>
      <c r="J637" t="s">
        <v>51</v>
      </c>
      <c r="K637" s="11">
        <v>648.20000000000005</v>
      </c>
      <c r="L637" s="12">
        <v>1101.2</v>
      </c>
    </row>
    <row r="638" spans="1:12" x14ac:dyDescent="0.2">
      <c r="A638" s="9">
        <v>46238</v>
      </c>
      <c r="B638" t="s">
        <v>623</v>
      </c>
      <c r="C638" t="s">
        <v>624</v>
      </c>
      <c r="D638" t="s">
        <v>68</v>
      </c>
      <c r="E638" t="s">
        <v>660</v>
      </c>
      <c r="F638" t="s">
        <v>670</v>
      </c>
      <c r="G638" s="10">
        <v>12</v>
      </c>
      <c r="H638" s="10">
        <v>14355</v>
      </c>
      <c r="I638" s="10">
        <v>172260</v>
      </c>
      <c r="J638" t="s">
        <v>51</v>
      </c>
      <c r="K638" s="11">
        <v>648.20000000000005</v>
      </c>
      <c r="L638" s="12">
        <v>265.75</v>
      </c>
    </row>
    <row r="639" spans="1:12" x14ac:dyDescent="0.2">
      <c r="A639" s="9">
        <v>46238</v>
      </c>
      <c r="B639" t="s">
        <v>623</v>
      </c>
      <c r="C639" t="s">
        <v>624</v>
      </c>
      <c r="D639" t="s">
        <v>68</v>
      </c>
      <c r="E639" t="s">
        <v>647</v>
      </c>
      <c r="F639" t="s">
        <v>668</v>
      </c>
      <c r="G639" s="10">
        <v>23</v>
      </c>
      <c r="H639" s="10">
        <v>24297</v>
      </c>
      <c r="I639" s="10">
        <v>558831</v>
      </c>
      <c r="J639" t="s">
        <v>51</v>
      </c>
      <c r="K639" s="11">
        <v>648.20000000000005</v>
      </c>
      <c r="L639" s="12">
        <v>862.13</v>
      </c>
    </row>
    <row r="640" spans="1:12" x14ac:dyDescent="0.2">
      <c r="A640" s="9">
        <v>46238</v>
      </c>
      <c r="B640" t="s">
        <v>623</v>
      </c>
      <c r="C640" t="s">
        <v>624</v>
      </c>
      <c r="D640" t="s">
        <v>68</v>
      </c>
      <c r="E640" t="s">
        <v>647</v>
      </c>
      <c r="F640" t="s">
        <v>667</v>
      </c>
      <c r="G640" s="10">
        <v>13</v>
      </c>
      <c r="H640" s="10">
        <v>7389</v>
      </c>
      <c r="I640" s="10">
        <v>96057</v>
      </c>
      <c r="J640" t="s">
        <v>51</v>
      </c>
      <c r="K640" s="11">
        <v>648.20000000000005</v>
      </c>
      <c r="L640" s="12">
        <v>148.19</v>
      </c>
    </row>
    <row r="641" spans="1:12" x14ac:dyDescent="0.2">
      <c r="A641" s="9">
        <v>46238</v>
      </c>
      <c r="B641" t="s">
        <v>623</v>
      </c>
      <c r="C641" t="s">
        <v>624</v>
      </c>
      <c r="D641" t="s">
        <v>68</v>
      </c>
      <c r="E641" t="s">
        <v>651</v>
      </c>
      <c r="F641" t="s">
        <v>664</v>
      </c>
      <c r="G641" s="10">
        <v>6</v>
      </c>
      <c r="H641" s="10">
        <v>11741</v>
      </c>
      <c r="I641" s="10">
        <v>70446</v>
      </c>
      <c r="J641" t="s">
        <v>51</v>
      </c>
      <c r="K641" s="11">
        <v>648.20000000000005</v>
      </c>
      <c r="L641" s="12">
        <v>108.68</v>
      </c>
    </row>
    <row r="642" spans="1:12" x14ac:dyDescent="0.2">
      <c r="A642" s="9">
        <v>46238</v>
      </c>
      <c r="B642" t="s">
        <v>626</v>
      </c>
      <c r="C642" t="s">
        <v>627</v>
      </c>
      <c r="D642" t="s">
        <v>50</v>
      </c>
      <c r="E642" t="s">
        <v>647</v>
      </c>
      <c r="F642" t="s">
        <v>668</v>
      </c>
      <c r="G642" s="10">
        <v>16</v>
      </c>
      <c r="H642" s="10">
        <v>24686</v>
      </c>
      <c r="I642" s="10">
        <v>394976</v>
      </c>
      <c r="J642" t="s">
        <v>51</v>
      </c>
      <c r="K642" s="11">
        <v>648.20000000000005</v>
      </c>
      <c r="L642" s="12">
        <v>609.34</v>
      </c>
    </row>
    <row r="643" spans="1:12" x14ac:dyDescent="0.2">
      <c r="A643" s="9">
        <v>46238</v>
      </c>
      <c r="B643" t="s">
        <v>629</v>
      </c>
      <c r="C643" t="s">
        <v>630</v>
      </c>
      <c r="D643" t="s">
        <v>46</v>
      </c>
      <c r="E643" t="s">
        <v>649</v>
      </c>
      <c r="F643" t="s">
        <v>650</v>
      </c>
      <c r="G643" s="10">
        <v>15</v>
      </c>
      <c r="H643" s="10">
        <v>18928</v>
      </c>
      <c r="I643" s="10">
        <v>283920</v>
      </c>
      <c r="J643" t="s">
        <v>37</v>
      </c>
      <c r="K643" s="11">
        <v>648.20000000000005</v>
      </c>
      <c r="L643" s="12">
        <v>438.01</v>
      </c>
    </row>
    <row r="644" spans="1:12" x14ac:dyDescent="0.2">
      <c r="A644" s="9">
        <v>46239</v>
      </c>
      <c r="B644" t="s">
        <v>34</v>
      </c>
      <c r="C644" t="s">
        <v>35</v>
      </c>
      <c r="D644" t="s">
        <v>36</v>
      </c>
      <c r="E644" t="s">
        <v>651</v>
      </c>
      <c r="F644" t="s">
        <v>664</v>
      </c>
      <c r="G644" s="10">
        <v>8</v>
      </c>
      <c r="H644" s="10">
        <v>12098</v>
      </c>
      <c r="I644" s="10">
        <v>96784</v>
      </c>
      <c r="J644" t="s">
        <v>37</v>
      </c>
      <c r="K644" s="11">
        <v>648.20000000000005</v>
      </c>
      <c r="L644" s="12">
        <v>149.31</v>
      </c>
    </row>
    <row r="645" spans="1:12" x14ac:dyDescent="0.2">
      <c r="A645" s="9">
        <v>46239</v>
      </c>
      <c r="B645" t="s">
        <v>44</v>
      </c>
      <c r="C645" t="s">
        <v>45</v>
      </c>
      <c r="D645" t="s">
        <v>46</v>
      </c>
      <c r="E645" t="s">
        <v>653</v>
      </c>
      <c r="F645" t="s">
        <v>658</v>
      </c>
      <c r="G645" s="10">
        <v>6</v>
      </c>
      <c r="H645" s="10">
        <v>2687</v>
      </c>
      <c r="I645" s="10">
        <v>16122</v>
      </c>
      <c r="J645" t="s">
        <v>37</v>
      </c>
      <c r="K645" s="11">
        <v>648.20000000000005</v>
      </c>
      <c r="L645" s="12">
        <v>24.87</v>
      </c>
    </row>
    <row r="646" spans="1:12" x14ac:dyDescent="0.2">
      <c r="A646" s="9">
        <v>46239</v>
      </c>
      <c r="B646" t="s">
        <v>48</v>
      </c>
      <c r="C646" t="s">
        <v>49</v>
      </c>
      <c r="D646" t="s">
        <v>50</v>
      </c>
      <c r="E646" t="s">
        <v>649</v>
      </c>
      <c r="F646" t="s">
        <v>659</v>
      </c>
      <c r="G646" s="10">
        <v>7</v>
      </c>
      <c r="H646" s="10">
        <v>9058</v>
      </c>
      <c r="I646" s="10">
        <v>63406</v>
      </c>
      <c r="J646" t="s">
        <v>51</v>
      </c>
      <c r="K646" s="11">
        <v>648.20000000000005</v>
      </c>
      <c r="L646" s="12">
        <v>97.82</v>
      </c>
    </row>
    <row r="647" spans="1:12" x14ac:dyDescent="0.2">
      <c r="A647" s="9">
        <v>46239</v>
      </c>
      <c r="B647" t="s">
        <v>53</v>
      </c>
      <c r="C647" t="s">
        <v>54</v>
      </c>
      <c r="D647" t="s">
        <v>41</v>
      </c>
      <c r="E647" t="s">
        <v>649</v>
      </c>
      <c r="F647" t="s">
        <v>663</v>
      </c>
      <c r="G647" s="10">
        <v>24</v>
      </c>
      <c r="H647" s="10">
        <v>9713</v>
      </c>
      <c r="I647" s="10">
        <v>233112</v>
      </c>
      <c r="J647" t="s">
        <v>42</v>
      </c>
      <c r="K647" s="11">
        <v>3145.8</v>
      </c>
      <c r="L647" s="12">
        <v>74.099999999999994</v>
      </c>
    </row>
    <row r="648" spans="1:12" x14ac:dyDescent="0.2">
      <c r="A648" s="9">
        <v>46239</v>
      </c>
      <c r="B648" t="s">
        <v>56</v>
      </c>
      <c r="C648" t="s">
        <v>57</v>
      </c>
      <c r="D648" t="s">
        <v>46</v>
      </c>
      <c r="E648" t="s">
        <v>653</v>
      </c>
      <c r="F648" t="s">
        <v>654</v>
      </c>
      <c r="G648" s="10">
        <v>3</v>
      </c>
      <c r="H648" s="10">
        <v>5471</v>
      </c>
      <c r="I648" s="10">
        <v>16413</v>
      </c>
      <c r="J648" t="s">
        <v>37</v>
      </c>
      <c r="K648" s="11">
        <v>648.20000000000005</v>
      </c>
      <c r="L648" s="12">
        <v>25.32</v>
      </c>
    </row>
    <row r="649" spans="1:12" x14ac:dyDescent="0.2">
      <c r="A649" s="9">
        <v>46239</v>
      </c>
      <c r="B649" t="s">
        <v>56</v>
      </c>
      <c r="C649" t="s">
        <v>57</v>
      </c>
      <c r="D649" t="s">
        <v>46</v>
      </c>
      <c r="E649" t="s">
        <v>647</v>
      </c>
      <c r="F649" t="s">
        <v>668</v>
      </c>
      <c r="G649" s="10">
        <v>16</v>
      </c>
      <c r="H649" s="10">
        <v>24451</v>
      </c>
      <c r="I649" s="10">
        <v>391216</v>
      </c>
      <c r="J649" t="s">
        <v>37</v>
      </c>
      <c r="K649" s="11">
        <v>648.20000000000005</v>
      </c>
      <c r="L649" s="12">
        <v>603.54</v>
      </c>
    </row>
    <row r="650" spans="1:12" x14ac:dyDescent="0.2">
      <c r="A650" s="9">
        <v>46239</v>
      </c>
      <c r="B650" t="s">
        <v>60</v>
      </c>
      <c r="C650" t="s">
        <v>61</v>
      </c>
      <c r="D650" t="s">
        <v>41</v>
      </c>
      <c r="E650" t="s">
        <v>649</v>
      </c>
      <c r="F650" t="s">
        <v>650</v>
      </c>
      <c r="G650" s="10">
        <v>2</v>
      </c>
      <c r="H650" s="10">
        <v>90238</v>
      </c>
      <c r="I650" s="10">
        <v>180476</v>
      </c>
      <c r="J650" t="s">
        <v>42</v>
      </c>
      <c r="K650" s="11">
        <v>3145.8</v>
      </c>
      <c r="L650" s="12">
        <v>57.37</v>
      </c>
    </row>
    <row r="651" spans="1:12" x14ac:dyDescent="0.2">
      <c r="A651" s="9">
        <v>46239</v>
      </c>
      <c r="B651" t="s">
        <v>60</v>
      </c>
      <c r="C651" t="s">
        <v>61</v>
      </c>
      <c r="D651" t="s">
        <v>41</v>
      </c>
      <c r="E651" t="s">
        <v>649</v>
      </c>
      <c r="F651" t="s">
        <v>650</v>
      </c>
      <c r="G651" s="10">
        <v>2</v>
      </c>
      <c r="H651" s="10">
        <v>96490</v>
      </c>
      <c r="I651" s="10">
        <v>192980</v>
      </c>
      <c r="J651" t="s">
        <v>42</v>
      </c>
      <c r="K651" s="11">
        <v>3145.8</v>
      </c>
      <c r="L651" s="12">
        <v>61.35</v>
      </c>
    </row>
    <row r="652" spans="1:12" x14ac:dyDescent="0.2">
      <c r="A652" s="9">
        <v>46239</v>
      </c>
      <c r="B652" t="s">
        <v>60</v>
      </c>
      <c r="C652" t="s">
        <v>61</v>
      </c>
      <c r="D652" t="s">
        <v>41</v>
      </c>
      <c r="E652" t="s">
        <v>649</v>
      </c>
      <c r="F652" t="s">
        <v>663</v>
      </c>
      <c r="G652" s="10">
        <v>44</v>
      </c>
      <c r="H652" s="10">
        <v>10004</v>
      </c>
      <c r="I652" s="10">
        <v>440176</v>
      </c>
      <c r="J652" t="s">
        <v>42</v>
      </c>
      <c r="K652" s="11">
        <v>3145.8</v>
      </c>
      <c r="L652" s="12">
        <v>139.91999999999999</v>
      </c>
    </row>
    <row r="653" spans="1:12" x14ac:dyDescent="0.2">
      <c r="A653" s="9">
        <v>46239</v>
      </c>
      <c r="B653" t="s">
        <v>70</v>
      </c>
      <c r="C653" t="s">
        <v>71</v>
      </c>
      <c r="D653" t="s">
        <v>46</v>
      </c>
      <c r="E653" t="s">
        <v>653</v>
      </c>
      <c r="F653" t="s">
        <v>658</v>
      </c>
      <c r="G653" s="10">
        <v>8</v>
      </c>
      <c r="H653" s="10">
        <v>2769</v>
      </c>
      <c r="I653" s="10">
        <v>22152</v>
      </c>
      <c r="J653" t="s">
        <v>37</v>
      </c>
      <c r="K653" s="11">
        <v>648.20000000000005</v>
      </c>
      <c r="L653" s="12">
        <v>34.17</v>
      </c>
    </row>
    <row r="654" spans="1:12" x14ac:dyDescent="0.2">
      <c r="A654" s="9">
        <v>46239</v>
      </c>
      <c r="B654" t="s">
        <v>73</v>
      </c>
      <c r="C654" t="s">
        <v>74</v>
      </c>
      <c r="D654" t="s">
        <v>75</v>
      </c>
      <c r="E654" t="s">
        <v>647</v>
      </c>
      <c r="F654" t="s">
        <v>648</v>
      </c>
      <c r="G654" s="10">
        <v>9</v>
      </c>
      <c r="H654" s="10">
        <v>77894</v>
      </c>
      <c r="I654" s="10">
        <v>701046</v>
      </c>
      <c r="J654" t="s">
        <v>42</v>
      </c>
      <c r="K654" s="11">
        <v>3145.8</v>
      </c>
      <c r="L654" s="12">
        <v>222.85</v>
      </c>
    </row>
    <row r="655" spans="1:12" x14ac:dyDescent="0.2">
      <c r="A655" s="9">
        <v>46239</v>
      </c>
      <c r="B655" t="s">
        <v>73</v>
      </c>
      <c r="C655" t="s">
        <v>74</v>
      </c>
      <c r="D655" t="s">
        <v>75</v>
      </c>
      <c r="E655" t="s">
        <v>651</v>
      </c>
      <c r="F655" t="s">
        <v>657</v>
      </c>
      <c r="G655" s="10">
        <v>15</v>
      </c>
      <c r="H655" s="10">
        <v>30476</v>
      </c>
      <c r="I655" s="10">
        <v>457140</v>
      </c>
      <c r="J655" t="s">
        <v>42</v>
      </c>
      <c r="K655" s="11">
        <v>3145.8</v>
      </c>
      <c r="L655" s="12">
        <v>145.32</v>
      </c>
    </row>
    <row r="656" spans="1:12" x14ac:dyDescent="0.2">
      <c r="A656" s="9">
        <v>46239</v>
      </c>
      <c r="B656" t="s">
        <v>83</v>
      </c>
      <c r="C656" t="s">
        <v>84</v>
      </c>
      <c r="D656" t="s">
        <v>41</v>
      </c>
      <c r="E656" t="s">
        <v>651</v>
      </c>
      <c r="F656" t="s">
        <v>652</v>
      </c>
      <c r="G656" s="10">
        <v>16</v>
      </c>
      <c r="H656" s="10">
        <v>47158</v>
      </c>
      <c r="I656" s="10">
        <v>754528</v>
      </c>
      <c r="J656" t="s">
        <v>42</v>
      </c>
      <c r="K656" s="11">
        <v>3145.8</v>
      </c>
      <c r="L656" s="12">
        <v>239.85</v>
      </c>
    </row>
    <row r="657" spans="1:12" x14ac:dyDescent="0.2">
      <c r="A657" s="9">
        <v>46239</v>
      </c>
      <c r="B657" t="s">
        <v>83</v>
      </c>
      <c r="C657" t="s">
        <v>84</v>
      </c>
      <c r="D657" t="s">
        <v>41</v>
      </c>
      <c r="E657" t="s">
        <v>651</v>
      </c>
      <c r="F657" t="s">
        <v>657</v>
      </c>
      <c r="G657" s="10">
        <v>6</v>
      </c>
      <c r="H657" s="10">
        <v>30119</v>
      </c>
      <c r="I657" s="10">
        <v>180714</v>
      </c>
      <c r="J657" t="s">
        <v>42</v>
      </c>
      <c r="K657" s="11">
        <v>3145.8</v>
      </c>
      <c r="L657" s="12">
        <v>57.45</v>
      </c>
    </row>
    <row r="658" spans="1:12" x14ac:dyDescent="0.2">
      <c r="A658" s="9">
        <v>46239</v>
      </c>
      <c r="B658" t="s">
        <v>86</v>
      </c>
      <c r="C658" t="s">
        <v>87</v>
      </c>
      <c r="D658" t="s">
        <v>50</v>
      </c>
      <c r="E658" t="s">
        <v>649</v>
      </c>
      <c r="F658" t="s">
        <v>663</v>
      </c>
      <c r="G658" s="10">
        <v>3</v>
      </c>
      <c r="H658" s="10">
        <v>1967</v>
      </c>
      <c r="I658" s="10">
        <v>5901</v>
      </c>
      <c r="J658" t="s">
        <v>51</v>
      </c>
      <c r="K658" s="11">
        <v>648.20000000000005</v>
      </c>
      <c r="L658" s="12">
        <v>9.1</v>
      </c>
    </row>
    <row r="659" spans="1:12" x14ac:dyDescent="0.2">
      <c r="A659" s="9">
        <v>46239</v>
      </c>
      <c r="B659" t="s">
        <v>89</v>
      </c>
      <c r="C659" t="s">
        <v>90</v>
      </c>
      <c r="D659" t="s">
        <v>68</v>
      </c>
      <c r="E659" t="s">
        <v>647</v>
      </c>
      <c r="F659" t="s">
        <v>648</v>
      </c>
      <c r="G659" s="10">
        <v>15</v>
      </c>
      <c r="H659" s="10">
        <v>16763</v>
      </c>
      <c r="I659" s="10">
        <v>251445</v>
      </c>
      <c r="J659" t="s">
        <v>51</v>
      </c>
      <c r="K659" s="11">
        <v>648.20000000000005</v>
      </c>
      <c r="L659" s="12">
        <v>387.91</v>
      </c>
    </row>
    <row r="660" spans="1:12" x14ac:dyDescent="0.2">
      <c r="A660" s="9">
        <v>46239</v>
      </c>
      <c r="B660" t="s">
        <v>96</v>
      </c>
      <c r="C660" t="s">
        <v>97</v>
      </c>
      <c r="D660" t="s">
        <v>41</v>
      </c>
      <c r="E660" t="s">
        <v>655</v>
      </c>
      <c r="F660" t="s">
        <v>656</v>
      </c>
      <c r="G660" s="10">
        <v>25</v>
      </c>
      <c r="H660" s="10">
        <v>2906</v>
      </c>
      <c r="I660" s="10">
        <v>72650</v>
      </c>
      <c r="J660" t="s">
        <v>42</v>
      </c>
      <c r="K660" s="11">
        <v>3145.8</v>
      </c>
      <c r="L660" s="12">
        <v>23.09</v>
      </c>
    </row>
    <row r="661" spans="1:12" x14ac:dyDescent="0.2">
      <c r="A661" s="9">
        <v>46239</v>
      </c>
      <c r="B661" t="s">
        <v>96</v>
      </c>
      <c r="C661" t="s">
        <v>97</v>
      </c>
      <c r="D661" t="s">
        <v>41</v>
      </c>
      <c r="E661" t="s">
        <v>651</v>
      </c>
      <c r="F661" t="s">
        <v>657</v>
      </c>
      <c r="G661" s="10">
        <v>7</v>
      </c>
      <c r="H661" s="10">
        <v>31911</v>
      </c>
      <c r="I661" s="10">
        <v>223377</v>
      </c>
      <c r="J661" t="s">
        <v>42</v>
      </c>
      <c r="K661" s="11">
        <v>3145.8</v>
      </c>
      <c r="L661" s="12">
        <v>71.010000000000005</v>
      </c>
    </row>
    <row r="662" spans="1:12" x14ac:dyDescent="0.2">
      <c r="A662" s="9">
        <v>46239</v>
      </c>
      <c r="B662" t="s">
        <v>111</v>
      </c>
      <c r="C662" t="s">
        <v>112</v>
      </c>
      <c r="D662" t="s">
        <v>41</v>
      </c>
      <c r="E662" t="s">
        <v>649</v>
      </c>
      <c r="F662" t="s">
        <v>663</v>
      </c>
      <c r="G662" s="10">
        <v>30</v>
      </c>
      <c r="H662" s="10">
        <v>9529</v>
      </c>
      <c r="I662" s="10">
        <v>285870</v>
      </c>
      <c r="J662" t="s">
        <v>42</v>
      </c>
      <c r="K662" s="11">
        <v>3145.8</v>
      </c>
      <c r="L662" s="12">
        <v>90.87</v>
      </c>
    </row>
    <row r="663" spans="1:12" x14ac:dyDescent="0.2">
      <c r="A663" s="9">
        <v>46239</v>
      </c>
      <c r="B663" t="s">
        <v>115</v>
      </c>
      <c r="C663" t="s">
        <v>116</v>
      </c>
      <c r="D663" t="s">
        <v>41</v>
      </c>
      <c r="E663" t="s">
        <v>653</v>
      </c>
      <c r="F663" t="s">
        <v>666</v>
      </c>
      <c r="G663" s="10">
        <v>9</v>
      </c>
      <c r="H663" s="10">
        <v>7145</v>
      </c>
      <c r="I663" s="10">
        <v>64305</v>
      </c>
      <c r="J663" t="s">
        <v>42</v>
      </c>
      <c r="K663" s="11">
        <v>3145.8</v>
      </c>
      <c r="L663" s="12">
        <v>20.440000000000001</v>
      </c>
    </row>
    <row r="664" spans="1:12" x14ac:dyDescent="0.2">
      <c r="A664" s="9">
        <v>46239</v>
      </c>
      <c r="B664" t="s">
        <v>115</v>
      </c>
      <c r="C664" t="s">
        <v>116</v>
      </c>
      <c r="D664" t="s">
        <v>41</v>
      </c>
      <c r="E664" t="s">
        <v>647</v>
      </c>
      <c r="F664" t="s">
        <v>668</v>
      </c>
      <c r="G664" s="10">
        <v>16</v>
      </c>
      <c r="H664" s="10">
        <v>119537</v>
      </c>
      <c r="I664" s="10">
        <v>1912592</v>
      </c>
      <c r="J664" t="s">
        <v>42</v>
      </c>
      <c r="K664" s="11">
        <v>3145.8</v>
      </c>
      <c r="L664" s="12">
        <v>607.98</v>
      </c>
    </row>
    <row r="665" spans="1:12" x14ac:dyDescent="0.2">
      <c r="A665" s="9">
        <v>46239</v>
      </c>
      <c r="B665" t="s">
        <v>115</v>
      </c>
      <c r="C665" t="s">
        <v>116</v>
      </c>
      <c r="D665" t="s">
        <v>41</v>
      </c>
      <c r="E665" t="s">
        <v>647</v>
      </c>
      <c r="F665" t="s">
        <v>668</v>
      </c>
      <c r="G665" s="10">
        <v>21</v>
      </c>
      <c r="H665" s="10">
        <v>120860</v>
      </c>
      <c r="I665" s="10">
        <v>2538060</v>
      </c>
      <c r="J665" t="s">
        <v>42</v>
      </c>
      <c r="K665" s="11">
        <v>3145.8</v>
      </c>
      <c r="L665" s="12">
        <v>806.81</v>
      </c>
    </row>
    <row r="666" spans="1:12" x14ac:dyDescent="0.2">
      <c r="A666" s="9">
        <v>46239</v>
      </c>
      <c r="B666" t="s">
        <v>115</v>
      </c>
      <c r="C666" t="s">
        <v>116</v>
      </c>
      <c r="D666" t="s">
        <v>41</v>
      </c>
      <c r="E666" t="s">
        <v>647</v>
      </c>
      <c r="F666" t="s">
        <v>667</v>
      </c>
      <c r="G666" s="10">
        <v>2</v>
      </c>
      <c r="H666" s="10">
        <v>36302</v>
      </c>
      <c r="I666" s="10">
        <v>72604</v>
      </c>
      <c r="J666" t="s">
        <v>42</v>
      </c>
      <c r="K666" s="11">
        <v>3145.8</v>
      </c>
      <c r="L666" s="12">
        <v>23.08</v>
      </c>
    </row>
    <row r="667" spans="1:12" x14ac:dyDescent="0.2">
      <c r="A667" s="9">
        <v>46239</v>
      </c>
      <c r="B667" t="s">
        <v>118</v>
      </c>
      <c r="C667" t="s">
        <v>119</v>
      </c>
      <c r="D667" t="s">
        <v>36</v>
      </c>
      <c r="E667" t="s">
        <v>647</v>
      </c>
      <c r="F667" t="s">
        <v>648</v>
      </c>
      <c r="G667" s="10">
        <v>23</v>
      </c>
      <c r="H667" s="10">
        <v>15763</v>
      </c>
      <c r="I667" s="10">
        <v>362549</v>
      </c>
      <c r="J667" t="s">
        <v>37</v>
      </c>
      <c r="K667" s="11">
        <v>648.20000000000005</v>
      </c>
      <c r="L667" s="12">
        <v>559.32000000000005</v>
      </c>
    </row>
    <row r="668" spans="1:12" x14ac:dyDescent="0.2">
      <c r="A668" s="9">
        <v>46239</v>
      </c>
      <c r="B668" t="s">
        <v>121</v>
      </c>
      <c r="C668" t="s">
        <v>122</v>
      </c>
      <c r="D668" t="s">
        <v>75</v>
      </c>
      <c r="E668" t="s">
        <v>660</v>
      </c>
      <c r="F668" t="s">
        <v>661</v>
      </c>
      <c r="G668" s="10">
        <v>2</v>
      </c>
      <c r="H668" s="10">
        <v>21081</v>
      </c>
      <c r="I668" s="10">
        <v>42162</v>
      </c>
      <c r="J668" t="s">
        <v>42</v>
      </c>
      <c r="K668" s="11">
        <v>3145.8</v>
      </c>
      <c r="L668" s="12">
        <v>13.4</v>
      </c>
    </row>
    <row r="669" spans="1:12" x14ac:dyDescent="0.2">
      <c r="A669" s="9">
        <v>46239</v>
      </c>
      <c r="B669" t="s">
        <v>121</v>
      </c>
      <c r="C669" t="s">
        <v>122</v>
      </c>
      <c r="D669" t="s">
        <v>75</v>
      </c>
      <c r="E669" t="s">
        <v>655</v>
      </c>
      <c r="F669" t="s">
        <v>665</v>
      </c>
      <c r="G669" s="10">
        <v>4</v>
      </c>
      <c r="H669" s="10">
        <v>3417</v>
      </c>
      <c r="I669" s="10">
        <v>13668</v>
      </c>
      <c r="J669" t="s">
        <v>42</v>
      </c>
      <c r="K669" s="11">
        <v>3145.8</v>
      </c>
      <c r="L669" s="12">
        <v>4.34</v>
      </c>
    </row>
    <row r="670" spans="1:12" x14ac:dyDescent="0.2">
      <c r="A670" s="9">
        <v>46239</v>
      </c>
      <c r="B670" t="s">
        <v>124</v>
      </c>
      <c r="C670" t="s">
        <v>125</v>
      </c>
      <c r="D670" t="s">
        <v>75</v>
      </c>
      <c r="E670" t="s">
        <v>647</v>
      </c>
      <c r="F670" t="s">
        <v>668</v>
      </c>
      <c r="G670" s="10">
        <v>14</v>
      </c>
      <c r="H670" s="10">
        <v>121657</v>
      </c>
      <c r="I670" s="10">
        <v>1703198</v>
      </c>
      <c r="J670" t="s">
        <v>42</v>
      </c>
      <c r="K670" s="11">
        <v>3145.8</v>
      </c>
      <c r="L670" s="12">
        <v>541.41999999999996</v>
      </c>
    </row>
    <row r="671" spans="1:12" x14ac:dyDescent="0.2">
      <c r="A671" s="9">
        <v>46239</v>
      </c>
      <c r="B671" t="s">
        <v>124</v>
      </c>
      <c r="C671" t="s">
        <v>125</v>
      </c>
      <c r="D671" t="s">
        <v>75</v>
      </c>
      <c r="E671" t="s">
        <v>647</v>
      </c>
      <c r="F671" t="s">
        <v>667</v>
      </c>
      <c r="G671" s="10">
        <v>15</v>
      </c>
      <c r="H671" s="10">
        <v>35269</v>
      </c>
      <c r="I671" s="10">
        <v>529035</v>
      </c>
      <c r="J671" t="s">
        <v>42</v>
      </c>
      <c r="K671" s="11">
        <v>3145.8</v>
      </c>
      <c r="L671" s="12">
        <v>168.17</v>
      </c>
    </row>
    <row r="672" spans="1:12" x14ac:dyDescent="0.2">
      <c r="A672" s="9">
        <v>46239</v>
      </c>
      <c r="B672" t="s">
        <v>124</v>
      </c>
      <c r="C672" t="s">
        <v>125</v>
      </c>
      <c r="D672" t="s">
        <v>75</v>
      </c>
      <c r="E672" t="s">
        <v>651</v>
      </c>
      <c r="F672" t="s">
        <v>657</v>
      </c>
      <c r="G672" s="10">
        <v>10</v>
      </c>
      <c r="H672" s="10">
        <v>31921</v>
      </c>
      <c r="I672" s="10">
        <v>319210</v>
      </c>
      <c r="J672" t="s">
        <v>42</v>
      </c>
      <c r="K672" s="11">
        <v>3145.8</v>
      </c>
      <c r="L672" s="12">
        <v>101.47</v>
      </c>
    </row>
    <row r="673" spans="1:12" x14ac:dyDescent="0.2">
      <c r="A673" s="9">
        <v>46239</v>
      </c>
      <c r="B673" t="s">
        <v>127</v>
      </c>
      <c r="C673" t="s">
        <v>128</v>
      </c>
      <c r="D673" t="s">
        <v>41</v>
      </c>
      <c r="E673" t="s">
        <v>660</v>
      </c>
      <c r="F673" t="s">
        <v>661</v>
      </c>
      <c r="G673" s="10">
        <v>3</v>
      </c>
      <c r="H673" s="10">
        <v>21076</v>
      </c>
      <c r="I673" s="10">
        <v>63228</v>
      </c>
      <c r="J673" t="s">
        <v>42</v>
      </c>
      <c r="K673" s="11">
        <v>3145.8</v>
      </c>
      <c r="L673" s="12">
        <v>20.100000000000001</v>
      </c>
    </row>
    <row r="674" spans="1:12" x14ac:dyDescent="0.2">
      <c r="A674" s="9">
        <v>46239</v>
      </c>
      <c r="B674" t="s">
        <v>136</v>
      </c>
      <c r="C674" t="s">
        <v>137</v>
      </c>
      <c r="D674" t="s">
        <v>41</v>
      </c>
      <c r="E674" t="s">
        <v>649</v>
      </c>
      <c r="F674" t="s">
        <v>650</v>
      </c>
      <c r="G674" s="10">
        <v>11</v>
      </c>
      <c r="H674" s="10">
        <v>92494</v>
      </c>
      <c r="I674" s="10">
        <v>1017434</v>
      </c>
      <c r="J674" t="s">
        <v>42</v>
      </c>
      <c r="K674" s="11">
        <v>3145.8</v>
      </c>
      <c r="L674" s="12">
        <v>323.43</v>
      </c>
    </row>
    <row r="675" spans="1:12" x14ac:dyDescent="0.2">
      <c r="A675" s="9">
        <v>46239</v>
      </c>
      <c r="B675" t="s">
        <v>136</v>
      </c>
      <c r="C675" t="s">
        <v>137</v>
      </c>
      <c r="D675" t="s">
        <v>41</v>
      </c>
      <c r="E675" t="s">
        <v>647</v>
      </c>
      <c r="F675" t="s">
        <v>648</v>
      </c>
      <c r="G675" s="10">
        <v>5</v>
      </c>
      <c r="H675" s="10">
        <v>75751</v>
      </c>
      <c r="I675" s="10">
        <v>378755</v>
      </c>
      <c r="J675" t="s">
        <v>42</v>
      </c>
      <c r="K675" s="11">
        <v>3145.8</v>
      </c>
      <c r="L675" s="12">
        <v>120.4</v>
      </c>
    </row>
    <row r="676" spans="1:12" x14ac:dyDescent="0.2">
      <c r="A676" s="9">
        <v>46239</v>
      </c>
      <c r="B676" t="s">
        <v>136</v>
      </c>
      <c r="C676" t="s">
        <v>137</v>
      </c>
      <c r="D676" t="s">
        <v>41</v>
      </c>
      <c r="E676" t="s">
        <v>647</v>
      </c>
      <c r="F676" t="s">
        <v>648</v>
      </c>
      <c r="G676" s="10">
        <v>11</v>
      </c>
      <c r="H676" s="10">
        <v>78672</v>
      </c>
      <c r="I676" s="10">
        <v>865392</v>
      </c>
      <c r="J676" t="s">
        <v>42</v>
      </c>
      <c r="K676" s="11">
        <v>3145.8</v>
      </c>
      <c r="L676" s="12">
        <v>275.08999999999997</v>
      </c>
    </row>
    <row r="677" spans="1:12" x14ac:dyDescent="0.2">
      <c r="A677" s="9">
        <v>46239</v>
      </c>
      <c r="B677" t="s">
        <v>142</v>
      </c>
      <c r="C677" t="s">
        <v>143</v>
      </c>
      <c r="D677" t="s">
        <v>75</v>
      </c>
      <c r="E677" t="s">
        <v>649</v>
      </c>
      <c r="F677" t="s">
        <v>650</v>
      </c>
      <c r="G677" s="10">
        <v>18</v>
      </c>
      <c r="H677" s="10">
        <v>96738</v>
      </c>
      <c r="I677" s="10">
        <v>1741284</v>
      </c>
      <c r="J677" t="s">
        <v>42</v>
      </c>
      <c r="K677" s="11">
        <v>3145.8</v>
      </c>
      <c r="L677" s="12">
        <v>553.53</v>
      </c>
    </row>
    <row r="678" spans="1:12" x14ac:dyDescent="0.2">
      <c r="A678" s="9">
        <v>46239</v>
      </c>
      <c r="B678" t="s">
        <v>142</v>
      </c>
      <c r="C678" t="s">
        <v>143</v>
      </c>
      <c r="D678" t="s">
        <v>75</v>
      </c>
      <c r="E678" t="s">
        <v>660</v>
      </c>
      <c r="F678" t="s">
        <v>670</v>
      </c>
      <c r="G678" s="10">
        <v>50</v>
      </c>
      <c r="H678" s="10">
        <v>69172</v>
      </c>
      <c r="I678" s="10">
        <v>3458600</v>
      </c>
      <c r="J678" t="s">
        <v>42</v>
      </c>
      <c r="K678" s="11">
        <v>3145.8</v>
      </c>
      <c r="L678" s="12">
        <v>1099.43</v>
      </c>
    </row>
    <row r="679" spans="1:12" x14ac:dyDescent="0.2">
      <c r="A679" s="9">
        <v>46239</v>
      </c>
      <c r="B679" t="s">
        <v>142</v>
      </c>
      <c r="C679" t="s">
        <v>143</v>
      </c>
      <c r="D679" t="s">
        <v>75</v>
      </c>
      <c r="E679" t="s">
        <v>651</v>
      </c>
      <c r="F679" t="s">
        <v>657</v>
      </c>
      <c r="G679" s="10">
        <v>27</v>
      </c>
      <c r="H679" s="10">
        <v>31324</v>
      </c>
      <c r="I679" s="10">
        <v>845748</v>
      </c>
      <c r="J679" t="s">
        <v>42</v>
      </c>
      <c r="K679" s="11">
        <v>3145.8</v>
      </c>
      <c r="L679" s="12">
        <v>268.85000000000002</v>
      </c>
    </row>
    <row r="680" spans="1:12" x14ac:dyDescent="0.2">
      <c r="A680" s="9">
        <v>46239</v>
      </c>
      <c r="B680" t="s">
        <v>145</v>
      </c>
      <c r="C680" t="s">
        <v>146</v>
      </c>
      <c r="D680" t="s">
        <v>68</v>
      </c>
      <c r="E680" t="s">
        <v>655</v>
      </c>
      <c r="F680" t="s">
        <v>665</v>
      </c>
      <c r="G680" s="10">
        <v>2</v>
      </c>
      <c r="H680" s="10">
        <v>714</v>
      </c>
      <c r="I680" s="10">
        <v>1428</v>
      </c>
      <c r="J680" t="s">
        <v>51</v>
      </c>
      <c r="K680" s="11">
        <v>648.20000000000005</v>
      </c>
      <c r="L680" s="12">
        <v>2.2000000000000002</v>
      </c>
    </row>
    <row r="681" spans="1:12" x14ac:dyDescent="0.2">
      <c r="A681" s="9">
        <v>46239</v>
      </c>
      <c r="B681" t="s">
        <v>149</v>
      </c>
      <c r="C681" t="s">
        <v>150</v>
      </c>
      <c r="D681" t="s">
        <v>50</v>
      </c>
      <c r="E681" t="s">
        <v>649</v>
      </c>
      <c r="F681" t="s">
        <v>663</v>
      </c>
      <c r="G681" s="10">
        <v>14</v>
      </c>
      <c r="H681" s="10">
        <v>2041</v>
      </c>
      <c r="I681" s="10">
        <v>28574</v>
      </c>
      <c r="J681" t="s">
        <v>51</v>
      </c>
      <c r="K681" s="11">
        <v>648.20000000000005</v>
      </c>
      <c r="L681" s="12">
        <v>44.08</v>
      </c>
    </row>
    <row r="682" spans="1:12" x14ac:dyDescent="0.2">
      <c r="A682" s="9">
        <v>46239</v>
      </c>
      <c r="B682" t="s">
        <v>158</v>
      </c>
      <c r="C682" t="s">
        <v>159</v>
      </c>
      <c r="D682" t="s">
        <v>41</v>
      </c>
      <c r="E682" t="s">
        <v>649</v>
      </c>
      <c r="F682" t="s">
        <v>663</v>
      </c>
      <c r="G682" s="10">
        <v>172</v>
      </c>
      <c r="H682" s="10">
        <v>10061</v>
      </c>
      <c r="I682" s="10">
        <v>1730492</v>
      </c>
      <c r="J682" t="s">
        <v>42</v>
      </c>
      <c r="K682" s="11">
        <v>3145.8</v>
      </c>
      <c r="L682" s="12">
        <v>550.1</v>
      </c>
    </row>
    <row r="683" spans="1:12" x14ac:dyDescent="0.2">
      <c r="A683" s="9">
        <v>46239</v>
      </c>
      <c r="B683" t="s">
        <v>161</v>
      </c>
      <c r="C683" t="s">
        <v>67</v>
      </c>
      <c r="D683" t="s">
        <v>41</v>
      </c>
      <c r="E683" t="s">
        <v>653</v>
      </c>
      <c r="F683" t="s">
        <v>666</v>
      </c>
      <c r="G683" s="10">
        <v>17</v>
      </c>
      <c r="H683" s="10">
        <v>7513</v>
      </c>
      <c r="I683" s="10">
        <v>127721</v>
      </c>
      <c r="J683" t="s">
        <v>42</v>
      </c>
      <c r="K683" s="11">
        <v>3145.8</v>
      </c>
      <c r="L683" s="12">
        <v>40.6</v>
      </c>
    </row>
    <row r="684" spans="1:12" x14ac:dyDescent="0.2">
      <c r="A684" s="9">
        <v>46239</v>
      </c>
      <c r="B684" t="s">
        <v>161</v>
      </c>
      <c r="C684" t="s">
        <v>67</v>
      </c>
      <c r="D684" t="s">
        <v>41</v>
      </c>
      <c r="E684" t="s">
        <v>649</v>
      </c>
      <c r="F684" t="s">
        <v>650</v>
      </c>
      <c r="G684" s="10">
        <v>8</v>
      </c>
      <c r="H684" s="10">
        <v>89754</v>
      </c>
      <c r="I684" s="10">
        <v>718032</v>
      </c>
      <c r="J684" t="s">
        <v>42</v>
      </c>
      <c r="K684" s="11">
        <v>3145.8</v>
      </c>
      <c r="L684" s="12">
        <v>228.25</v>
      </c>
    </row>
    <row r="685" spans="1:12" x14ac:dyDescent="0.2">
      <c r="A685" s="9">
        <v>46239</v>
      </c>
      <c r="B685" t="s">
        <v>161</v>
      </c>
      <c r="C685" t="s">
        <v>67</v>
      </c>
      <c r="D685" t="s">
        <v>41</v>
      </c>
      <c r="E685" t="s">
        <v>660</v>
      </c>
      <c r="F685" t="s">
        <v>661</v>
      </c>
      <c r="G685" s="10">
        <v>24</v>
      </c>
      <c r="H685" s="10">
        <v>20789</v>
      </c>
      <c r="I685" s="10">
        <v>498936</v>
      </c>
      <c r="J685" t="s">
        <v>42</v>
      </c>
      <c r="K685" s="11">
        <v>3145.8</v>
      </c>
      <c r="L685" s="12">
        <v>158.6</v>
      </c>
    </row>
    <row r="686" spans="1:12" x14ac:dyDescent="0.2">
      <c r="A686" s="9">
        <v>46239</v>
      </c>
      <c r="B686" t="s">
        <v>161</v>
      </c>
      <c r="C686" t="s">
        <v>67</v>
      </c>
      <c r="D686" t="s">
        <v>41</v>
      </c>
      <c r="E686" t="s">
        <v>647</v>
      </c>
      <c r="F686" t="s">
        <v>648</v>
      </c>
      <c r="G686" s="10">
        <v>5</v>
      </c>
      <c r="H686" s="10">
        <v>79731</v>
      </c>
      <c r="I686" s="10">
        <v>398655</v>
      </c>
      <c r="J686" t="s">
        <v>42</v>
      </c>
      <c r="K686" s="11">
        <v>3145.8</v>
      </c>
      <c r="L686" s="12">
        <v>126.73</v>
      </c>
    </row>
    <row r="687" spans="1:12" x14ac:dyDescent="0.2">
      <c r="A687" s="9">
        <v>46239</v>
      </c>
      <c r="B687" t="s">
        <v>172</v>
      </c>
      <c r="C687" t="s">
        <v>173</v>
      </c>
      <c r="D687" t="s">
        <v>41</v>
      </c>
      <c r="E687" t="s">
        <v>660</v>
      </c>
      <c r="F687" t="s">
        <v>670</v>
      </c>
      <c r="G687" s="10">
        <v>1</v>
      </c>
      <c r="H687" s="10">
        <v>71693</v>
      </c>
      <c r="I687" s="10">
        <v>71693</v>
      </c>
      <c r="J687" t="s">
        <v>42</v>
      </c>
      <c r="K687" s="11">
        <v>3145.8</v>
      </c>
      <c r="L687" s="12">
        <v>22.79</v>
      </c>
    </row>
    <row r="688" spans="1:12" x14ac:dyDescent="0.2">
      <c r="A688" s="9">
        <v>46239</v>
      </c>
      <c r="B688" t="s">
        <v>184</v>
      </c>
      <c r="C688" t="s">
        <v>185</v>
      </c>
      <c r="D688" t="s">
        <v>41</v>
      </c>
      <c r="E688" t="s">
        <v>649</v>
      </c>
      <c r="F688" t="s">
        <v>650</v>
      </c>
      <c r="G688" s="10">
        <v>5</v>
      </c>
      <c r="H688" s="10">
        <v>91584</v>
      </c>
      <c r="I688" s="10">
        <v>457920</v>
      </c>
      <c r="J688" t="s">
        <v>42</v>
      </c>
      <c r="K688" s="11">
        <v>3145.8</v>
      </c>
      <c r="L688" s="12">
        <v>145.57</v>
      </c>
    </row>
    <row r="689" spans="1:12" x14ac:dyDescent="0.2">
      <c r="A689" s="9">
        <v>46239</v>
      </c>
      <c r="B689" t="s">
        <v>184</v>
      </c>
      <c r="C689" t="s">
        <v>185</v>
      </c>
      <c r="D689" t="s">
        <v>41</v>
      </c>
      <c r="E689" t="s">
        <v>660</v>
      </c>
      <c r="F689" t="s">
        <v>661</v>
      </c>
      <c r="G689" s="10">
        <v>5</v>
      </c>
      <c r="H689" s="10">
        <v>19557</v>
      </c>
      <c r="I689" s="10">
        <v>97785</v>
      </c>
      <c r="J689" t="s">
        <v>42</v>
      </c>
      <c r="K689" s="11">
        <v>3145.8</v>
      </c>
      <c r="L689" s="12">
        <v>31.08</v>
      </c>
    </row>
    <row r="690" spans="1:12" x14ac:dyDescent="0.2">
      <c r="A690" s="9">
        <v>46239</v>
      </c>
      <c r="B690" t="s">
        <v>193</v>
      </c>
      <c r="C690" t="s">
        <v>194</v>
      </c>
      <c r="D690" t="s">
        <v>68</v>
      </c>
      <c r="E690" t="s">
        <v>647</v>
      </c>
      <c r="F690" t="s">
        <v>668</v>
      </c>
      <c r="G690" s="10">
        <v>4</v>
      </c>
      <c r="H690" s="10">
        <v>25599</v>
      </c>
      <c r="I690" s="10">
        <v>102396</v>
      </c>
      <c r="J690" t="s">
        <v>51</v>
      </c>
      <c r="K690" s="11">
        <v>648.20000000000005</v>
      </c>
      <c r="L690" s="12">
        <v>157.97</v>
      </c>
    </row>
    <row r="691" spans="1:12" x14ac:dyDescent="0.2">
      <c r="A691" s="9">
        <v>46239</v>
      </c>
      <c r="B691" t="s">
        <v>196</v>
      </c>
      <c r="C691" t="s">
        <v>197</v>
      </c>
      <c r="D691" t="s">
        <v>46</v>
      </c>
      <c r="E691" t="s">
        <v>647</v>
      </c>
      <c r="F691" t="s">
        <v>648</v>
      </c>
      <c r="G691" s="10">
        <v>12</v>
      </c>
      <c r="H691" s="10">
        <v>16514</v>
      </c>
      <c r="I691" s="10">
        <v>198168</v>
      </c>
      <c r="J691" t="s">
        <v>37</v>
      </c>
      <c r="K691" s="11">
        <v>648.20000000000005</v>
      </c>
      <c r="L691" s="12">
        <v>305.72000000000003</v>
      </c>
    </row>
    <row r="692" spans="1:12" x14ac:dyDescent="0.2">
      <c r="A692" s="9">
        <v>46239</v>
      </c>
      <c r="B692" t="s">
        <v>199</v>
      </c>
      <c r="C692" t="s">
        <v>200</v>
      </c>
      <c r="D692" t="s">
        <v>46</v>
      </c>
      <c r="E692" t="s">
        <v>647</v>
      </c>
      <c r="F692" t="s">
        <v>667</v>
      </c>
      <c r="G692" s="10">
        <v>78</v>
      </c>
      <c r="H692" s="10">
        <v>7111</v>
      </c>
      <c r="I692" s="10">
        <v>554658</v>
      </c>
      <c r="J692" t="s">
        <v>37</v>
      </c>
      <c r="K692" s="11">
        <v>648.20000000000005</v>
      </c>
      <c r="L692" s="12">
        <v>855.69</v>
      </c>
    </row>
    <row r="693" spans="1:12" x14ac:dyDescent="0.2">
      <c r="A693" s="9">
        <v>46239</v>
      </c>
      <c r="B693" t="s">
        <v>205</v>
      </c>
      <c r="C693" t="s">
        <v>206</v>
      </c>
      <c r="D693" t="s">
        <v>50</v>
      </c>
      <c r="E693" t="s">
        <v>647</v>
      </c>
      <c r="F693" t="s">
        <v>668</v>
      </c>
      <c r="G693" s="10">
        <v>1</v>
      </c>
      <c r="H693" s="10">
        <v>24453</v>
      </c>
      <c r="I693" s="10">
        <v>24453</v>
      </c>
      <c r="J693" t="s">
        <v>51</v>
      </c>
      <c r="K693" s="11">
        <v>648.20000000000005</v>
      </c>
      <c r="L693" s="12">
        <v>37.72</v>
      </c>
    </row>
    <row r="694" spans="1:12" x14ac:dyDescent="0.2">
      <c r="A694" s="9">
        <v>46239</v>
      </c>
      <c r="B694" t="s">
        <v>208</v>
      </c>
      <c r="C694" t="s">
        <v>209</v>
      </c>
      <c r="D694" t="s">
        <v>46</v>
      </c>
      <c r="E694" t="s">
        <v>655</v>
      </c>
      <c r="F694" t="s">
        <v>662</v>
      </c>
      <c r="G694" s="10">
        <v>7</v>
      </c>
      <c r="H694" s="10">
        <v>1138</v>
      </c>
      <c r="I694" s="10">
        <v>7966</v>
      </c>
      <c r="J694" t="s">
        <v>37</v>
      </c>
      <c r="K694" s="11">
        <v>648.20000000000005</v>
      </c>
      <c r="L694" s="12">
        <v>12.29</v>
      </c>
    </row>
    <row r="695" spans="1:12" x14ac:dyDescent="0.2">
      <c r="A695" s="9">
        <v>46239</v>
      </c>
      <c r="B695" t="s">
        <v>208</v>
      </c>
      <c r="C695" t="s">
        <v>209</v>
      </c>
      <c r="D695" t="s">
        <v>46</v>
      </c>
      <c r="E695" t="s">
        <v>647</v>
      </c>
      <c r="F695" t="s">
        <v>668</v>
      </c>
      <c r="G695" s="10">
        <v>5</v>
      </c>
      <c r="H695" s="10">
        <v>26103</v>
      </c>
      <c r="I695" s="10">
        <v>130515</v>
      </c>
      <c r="J695" t="s">
        <v>37</v>
      </c>
      <c r="K695" s="11">
        <v>648.20000000000005</v>
      </c>
      <c r="L695" s="12">
        <v>201.35</v>
      </c>
    </row>
    <row r="696" spans="1:12" x14ac:dyDescent="0.2">
      <c r="A696" s="9">
        <v>46239</v>
      </c>
      <c r="B696" t="s">
        <v>211</v>
      </c>
      <c r="C696" t="s">
        <v>212</v>
      </c>
      <c r="D696" t="s">
        <v>46</v>
      </c>
      <c r="E696" t="s">
        <v>649</v>
      </c>
      <c r="F696" t="s">
        <v>663</v>
      </c>
      <c r="G696" s="10">
        <v>4</v>
      </c>
      <c r="H696" s="10">
        <v>2085</v>
      </c>
      <c r="I696" s="10">
        <v>8340</v>
      </c>
      <c r="J696" t="s">
        <v>37</v>
      </c>
      <c r="K696" s="11">
        <v>648.20000000000005</v>
      </c>
      <c r="L696" s="12">
        <v>12.87</v>
      </c>
    </row>
    <row r="697" spans="1:12" x14ac:dyDescent="0.2">
      <c r="A697" s="9">
        <v>46239</v>
      </c>
      <c r="B697" t="s">
        <v>211</v>
      </c>
      <c r="C697" t="s">
        <v>212</v>
      </c>
      <c r="D697" t="s">
        <v>46</v>
      </c>
      <c r="E697" t="s">
        <v>649</v>
      </c>
      <c r="F697" t="s">
        <v>659</v>
      </c>
      <c r="G697" s="10">
        <v>13</v>
      </c>
      <c r="H697" s="10">
        <v>9141</v>
      </c>
      <c r="I697" s="10">
        <v>118833</v>
      </c>
      <c r="J697" t="s">
        <v>37</v>
      </c>
      <c r="K697" s="11">
        <v>648.20000000000005</v>
      </c>
      <c r="L697" s="12">
        <v>183.33</v>
      </c>
    </row>
    <row r="698" spans="1:12" x14ac:dyDescent="0.2">
      <c r="A698" s="9">
        <v>46239</v>
      </c>
      <c r="B698" t="s">
        <v>211</v>
      </c>
      <c r="C698" t="s">
        <v>212</v>
      </c>
      <c r="D698" t="s">
        <v>46</v>
      </c>
      <c r="E698" t="s">
        <v>660</v>
      </c>
      <c r="F698" t="s">
        <v>670</v>
      </c>
      <c r="G698" s="10">
        <v>29</v>
      </c>
      <c r="H698" s="10">
        <v>14597</v>
      </c>
      <c r="I698" s="10">
        <v>423313</v>
      </c>
      <c r="J698" t="s">
        <v>37</v>
      </c>
      <c r="K698" s="11">
        <v>648.20000000000005</v>
      </c>
      <c r="L698" s="12">
        <v>653.05999999999995</v>
      </c>
    </row>
    <row r="699" spans="1:12" x14ac:dyDescent="0.2">
      <c r="A699" s="9">
        <v>46239</v>
      </c>
      <c r="B699" t="s">
        <v>214</v>
      </c>
      <c r="C699" t="s">
        <v>215</v>
      </c>
      <c r="D699" t="s">
        <v>46</v>
      </c>
      <c r="E699" t="s">
        <v>655</v>
      </c>
      <c r="F699" t="s">
        <v>662</v>
      </c>
      <c r="G699" s="10">
        <v>31</v>
      </c>
      <c r="H699" s="10">
        <v>1103</v>
      </c>
      <c r="I699" s="10">
        <v>34193</v>
      </c>
      <c r="J699" t="s">
        <v>37</v>
      </c>
      <c r="K699" s="11">
        <v>648.20000000000005</v>
      </c>
      <c r="L699" s="12">
        <v>52.75</v>
      </c>
    </row>
    <row r="700" spans="1:12" x14ac:dyDescent="0.2">
      <c r="A700" s="9">
        <v>46239</v>
      </c>
      <c r="B700" t="s">
        <v>214</v>
      </c>
      <c r="C700" t="s">
        <v>215</v>
      </c>
      <c r="D700" t="s">
        <v>46</v>
      </c>
      <c r="E700" t="s">
        <v>660</v>
      </c>
      <c r="F700" t="s">
        <v>661</v>
      </c>
      <c r="G700" s="10">
        <v>29</v>
      </c>
      <c r="H700" s="10">
        <v>4056</v>
      </c>
      <c r="I700" s="10">
        <v>117624</v>
      </c>
      <c r="J700" t="s">
        <v>37</v>
      </c>
      <c r="K700" s="11">
        <v>648.20000000000005</v>
      </c>
      <c r="L700" s="12">
        <v>181.46</v>
      </c>
    </row>
    <row r="701" spans="1:12" x14ac:dyDescent="0.2">
      <c r="A701" s="9">
        <v>46239</v>
      </c>
      <c r="B701" t="s">
        <v>220</v>
      </c>
      <c r="C701" t="s">
        <v>221</v>
      </c>
      <c r="D701" t="s">
        <v>46</v>
      </c>
      <c r="E701" t="s">
        <v>649</v>
      </c>
      <c r="F701" t="s">
        <v>650</v>
      </c>
      <c r="G701" s="10">
        <v>5</v>
      </c>
      <c r="H701" s="10">
        <v>18538</v>
      </c>
      <c r="I701" s="10">
        <v>92690</v>
      </c>
      <c r="J701" t="s">
        <v>37</v>
      </c>
      <c r="K701" s="11">
        <v>648.20000000000005</v>
      </c>
      <c r="L701" s="12">
        <v>143</v>
      </c>
    </row>
    <row r="702" spans="1:12" x14ac:dyDescent="0.2">
      <c r="A702" s="9">
        <v>46239</v>
      </c>
      <c r="B702" t="s">
        <v>223</v>
      </c>
      <c r="C702" t="s">
        <v>224</v>
      </c>
      <c r="D702" t="s">
        <v>36</v>
      </c>
      <c r="E702" t="s">
        <v>660</v>
      </c>
      <c r="F702" t="s">
        <v>661</v>
      </c>
      <c r="G702" s="10">
        <v>13</v>
      </c>
      <c r="H702" s="10">
        <v>4169</v>
      </c>
      <c r="I702" s="10">
        <v>54197</v>
      </c>
      <c r="J702" t="s">
        <v>37</v>
      </c>
      <c r="K702" s="11">
        <v>648.20000000000005</v>
      </c>
      <c r="L702" s="12">
        <v>83.61</v>
      </c>
    </row>
    <row r="703" spans="1:12" x14ac:dyDescent="0.2">
      <c r="A703" s="9">
        <v>46239</v>
      </c>
      <c r="B703" t="s">
        <v>226</v>
      </c>
      <c r="C703" t="s">
        <v>227</v>
      </c>
      <c r="D703" t="s">
        <v>41</v>
      </c>
      <c r="E703" t="s">
        <v>649</v>
      </c>
      <c r="F703" t="s">
        <v>663</v>
      </c>
      <c r="G703" s="10">
        <v>14</v>
      </c>
      <c r="H703" s="10">
        <v>10087</v>
      </c>
      <c r="I703" s="10">
        <v>141218</v>
      </c>
      <c r="J703" t="s">
        <v>42</v>
      </c>
      <c r="K703" s="11">
        <v>3145.8</v>
      </c>
      <c r="L703" s="12">
        <v>44.89</v>
      </c>
    </row>
    <row r="704" spans="1:12" x14ac:dyDescent="0.2">
      <c r="A704" s="9">
        <v>46239</v>
      </c>
      <c r="B704" t="s">
        <v>226</v>
      </c>
      <c r="C704" t="s">
        <v>227</v>
      </c>
      <c r="D704" t="s">
        <v>41</v>
      </c>
      <c r="E704" t="s">
        <v>660</v>
      </c>
      <c r="F704" t="s">
        <v>661</v>
      </c>
      <c r="G704" s="10">
        <v>16</v>
      </c>
      <c r="H704" s="10">
        <v>19978</v>
      </c>
      <c r="I704" s="10">
        <v>319648</v>
      </c>
      <c r="J704" t="s">
        <v>42</v>
      </c>
      <c r="K704" s="11">
        <v>3145.8</v>
      </c>
      <c r="L704" s="12">
        <v>101.61</v>
      </c>
    </row>
    <row r="705" spans="1:12" x14ac:dyDescent="0.2">
      <c r="A705" s="9">
        <v>46239</v>
      </c>
      <c r="B705" t="s">
        <v>226</v>
      </c>
      <c r="C705" t="s">
        <v>227</v>
      </c>
      <c r="D705" t="s">
        <v>41</v>
      </c>
      <c r="E705" t="s">
        <v>647</v>
      </c>
      <c r="F705" t="s">
        <v>668</v>
      </c>
      <c r="G705" s="10">
        <v>65</v>
      </c>
      <c r="H705" s="10">
        <v>127109</v>
      </c>
      <c r="I705" s="10">
        <v>8262085</v>
      </c>
      <c r="J705" t="s">
        <v>42</v>
      </c>
      <c r="K705" s="11">
        <v>3145.8</v>
      </c>
      <c r="L705" s="12">
        <v>2626.39</v>
      </c>
    </row>
    <row r="706" spans="1:12" x14ac:dyDescent="0.2">
      <c r="A706" s="9">
        <v>46239</v>
      </c>
      <c r="B706" t="s">
        <v>226</v>
      </c>
      <c r="C706" t="s">
        <v>227</v>
      </c>
      <c r="D706" t="s">
        <v>41</v>
      </c>
      <c r="E706" t="s">
        <v>647</v>
      </c>
      <c r="F706" t="s">
        <v>667</v>
      </c>
      <c r="G706" s="10">
        <v>17</v>
      </c>
      <c r="H706" s="10">
        <v>36579</v>
      </c>
      <c r="I706" s="10">
        <v>621843</v>
      </c>
      <c r="J706" t="s">
        <v>42</v>
      </c>
      <c r="K706" s="11">
        <v>3145.8</v>
      </c>
      <c r="L706" s="12">
        <v>197.67</v>
      </c>
    </row>
    <row r="707" spans="1:12" x14ac:dyDescent="0.2">
      <c r="A707" s="9">
        <v>46239</v>
      </c>
      <c r="B707" t="s">
        <v>226</v>
      </c>
      <c r="C707" t="s">
        <v>227</v>
      </c>
      <c r="D707" t="s">
        <v>41</v>
      </c>
      <c r="E707" t="s">
        <v>647</v>
      </c>
      <c r="F707" t="s">
        <v>667</v>
      </c>
      <c r="G707" s="10">
        <v>29</v>
      </c>
      <c r="H707" s="10">
        <v>35685</v>
      </c>
      <c r="I707" s="10">
        <v>1034865</v>
      </c>
      <c r="J707" t="s">
        <v>42</v>
      </c>
      <c r="K707" s="11">
        <v>3145.8</v>
      </c>
      <c r="L707" s="12">
        <v>328.97</v>
      </c>
    </row>
    <row r="708" spans="1:12" x14ac:dyDescent="0.2">
      <c r="A708" s="9">
        <v>46239</v>
      </c>
      <c r="B708" t="s">
        <v>232</v>
      </c>
      <c r="C708" t="s">
        <v>233</v>
      </c>
      <c r="D708" t="s">
        <v>46</v>
      </c>
      <c r="E708" t="s">
        <v>660</v>
      </c>
      <c r="F708" t="s">
        <v>669</v>
      </c>
      <c r="G708" s="10">
        <v>6</v>
      </c>
      <c r="H708" s="10">
        <v>2541</v>
      </c>
      <c r="I708" s="10">
        <v>15246</v>
      </c>
      <c r="J708" t="s">
        <v>37</v>
      </c>
      <c r="K708" s="11">
        <v>648.20000000000005</v>
      </c>
      <c r="L708" s="12">
        <v>23.52</v>
      </c>
    </row>
    <row r="709" spans="1:12" x14ac:dyDescent="0.2">
      <c r="A709" s="9">
        <v>46239</v>
      </c>
      <c r="B709" t="s">
        <v>235</v>
      </c>
      <c r="C709" t="s">
        <v>236</v>
      </c>
      <c r="D709" t="s">
        <v>50</v>
      </c>
      <c r="E709" t="s">
        <v>660</v>
      </c>
      <c r="F709" t="s">
        <v>661</v>
      </c>
      <c r="G709" s="10">
        <v>50</v>
      </c>
      <c r="H709" s="10">
        <v>4333</v>
      </c>
      <c r="I709" s="10">
        <v>216650</v>
      </c>
      <c r="J709" t="s">
        <v>51</v>
      </c>
      <c r="K709" s="11">
        <v>648.20000000000005</v>
      </c>
      <c r="L709" s="12">
        <v>334.23</v>
      </c>
    </row>
    <row r="710" spans="1:12" x14ac:dyDescent="0.2">
      <c r="A710" s="9">
        <v>46239</v>
      </c>
      <c r="B710" t="s">
        <v>235</v>
      </c>
      <c r="C710" t="s">
        <v>236</v>
      </c>
      <c r="D710" t="s">
        <v>50</v>
      </c>
      <c r="E710" t="s">
        <v>647</v>
      </c>
      <c r="F710" t="s">
        <v>667</v>
      </c>
      <c r="G710" s="10">
        <v>36</v>
      </c>
      <c r="H710" s="10">
        <v>7279</v>
      </c>
      <c r="I710" s="10">
        <v>262044</v>
      </c>
      <c r="J710" t="s">
        <v>51</v>
      </c>
      <c r="K710" s="11">
        <v>648.20000000000005</v>
      </c>
      <c r="L710" s="12">
        <v>404.26</v>
      </c>
    </row>
    <row r="711" spans="1:12" x14ac:dyDescent="0.2">
      <c r="A711" s="9">
        <v>46239</v>
      </c>
      <c r="B711" t="s">
        <v>235</v>
      </c>
      <c r="C711" t="s">
        <v>236</v>
      </c>
      <c r="D711" t="s">
        <v>50</v>
      </c>
      <c r="E711" t="s">
        <v>651</v>
      </c>
      <c r="F711" t="s">
        <v>664</v>
      </c>
      <c r="G711" s="10">
        <v>14</v>
      </c>
      <c r="H711" s="10">
        <v>12286</v>
      </c>
      <c r="I711" s="10">
        <v>172004</v>
      </c>
      <c r="J711" t="s">
        <v>51</v>
      </c>
      <c r="K711" s="11">
        <v>648.20000000000005</v>
      </c>
      <c r="L711" s="12">
        <v>265.36</v>
      </c>
    </row>
    <row r="712" spans="1:12" x14ac:dyDescent="0.2">
      <c r="A712" s="9">
        <v>46239</v>
      </c>
      <c r="B712" t="s">
        <v>238</v>
      </c>
      <c r="C712" t="s">
        <v>239</v>
      </c>
      <c r="D712" t="s">
        <v>68</v>
      </c>
      <c r="E712" t="s">
        <v>649</v>
      </c>
      <c r="F712" t="s">
        <v>663</v>
      </c>
      <c r="G712" s="10">
        <v>4</v>
      </c>
      <c r="H712" s="10">
        <v>1968</v>
      </c>
      <c r="I712" s="10">
        <v>7872</v>
      </c>
      <c r="J712" t="s">
        <v>51</v>
      </c>
      <c r="K712" s="11">
        <v>648.20000000000005</v>
      </c>
      <c r="L712" s="12">
        <v>12.14</v>
      </c>
    </row>
    <row r="713" spans="1:12" x14ac:dyDescent="0.2">
      <c r="A713" s="9">
        <v>46239</v>
      </c>
      <c r="B713" t="s">
        <v>238</v>
      </c>
      <c r="C713" t="s">
        <v>239</v>
      </c>
      <c r="D713" t="s">
        <v>68</v>
      </c>
      <c r="E713" t="s">
        <v>649</v>
      </c>
      <c r="F713" t="s">
        <v>663</v>
      </c>
      <c r="G713" s="10">
        <v>22</v>
      </c>
      <c r="H713" s="10">
        <v>1955</v>
      </c>
      <c r="I713" s="10">
        <v>43010</v>
      </c>
      <c r="J713" t="s">
        <v>51</v>
      </c>
      <c r="K713" s="11">
        <v>648.20000000000005</v>
      </c>
      <c r="L713" s="12">
        <v>66.349999999999994</v>
      </c>
    </row>
    <row r="714" spans="1:12" x14ac:dyDescent="0.2">
      <c r="A714" s="9">
        <v>46239</v>
      </c>
      <c r="B714" t="s">
        <v>238</v>
      </c>
      <c r="C714" t="s">
        <v>239</v>
      </c>
      <c r="D714" t="s">
        <v>68</v>
      </c>
      <c r="E714" t="s">
        <v>653</v>
      </c>
      <c r="F714" t="s">
        <v>654</v>
      </c>
      <c r="G714" s="10">
        <v>8</v>
      </c>
      <c r="H714" s="10">
        <v>5861</v>
      </c>
      <c r="I714" s="10">
        <v>46888</v>
      </c>
      <c r="J714" t="s">
        <v>51</v>
      </c>
      <c r="K714" s="11">
        <v>648.20000000000005</v>
      </c>
      <c r="L714" s="12">
        <v>72.34</v>
      </c>
    </row>
    <row r="715" spans="1:12" x14ac:dyDescent="0.2">
      <c r="A715" s="9">
        <v>46239</v>
      </c>
      <c r="B715" t="s">
        <v>244</v>
      </c>
      <c r="C715" t="s">
        <v>245</v>
      </c>
      <c r="D715" t="s">
        <v>75</v>
      </c>
      <c r="E715" t="s">
        <v>653</v>
      </c>
      <c r="F715" t="s">
        <v>666</v>
      </c>
      <c r="G715" s="10">
        <v>64</v>
      </c>
      <c r="H715" s="10">
        <v>7246</v>
      </c>
      <c r="I715" s="10">
        <v>463744</v>
      </c>
      <c r="J715" t="s">
        <v>42</v>
      </c>
      <c r="K715" s="11">
        <v>3145.8</v>
      </c>
      <c r="L715" s="12">
        <v>147.41999999999999</v>
      </c>
    </row>
    <row r="716" spans="1:12" x14ac:dyDescent="0.2">
      <c r="A716" s="9">
        <v>46239</v>
      </c>
      <c r="B716" t="s">
        <v>244</v>
      </c>
      <c r="C716" t="s">
        <v>245</v>
      </c>
      <c r="D716" t="s">
        <v>75</v>
      </c>
      <c r="E716" t="s">
        <v>651</v>
      </c>
      <c r="F716" t="s">
        <v>657</v>
      </c>
      <c r="G716" s="10">
        <v>31</v>
      </c>
      <c r="H716" s="10">
        <v>32097</v>
      </c>
      <c r="I716" s="10">
        <v>995007</v>
      </c>
      <c r="J716" t="s">
        <v>42</v>
      </c>
      <c r="K716" s="11">
        <v>3145.8</v>
      </c>
      <c r="L716" s="12">
        <v>316.3</v>
      </c>
    </row>
    <row r="717" spans="1:12" x14ac:dyDescent="0.2">
      <c r="A717" s="9">
        <v>46239</v>
      </c>
      <c r="B717" t="s">
        <v>253</v>
      </c>
      <c r="C717" t="s">
        <v>254</v>
      </c>
      <c r="D717" t="s">
        <v>50</v>
      </c>
      <c r="E717" t="s">
        <v>660</v>
      </c>
      <c r="F717" t="s">
        <v>669</v>
      </c>
      <c r="G717" s="10">
        <v>12</v>
      </c>
      <c r="H717" s="10">
        <v>2620</v>
      </c>
      <c r="I717" s="10">
        <v>31440</v>
      </c>
      <c r="J717" t="s">
        <v>51</v>
      </c>
      <c r="K717" s="11">
        <v>648.20000000000005</v>
      </c>
      <c r="L717" s="12">
        <v>48.5</v>
      </c>
    </row>
    <row r="718" spans="1:12" x14ac:dyDescent="0.2">
      <c r="A718" s="9">
        <v>46239</v>
      </c>
      <c r="B718" t="s">
        <v>267</v>
      </c>
      <c r="C718" t="s">
        <v>268</v>
      </c>
      <c r="D718" t="s">
        <v>46</v>
      </c>
      <c r="E718" t="s">
        <v>649</v>
      </c>
      <c r="F718" t="s">
        <v>650</v>
      </c>
      <c r="G718" s="10">
        <v>47</v>
      </c>
      <c r="H718" s="10">
        <v>18972</v>
      </c>
      <c r="I718" s="10">
        <v>891684</v>
      </c>
      <c r="J718" t="s">
        <v>37</v>
      </c>
      <c r="K718" s="11">
        <v>648.20000000000005</v>
      </c>
      <c r="L718" s="12">
        <v>1375.63</v>
      </c>
    </row>
    <row r="719" spans="1:12" x14ac:dyDescent="0.2">
      <c r="A719" s="9">
        <v>46239</v>
      </c>
      <c r="B719" t="s">
        <v>267</v>
      </c>
      <c r="C719" t="s">
        <v>268</v>
      </c>
      <c r="D719" t="s">
        <v>46</v>
      </c>
      <c r="E719" t="s">
        <v>649</v>
      </c>
      <c r="F719" t="s">
        <v>659</v>
      </c>
      <c r="G719" s="10">
        <v>7</v>
      </c>
      <c r="H719" s="10">
        <v>8558</v>
      </c>
      <c r="I719" s="10">
        <v>59906</v>
      </c>
      <c r="J719" t="s">
        <v>37</v>
      </c>
      <c r="K719" s="11">
        <v>648.20000000000005</v>
      </c>
      <c r="L719" s="12">
        <v>92.42</v>
      </c>
    </row>
    <row r="720" spans="1:12" x14ac:dyDescent="0.2">
      <c r="A720" s="9">
        <v>46239</v>
      </c>
      <c r="B720" t="s">
        <v>267</v>
      </c>
      <c r="C720" t="s">
        <v>268</v>
      </c>
      <c r="D720" t="s">
        <v>46</v>
      </c>
      <c r="E720" t="s">
        <v>647</v>
      </c>
      <c r="F720" t="s">
        <v>668</v>
      </c>
      <c r="G720" s="10">
        <v>12</v>
      </c>
      <c r="H720" s="10">
        <v>24447</v>
      </c>
      <c r="I720" s="10">
        <v>293364</v>
      </c>
      <c r="J720" t="s">
        <v>37</v>
      </c>
      <c r="K720" s="11">
        <v>648.20000000000005</v>
      </c>
      <c r="L720" s="12">
        <v>452.58</v>
      </c>
    </row>
    <row r="721" spans="1:12" x14ac:dyDescent="0.2">
      <c r="A721" s="9">
        <v>46239</v>
      </c>
      <c r="B721" t="s">
        <v>267</v>
      </c>
      <c r="C721" t="s">
        <v>268</v>
      </c>
      <c r="D721" t="s">
        <v>46</v>
      </c>
      <c r="E721" t="s">
        <v>647</v>
      </c>
      <c r="F721" t="s">
        <v>667</v>
      </c>
      <c r="G721" s="10">
        <v>41</v>
      </c>
      <c r="H721" s="10">
        <v>7084</v>
      </c>
      <c r="I721" s="10">
        <v>290444</v>
      </c>
      <c r="J721" t="s">
        <v>37</v>
      </c>
      <c r="K721" s="11">
        <v>648.20000000000005</v>
      </c>
      <c r="L721" s="12">
        <v>448.08</v>
      </c>
    </row>
    <row r="722" spans="1:12" x14ac:dyDescent="0.2">
      <c r="A722" s="9">
        <v>46239</v>
      </c>
      <c r="B722" t="s">
        <v>276</v>
      </c>
      <c r="C722" t="s">
        <v>277</v>
      </c>
      <c r="D722" t="s">
        <v>46</v>
      </c>
      <c r="E722" t="s">
        <v>660</v>
      </c>
      <c r="F722" t="s">
        <v>670</v>
      </c>
      <c r="G722" s="10">
        <v>10</v>
      </c>
      <c r="H722" s="10">
        <v>14269</v>
      </c>
      <c r="I722" s="10">
        <v>142690</v>
      </c>
      <c r="J722" t="s">
        <v>37</v>
      </c>
      <c r="K722" s="11">
        <v>648.20000000000005</v>
      </c>
      <c r="L722" s="12">
        <v>220.13</v>
      </c>
    </row>
    <row r="723" spans="1:12" x14ac:dyDescent="0.2">
      <c r="A723" s="9">
        <v>46239</v>
      </c>
      <c r="B723" t="s">
        <v>279</v>
      </c>
      <c r="C723" t="s">
        <v>280</v>
      </c>
      <c r="D723" t="s">
        <v>68</v>
      </c>
      <c r="E723" t="s">
        <v>649</v>
      </c>
      <c r="F723" t="s">
        <v>663</v>
      </c>
      <c r="G723" s="10">
        <v>39</v>
      </c>
      <c r="H723" s="10">
        <v>1995</v>
      </c>
      <c r="I723" s="10">
        <v>77805</v>
      </c>
      <c r="J723" t="s">
        <v>51</v>
      </c>
      <c r="K723" s="11">
        <v>648.20000000000005</v>
      </c>
      <c r="L723" s="12">
        <v>120.03</v>
      </c>
    </row>
    <row r="724" spans="1:12" x14ac:dyDescent="0.2">
      <c r="A724" s="9">
        <v>46239</v>
      </c>
      <c r="B724" t="s">
        <v>279</v>
      </c>
      <c r="C724" t="s">
        <v>280</v>
      </c>
      <c r="D724" t="s">
        <v>68</v>
      </c>
      <c r="E724" t="s">
        <v>649</v>
      </c>
      <c r="F724" t="s">
        <v>659</v>
      </c>
      <c r="G724" s="10">
        <v>17</v>
      </c>
      <c r="H724" s="10">
        <v>8927</v>
      </c>
      <c r="I724" s="10">
        <v>151759</v>
      </c>
      <c r="J724" t="s">
        <v>51</v>
      </c>
      <c r="K724" s="11">
        <v>648.20000000000005</v>
      </c>
      <c r="L724" s="12">
        <v>234.12</v>
      </c>
    </row>
    <row r="725" spans="1:12" x14ac:dyDescent="0.2">
      <c r="A725" s="9">
        <v>46239</v>
      </c>
      <c r="B725" t="s">
        <v>279</v>
      </c>
      <c r="C725" t="s">
        <v>280</v>
      </c>
      <c r="D725" t="s">
        <v>68</v>
      </c>
      <c r="E725" t="s">
        <v>649</v>
      </c>
      <c r="F725" t="s">
        <v>659</v>
      </c>
      <c r="G725" s="10">
        <v>35</v>
      </c>
      <c r="H725" s="10">
        <v>8933</v>
      </c>
      <c r="I725" s="10">
        <v>312655</v>
      </c>
      <c r="J725" t="s">
        <v>51</v>
      </c>
      <c r="K725" s="11">
        <v>648.20000000000005</v>
      </c>
      <c r="L725" s="12">
        <v>482.34</v>
      </c>
    </row>
    <row r="726" spans="1:12" x14ac:dyDescent="0.2">
      <c r="A726" s="9">
        <v>46239</v>
      </c>
      <c r="B726" t="s">
        <v>279</v>
      </c>
      <c r="C726" t="s">
        <v>280</v>
      </c>
      <c r="D726" t="s">
        <v>68</v>
      </c>
      <c r="E726" t="s">
        <v>653</v>
      </c>
      <c r="F726" t="s">
        <v>654</v>
      </c>
      <c r="G726" s="10">
        <v>137</v>
      </c>
      <c r="H726" s="10">
        <v>5529</v>
      </c>
      <c r="I726" s="10">
        <v>757473</v>
      </c>
      <c r="J726" t="s">
        <v>51</v>
      </c>
      <c r="K726" s="11">
        <v>648.20000000000005</v>
      </c>
      <c r="L726" s="12">
        <v>1168.58</v>
      </c>
    </row>
    <row r="727" spans="1:12" x14ac:dyDescent="0.2">
      <c r="A727" s="9">
        <v>46239</v>
      </c>
      <c r="B727" t="s">
        <v>288</v>
      </c>
      <c r="C727" t="s">
        <v>289</v>
      </c>
      <c r="D727" t="s">
        <v>41</v>
      </c>
      <c r="E727" t="s">
        <v>655</v>
      </c>
      <c r="F727" t="s">
        <v>665</v>
      </c>
      <c r="G727" s="10">
        <v>10</v>
      </c>
      <c r="H727" s="10">
        <v>3379</v>
      </c>
      <c r="I727" s="10">
        <v>33790</v>
      </c>
      <c r="J727" t="s">
        <v>42</v>
      </c>
      <c r="K727" s="11">
        <v>3145.8</v>
      </c>
      <c r="L727" s="12">
        <v>10.74</v>
      </c>
    </row>
    <row r="728" spans="1:12" x14ac:dyDescent="0.2">
      <c r="A728" s="9">
        <v>46239</v>
      </c>
      <c r="B728" t="s">
        <v>294</v>
      </c>
      <c r="C728" t="s">
        <v>295</v>
      </c>
      <c r="D728" t="s">
        <v>41</v>
      </c>
      <c r="E728" t="s">
        <v>653</v>
      </c>
      <c r="F728" t="s">
        <v>666</v>
      </c>
      <c r="G728" s="10">
        <v>3</v>
      </c>
      <c r="H728" s="10">
        <v>7507</v>
      </c>
      <c r="I728" s="10">
        <v>22521</v>
      </c>
      <c r="J728" t="s">
        <v>42</v>
      </c>
      <c r="K728" s="11">
        <v>3145.8</v>
      </c>
      <c r="L728" s="12">
        <v>7.16</v>
      </c>
    </row>
    <row r="729" spans="1:12" x14ac:dyDescent="0.2">
      <c r="A729" s="9">
        <v>46239</v>
      </c>
      <c r="B729" t="s">
        <v>297</v>
      </c>
      <c r="C729" t="s">
        <v>298</v>
      </c>
      <c r="D729" t="s">
        <v>36</v>
      </c>
      <c r="E729" t="s">
        <v>653</v>
      </c>
      <c r="F729" t="s">
        <v>654</v>
      </c>
      <c r="G729" s="10">
        <v>87</v>
      </c>
      <c r="H729" s="10">
        <v>5722</v>
      </c>
      <c r="I729" s="10">
        <v>497814</v>
      </c>
      <c r="J729" t="s">
        <v>37</v>
      </c>
      <c r="K729" s="11">
        <v>648.20000000000005</v>
      </c>
      <c r="L729" s="12">
        <v>767.99</v>
      </c>
    </row>
    <row r="730" spans="1:12" x14ac:dyDescent="0.2">
      <c r="A730" s="9">
        <v>46239</v>
      </c>
      <c r="B730" t="s">
        <v>297</v>
      </c>
      <c r="C730" t="s">
        <v>298</v>
      </c>
      <c r="D730" t="s">
        <v>36</v>
      </c>
      <c r="E730" t="s">
        <v>647</v>
      </c>
      <c r="F730" t="s">
        <v>667</v>
      </c>
      <c r="G730" s="10">
        <v>9</v>
      </c>
      <c r="H730" s="10">
        <v>7085</v>
      </c>
      <c r="I730" s="10">
        <v>63765</v>
      </c>
      <c r="J730" t="s">
        <v>37</v>
      </c>
      <c r="K730" s="11">
        <v>648.20000000000005</v>
      </c>
      <c r="L730" s="12">
        <v>98.37</v>
      </c>
    </row>
    <row r="731" spans="1:12" x14ac:dyDescent="0.2">
      <c r="A731" s="9">
        <v>46239</v>
      </c>
      <c r="B731" t="s">
        <v>306</v>
      </c>
      <c r="C731" t="s">
        <v>307</v>
      </c>
      <c r="D731" t="s">
        <v>36</v>
      </c>
      <c r="E731" t="s">
        <v>655</v>
      </c>
      <c r="F731" t="s">
        <v>662</v>
      </c>
      <c r="G731" s="10">
        <v>2</v>
      </c>
      <c r="H731" s="10">
        <v>1087</v>
      </c>
      <c r="I731" s="10">
        <v>2174</v>
      </c>
      <c r="J731" t="s">
        <v>37</v>
      </c>
      <c r="K731" s="11">
        <v>648.20000000000005</v>
      </c>
      <c r="L731" s="12">
        <v>3.35</v>
      </c>
    </row>
    <row r="732" spans="1:12" x14ac:dyDescent="0.2">
      <c r="A732" s="9">
        <v>46239</v>
      </c>
      <c r="B732" t="s">
        <v>312</v>
      </c>
      <c r="C732" t="s">
        <v>313</v>
      </c>
      <c r="D732" t="s">
        <v>41</v>
      </c>
      <c r="E732" t="s">
        <v>660</v>
      </c>
      <c r="F732" t="s">
        <v>661</v>
      </c>
      <c r="G732" s="10">
        <v>17</v>
      </c>
      <c r="H732" s="10">
        <v>20156</v>
      </c>
      <c r="I732" s="10">
        <v>342652</v>
      </c>
      <c r="J732" t="s">
        <v>42</v>
      </c>
      <c r="K732" s="11">
        <v>3145.8</v>
      </c>
      <c r="L732" s="12">
        <v>108.92</v>
      </c>
    </row>
    <row r="733" spans="1:12" x14ac:dyDescent="0.2">
      <c r="A733" s="9">
        <v>46239</v>
      </c>
      <c r="B733" t="s">
        <v>315</v>
      </c>
      <c r="C733" t="s">
        <v>316</v>
      </c>
      <c r="D733" t="s">
        <v>46</v>
      </c>
      <c r="E733" t="s">
        <v>651</v>
      </c>
      <c r="F733" t="s">
        <v>664</v>
      </c>
      <c r="G733" s="10">
        <v>15</v>
      </c>
      <c r="H733" s="10">
        <v>12186</v>
      </c>
      <c r="I733" s="10">
        <v>182790</v>
      </c>
      <c r="J733" t="s">
        <v>37</v>
      </c>
      <c r="K733" s="11">
        <v>648.20000000000005</v>
      </c>
      <c r="L733" s="12">
        <v>282</v>
      </c>
    </row>
    <row r="734" spans="1:12" x14ac:dyDescent="0.2">
      <c r="A734" s="9">
        <v>46239</v>
      </c>
      <c r="B734" t="s">
        <v>315</v>
      </c>
      <c r="C734" t="s">
        <v>316</v>
      </c>
      <c r="D734" t="s">
        <v>46</v>
      </c>
      <c r="E734" t="s">
        <v>655</v>
      </c>
      <c r="F734" t="s">
        <v>665</v>
      </c>
      <c r="G734" s="10">
        <v>3</v>
      </c>
      <c r="H734" s="10">
        <v>709</v>
      </c>
      <c r="I734" s="10">
        <v>2127</v>
      </c>
      <c r="J734" t="s">
        <v>37</v>
      </c>
      <c r="K734" s="11">
        <v>648.20000000000005</v>
      </c>
      <c r="L734" s="12">
        <v>3.28</v>
      </c>
    </row>
    <row r="735" spans="1:12" x14ac:dyDescent="0.2">
      <c r="A735" s="9">
        <v>46239</v>
      </c>
      <c r="B735" t="s">
        <v>318</v>
      </c>
      <c r="C735" t="s">
        <v>319</v>
      </c>
      <c r="D735" t="s">
        <v>41</v>
      </c>
      <c r="E735" t="s">
        <v>649</v>
      </c>
      <c r="F735" t="s">
        <v>650</v>
      </c>
      <c r="G735" s="10">
        <v>3</v>
      </c>
      <c r="H735" s="10">
        <v>91865</v>
      </c>
      <c r="I735" s="10">
        <v>275595</v>
      </c>
      <c r="J735" t="s">
        <v>42</v>
      </c>
      <c r="K735" s="11">
        <v>3145.8</v>
      </c>
      <c r="L735" s="12">
        <v>87.61</v>
      </c>
    </row>
    <row r="736" spans="1:12" x14ac:dyDescent="0.2">
      <c r="A736" s="9">
        <v>46239</v>
      </c>
      <c r="B736" t="s">
        <v>318</v>
      </c>
      <c r="C736" t="s">
        <v>319</v>
      </c>
      <c r="D736" t="s">
        <v>41</v>
      </c>
      <c r="E736" t="s">
        <v>651</v>
      </c>
      <c r="F736" t="s">
        <v>664</v>
      </c>
      <c r="G736" s="10">
        <v>5</v>
      </c>
      <c r="H736" s="10">
        <v>56993</v>
      </c>
      <c r="I736" s="10">
        <v>284965</v>
      </c>
      <c r="J736" t="s">
        <v>42</v>
      </c>
      <c r="K736" s="11">
        <v>3145.8</v>
      </c>
      <c r="L736" s="12">
        <v>90.59</v>
      </c>
    </row>
    <row r="737" spans="1:12" x14ac:dyDescent="0.2">
      <c r="A737" s="9">
        <v>46239</v>
      </c>
      <c r="B737" t="s">
        <v>321</v>
      </c>
      <c r="C737" t="s">
        <v>322</v>
      </c>
      <c r="D737" t="s">
        <v>41</v>
      </c>
      <c r="E737" t="s">
        <v>655</v>
      </c>
      <c r="F737" t="s">
        <v>662</v>
      </c>
      <c r="G737" s="10">
        <v>2</v>
      </c>
      <c r="H737" s="10">
        <v>5583</v>
      </c>
      <c r="I737" s="10">
        <v>11166</v>
      </c>
      <c r="J737" t="s">
        <v>42</v>
      </c>
      <c r="K737" s="11">
        <v>3145.8</v>
      </c>
      <c r="L737" s="12">
        <v>3.55</v>
      </c>
    </row>
    <row r="738" spans="1:12" x14ac:dyDescent="0.2">
      <c r="A738" s="9">
        <v>46239</v>
      </c>
      <c r="B738" t="s">
        <v>324</v>
      </c>
      <c r="C738" t="s">
        <v>325</v>
      </c>
      <c r="D738" t="s">
        <v>46</v>
      </c>
      <c r="E738" t="s">
        <v>649</v>
      </c>
      <c r="F738" t="s">
        <v>650</v>
      </c>
      <c r="G738" s="10">
        <v>4</v>
      </c>
      <c r="H738" s="10">
        <v>18609</v>
      </c>
      <c r="I738" s="10">
        <v>74436</v>
      </c>
      <c r="J738" t="s">
        <v>37</v>
      </c>
      <c r="K738" s="11">
        <v>648.20000000000005</v>
      </c>
      <c r="L738" s="12">
        <v>114.83</v>
      </c>
    </row>
    <row r="739" spans="1:12" x14ac:dyDescent="0.2">
      <c r="A739" s="9">
        <v>46239</v>
      </c>
      <c r="B739" t="s">
        <v>324</v>
      </c>
      <c r="C739" t="s">
        <v>325</v>
      </c>
      <c r="D739" t="s">
        <v>46</v>
      </c>
      <c r="E739" t="s">
        <v>647</v>
      </c>
      <c r="F739" t="s">
        <v>667</v>
      </c>
      <c r="G739" s="10">
        <v>128</v>
      </c>
      <c r="H739" s="10">
        <v>7612</v>
      </c>
      <c r="I739" s="10">
        <v>974336</v>
      </c>
      <c r="J739" t="s">
        <v>37</v>
      </c>
      <c r="K739" s="11">
        <v>648.20000000000005</v>
      </c>
      <c r="L739" s="12">
        <v>1503.14</v>
      </c>
    </row>
    <row r="740" spans="1:12" x14ac:dyDescent="0.2">
      <c r="A740" s="9">
        <v>46239</v>
      </c>
      <c r="B740" t="s">
        <v>327</v>
      </c>
      <c r="C740" t="s">
        <v>328</v>
      </c>
      <c r="D740" t="s">
        <v>46</v>
      </c>
      <c r="E740" t="s">
        <v>653</v>
      </c>
      <c r="F740" t="s">
        <v>658</v>
      </c>
      <c r="G740" s="10">
        <v>10</v>
      </c>
      <c r="H740" s="10">
        <v>2740</v>
      </c>
      <c r="I740" s="10">
        <v>27400</v>
      </c>
      <c r="J740" t="s">
        <v>37</v>
      </c>
      <c r="K740" s="11">
        <v>648.20000000000005</v>
      </c>
      <c r="L740" s="12">
        <v>42.27</v>
      </c>
    </row>
    <row r="741" spans="1:12" x14ac:dyDescent="0.2">
      <c r="A741" s="9">
        <v>46239</v>
      </c>
      <c r="B741" t="s">
        <v>330</v>
      </c>
      <c r="C741" t="s">
        <v>331</v>
      </c>
      <c r="D741" t="s">
        <v>68</v>
      </c>
      <c r="E741" t="s">
        <v>647</v>
      </c>
      <c r="F741" t="s">
        <v>668</v>
      </c>
      <c r="G741" s="10">
        <v>26</v>
      </c>
      <c r="H741" s="10">
        <v>24975</v>
      </c>
      <c r="I741" s="10">
        <v>649350</v>
      </c>
      <c r="J741" t="s">
        <v>51</v>
      </c>
      <c r="K741" s="11">
        <v>648.20000000000005</v>
      </c>
      <c r="L741" s="12">
        <v>1001.77</v>
      </c>
    </row>
    <row r="742" spans="1:12" x14ac:dyDescent="0.2">
      <c r="A742" s="9">
        <v>46239</v>
      </c>
      <c r="B742" t="s">
        <v>333</v>
      </c>
      <c r="C742" t="s">
        <v>334</v>
      </c>
      <c r="D742" t="s">
        <v>68</v>
      </c>
      <c r="E742" t="s">
        <v>649</v>
      </c>
      <c r="F742" t="s">
        <v>650</v>
      </c>
      <c r="G742" s="10">
        <v>5</v>
      </c>
      <c r="H742" s="10">
        <v>18747</v>
      </c>
      <c r="I742" s="10">
        <v>93735</v>
      </c>
      <c r="J742" t="s">
        <v>51</v>
      </c>
      <c r="K742" s="11">
        <v>648.20000000000005</v>
      </c>
      <c r="L742" s="12">
        <v>144.61000000000001</v>
      </c>
    </row>
    <row r="743" spans="1:12" x14ac:dyDescent="0.2">
      <c r="A743" s="9">
        <v>46239</v>
      </c>
      <c r="B743" t="s">
        <v>333</v>
      </c>
      <c r="C743" t="s">
        <v>334</v>
      </c>
      <c r="D743" t="s">
        <v>68</v>
      </c>
      <c r="E743" t="s">
        <v>655</v>
      </c>
      <c r="F743" t="s">
        <v>662</v>
      </c>
      <c r="G743" s="10">
        <v>29</v>
      </c>
      <c r="H743" s="10">
        <v>1091</v>
      </c>
      <c r="I743" s="10">
        <v>31639</v>
      </c>
      <c r="J743" t="s">
        <v>51</v>
      </c>
      <c r="K743" s="11">
        <v>648.20000000000005</v>
      </c>
      <c r="L743" s="12">
        <v>48.81</v>
      </c>
    </row>
    <row r="744" spans="1:12" x14ac:dyDescent="0.2">
      <c r="A744" s="9">
        <v>46239</v>
      </c>
      <c r="B744" t="s">
        <v>336</v>
      </c>
      <c r="C744" t="s">
        <v>337</v>
      </c>
      <c r="D744" t="s">
        <v>68</v>
      </c>
      <c r="E744" t="s">
        <v>649</v>
      </c>
      <c r="F744" t="s">
        <v>650</v>
      </c>
      <c r="G744" s="10">
        <v>7</v>
      </c>
      <c r="H744" s="10">
        <v>19096</v>
      </c>
      <c r="I744" s="10">
        <v>133672</v>
      </c>
      <c r="J744" t="s">
        <v>51</v>
      </c>
      <c r="K744" s="11">
        <v>648.20000000000005</v>
      </c>
      <c r="L744" s="12">
        <v>206.22</v>
      </c>
    </row>
    <row r="745" spans="1:12" x14ac:dyDescent="0.2">
      <c r="A745" s="9">
        <v>46239</v>
      </c>
      <c r="B745" t="s">
        <v>336</v>
      </c>
      <c r="C745" t="s">
        <v>337</v>
      </c>
      <c r="D745" t="s">
        <v>68</v>
      </c>
      <c r="E745" t="s">
        <v>647</v>
      </c>
      <c r="F745" t="s">
        <v>668</v>
      </c>
      <c r="G745" s="10">
        <v>16</v>
      </c>
      <c r="H745" s="10">
        <v>26120</v>
      </c>
      <c r="I745" s="10">
        <v>417920</v>
      </c>
      <c r="J745" t="s">
        <v>51</v>
      </c>
      <c r="K745" s="11">
        <v>648.20000000000005</v>
      </c>
      <c r="L745" s="12">
        <v>644.74</v>
      </c>
    </row>
    <row r="746" spans="1:12" x14ac:dyDescent="0.2">
      <c r="A746" s="9">
        <v>46239</v>
      </c>
      <c r="B746" t="s">
        <v>345</v>
      </c>
      <c r="C746" t="s">
        <v>346</v>
      </c>
      <c r="D746" t="s">
        <v>68</v>
      </c>
      <c r="E746" t="s">
        <v>651</v>
      </c>
      <c r="F746" t="s">
        <v>657</v>
      </c>
      <c r="G746" s="10">
        <v>4</v>
      </c>
      <c r="H746" s="10">
        <v>6413</v>
      </c>
      <c r="I746" s="10">
        <v>25652</v>
      </c>
      <c r="J746" t="s">
        <v>51</v>
      </c>
      <c r="K746" s="11">
        <v>648.20000000000005</v>
      </c>
      <c r="L746" s="12">
        <v>39.57</v>
      </c>
    </row>
    <row r="747" spans="1:12" x14ac:dyDescent="0.2">
      <c r="A747" s="9">
        <v>46239</v>
      </c>
      <c r="B747" t="s">
        <v>348</v>
      </c>
      <c r="C747" t="s">
        <v>349</v>
      </c>
      <c r="D747" t="s">
        <v>36</v>
      </c>
      <c r="E747" t="s">
        <v>651</v>
      </c>
      <c r="F747" t="s">
        <v>652</v>
      </c>
      <c r="G747" s="10">
        <v>35</v>
      </c>
      <c r="H747" s="10">
        <v>9792</v>
      </c>
      <c r="I747" s="10">
        <v>342720</v>
      </c>
      <c r="J747" t="s">
        <v>37</v>
      </c>
      <c r="K747" s="11">
        <v>648.20000000000005</v>
      </c>
      <c r="L747" s="12">
        <v>528.73</v>
      </c>
    </row>
    <row r="748" spans="1:12" x14ac:dyDescent="0.2">
      <c r="A748" s="9">
        <v>46239</v>
      </c>
      <c r="B748" t="s">
        <v>348</v>
      </c>
      <c r="C748" t="s">
        <v>349</v>
      </c>
      <c r="D748" t="s">
        <v>36</v>
      </c>
      <c r="E748" t="s">
        <v>649</v>
      </c>
      <c r="F748" t="s">
        <v>650</v>
      </c>
      <c r="G748" s="10">
        <v>32</v>
      </c>
      <c r="H748" s="10">
        <v>18499</v>
      </c>
      <c r="I748" s="10">
        <v>591968</v>
      </c>
      <c r="J748" t="s">
        <v>37</v>
      </c>
      <c r="K748" s="11">
        <v>648.20000000000005</v>
      </c>
      <c r="L748" s="12">
        <v>913.25</v>
      </c>
    </row>
    <row r="749" spans="1:12" x14ac:dyDescent="0.2">
      <c r="A749" s="9">
        <v>46239</v>
      </c>
      <c r="B749" t="s">
        <v>348</v>
      </c>
      <c r="C749" t="s">
        <v>349</v>
      </c>
      <c r="D749" t="s">
        <v>36</v>
      </c>
      <c r="E749" t="s">
        <v>647</v>
      </c>
      <c r="F749" t="s">
        <v>668</v>
      </c>
      <c r="G749" s="10">
        <v>5</v>
      </c>
      <c r="H749" s="10">
        <v>25977</v>
      </c>
      <c r="I749" s="10">
        <v>129885</v>
      </c>
      <c r="J749" t="s">
        <v>37</v>
      </c>
      <c r="K749" s="11">
        <v>648.20000000000005</v>
      </c>
      <c r="L749" s="12">
        <v>200.38</v>
      </c>
    </row>
    <row r="750" spans="1:12" x14ac:dyDescent="0.2">
      <c r="A750" s="9">
        <v>46239</v>
      </c>
      <c r="B750" t="s">
        <v>351</v>
      </c>
      <c r="C750" t="s">
        <v>352</v>
      </c>
      <c r="D750" t="s">
        <v>41</v>
      </c>
      <c r="E750" t="s">
        <v>649</v>
      </c>
      <c r="F750" t="s">
        <v>650</v>
      </c>
      <c r="G750" s="10">
        <v>11</v>
      </c>
      <c r="H750" s="10">
        <v>89722</v>
      </c>
      <c r="I750" s="10">
        <v>986942</v>
      </c>
      <c r="J750" t="s">
        <v>42</v>
      </c>
      <c r="K750" s="11">
        <v>3145.8</v>
      </c>
      <c r="L750" s="12">
        <v>313.73</v>
      </c>
    </row>
    <row r="751" spans="1:12" x14ac:dyDescent="0.2">
      <c r="A751" s="9">
        <v>46239</v>
      </c>
      <c r="B751" t="s">
        <v>357</v>
      </c>
      <c r="C751" t="s">
        <v>358</v>
      </c>
      <c r="D751" t="s">
        <v>36</v>
      </c>
      <c r="E751" t="s">
        <v>649</v>
      </c>
      <c r="F751" t="s">
        <v>650</v>
      </c>
      <c r="G751" s="10">
        <v>9</v>
      </c>
      <c r="H751" s="10">
        <v>18847</v>
      </c>
      <c r="I751" s="10">
        <v>169623</v>
      </c>
      <c r="J751" t="s">
        <v>37</v>
      </c>
      <c r="K751" s="11">
        <v>648.20000000000005</v>
      </c>
      <c r="L751" s="12">
        <v>261.68</v>
      </c>
    </row>
    <row r="752" spans="1:12" x14ac:dyDescent="0.2">
      <c r="A752" s="9">
        <v>46239</v>
      </c>
      <c r="B752" t="s">
        <v>357</v>
      </c>
      <c r="C752" t="s">
        <v>358</v>
      </c>
      <c r="D752" t="s">
        <v>36</v>
      </c>
      <c r="E752" t="s">
        <v>655</v>
      </c>
      <c r="F752" t="s">
        <v>662</v>
      </c>
      <c r="G752" s="10">
        <v>32</v>
      </c>
      <c r="H752" s="10">
        <v>1128</v>
      </c>
      <c r="I752" s="10">
        <v>36096</v>
      </c>
      <c r="J752" t="s">
        <v>37</v>
      </c>
      <c r="K752" s="11">
        <v>648.20000000000005</v>
      </c>
      <c r="L752" s="12">
        <v>55.69</v>
      </c>
    </row>
    <row r="753" spans="1:12" x14ac:dyDescent="0.2">
      <c r="A753" s="9">
        <v>46239</v>
      </c>
      <c r="B753" t="s">
        <v>357</v>
      </c>
      <c r="C753" t="s">
        <v>358</v>
      </c>
      <c r="D753" t="s">
        <v>36</v>
      </c>
      <c r="E753" t="s">
        <v>647</v>
      </c>
      <c r="F753" t="s">
        <v>648</v>
      </c>
      <c r="G753" s="10">
        <v>35</v>
      </c>
      <c r="H753" s="10">
        <v>15628</v>
      </c>
      <c r="I753" s="10">
        <v>546980</v>
      </c>
      <c r="J753" t="s">
        <v>37</v>
      </c>
      <c r="K753" s="11">
        <v>648.20000000000005</v>
      </c>
      <c r="L753" s="12">
        <v>843.84</v>
      </c>
    </row>
    <row r="754" spans="1:12" x14ac:dyDescent="0.2">
      <c r="A754" s="9">
        <v>46239</v>
      </c>
      <c r="B754" t="s">
        <v>357</v>
      </c>
      <c r="C754" t="s">
        <v>358</v>
      </c>
      <c r="D754" t="s">
        <v>36</v>
      </c>
      <c r="E754" t="s">
        <v>655</v>
      </c>
      <c r="F754" t="s">
        <v>665</v>
      </c>
      <c r="G754" s="10">
        <v>41</v>
      </c>
      <c r="H754" s="10">
        <v>688</v>
      </c>
      <c r="I754" s="10">
        <v>28208</v>
      </c>
      <c r="J754" t="s">
        <v>37</v>
      </c>
      <c r="K754" s="11">
        <v>648.20000000000005</v>
      </c>
      <c r="L754" s="12">
        <v>43.52</v>
      </c>
    </row>
    <row r="755" spans="1:12" x14ac:dyDescent="0.2">
      <c r="A755" s="9">
        <v>46239</v>
      </c>
      <c r="B755" t="s">
        <v>360</v>
      </c>
      <c r="C755" t="s">
        <v>361</v>
      </c>
      <c r="D755" t="s">
        <v>46</v>
      </c>
      <c r="E755" t="s">
        <v>655</v>
      </c>
      <c r="F755" t="s">
        <v>665</v>
      </c>
      <c r="G755" s="10">
        <v>5</v>
      </c>
      <c r="H755" s="10">
        <v>699</v>
      </c>
      <c r="I755" s="10">
        <v>3495</v>
      </c>
      <c r="J755" t="s">
        <v>37</v>
      </c>
      <c r="K755" s="11">
        <v>648.20000000000005</v>
      </c>
      <c r="L755" s="12">
        <v>5.39</v>
      </c>
    </row>
    <row r="756" spans="1:12" x14ac:dyDescent="0.2">
      <c r="A756" s="9">
        <v>46239</v>
      </c>
      <c r="B756" t="s">
        <v>363</v>
      </c>
      <c r="C756" t="s">
        <v>364</v>
      </c>
      <c r="D756" t="s">
        <v>46</v>
      </c>
      <c r="E756" t="s">
        <v>649</v>
      </c>
      <c r="F756" t="s">
        <v>659</v>
      </c>
      <c r="G756" s="10">
        <v>85</v>
      </c>
      <c r="H756" s="10">
        <v>8695</v>
      </c>
      <c r="I756" s="10">
        <v>739075</v>
      </c>
      <c r="J756" t="s">
        <v>37</v>
      </c>
      <c r="K756" s="11">
        <v>648.20000000000005</v>
      </c>
      <c r="L756" s="12">
        <v>1140.2</v>
      </c>
    </row>
    <row r="757" spans="1:12" x14ac:dyDescent="0.2">
      <c r="A757" s="9">
        <v>46239</v>
      </c>
      <c r="B757" t="s">
        <v>363</v>
      </c>
      <c r="C757" t="s">
        <v>364</v>
      </c>
      <c r="D757" t="s">
        <v>46</v>
      </c>
      <c r="E757" t="s">
        <v>647</v>
      </c>
      <c r="F757" t="s">
        <v>648</v>
      </c>
      <c r="G757" s="10">
        <v>134</v>
      </c>
      <c r="H757" s="10">
        <v>16629</v>
      </c>
      <c r="I757" s="10">
        <v>2228286</v>
      </c>
      <c r="J757" t="s">
        <v>37</v>
      </c>
      <c r="K757" s="11">
        <v>648.20000000000005</v>
      </c>
      <c r="L757" s="12">
        <v>3437.65</v>
      </c>
    </row>
    <row r="758" spans="1:12" x14ac:dyDescent="0.2">
      <c r="A758" s="9">
        <v>46239</v>
      </c>
      <c r="B758" t="s">
        <v>366</v>
      </c>
      <c r="C758" t="s">
        <v>367</v>
      </c>
      <c r="D758" t="s">
        <v>41</v>
      </c>
      <c r="E758" t="s">
        <v>660</v>
      </c>
      <c r="F758" t="s">
        <v>669</v>
      </c>
      <c r="G758" s="10">
        <v>1</v>
      </c>
      <c r="H758" s="10">
        <v>12162</v>
      </c>
      <c r="I758" s="10">
        <v>12162</v>
      </c>
      <c r="J758" t="s">
        <v>42</v>
      </c>
      <c r="K758" s="11">
        <v>3145.8</v>
      </c>
      <c r="L758" s="12">
        <v>3.87</v>
      </c>
    </row>
    <row r="759" spans="1:12" x14ac:dyDescent="0.2">
      <c r="A759" s="9">
        <v>46239</v>
      </c>
      <c r="B759" t="s">
        <v>366</v>
      </c>
      <c r="C759" t="s">
        <v>367</v>
      </c>
      <c r="D759" t="s">
        <v>41</v>
      </c>
      <c r="E759" t="s">
        <v>655</v>
      </c>
      <c r="F759" t="s">
        <v>656</v>
      </c>
      <c r="G759" s="10">
        <v>11</v>
      </c>
      <c r="H759" s="10">
        <v>2759</v>
      </c>
      <c r="I759" s="10">
        <v>30349</v>
      </c>
      <c r="J759" t="s">
        <v>42</v>
      </c>
      <c r="K759" s="11">
        <v>3145.8</v>
      </c>
      <c r="L759" s="12">
        <v>9.65</v>
      </c>
    </row>
    <row r="760" spans="1:12" x14ac:dyDescent="0.2">
      <c r="A760" s="9">
        <v>46239</v>
      </c>
      <c r="B760" t="s">
        <v>372</v>
      </c>
      <c r="C760" t="s">
        <v>373</v>
      </c>
      <c r="D760" t="s">
        <v>75</v>
      </c>
      <c r="E760" t="s">
        <v>655</v>
      </c>
      <c r="F760" t="s">
        <v>665</v>
      </c>
      <c r="G760" s="10">
        <v>50</v>
      </c>
      <c r="H760" s="10">
        <v>3346</v>
      </c>
      <c r="I760" s="10">
        <v>167300</v>
      </c>
      <c r="J760" t="s">
        <v>42</v>
      </c>
      <c r="K760" s="11">
        <v>3145.8</v>
      </c>
      <c r="L760" s="12">
        <v>53.18</v>
      </c>
    </row>
    <row r="761" spans="1:12" x14ac:dyDescent="0.2">
      <c r="A761" s="9">
        <v>46239</v>
      </c>
      <c r="B761" t="s">
        <v>378</v>
      </c>
      <c r="C761" t="s">
        <v>379</v>
      </c>
      <c r="D761" t="s">
        <v>50</v>
      </c>
      <c r="E761" t="s">
        <v>653</v>
      </c>
      <c r="F761" t="s">
        <v>658</v>
      </c>
      <c r="G761" s="10">
        <v>9</v>
      </c>
      <c r="H761" s="10">
        <v>2682</v>
      </c>
      <c r="I761" s="10">
        <v>24138</v>
      </c>
      <c r="J761" t="s">
        <v>51</v>
      </c>
      <c r="K761" s="11">
        <v>648.20000000000005</v>
      </c>
      <c r="L761" s="12">
        <v>37.24</v>
      </c>
    </row>
    <row r="762" spans="1:12" x14ac:dyDescent="0.2">
      <c r="A762" s="9">
        <v>46239</v>
      </c>
      <c r="B762" t="s">
        <v>378</v>
      </c>
      <c r="C762" t="s">
        <v>379</v>
      </c>
      <c r="D762" t="s">
        <v>50</v>
      </c>
      <c r="E762" t="s">
        <v>660</v>
      </c>
      <c r="F762" t="s">
        <v>670</v>
      </c>
      <c r="G762" s="10">
        <v>9</v>
      </c>
      <c r="H762" s="10">
        <v>14187</v>
      </c>
      <c r="I762" s="10">
        <v>127683</v>
      </c>
      <c r="J762" t="s">
        <v>51</v>
      </c>
      <c r="K762" s="11">
        <v>648.20000000000005</v>
      </c>
      <c r="L762" s="12">
        <v>196.98</v>
      </c>
    </row>
    <row r="763" spans="1:12" x14ac:dyDescent="0.2">
      <c r="A763" s="9">
        <v>46239</v>
      </c>
      <c r="B763" t="s">
        <v>381</v>
      </c>
      <c r="C763" t="s">
        <v>382</v>
      </c>
      <c r="D763" t="s">
        <v>36</v>
      </c>
      <c r="E763" t="s">
        <v>649</v>
      </c>
      <c r="F763" t="s">
        <v>650</v>
      </c>
      <c r="G763" s="10">
        <v>13</v>
      </c>
      <c r="H763" s="10">
        <v>19268</v>
      </c>
      <c r="I763" s="10">
        <v>250484</v>
      </c>
      <c r="J763" t="s">
        <v>37</v>
      </c>
      <c r="K763" s="11">
        <v>648.20000000000005</v>
      </c>
      <c r="L763" s="12">
        <v>386.43</v>
      </c>
    </row>
    <row r="764" spans="1:12" x14ac:dyDescent="0.2">
      <c r="A764" s="9">
        <v>46239</v>
      </c>
      <c r="B764" t="s">
        <v>384</v>
      </c>
      <c r="C764" t="s">
        <v>385</v>
      </c>
      <c r="D764" t="s">
        <v>46</v>
      </c>
      <c r="E764" t="s">
        <v>649</v>
      </c>
      <c r="F764" t="s">
        <v>663</v>
      </c>
      <c r="G764" s="10">
        <v>2</v>
      </c>
      <c r="H764" s="10">
        <v>2012</v>
      </c>
      <c r="I764" s="10">
        <v>4024</v>
      </c>
      <c r="J764" t="s">
        <v>37</v>
      </c>
      <c r="K764" s="11">
        <v>648.20000000000005</v>
      </c>
      <c r="L764" s="12">
        <v>6.21</v>
      </c>
    </row>
    <row r="765" spans="1:12" x14ac:dyDescent="0.2">
      <c r="A765" s="9">
        <v>46239</v>
      </c>
      <c r="B765" t="s">
        <v>384</v>
      </c>
      <c r="C765" t="s">
        <v>385</v>
      </c>
      <c r="D765" t="s">
        <v>46</v>
      </c>
      <c r="E765" t="s">
        <v>660</v>
      </c>
      <c r="F765" t="s">
        <v>661</v>
      </c>
      <c r="G765" s="10">
        <v>3</v>
      </c>
      <c r="H765" s="10">
        <v>4079</v>
      </c>
      <c r="I765" s="10">
        <v>12237</v>
      </c>
      <c r="J765" t="s">
        <v>37</v>
      </c>
      <c r="K765" s="11">
        <v>648.20000000000005</v>
      </c>
      <c r="L765" s="12">
        <v>18.88</v>
      </c>
    </row>
    <row r="766" spans="1:12" x14ac:dyDescent="0.2">
      <c r="A766" s="9">
        <v>46239</v>
      </c>
      <c r="B766" t="s">
        <v>384</v>
      </c>
      <c r="C766" t="s">
        <v>385</v>
      </c>
      <c r="D766" t="s">
        <v>46</v>
      </c>
      <c r="E766" t="s">
        <v>651</v>
      </c>
      <c r="F766" t="s">
        <v>664</v>
      </c>
      <c r="G766" s="10">
        <v>8</v>
      </c>
      <c r="H766" s="10">
        <v>11742</v>
      </c>
      <c r="I766" s="10">
        <v>93936</v>
      </c>
      <c r="J766" t="s">
        <v>37</v>
      </c>
      <c r="K766" s="11">
        <v>648.20000000000005</v>
      </c>
      <c r="L766" s="12">
        <v>144.91999999999999</v>
      </c>
    </row>
    <row r="767" spans="1:12" x14ac:dyDescent="0.2">
      <c r="A767" s="9">
        <v>46239</v>
      </c>
      <c r="B767" t="s">
        <v>387</v>
      </c>
      <c r="C767" t="s">
        <v>388</v>
      </c>
      <c r="D767" t="s">
        <v>50</v>
      </c>
      <c r="E767" t="s">
        <v>655</v>
      </c>
      <c r="F767" t="s">
        <v>665</v>
      </c>
      <c r="G767" s="10">
        <v>12</v>
      </c>
      <c r="H767" s="10">
        <v>697</v>
      </c>
      <c r="I767" s="10">
        <v>8364</v>
      </c>
      <c r="J767" t="s">
        <v>51</v>
      </c>
      <c r="K767" s="11">
        <v>648.20000000000005</v>
      </c>
      <c r="L767" s="12">
        <v>12.9</v>
      </c>
    </row>
    <row r="768" spans="1:12" x14ac:dyDescent="0.2">
      <c r="A768" s="9">
        <v>46239</v>
      </c>
      <c r="B768" t="s">
        <v>390</v>
      </c>
      <c r="C768" t="s">
        <v>391</v>
      </c>
      <c r="D768" t="s">
        <v>46</v>
      </c>
      <c r="E768" t="s">
        <v>651</v>
      </c>
      <c r="F768" t="s">
        <v>657</v>
      </c>
      <c r="G768" s="10">
        <v>30</v>
      </c>
      <c r="H768" s="10">
        <v>6606</v>
      </c>
      <c r="I768" s="10">
        <v>198180</v>
      </c>
      <c r="J768" t="s">
        <v>37</v>
      </c>
      <c r="K768" s="11">
        <v>648.20000000000005</v>
      </c>
      <c r="L768" s="12">
        <v>305.74</v>
      </c>
    </row>
    <row r="769" spans="1:12" x14ac:dyDescent="0.2">
      <c r="A769" s="9">
        <v>46239</v>
      </c>
      <c r="B769" t="s">
        <v>393</v>
      </c>
      <c r="C769" t="s">
        <v>307</v>
      </c>
      <c r="D769" t="s">
        <v>68</v>
      </c>
      <c r="E769" t="s">
        <v>647</v>
      </c>
      <c r="F769" t="s">
        <v>668</v>
      </c>
      <c r="G769" s="10">
        <v>29</v>
      </c>
      <c r="H769" s="10">
        <v>24890</v>
      </c>
      <c r="I769" s="10">
        <v>721810</v>
      </c>
      <c r="J769" t="s">
        <v>51</v>
      </c>
      <c r="K769" s="11">
        <v>648.20000000000005</v>
      </c>
      <c r="L769" s="12">
        <v>1113.56</v>
      </c>
    </row>
    <row r="770" spans="1:12" x14ac:dyDescent="0.2">
      <c r="A770" s="9">
        <v>46239</v>
      </c>
      <c r="B770" t="s">
        <v>393</v>
      </c>
      <c r="C770" t="s">
        <v>307</v>
      </c>
      <c r="D770" t="s">
        <v>68</v>
      </c>
      <c r="E770" t="s">
        <v>647</v>
      </c>
      <c r="F770" t="s">
        <v>648</v>
      </c>
      <c r="G770" s="10">
        <v>16</v>
      </c>
      <c r="H770" s="10">
        <v>16091</v>
      </c>
      <c r="I770" s="10">
        <v>257456</v>
      </c>
      <c r="J770" t="s">
        <v>51</v>
      </c>
      <c r="K770" s="11">
        <v>648.20000000000005</v>
      </c>
      <c r="L770" s="12">
        <v>397.19</v>
      </c>
    </row>
    <row r="771" spans="1:12" x14ac:dyDescent="0.2">
      <c r="A771" s="9">
        <v>46239</v>
      </c>
      <c r="B771" t="s">
        <v>393</v>
      </c>
      <c r="C771" t="s">
        <v>307</v>
      </c>
      <c r="D771" t="s">
        <v>68</v>
      </c>
      <c r="E771" t="s">
        <v>647</v>
      </c>
      <c r="F771" t="s">
        <v>667</v>
      </c>
      <c r="G771" s="10">
        <v>84</v>
      </c>
      <c r="H771" s="10">
        <v>7391</v>
      </c>
      <c r="I771" s="10">
        <v>620844</v>
      </c>
      <c r="J771" t="s">
        <v>51</v>
      </c>
      <c r="K771" s="11">
        <v>648.20000000000005</v>
      </c>
      <c r="L771" s="12">
        <v>957.8</v>
      </c>
    </row>
    <row r="772" spans="1:12" x14ac:dyDescent="0.2">
      <c r="A772" s="9">
        <v>46239</v>
      </c>
      <c r="B772" t="s">
        <v>393</v>
      </c>
      <c r="C772" t="s">
        <v>307</v>
      </c>
      <c r="D772" t="s">
        <v>68</v>
      </c>
      <c r="E772" t="s">
        <v>651</v>
      </c>
      <c r="F772" t="s">
        <v>657</v>
      </c>
      <c r="G772" s="10">
        <v>167</v>
      </c>
      <c r="H772" s="10">
        <v>6326</v>
      </c>
      <c r="I772" s="10">
        <v>1056442</v>
      </c>
      <c r="J772" t="s">
        <v>51</v>
      </c>
      <c r="K772" s="11">
        <v>648.20000000000005</v>
      </c>
      <c r="L772" s="12">
        <v>1629.81</v>
      </c>
    </row>
    <row r="773" spans="1:12" x14ac:dyDescent="0.2">
      <c r="A773" s="9">
        <v>46239</v>
      </c>
      <c r="B773" t="s">
        <v>393</v>
      </c>
      <c r="C773" t="s">
        <v>307</v>
      </c>
      <c r="D773" t="s">
        <v>68</v>
      </c>
      <c r="E773" t="s">
        <v>651</v>
      </c>
      <c r="F773" t="s">
        <v>657</v>
      </c>
      <c r="G773" s="10">
        <v>37</v>
      </c>
      <c r="H773" s="10">
        <v>6504</v>
      </c>
      <c r="I773" s="10">
        <v>240648</v>
      </c>
      <c r="J773" t="s">
        <v>51</v>
      </c>
      <c r="K773" s="11">
        <v>648.20000000000005</v>
      </c>
      <c r="L773" s="12">
        <v>371.26</v>
      </c>
    </row>
    <row r="774" spans="1:12" x14ac:dyDescent="0.2">
      <c r="A774" s="9">
        <v>46239</v>
      </c>
      <c r="B774" t="s">
        <v>393</v>
      </c>
      <c r="C774" t="s">
        <v>307</v>
      </c>
      <c r="D774" t="s">
        <v>68</v>
      </c>
      <c r="E774" t="s">
        <v>655</v>
      </c>
      <c r="F774" t="s">
        <v>665</v>
      </c>
      <c r="G774" s="10">
        <v>88</v>
      </c>
      <c r="H774" s="10">
        <v>683</v>
      </c>
      <c r="I774" s="10">
        <v>60104</v>
      </c>
      <c r="J774" t="s">
        <v>51</v>
      </c>
      <c r="K774" s="11">
        <v>648.20000000000005</v>
      </c>
      <c r="L774" s="12">
        <v>92.72</v>
      </c>
    </row>
    <row r="775" spans="1:12" x14ac:dyDescent="0.2">
      <c r="A775" s="9">
        <v>46239</v>
      </c>
      <c r="B775" t="s">
        <v>395</v>
      </c>
      <c r="C775" t="s">
        <v>396</v>
      </c>
      <c r="D775" t="s">
        <v>46</v>
      </c>
      <c r="E775" t="s">
        <v>660</v>
      </c>
      <c r="F775" t="s">
        <v>661</v>
      </c>
      <c r="G775" s="10">
        <v>8</v>
      </c>
      <c r="H775" s="10">
        <v>4194</v>
      </c>
      <c r="I775" s="10">
        <v>33552</v>
      </c>
      <c r="J775" t="s">
        <v>37</v>
      </c>
      <c r="K775" s="11">
        <v>648.20000000000005</v>
      </c>
      <c r="L775" s="12">
        <v>51.76</v>
      </c>
    </row>
    <row r="776" spans="1:12" x14ac:dyDescent="0.2">
      <c r="A776" s="9">
        <v>46239</v>
      </c>
      <c r="B776" t="s">
        <v>398</v>
      </c>
      <c r="C776" t="s">
        <v>399</v>
      </c>
      <c r="D776" t="s">
        <v>46</v>
      </c>
      <c r="E776" t="s">
        <v>647</v>
      </c>
      <c r="F776" t="s">
        <v>668</v>
      </c>
      <c r="G776" s="10">
        <v>8</v>
      </c>
      <c r="H776" s="10">
        <v>24834</v>
      </c>
      <c r="I776" s="10">
        <v>198672</v>
      </c>
      <c r="J776" t="s">
        <v>37</v>
      </c>
      <c r="K776" s="11">
        <v>648.20000000000005</v>
      </c>
      <c r="L776" s="12">
        <v>306.5</v>
      </c>
    </row>
    <row r="777" spans="1:12" x14ac:dyDescent="0.2">
      <c r="A777" s="9">
        <v>46239</v>
      </c>
      <c r="B777" t="s">
        <v>398</v>
      </c>
      <c r="C777" t="s">
        <v>399</v>
      </c>
      <c r="D777" t="s">
        <v>46</v>
      </c>
      <c r="E777" t="s">
        <v>647</v>
      </c>
      <c r="F777" t="s">
        <v>648</v>
      </c>
      <c r="G777" s="10">
        <v>6</v>
      </c>
      <c r="H777" s="10">
        <v>16258</v>
      </c>
      <c r="I777" s="10">
        <v>97548</v>
      </c>
      <c r="J777" t="s">
        <v>37</v>
      </c>
      <c r="K777" s="11">
        <v>648.20000000000005</v>
      </c>
      <c r="L777" s="12">
        <v>150.49</v>
      </c>
    </row>
    <row r="778" spans="1:12" x14ac:dyDescent="0.2">
      <c r="A778" s="9">
        <v>46239</v>
      </c>
      <c r="B778" t="s">
        <v>398</v>
      </c>
      <c r="C778" t="s">
        <v>399</v>
      </c>
      <c r="D778" t="s">
        <v>46</v>
      </c>
      <c r="E778" t="s">
        <v>655</v>
      </c>
      <c r="F778" t="s">
        <v>656</v>
      </c>
      <c r="G778" s="10">
        <v>27</v>
      </c>
      <c r="H778" s="10">
        <v>572</v>
      </c>
      <c r="I778" s="10">
        <v>15444</v>
      </c>
      <c r="J778" t="s">
        <v>37</v>
      </c>
      <c r="K778" s="11">
        <v>648.20000000000005</v>
      </c>
      <c r="L778" s="12">
        <v>23.83</v>
      </c>
    </row>
    <row r="779" spans="1:12" x14ac:dyDescent="0.2">
      <c r="A779" s="9">
        <v>46239</v>
      </c>
      <c r="B779" t="s">
        <v>404</v>
      </c>
      <c r="C779" t="s">
        <v>405</v>
      </c>
      <c r="D779" t="s">
        <v>46</v>
      </c>
      <c r="E779" t="s">
        <v>660</v>
      </c>
      <c r="F779" t="s">
        <v>669</v>
      </c>
      <c r="G779" s="10">
        <v>65</v>
      </c>
      <c r="H779" s="10">
        <v>2585</v>
      </c>
      <c r="I779" s="10">
        <v>168025</v>
      </c>
      <c r="J779" t="s">
        <v>37</v>
      </c>
      <c r="K779" s="11">
        <v>648.20000000000005</v>
      </c>
      <c r="L779" s="12">
        <v>259.22000000000003</v>
      </c>
    </row>
    <row r="780" spans="1:12" x14ac:dyDescent="0.2">
      <c r="A780" s="9">
        <v>46239</v>
      </c>
      <c r="B780" t="s">
        <v>416</v>
      </c>
      <c r="C780" t="s">
        <v>417</v>
      </c>
      <c r="D780" t="s">
        <v>36</v>
      </c>
      <c r="E780" t="s">
        <v>660</v>
      </c>
      <c r="F780" t="s">
        <v>670</v>
      </c>
      <c r="G780" s="10">
        <v>3</v>
      </c>
      <c r="H780" s="10">
        <v>14246</v>
      </c>
      <c r="I780" s="10">
        <v>42738</v>
      </c>
      <c r="J780" t="s">
        <v>37</v>
      </c>
      <c r="K780" s="11">
        <v>648.20000000000005</v>
      </c>
      <c r="L780" s="12">
        <v>65.930000000000007</v>
      </c>
    </row>
    <row r="781" spans="1:12" x14ac:dyDescent="0.2">
      <c r="A781" s="9">
        <v>46239</v>
      </c>
      <c r="B781" t="s">
        <v>416</v>
      </c>
      <c r="C781" t="s">
        <v>417</v>
      </c>
      <c r="D781" t="s">
        <v>36</v>
      </c>
      <c r="E781" t="s">
        <v>647</v>
      </c>
      <c r="F781" t="s">
        <v>667</v>
      </c>
      <c r="G781" s="10">
        <v>1</v>
      </c>
      <c r="H781" s="10">
        <v>7166</v>
      </c>
      <c r="I781" s="10">
        <v>7166</v>
      </c>
      <c r="J781" t="s">
        <v>37</v>
      </c>
      <c r="K781" s="11">
        <v>648.20000000000005</v>
      </c>
      <c r="L781" s="12">
        <v>11.06</v>
      </c>
    </row>
    <row r="782" spans="1:12" x14ac:dyDescent="0.2">
      <c r="A782" s="9">
        <v>46239</v>
      </c>
      <c r="B782" t="s">
        <v>419</v>
      </c>
      <c r="C782" t="s">
        <v>420</v>
      </c>
      <c r="D782" t="s">
        <v>46</v>
      </c>
      <c r="E782" t="s">
        <v>647</v>
      </c>
      <c r="F782" t="s">
        <v>648</v>
      </c>
      <c r="G782" s="10">
        <v>11</v>
      </c>
      <c r="H782" s="10">
        <v>15964</v>
      </c>
      <c r="I782" s="10">
        <v>175604</v>
      </c>
      <c r="J782" t="s">
        <v>37</v>
      </c>
      <c r="K782" s="11">
        <v>648.20000000000005</v>
      </c>
      <c r="L782" s="12">
        <v>270.91000000000003</v>
      </c>
    </row>
    <row r="783" spans="1:12" x14ac:dyDescent="0.2">
      <c r="A783" s="9">
        <v>46239</v>
      </c>
      <c r="B783" t="s">
        <v>431</v>
      </c>
      <c r="C783" t="s">
        <v>432</v>
      </c>
      <c r="D783" t="s">
        <v>36</v>
      </c>
      <c r="E783" t="s">
        <v>653</v>
      </c>
      <c r="F783" t="s">
        <v>666</v>
      </c>
      <c r="G783" s="10">
        <v>40</v>
      </c>
      <c r="H783" s="10">
        <v>1544</v>
      </c>
      <c r="I783" s="10">
        <v>61760</v>
      </c>
      <c r="J783" t="s">
        <v>37</v>
      </c>
      <c r="K783" s="11">
        <v>648.20000000000005</v>
      </c>
      <c r="L783" s="12">
        <v>95.28</v>
      </c>
    </row>
    <row r="784" spans="1:12" x14ac:dyDescent="0.2">
      <c r="A784" s="9">
        <v>46239</v>
      </c>
      <c r="B784" t="s">
        <v>431</v>
      </c>
      <c r="C784" t="s">
        <v>432</v>
      </c>
      <c r="D784" t="s">
        <v>36</v>
      </c>
      <c r="E784" t="s">
        <v>655</v>
      </c>
      <c r="F784" t="s">
        <v>656</v>
      </c>
      <c r="G784" s="10">
        <v>3</v>
      </c>
      <c r="H784" s="10">
        <v>570</v>
      </c>
      <c r="I784" s="10">
        <v>1710</v>
      </c>
      <c r="J784" t="s">
        <v>37</v>
      </c>
      <c r="K784" s="11">
        <v>648.20000000000005</v>
      </c>
      <c r="L784" s="12">
        <v>2.64</v>
      </c>
    </row>
    <row r="785" spans="1:12" x14ac:dyDescent="0.2">
      <c r="A785" s="9">
        <v>46239</v>
      </c>
      <c r="B785" t="s">
        <v>434</v>
      </c>
      <c r="C785" t="s">
        <v>176</v>
      </c>
      <c r="D785" t="s">
        <v>46</v>
      </c>
      <c r="E785" t="s">
        <v>653</v>
      </c>
      <c r="F785" t="s">
        <v>666</v>
      </c>
      <c r="G785" s="10">
        <v>3</v>
      </c>
      <c r="H785" s="10">
        <v>1456</v>
      </c>
      <c r="I785" s="10">
        <v>4368</v>
      </c>
      <c r="J785" t="s">
        <v>37</v>
      </c>
      <c r="K785" s="11">
        <v>648.20000000000005</v>
      </c>
      <c r="L785" s="12">
        <v>6.74</v>
      </c>
    </row>
    <row r="786" spans="1:12" x14ac:dyDescent="0.2">
      <c r="A786" s="9">
        <v>46239</v>
      </c>
      <c r="B786" t="s">
        <v>434</v>
      </c>
      <c r="C786" t="s">
        <v>176</v>
      </c>
      <c r="D786" t="s">
        <v>46</v>
      </c>
      <c r="E786" t="s">
        <v>653</v>
      </c>
      <c r="F786" t="s">
        <v>654</v>
      </c>
      <c r="G786" s="10">
        <v>2</v>
      </c>
      <c r="H786" s="10">
        <v>5612</v>
      </c>
      <c r="I786" s="10">
        <v>11224</v>
      </c>
      <c r="J786" t="s">
        <v>37</v>
      </c>
      <c r="K786" s="11">
        <v>648.20000000000005</v>
      </c>
      <c r="L786" s="12">
        <v>17.32</v>
      </c>
    </row>
    <row r="787" spans="1:12" x14ac:dyDescent="0.2">
      <c r="A787" s="9">
        <v>46239</v>
      </c>
      <c r="B787" t="s">
        <v>439</v>
      </c>
      <c r="C787" t="s">
        <v>440</v>
      </c>
      <c r="D787" t="s">
        <v>50</v>
      </c>
      <c r="E787" t="s">
        <v>653</v>
      </c>
      <c r="F787" t="s">
        <v>658</v>
      </c>
      <c r="G787" s="10">
        <v>3</v>
      </c>
      <c r="H787" s="10">
        <v>2617</v>
      </c>
      <c r="I787" s="10">
        <v>7851</v>
      </c>
      <c r="J787" t="s">
        <v>51</v>
      </c>
      <c r="K787" s="11">
        <v>648.20000000000005</v>
      </c>
      <c r="L787" s="12">
        <v>12.11</v>
      </c>
    </row>
    <row r="788" spans="1:12" x14ac:dyDescent="0.2">
      <c r="A788" s="9">
        <v>46239</v>
      </c>
      <c r="B788" t="s">
        <v>439</v>
      </c>
      <c r="C788" t="s">
        <v>440</v>
      </c>
      <c r="D788" t="s">
        <v>50</v>
      </c>
      <c r="E788" t="s">
        <v>653</v>
      </c>
      <c r="F788" t="s">
        <v>666</v>
      </c>
      <c r="G788" s="10">
        <v>13</v>
      </c>
      <c r="H788" s="10">
        <v>1514</v>
      </c>
      <c r="I788" s="10">
        <v>19682</v>
      </c>
      <c r="J788" t="s">
        <v>51</v>
      </c>
      <c r="K788" s="11">
        <v>648.20000000000005</v>
      </c>
      <c r="L788" s="12">
        <v>30.36</v>
      </c>
    </row>
    <row r="789" spans="1:12" x14ac:dyDescent="0.2">
      <c r="A789" s="9">
        <v>46239</v>
      </c>
      <c r="B789" t="s">
        <v>439</v>
      </c>
      <c r="C789" t="s">
        <v>440</v>
      </c>
      <c r="D789" t="s">
        <v>50</v>
      </c>
      <c r="E789" t="s">
        <v>660</v>
      </c>
      <c r="F789" t="s">
        <v>670</v>
      </c>
      <c r="G789" s="10">
        <v>6</v>
      </c>
      <c r="H789" s="10">
        <v>14173</v>
      </c>
      <c r="I789" s="10">
        <v>85038</v>
      </c>
      <c r="J789" t="s">
        <v>51</v>
      </c>
      <c r="K789" s="11">
        <v>648.20000000000005</v>
      </c>
      <c r="L789" s="12">
        <v>131.19</v>
      </c>
    </row>
    <row r="790" spans="1:12" x14ac:dyDescent="0.2">
      <c r="A790" s="9">
        <v>46239</v>
      </c>
      <c r="B790" t="s">
        <v>442</v>
      </c>
      <c r="C790" t="s">
        <v>443</v>
      </c>
      <c r="D790" t="s">
        <v>41</v>
      </c>
      <c r="E790" t="s">
        <v>653</v>
      </c>
      <c r="F790" t="s">
        <v>654</v>
      </c>
      <c r="G790" s="10">
        <v>4</v>
      </c>
      <c r="H790" s="10">
        <v>27522</v>
      </c>
      <c r="I790" s="10">
        <v>110088</v>
      </c>
      <c r="J790" t="s">
        <v>42</v>
      </c>
      <c r="K790" s="11">
        <v>3145.8</v>
      </c>
      <c r="L790" s="12">
        <v>35</v>
      </c>
    </row>
    <row r="791" spans="1:12" x14ac:dyDescent="0.2">
      <c r="A791" s="9">
        <v>46239</v>
      </c>
      <c r="B791" t="s">
        <v>442</v>
      </c>
      <c r="C791" t="s">
        <v>443</v>
      </c>
      <c r="D791" t="s">
        <v>41</v>
      </c>
      <c r="E791" t="s">
        <v>655</v>
      </c>
      <c r="F791" t="s">
        <v>665</v>
      </c>
      <c r="G791" s="10">
        <v>4</v>
      </c>
      <c r="H791" s="10">
        <v>3209</v>
      </c>
      <c r="I791" s="10">
        <v>12836</v>
      </c>
      <c r="J791" t="s">
        <v>42</v>
      </c>
      <c r="K791" s="11">
        <v>3145.8</v>
      </c>
      <c r="L791" s="12">
        <v>4.08</v>
      </c>
    </row>
    <row r="792" spans="1:12" x14ac:dyDescent="0.2">
      <c r="A792" s="9">
        <v>46239</v>
      </c>
      <c r="B792" t="s">
        <v>445</v>
      </c>
      <c r="C792" t="s">
        <v>446</v>
      </c>
      <c r="D792" t="s">
        <v>68</v>
      </c>
      <c r="E792" t="s">
        <v>649</v>
      </c>
      <c r="F792" t="s">
        <v>650</v>
      </c>
      <c r="G792" s="10">
        <v>15</v>
      </c>
      <c r="H792" s="10">
        <v>18632</v>
      </c>
      <c r="I792" s="10">
        <v>279480</v>
      </c>
      <c r="J792" t="s">
        <v>51</v>
      </c>
      <c r="K792" s="11">
        <v>648.20000000000005</v>
      </c>
      <c r="L792" s="12">
        <v>431.16</v>
      </c>
    </row>
    <row r="793" spans="1:12" x14ac:dyDescent="0.2">
      <c r="A793" s="9">
        <v>46239</v>
      </c>
      <c r="B793" t="s">
        <v>445</v>
      </c>
      <c r="C793" t="s">
        <v>446</v>
      </c>
      <c r="D793" t="s">
        <v>68</v>
      </c>
      <c r="E793" t="s">
        <v>647</v>
      </c>
      <c r="F793" t="s">
        <v>667</v>
      </c>
      <c r="G793" s="10">
        <v>5</v>
      </c>
      <c r="H793" s="10">
        <v>7173</v>
      </c>
      <c r="I793" s="10">
        <v>35865</v>
      </c>
      <c r="J793" t="s">
        <v>51</v>
      </c>
      <c r="K793" s="11">
        <v>648.20000000000005</v>
      </c>
      <c r="L793" s="12">
        <v>55.33</v>
      </c>
    </row>
    <row r="794" spans="1:12" x14ac:dyDescent="0.2">
      <c r="A794" s="9">
        <v>46239</v>
      </c>
      <c r="B794" t="s">
        <v>448</v>
      </c>
      <c r="C794" t="s">
        <v>449</v>
      </c>
      <c r="D794" t="s">
        <v>75</v>
      </c>
      <c r="E794" t="s">
        <v>647</v>
      </c>
      <c r="F794" t="s">
        <v>667</v>
      </c>
      <c r="G794" s="10">
        <v>8</v>
      </c>
      <c r="H794" s="10">
        <v>36670</v>
      </c>
      <c r="I794" s="10">
        <v>293360</v>
      </c>
      <c r="J794" t="s">
        <v>42</v>
      </c>
      <c r="K794" s="11">
        <v>3145.8</v>
      </c>
      <c r="L794" s="12">
        <v>93.25</v>
      </c>
    </row>
    <row r="795" spans="1:12" x14ac:dyDescent="0.2">
      <c r="A795" s="9">
        <v>46239</v>
      </c>
      <c r="B795" t="s">
        <v>451</v>
      </c>
      <c r="C795" t="s">
        <v>452</v>
      </c>
      <c r="D795" t="s">
        <v>68</v>
      </c>
      <c r="E795" t="s">
        <v>649</v>
      </c>
      <c r="F795" t="s">
        <v>659</v>
      </c>
      <c r="G795" s="10">
        <v>3</v>
      </c>
      <c r="H795" s="10">
        <v>9200</v>
      </c>
      <c r="I795" s="10">
        <v>27600</v>
      </c>
      <c r="J795" t="s">
        <v>51</v>
      </c>
      <c r="K795" s="11">
        <v>648.20000000000005</v>
      </c>
      <c r="L795" s="12">
        <v>42.58</v>
      </c>
    </row>
    <row r="796" spans="1:12" x14ac:dyDescent="0.2">
      <c r="A796" s="9">
        <v>46239</v>
      </c>
      <c r="B796" t="s">
        <v>454</v>
      </c>
      <c r="C796" t="s">
        <v>455</v>
      </c>
      <c r="D796" t="s">
        <v>41</v>
      </c>
      <c r="E796" t="s">
        <v>649</v>
      </c>
      <c r="F796" t="s">
        <v>650</v>
      </c>
      <c r="G796" s="10">
        <v>3</v>
      </c>
      <c r="H796" s="10">
        <v>96137</v>
      </c>
      <c r="I796" s="10">
        <v>288411</v>
      </c>
      <c r="J796" t="s">
        <v>42</v>
      </c>
      <c r="K796" s="11">
        <v>3145.8</v>
      </c>
      <c r="L796" s="12">
        <v>91.68</v>
      </c>
    </row>
    <row r="797" spans="1:12" x14ac:dyDescent="0.2">
      <c r="A797" s="9">
        <v>46239</v>
      </c>
      <c r="B797" t="s">
        <v>454</v>
      </c>
      <c r="C797" t="s">
        <v>455</v>
      </c>
      <c r="D797" t="s">
        <v>41</v>
      </c>
      <c r="E797" t="s">
        <v>660</v>
      </c>
      <c r="F797" t="s">
        <v>670</v>
      </c>
      <c r="G797" s="10">
        <v>17</v>
      </c>
      <c r="H797" s="10">
        <v>69143</v>
      </c>
      <c r="I797" s="10">
        <v>1175431</v>
      </c>
      <c r="J797" t="s">
        <v>42</v>
      </c>
      <c r="K797" s="11">
        <v>3145.8</v>
      </c>
      <c r="L797" s="12">
        <v>373.65</v>
      </c>
    </row>
    <row r="798" spans="1:12" x14ac:dyDescent="0.2">
      <c r="A798" s="9">
        <v>46239</v>
      </c>
      <c r="B798" t="s">
        <v>457</v>
      </c>
      <c r="C798" t="s">
        <v>458</v>
      </c>
      <c r="D798" t="s">
        <v>46</v>
      </c>
      <c r="E798" t="s">
        <v>647</v>
      </c>
      <c r="F798" t="s">
        <v>648</v>
      </c>
      <c r="G798" s="10">
        <v>24</v>
      </c>
      <c r="H798" s="10">
        <v>16041</v>
      </c>
      <c r="I798" s="10">
        <v>384984</v>
      </c>
      <c r="J798" t="s">
        <v>37</v>
      </c>
      <c r="K798" s="11">
        <v>648.20000000000005</v>
      </c>
      <c r="L798" s="12">
        <v>593.92999999999995</v>
      </c>
    </row>
    <row r="799" spans="1:12" x14ac:dyDescent="0.2">
      <c r="A799" s="9">
        <v>46239</v>
      </c>
      <c r="B799" t="s">
        <v>460</v>
      </c>
      <c r="C799" t="s">
        <v>461</v>
      </c>
      <c r="D799" t="s">
        <v>75</v>
      </c>
      <c r="E799" t="s">
        <v>649</v>
      </c>
      <c r="F799" t="s">
        <v>659</v>
      </c>
      <c r="G799" s="10">
        <v>5</v>
      </c>
      <c r="H799" s="10">
        <v>43642</v>
      </c>
      <c r="I799" s="10">
        <v>218210</v>
      </c>
      <c r="J799" t="s">
        <v>42</v>
      </c>
      <c r="K799" s="11">
        <v>3145.8</v>
      </c>
      <c r="L799" s="12">
        <v>69.37</v>
      </c>
    </row>
    <row r="800" spans="1:12" x14ac:dyDescent="0.2">
      <c r="A800" s="9">
        <v>46239</v>
      </c>
      <c r="B800" t="s">
        <v>460</v>
      </c>
      <c r="C800" t="s">
        <v>461</v>
      </c>
      <c r="D800" t="s">
        <v>75</v>
      </c>
      <c r="E800" t="s">
        <v>651</v>
      </c>
      <c r="F800" t="s">
        <v>657</v>
      </c>
      <c r="G800" s="10">
        <v>17</v>
      </c>
      <c r="H800" s="10">
        <v>30494</v>
      </c>
      <c r="I800" s="10">
        <v>518398</v>
      </c>
      <c r="J800" t="s">
        <v>42</v>
      </c>
      <c r="K800" s="11">
        <v>3145.8</v>
      </c>
      <c r="L800" s="12">
        <v>164.79</v>
      </c>
    </row>
    <row r="801" spans="1:12" x14ac:dyDescent="0.2">
      <c r="A801" s="9">
        <v>46239</v>
      </c>
      <c r="B801" t="s">
        <v>466</v>
      </c>
      <c r="C801" t="s">
        <v>467</v>
      </c>
      <c r="D801" t="s">
        <v>50</v>
      </c>
      <c r="E801" t="s">
        <v>651</v>
      </c>
      <c r="F801" t="s">
        <v>657</v>
      </c>
      <c r="G801" s="10">
        <v>48</v>
      </c>
      <c r="H801" s="10">
        <v>6416</v>
      </c>
      <c r="I801" s="10">
        <v>307968</v>
      </c>
      <c r="J801" t="s">
        <v>51</v>
      </c>
      <c r="K801" s="11">
        <v>648.20000000000005</v>
      </c>
      <c r="L801" s="12">
        <v>475.11</v>
      </c>
    </row>
    <row r="802" spans="1:12" x14ac:dyDescent="0.2">
      <c r="A802" s="9">
        <v>46239</v>
      </c>
      <c r="B802" t="s">
        <v>469</v>
      </c>
      <c r="C802" t="s">
        <v>470</v>
      </c>
      <c r="D802" t="s">
        <v>41</v>
      </c>
      <c r="E802" t="s">
        <v>649</v>
      </c>
      <c r="F802" t="s">
        <v>659</v>
      </c>
      <c r="G802" s="10">
        <v>20</v>
      </c>
      <c r="H802" s="10">
        <v>41933</v>
      </c>
      <c r="I802" s="10">
        <v>838660</v>
      </c>
      <c r="J802" t="s">
        <v>42</v>
      </c>
      <c r="K802" s="11">
        <v>3145.8</v>
      </c>
      <c r="L802" s="12">
        <v>266.60000000000002</v>
      </c>
    </row>
    <row r="803" spans="1:12" x14ac:dyDescent="0.2">
      <c r="A803" s="9">
        <v>46239</v>
      </c>
      <c r="B803" t="s">
        <v>469</v>
      </c>
      <c r="C803" t="s">
        <v>470</v>
      </c>
      <c r="D803" t="s">
        <v>41</v>
      </c>
      <c r="E803" t="s">
        <v>655</v>
      </c>
      <c r="F803" t="s">
        <v>662</v>
      </c>
      <c r="G803" s="10">
        <v>36</v>
      </c>
      <c r="H803" s="10">
        <v>5628</v>
      </c>
      <c r="I803" s="10">
        <v>202608</v>
      </c>
      <c r="J803" t="s">
        <v>42</v>
      </c>
      <c r="K803" s="11">
        <v>3145.8</v>
      </c>
      <c r="L803" s="12">
        <v>64.41</v>
      </c>
    </row>
    <row r="804" spans="1:12" x14ac:dyDescent="0.2">
      <c r="A804" s="9">
        <v>46239</v>
      </c>
      <c r="B804" t="s">
        <v>472</v>
      </c>
      <c r="C804" t="s">
        <v>473</v>
      </c>
      <c r="D804" t="s">
        <v>68</v>
      </c>
      <c r="E804" t="s">
        <v>651</v>
      </c>
      <c r="F804" t="s">
        <v>652</v>
      </c>
      <c r="G804" s="10">
        <v>3</v>
      </c>
      <c r="H804" s="10">
        <v>9471</v>
      </c>
      <c r="I804" s="10">
        <v>28413</v>
      </c>
      <c r="J804" t="s">
        <v>51</v>
      </c>
      <c r="K804" s="11">
        <v>648.20000000000005</v>
      </c>
      <c r="L804" s="12">
        <v>43.83</v>
      </c>
    </row>
    <row r="805" spans="1:12" x14ac:dyDescent="0.2">
      <c r="A805" s="9">
        <v>46239</v>
      </c>
      <c r="B805" t="s">
        <v>475</v>
      </c>
      <c r="C805" t="s">
        <v>476</v>
      </c>
      <c r="D805" t="s">
        <v>75</v>
      </c>
      <c r="E805" t="s">
        <v>655</v>
      </c>
      <c r="F805" t="s">
        <v>662</v>
      </c>
      <c r="G805" s="10">
        <v>17</v>
      </c>
      <c r="H805" s="10">
        <v>5498</v>
      </c>
      <c r="I805" s="10">
        <v>93466</v>
      </c>
      <c r="J805" t="s">
        <v>42</v>
      </c>
      <c r="K805" s="11">
        <v>3145.8</v>
      </c>
      <c r="L805" s="12">
        <v>29.71</v>
      </c>
    </row>
    <row r="806" spans="1:12" x14ac:dyDescent="0.2">
      <c r="A806" s="9">
        <v>46239</v>
      </c>
      <c r="B806" t="s">
        <v>475</v>
      </c>
      <c r="C806" t="s">
        <v>476</v>
      </c>
      <c r="D806" t="s">
        <v>75</v>
      </c>
      <c r="E806" t="s">
        <v>655</v>
      </c>
      <c r="F806" t="s">
        <v>662</v>
      </c>
      <c r="G806" s="10">
        <v>123</v>
      </c>
      <c r="H806" s="10">
        <v>5528</v>
      </c>
      <c r="I806" s="10">
        <v>679944</v>
      </c>
      <c r="J806" t="s">
        <v>42</v>
      </c>
      <c r="K806" s="11">
        <v>3145.8</v>
      </c>
      <c r="L806" s="12">
        <v>216.14</v>
      </c>
    </row>
    <row r="807" spans="1:12" x14ac:dyDescent="0.2">
      <c r="A807" s="9">
        <v>46239</v>
      </c>
      <c r="B807" t="s">
        <v>475</v>
      </c>
      <c r="C807" t="s">
        <v>476</v>
      </c>
      <c r="D807" t="s">
        <v>75</v>
      </c>
      <c r="E807" t="s">
        <v>647</v>
      </c>
      <c r="F807" t="s">
        <v>667</v>
      </c>
      <c r="G807" s="10">
        <v>31</v>
      </c>
      <c r="H807" s="10">
        <v>36882</v>
      </c>
      <c r="I807" s="10">
        <v>1143342</v>
      </c>
      <c r="J807" t="s">
        <v>42</v>
      </c>
      <c r="K807" s="11">
        <v>3145.8</v>
      </c>
      <c r="L807" s="12">
        <v>363.45</v>
      </c>
    </row>
    <row r="808" spans="1:12" x14ac:dyDescent="0.2">
      <c r="A808" s="9">
        <v>46239</v>
      </c>
      <c r="B808" t="s">
        <v>478</v>
      </c>
      <c r="C808" t="s">
        <v>479</v>
      </c>
      <c r="D808" t="s">
        <v>75</v>
      </c>
      <c r="E808" t="s">
        <v>660</v>
      </c>
      <c r="F808" t="s">
        <v>669</v>
      </c>
      <c r="G808" s="10">
        <v>7</v>
      </c>
      <c r="H808" s="10">
        <v>12419</v>
      </c>
      <c r="I808" s="10">
        <v>86933</v>
      </c>
      <c r="J808" t="s">
        <v>42</v>
      </c>
      <c r="K808" s="11">
        <v>3145.8</v>
      </c>
      <c r="L808" s="12">
        <v>27.63</v>
      </c>
    </row>
    <row r="809" spans="1:12" x14ac:dyDescent="0.2">
      <c r="A809" s="9">
        <v>46239</v>
      </c>
      <c r="B809" t="s">
        <v>478</v>
      </c>
      <c r="C809" t="s">
        <v>479</v>
      </c>
      <c r="D809" t="s">
        <v>75</v>
      </c>
      <c r="E809" t="s">
        <v>647</v>
      </c>
      <c r="F809" t="s">
        <v>668</v>
      </c>
      <c r="G809" s="10">
        <v>2</v>
      </c>
      <c r="H809" s="10">
        <v>118095</v>
      </c>
      <c r="I809" s="10">
        <v>236190</v>
      </c>
      <c r="J809" t="s">
        <v>42</v>
      </c>
      <c r="K809" s="11">
        <v>3145.8</v>
      </c>
      <c r="L809" s="12">
        <v>75.08</v>
      </c>
    </row>
    <row r="810" spans="1:12" x14ac:dyDescent="0.2">
      <c r="A810" s="9">
        <v>46239</v>
      </c>
      <c r="B810" t="s">
        <v>483</v>
      </c>
      <c r="C810" t="s">
        <v>340</v>
      </c>
      <c r="D810" t="s">
        <v>46</v>
      </c>
      <c r="E810" t="s">
        <v>660</v>
      </c>
      <c r="F810" t="s">
        <v>670</v>
      </c>
      <c r="G810" s="10">
        <v>28</v>
      </c>
      <c r="H810" s="10">
        <v>14121</v>
      </c>
      <c r="I810" s="10">
        <v>395388</v>
      </c>
      <c r="J810" t="s">
        <v>37</v>
      </c>
      <c r="K810" s="11">
        <v>648.20000000000005</v>
      </c>
      <c r="L810" s="12">
        <v>609.98</v>
      </c>
    </row>
    <row r="811" spans="1:12" x14ac:dyDescent="0.2">
      <c r="A811" s="9">
        <v>46239</v>
      </c>
      <c r="B811" t="s">
        <v>483</v>
      </c>
      <c r="C811" t="s">
        <v>340</v>
      </c>
      <c r="D811" t="s">
        <v>46</v>
      </c>
      <c r="E811" t="s">
        <v>647</v>
      </c>
      <c r="F811" t="s">
        <v>648</v>
      </c>
      <c r="G811" s="10">
        <v>3</v>
      </c>
      <c r="H811" s="10">
        <v>16226</v>
      </c>
      <c r="I811" s="10">
        <v>48678</v>
      </c>
      <c r="J811" t="s">
        <v>37</v>
      </c>
      <c r="K811" s="11">
        <v>648.20000000000005</v>
      </c>
      <c r="L811" s="12">
        <v>75.099999999999994</v>
      </c>
    </row>
    <row r="812" spans="1:12" x14ac:dyDescent="0.2">
      <c r="A812" s="9">
        <v>46239</v>
      </c>
      <c r="B812" t="s">
        <v>499</v>
      </c>
      <c r="C812" t="s">
        <v>500</v>
      </c>
      <c r="D812" t="s">
        <v>41</v>
      </c>
      <c r="E812" t="s">
        <v>649</v>
      </c>
      <c r="F812" t="s">
        <v>650</v>
      </c>
      <c r="G812" s="10">
        <v>23</v>
      </c>
      <c r="H812" s="10">
        <v>95256</v>
      </c>
      <c r="I812" s="10">
        <v>2190888</v>
      </c>
      <c r="J812" t="s">
        <v>42</v>
      </c>
      <c r="K812" s="11">
        <v>3145.8</v>
      </c>
      <c r="L812" s="12">
        <v>696.45</v>
      </c>
    </row>
    <row r="813" spans="1:12" x14ac:dyDescent="0.2">
      <c r="A813" s="9">
        <v>46239</v>
      </c>
      <c r="B813" t="s">
        <v>499</v>
      </c>
      <c r="C813" t="s">
        <v>500</v>
      </c>
      <c r="D813" t="s">
        <v>41</v>
      </c>
      <c r="E813" t="s">
        <v>647</v>
      </c>
      <c r="F813" t="s">
        <v>648</v>
      </c>
      <c r="G813" s="10">
        <v>6</v>
      </c>
      <c r="H813" s="10">
        <v>77276</v>
      </c>
      <c r="I813" s="10">
        <v>463656</v>
      </c>
      <c r="J813" t="s">
        <v>42</v>
      </c>
      <c r="K813" s="11">
        <v>3145.8</v>
      </c>
      <c r="L813" s="12">
        <v>147.38999999999999</v>
      </c>
    </row>
    <row r="814" spans="1:12" x14ac:dyDescent="0.2">
      <c r="A814" s="9">
        <v>46239</v>
      </c>
      <c r="B814" t="s">
        <v>499</v>
      </c>
      <c r="C814" t="s">
        <v>500</v>
      </c>
      <c r="D814" t="s">
        <v>41</v>
      </c>
      <c r="E814" t="s">
        <v>647</v>
      </c>
      <c r="F814" t="s">
        <v>667</v>
      </c>
      <c r="G814" s="10">
        <v>71</v>
      </c>
      <c r="H814" s="10">
        <v>36403</v>
      </c>
      <c r="I814" s="10">
        <v>2584613</v>
      </c>
      <c r="J814" t="s">
        <v>42</v>
      </c>
      <c r="K814" s="11">
        <v>3145.8</v>
      </c>
      <c r="L814" s="12">
        <v>821.61</v>
      </c>
    </row>
    <row r="815" spans="1:12" x14ac:dyDescent="0.2">
      <c r="A815" s="9">
        <v>46239</v>
      </c>
      <c r="B815" t="s">
        <v>502</v>
      </c>
      <c r="C815" t="s">
        <v>503</v>
      </c>
      <c r="D815" t="s">
        <v>41</v>
      </c>
      <c r="E815" t="s">
        <v>653</v>
      </c>
      <c r="F815" t="s">
        <v>666</v>
      </c>
      <c r="G815" s="10">
        <v>8</v>
      </c>
      <c r="H815" s="10">
        <v>7298</v>
      </c>
      <c r="I815" s="10">
        <v>58384</v>
      </c>
      <c r="J815" t="s">
        <v>42</v>
      </c>
      <c r="K815" s="11">
        <v>3145.8</v>
      </c>
      <c r="L815" s="12">
        <v>18.559999999999999</v>
      </c>
    </row>
    <row r="816" spans="1:12" x14ac:dyDescent="0.2">
      <c r="A816" s="9">
        <v>46239</v>
      </c>
      <c r="B816" t="s">
        <v>502</v>
      </c>
      <c r="C816" t="s">
        <v>503</v>
      </c>
      <c r="D816" t="s">
        <v>41</v>
      </c>
      <c r="E816" t="s">
        <v>660</v>
      </c>
      <c r="F816" t="s">
        <v>661</v>
      </c>
      <c r="G816" s="10">
        <v>5</v>
      </c>
      <c r="H816" s="10">
        <v>20649</v>
      </c>
      <c r="I816" s="10">
        <v>103245</v>
      </c>
      <c r="J816" t="s">
        <v>42</v>
      </c>
      <c r="K816" s="11">
        <v>3145.8</v>
      </c>
      <c r="L816" s="12">
        <v>32.82</v>
      </c>
    </row>
    <row r="817" spans="1:12" x14ac:dyDescent="0.2">
      <c r="A817" s="9">
        <v>46239</v>
      </c>
      <c r="B817" t="s">
        <v>505</v>
      </c>
      <c r="C817" t="s">
        <v>506</v>
      </c>
      <c r="D817" t="s">
        <v>36</v>
      </c>
      <c r="E817" t="s">
        <v>660</v>
      </c>
      <c r="F817" t="s">
        <v>669</v>
      </c>
      <c r="G817" s="10">
        <v>6</v>
      </c>
      <c r="H817" s="10">
        <v>2661</v>
      </c>
      <c r="I817" s="10">
        <v>15966</v>
      </c>
      <c r="J817" t="s">
        <v>37</v>
      </c>
      <c r="K817" s="11">
        <v>648.20000000000005</v>
      </c>
      <c r="L817" s="12">
        <v>24.63</v>
      </c>
    </row>
    <row r="818" spans="1:12" x14ac:dyDescent="0.2">
      <c r="A818" s="9">
        <v>46239</v>
      </c>
      <c r="B818" t="s">
        <v>505</v>
      </c>
      <c r="C818" t="s">
        <v>506</v>
      </c>
      <c r="D818" t="s">
        <v>36</v>
      </c>
      <c r="E818" t="s">
        <v>647</v>
      </c>
      <c r="F818" t="s">
        <v>667</v>
      </c>
      <c r="G818" s="10">
        <v>23</v>
      </c>
      <c r="H818" s="10">
        <v>7349</v>
      </c>
      <c r="I818" s="10">
        <v>169027</v>
      </c>
      <c r="J818" t="s">
        <v>37</v>
      </c>
      <c r="K818" s="11">
        <v>648.20000000000005</v>
      </c>
      <c r="L818" s="12">
        <v>260.76</v>
      </c>
    </row>
    <row r="819" spans="1:12" x14ac:dyDescent="0.2">
      <c r="A819" s="9">
        <v>46239</v>
      </c>
      <c r="B819" t="s">
        <v>511</v>
      </c>
      <c r="C819" t="s">
        <v>512</v>
      </c>
      <c r="D819" t="s">
        <v>75</v>
      </c>
      <c r="E819" t="s">
        <v>653</v>
      </c>
      <c r="F819" t="s">
        <v>666</v>
      </c>
      <c r="G819" s="10">
        <v>10</v>
      </c>
      <c r="H819" s="10">
        <v>7478</v>
      </c>
      <c r="I819" s="10">
        <v>74780</v>
      </c>
      <c r="J819" t="s">
        <v>42</v>
      </c>
      <c r="K819" s="11">
        <v>3145.8</v>
      </c>
      <c r="L819" s="12">
        <v>23.77</v>
      </c>
    </row>
    <row r="820" spans="1:12" x14ac:dyDescent="0.2">
      <c r="A820" s="9">
        <v>46239</v>
      </c>
      <c r="B820" t="s">
        <v>511</v>
      </c>
      <c r="C820" t="s">
        <v>512</v>
      </c>
      <c r="D820" t="s">
        <v>75</v>
      </c>
      <c r="E820" t="s">
        <v>649</v>
      </c>
      <c r="F820" t="s">
        <v>650</v>
      </c>
      <c r="G820" s="10">
        <v>2</v>
      </c>
      <c r="H820" s="10">
        <v>95175</v>
      </c>
      <c r="I820" s="10">
        <v>190350</v>
      </c>
      <c r="J820" t="s">
        <v>42</v>
      </c>
      <c r="K820" s="11">
        <v>3145.8</v>
      </c>
      <c r="L820" s="12">
        <v>60.51</v>
      </c>
    </row>
    <row r="821" spans="1:12" x14ac:dyDescent="0.2">
      <c r="A821" s="9">
        <v>46239</v>
      </c>
      <c r="B821" t="s">
        <v>511</v>
      </c>
      <c r="C821" t="s">
        <v>512</v>
      </c>
      <c r="D821" t="s">
        <v>75</v>
      </c>
      <c r="E821" t="s">
        <v>660</v>
      </c>
      <c r="F821" t="s">
        <v>661</v>
      </c>
      <c r="G821" s="10">
        <v>10</v>
      </c>
      <c r="H821" s="10">
        <v>20798</v>
      </c>
      <c r="I821" s="10">
        <v>207980</v>
      </c>
      <c r="J821" t="s">
        <v>42</v>
      </c>
      <c r="K821" s="11">
        <v>3145.8</v>
      </c>
      <c r="L821" s="12">
        <v>66.11</v>
      </c>
    </row>
    <row r="822" spans="1:12" x14ac:dyDescent="0.2">
      <c r="A822" s="9">
        <v>46239</v>
      </c>
      <c r="B822" t="s">
        <v>511</v>
      </c>
      <c r="C822" t="s">
        <v>512</v>
      </c>
      <c r="D822" t="s">
        <v>75</v>
      </c>
      <c r="E822" t="s">
        <v>647</v>
      </c>
      <c r="F822" t="s">
        <v>668</v>
      </c>
      <c r="G822" s="10">
        <v>8</v>
      </c>
      <c r="H822" s="10">
        <v>120163</v>
      </c>
      <c r="I822" s="10">
        <v>961304</v>
      </c>
      <c r="J822" t="s">
        <v>42</v>
      </c>
      <c r="K822" s="11">
        <v>3145.8</v>
      </c>
      <c r="L822" s="12">
        <v>305.58</v>
      </c>
    </row>
    <row r="823" spans="1:12" x14ac:dyDescent="0.2">
      <c r="A823" s="9">
        <v>46239</v>
      </c>
      <c r="B823" t="s">
        <v>517</v>
      </c>
      <c r="C823" t="s">
        <v>518</v>
      </c>
      <c r="D823" t="s">
        <v>41</v>
      </c>
      <c r="E823" t="s">
        <v>649</v>
      </c>
      <c r="F823" t="s">
        <v>659</v>
      </c>
      <c r="G823" s="10">
        <v>116</v>
      </c>
      <c r="H823" s="10">
        <v>43882</v>
      </c>
      <c r="I823" s="10">
        <v>5090312</v>
      </c>
      <c r="J823" t="s">
        <v>42</v>
      </c>
      <c r="K823" s="11">
        <v>3145.8</v>
      </c>
      <c r="L823" s="12">
        <v>1618.13</v>
      </c>
    </row>
    <row r="824" spans="1:12" x14ac:dyDescent="0.2">
      <c r="A824" s="9">
        <v>46239</v>
      </c>
      <c r="B824" t="s">
        <v>520</v>
      </c>
      <c r="C824" t="s">
        <v>489</v>
      </c>
      <c r="D824" t="s">
        <v>46</v>
      </c>
      <c r="E824" t="s">
        <v>647</v>
      </c>
      <c r="F824" t="s">
        <v>668</v>
      </c>
      <c r="G824" s="10">
        <v>45</v>
      </c>
      <c r="H824" s="10">
        <v>25694</v>
      </c>
      <c r="I824" s="10">
        <v>1156230</v>
      </c>
      <c r="J824" t="s">
        <v>37</v>
      </c>
      <c r="K824" s="11">
        <v>648.20000000000005</v>
      </c>
      <c r="L824" s="12">
        <v>1783.76</v>
      </c>
    </row>
    <row r="825" spans="1:12" x14ac:dyDescent="0.2">
      <c r="A825" s="9">
        <v>46239</v>
      </c>
      <c r="B825" t="s">
        <v>522</v>
      </c>
      <c r="C825" t="s">
        <v>523</v>
      </c>
      <c r="D825" t="s">
        <v>50</v>
      </c>
      <c r="E825" t="s">
        <v>649</v>
      </c>
      <c r="F825" t="s">
        <v>650</v>
      </c>
      <c r="G825" s="10">
        <v>33</v>
      </c>
      <c r="H825" s="10">
        <v>19278</v>
      </c>
      <c r="I825" s="10">
        <v>636174</v>
      </c>
      <c r="J825" t="s">
        <v>51</v>
      </c>
      <c r="K825" s="11">
        <v>648.20000000000005</v>
      </c>
      <c r="L825" s="12">
        <v>981.45</v>
      </c>
    </row>
    <row r="826" spans="1:12" x14ac:dyDescent="0.2">
      <c r="A826" s="9">
        <v>46239</v>
      </c>
      <c r="B826" t="s">
        <v>522</v>
      </c>
      <c r="C826" t="s">
        <v>523</v>
      </c>
      <c r="D826" t="s">
        <v>50</v>
      </c>
      <c r="E826" t="s">
        <v>647</v>
      </c>
      <c r="F826" t="s">
        <v>667</v>
      </c>
      <c r="G826" s="10">
        <v>10</v>
      </c>
      <c r="H826" s="10">
        <v>7523</v>
      </c>
      <c r="I826" s="10">
        <v>75230</v>
      </c>
      <c r="J826" t="s">
        <v>51</v>
      </c>
      <c r="K826" s="11">
        <v>648.20000000000005</v>
      </c>
      <c r="L826" s="12">
        <v>116.06</v>
      </c>
    </row>
    <row r="827" spans="1:12" x14ac:dyDescent="0.2">
      <c r="A827" s="9">
        <v>46239</v>
      </c>
      <c r="B827" t="s">
        <v>525</v>
      </c>
      <c r="C827" t="s">
        <v>526</v>
      </c>
      <c r="D827" t="s">
        <v>46</v>
      </c>
      <c r="E827" t="s">
        <v>647</v>
      </c>
      <c r="F827" t="s">
        <v>667</v>
      </c>
      <c r="G827" s="10">
        <v>112</v>
      </c>
      <c r="H827" s="10">
        <v>7273</v>
      </c>
      <c r="I827" s="10">
        <v>814576</v>
      </c>
      <c r="J827" t="s">
        <v>37</v>
      </c>
      <c r="K827" s="11">
        <v>648.20000000000005</v>
      </c>
      <c r="L827" s="12">
        <v>1256.67</v>
      </c>
    </row>
    <row r="828" spans="1:12" x14ac:dyDescent="0.2">
      <c r="A828" s="9">
        <v>46239</v>
      </c>
      <c r="B828" t="s">
        <v>528</v>
      </c>
      <c r="C828" t="s">
        <v>529</v>
      </c>
      <c r="D828" t="s">
        <v>46</v>
      </c>
      <c r="E828" t="s">
        <v>649</v>
      </c>
      <c r="F828" t="s">
        <v>663</v>
      </c>
      <c r="G828" s="10">
        <v>20</v>
      </c>
      <c r="H828" s="10">
        <v>2087</v>
      </c>
      <c r="I828" s="10">
        <v>41740</v>
      </c>
      <c r="J828" t="s">
        <v>37</v>
      </c>
      <c r="K828" s="11">
        <v>648.20000000000005</v>
      </c>
      <c r="L828" s="12">
        <v>64.39</v>
      </c>
    </row>
    <row r="829" spans="1:12" x14ac:dyDescent="0.2">
      <c r="A829" s="9">
        <v>46239</v>
      </c>
      <c r="B829" t="s">
        <v>528</v>
      </c>
      <c r="C829" t="s">
        <v>529</v>
      </c>
      <c r="D829" t="s">
        <v>46</v>
      </c>
      <c r="E829" t="s">
        <v>660</v>
      </c>
      <c r="F829" t="s">
        <v>661</v>
      </c>
      <c r="G829" s="10">
        <v>67</v>
      </c>
      <c r="H829" s="10">
        <v>4216</v>
      </c>
      <c r="I829" s="10">
        <v>282472</v>
      </c>
      <c r="J829" t="s">
        <v>37</v>
      </c>
      <c r="K829" s="11">
        <v>648.20000000000005</v>
      </c>
      <c r="L829" s="12">
        <v>435.78</v>
      </c>
    </row>
    <row r="830" spans="1:12" x14ac:dyDescent="0.2">
      <c r="A830" s="9">
        <v>46239</v>
      </c>
      <c r="B830" t="s">
        <v>528</v>
      </c>
      <c r="C830" t="s">
        <v>529</v>
      </c>
      <c r="D830" t="s">
        <v>46</v>
      </c>
      <c r="E830" t="s">
        <v>647</v>
      </c>
      <c r="F830" t="s">
        <v>668</v>
      </c>
      <c r="G830" s="10">
        <v>79</v>
      </c>
      <c r="H830" s="10">
        <v>25618</v>
      </c>
      <c r="I830" s="10">
        <v>2023822</v>
      </c>
      <c r="J830" t="s">
        <v>37</v>
      </c>
      <c r="K830" s="11">
        <v>648.20000000000005</v>
      </c>
      <c r="L830" s="12">
        <v>3122.22</v>
      </c>
    </row>
    <row r="831" spans="1:12" x14ac:dyDescent="0.2">
      <c r="A831" s="9">
        <v>46239</v>
      </c>
      <c r="B831" t="s">
        <v>528</v>
      </c>
      <c r="C831" t="s">
        <v>529</v>
      </c>
      <c r="D831" t="s">
        <v>46</v>
      </c>
      <c r="E831" t="s">
        <v>655</v>
      </c>
      <c r="F831" t="s">
        <v>656</v>
      </c>
      <c r="G831" s="10">
        <v>52</v>
      </c>
      <c r="H831" s="10">
        <v>571</v>
      </c>
      <c r="I831" s="10">
        <v>29692</v>
      </c>
      <c r="J831" t="s">
        <v>37</v>
      </c>
      <c r="K831" s="11">
        <v>648.20000000000005</v>
      </c>
      <c r="L831" s="12">
        <v>45.81</v>
      </c>
    </row>
    <row r="832" spans="1:12" x14ac:dyDescent="0.2">
      <c r="A832" s="9">
        <v>46239</v>
      </c>
      <c r="B832" t="s">
        <v>528</v>
      </c>
      <c r="C832" t="s">
        <v>529</v>
      </c>
      <c r="D832" t="s">
        <v>46</v>
      </c>
      <c r="E832" t="s">
        <v>651</v>
      </c>
      <c r="F832" t="s">
        <v>657</v>
      </c>
      <c r="G832" s="10">
        <v>48</v>
      </c>
      <c r="H832" s="10">
        <v>6600</v>
      </c>
      <c r="I832" s="10">
        <v>316800</v>
      </c>
      <c r="J832" t="s">
        <v>37</v>
      </c>
      <c r="K832" s="11">
        <v>648.20000000000005</v>
      </c>
      <c r="L832" s="12">
        <v>488.74</v>
      </c>
    </row>
    <row r="833" spans="1:12" x14ac:dyDescent="0.2">
      <c r="A833" s="9">
        <v>46239</v>
      </c>
      <c r="B833" t="s">
        <v>531</v>
      </c>
      <c r="C833" t="s">
        <v>532</v>
      </c>
      <c r="D833" t="s">
        <v>50</v>
      </c>
      <c r="E833" t="s">
        <v>660</v>
      </c>
      <c r="F833" t="s">
        <v>669</v>
      </c>
      <c r="G833" s="10">
        <v>33</v>
      </c>
      <c r="H833" s="10">
        <v>2506</v>
      </c>
      <c r="I833" s="10">
        <v>82698</v>
      </c>
      <c r="J833" t="s">
        <v>51</v>
      </c>
      <c r="K833" s="11">
        <v>648.20000000000005</v>
      </c>
      <c r="L833" s="12">
        <v>127.58</v>
      </c>
    </row>
    <row r="834" spans="1:12" x14ac:dyDescent="0.2">
      <c r="A834" s="9">
        <v>46239</v>
      </c>
      <c r="B834" t="s">
        <v>531</v>
      </c>
      <c r="C834" t="s">
        <v>532</v>
      </c>
      <c r="D834" t="s">
        <v>50</v>
      </c>
      <c r="E834" t="s">
        <v>653</v>
      </c>
      <c r="F834" t="s">
        <v>654</v>
      </c>
      <c r="G834" s="10">
        <v>67</v>
      </c>
      <c r="H834" s="10">
        <v>5649</v>
      </c>
      <c r="I834" s="10">
        <v>378483</v>
      </c>
      <c r="J834" t="s">
        <v>51</v>
      </c>
      <c r="K834" s="11">
        <v>648.20000000000005</v>
      </c>
      <c r="L834" s="12">
        <v>583.9</v>
      </c>
    </row>
    <row r="835" spans="1:12" x14ac:dyDescent="0.2">
      <c r="A835" s="9">
        <v>46239</v>
      </c>
      <c r="B835" t="s">
        <v>531</v>
      </c>
      <c r="C835" t="s">
        <v>532</v>
      </c>
      <c r="D835" t="s">
        <v>50</v>
      </c>
      <c r="E835" t="s">
        <v>647</v>
      </c>
      <c r="F835" t="s">
        <v>648</v>
      </c>
      <c r="G835" s="10">
        <v>16</v>
      </c>
      <c r="H835" s="10">
        <v>15615</v>
      </c>
      <c r="I835" s="10">
        <v>249840</v>
      </c>
      <c r="J835" t="s">
        <v>51</v>
      </c>
      <c r="K835" s="11">
        <v>648.20000000000005</v>
      </c>
      <c r="L835" s="12">
        <v>385.44</v>
      </c>
    </row>
    <row r="836" spans="1:12" x14ac:dyDescent="0.2">
      <c r="A836" s="9">
        <v>46239</v>
      </c>
      <c r="B836" t="s">
        <v>534</v>
      </c>
      <c r="C836" t="s">
        <v>535</v>
      </c>
      <c r="D836" t="s">
        <v>36</v>
      </c>
      <c r="E836" t="s">
        <v>653</v>
      </c>
      <c r="F836" t="s">
        <v>666</v>
      </c>
      <c r="G836" s="10">
        <v>5</v>
      </c>
      <c r="H836" s="10">
        <v>1479</v>
      </c>
      <c r="I836" s="10">
        <v>7395</v>
      </c>
      <c r="J836" t="s">
        <v>37</v>
      </c>
      <c r="K836" s="11">
        <v>648.20000000000005</v>
      </c>
      <c r="L836" s="12">
        <v>11.41</v>
      </c>
    </row>
    <row r="837" spans="1:12" x14ac:dyDescent="0.2">
      <c r="A837" s="9">
        <v>46239</v>
      </c>
      <c r="B837" t="s">
        <v>534</v>
      </c>
      <c r="C837" t="s">
        <v>535</v>
      </c>
      <c r="D837" t="s">
        <v>36</v>
      </c>
      <c r="E837" t="s">
        <v>649</v>
      </c>
      <c r="F837" t="s">
        <v>659</v>
      </c>
      <c r="G837" s="10">
        <v>4</v>
      </c>
      <c r="H837" s="10">
        <v>9107</v>
      </c>
      <c r="I837" s="10">
        <v>36428</v>
      </c>
      <c r="J837" t="s">
        <v>37</v>
      </c>
      <c r="K837" s="11">
        <v>648.20000000000005</v>
      </c>
      <c r="L837" s="12">
        <v>56.2</v>
      </c>
    </row>
    <row r="838" spans="1:12" x14ac:dyDescent="0.2">
      <c r="A838" s="9">
        <v>46239</v>
      </c>
      <c r="B838" t="s">
        <v>546</v>
      </c>
      <c r="C838" t="s">
        <v>547</v>
      </c>
      <c r="D838" t="s">
        <v>41</v>
      </c>
      <c r="E838" t="s">
        <v>660</v>
      </c>
      <c r="F838" t="s">
        <v>670</v>
      </c>
      <c r="G838" s="10">
        <v>26</v>
      </c>
      <c r="H838" s="10">
        <v>69886</v>
      </c>
      <c r="I838" s="10">
        <v>1817036</v>
      </c>
      <c r="J838" t="s">
        <v>42</v>
      </c>
      <c r="K838" s="11">
        <v>3145.8</v>
      </c>
      <c r="L838" s="12">
        <v>577.61</v>
      </c>
    </row>
    <row r="839" spans="1:12" x14ac:dyDescent="0.2">
      <c r="A839" s="9">
        <v>46239</v>
      </c>
      <c r="B839" t="s">
        <v>546</v>
      </c>
      <c r="C839" t="s">
        <v>547</v>
      </c>
      <c r="D839" t="s">
        <v>41</v>
      </c>
      <c r="E839" t="s">
        <v>655</v>
      </c>
      <c r="F839" t="s">
        <v>656</v>
      </c>
      <c r="G839" s="10">
        <v>19</v>
      </c>
      <c r="H839" s="10">
        <v>2787</v>
      </c>
      <c r="I839" s="10">
        <v>52953</v>
      </c>
      <c r="J839" t="s">
        <v>42</v>
      </c>
      <c r="K839" s="11">
        <v>3145.8</v>
      </c>
      <c r="L839" s="12">
        <v>16.829999999999998</v>
      </c>
    </row>
    <row r="840" spans="1:12" x14ac:dyDescent="0.2">
      <c r="A840" s="9">
        <v>46239</v>
      </c>
      <c r="B840" t="s">
        <v>552</v>
      </c>
      <c r="C840" t="s">
        <v>553</v>
      </c>
      <c r="D840" t="s">
        <v>41</v>
      </c>
      <c r="E840" t="s">
        <v>649</v>
      </c>
      <c r="F840" t="s">
        <v>663</v>
      </c>
      <c r="G840" s="10">
        <v>5</v>
      </c>
      <c r="H840" s="10">
        <v>10039</v>
      </c>
      <c r="I840" s="10">
        <v>50195</v>
      </c>
      <c r="J840" t="s">
        <v>42</v>
      </c>
      <c r="K840" s="11">
        <v>3145.8</v>
      </c>
      <c r="L840" s="12">
        <v>15.96</v>
      </c>
    </row>
    <row r="841" spans="1:12" x14ac:dyDescent="0.2">
      <c r="A841" s="9">
        <v>46239</v>
      </c>
      <c r="B841" t="s">
        <v>552</v>
      </c>
      <c r="C841" t="s">
        <v>553</v>
      </c>
      <c r="D841" t="s">
        <v>41</v>
      </c>
      <c r="E841" t="s">
        <v>655</v>
      </c>
      <c r="F841" t="s">
        <v>662</v>
      </c>
      <c r="G841" s="10">
        <v>5</v>
      </c>
      <c r="H841" s="10">
        <v>5371</v>
      </c>
      <c r="I841" s="10">
        <v>26855</v>
      </c>
      <c r="J841" t="s">
        <v>42</v>
      </c>
      <c r="K841" s="11">
        <v>3145.8</v>
      </c>
      <c r="L841" s="12">
        <v>8.5399999999999991</v>
      </c>
    </row>
    <row r="842" spans="1:12" x14ac:dyDescent="0.2">
      <c r="A842" s="9">
        <v>46239</v>
      </c>
      <c r="B842" t="s">
        <v>552</v>
      </c>
      <c r="C842" t="s">
        <v>553</v>
      </c>
      <c r="D842" t="s">
        <v>41</v>
      </c>
      <c r="E842" t="s">
        <v>660</v>
      </c>
      <c r="F842" t="s">
        <v>669</v>
      </c>
      <c r="G842" s="10">
        <v>11</v>
      </c>
      <c r="H842" s="10">
        <v>12238</v>
      </c>
      <c r="I842" s="10">
        <v>134618</v>
      </c>
      <c r="J842" t="s">
        <v>42</v>
      </c>
      <c r="K842" s="11">
        <v>3145.8</v>
      </c>
      <c r="L842" s="12">
        <v>42.79</v>
      </c>
    </row>
    <row r="843" spans="1:12" x14ac:dyDescent="0.2">
      <c r="A843" s="9">
        <v>46239</v>
      </c>
      <c r="B843" t="s">
        <v>552</v>
      </c>
      <c r="C843" t="s">
        <v>553</v>
      </c>
      <c r="D843" t="s">
        <v>41</v>
      </c>
      <c r="E843" t="s">
        <v>647</v>
      </c>
      <c r="F843" t="s">
        <v>668</v>
      </c>
      <c r="G843" s="10">
        <v>6</v>
      </c>
      <c r="H843" s="10">
        <v>119071</v>
      </c>
      <c r="I843" s="10">
        <v>714426</v>
      </c>
      <c r="J843" t="s">
        <v>42</v>
      </c>
      <c r="K843" s="11">
        <v>3145.8</v>
      </c>
      <c r="L843" s="12">
        <v>227.1</v>
      </c>
    </row>
    <row r="844" spans="1:12" x14ac:dyDescent="0.2">
      <c r="A844" s="9">
        <v>46239</v>
      </c>
      <c r="B844" t="s">
        <v>555</v>
      </c>
      <c r="C844" t="s">
        <v>556</v>
      </c>
      <c r="D844" t="s">
        <v>41</v>
      </c>
      <c r="E844" t="s">
        <v>660</v>
      </c>
      <c r="F844" t="s">
        <v>661</v>
      </c>
      <c r="G844" s="10">
        <v>13</v>
      </c>
      <c r="H844" s="10">
        <v>20406</v>
      </c>
      <c r="I844" s="10">
        <v>265278</v>
      </c>
      <c r="J844" t="s">
        <v>42</v>
      </c>
      <c r="K844" s="11">
        <v>3145.8</v>
      </c>
      <c r="L844" s="12">
        <v>84.33</v>
      </c>
    </row>
    <row r="845" spans="1:12" x14ac:dyDescent="0.2">
      <c r="A845" s="9">
        <v>46239</v>
      </c>
      <c r="B845" t="s">
        <v>561</v>
      </c>
      <c r="C845" t="s">
        <v>562</v>
      </c>
      <c r="D845" t="s">
        <v>46</v>
      </c>
      <c r="E845" t="s">
        <v>649</v>
      </c>
      <c r="F845" t="s">
        <v>659</v>
      </c>
      <c r="G845" s="10">
        <v>7</v>
      </c>
      <c r="H845" s="10">
        <v>8923</v>
      </c>
      <c r="I845" s="10">
        <v>62461</v>
      </c>
      <c r="J845" t="s">
        <v>37</v>
      </c>
      <c r="K845" s="11">
        <v>648.20000000000005</v>
      </c>
      <c r="L845" s="12">
        <v>96.36</v>
      </c>
    </row>
    <row r="846" spans="1:12" x14ac:dyDescent="0.2">
      <c r="A846" s="9">
        <v>46239</v>
      </c>
      <c r="B846" t="s">
        <v>561</v>
      </c>
      <c r="C846" t="s">
        <v>562</v>
      </c>
      <c r="D846" t="s">
        <v>46</v>
      </c>
      <c r="E846" t="s">
        <v>660</v>
      </c>
      <c r="F846" t="s">
        <v>670</v>
      </c>
      <c r="G846" s="10">
        <v>46</v>
      </c>
      <c r="H846" s="10">
        <v>14732</v>
      </c>
      <c r="I846" s="10">
        <v>677672</v>
      </c>
      <c r="J846" t="s">
        <v>37</v>
      </c>
      <c r="K846" s="11">
        <v>648.20000000000005</v>
      </c>
      <c r="L846" s="12">
        <v>1045.47</v>
      </c>
    </row>
    <row r="847" spans="1:12" x14ac:dyDescent="0.2">
      <c r="A847" s="9">
        <v>46239</v>
      </c>
      <c r="B847" t="s">
        <v>561</v>
      </c>
      <c r="C847" t="s">
        <v>562</v>
      </c>
      <c r="D847" t="s">
        <v>46</v>
      </c>
      <c r="E847" t="s">
        <v>660</v>
      </c>
      <c r="F847" t="s">
        <v>661</v>
      </c>
      <c r="G847" s="10">
        <v>15</v>
      </c>
      <c r="H847" s="10">
        <v>4203</v>
      </c>
      <c r="I847" s="10">
        <v>63045</v>
      </c>
      <c r="J847" t="s">
        <v>37</v>
      </c>
      <c r="K847" s="11">
        <v>648.20000000000005</v>
      </c>
      <c r="L847" s="12">
        <v>97.26</v>
      </c>
    </row>
    <row r="848" spans="1:12" x14ac:dyDescent="0.2">
      <c r="A848" s="9">
        <v>46239</v>
      </c>
      <c r="B848" t="s">
        <v>564</v>
      </c>
      <c r="C848" t="s">
        <v>565</v>
      </c>
      <c r="D848" t="s">
        <v>41</v>
      </c>
      <c r="E848" t="s">
        <v>660</v>
      </c>
      <c r="F848" t="s">
        <v>669</v>
      </c>
      <c r="G848" s="10">
        <v>15</v>
      </c>
      <c r="H848" s="10">
        <v>12127</v>
      </c>
      <c r="I848" s="10">
        <v>181905</v>
      </c>
      <c r="J848" t="s">
        <v>42</v>
      </c>
      <c r="K848" s="11">
        <v>3145.8</v>
      </c>
      <c r="L848" s="12">
        <v>57.82</v>
      </c>
    </row>
    <row r="849" spans="1:12" x14ac:dyDescent="0.2">
      <c r="A849" s="9">
        <v>46239</v>
      </c>
      <c r="B849" t="s">
        <v>570</v>
      </c>
      <c r="C849" t="s">
        <v>571</v>
      </c>
      <c r="D849" t="s">
        <v>68</v>
      </c>
      <c r="E849" t="s">
        <v>649</v>
      </c>
      <c r="F849" t="s">
        <v>650</v>
      </c>
      <c r="G849" s="10">
        <v>4</v>
      </c>
      <c r="H849" s="10">
        <v>18929</v>
      </c>
      <c r="I849" s="10">
        <v>75716</v>
      </c>
      <c r="J849" t="s">
        <v>51</v>
      </c>
      <c r="K849" s="11">
        <v>648.20000000000005</v>
      </c>
      <c r="L849" s="12">
        <v>116.81</v>
      </c>
    </row>
    <row r="850" spans="1:12" x14ac:dyDescent="0.2">
      <c r="A850" s="9">
        <v>46239</v>
      </c>
      <c r="B850" t="s">
        <v>570</v>
      </c>
      <c r="C850" t="s">
        <v>571</v>
      </c>
      <c r="D850" t="s">
        <v>68</v>
      </c>
      <c r="E850" t="s">
        <v>649</v>
      </c>
      <c r="F850" t="s">
        <v>659</v>
      </c>
      <c r="G850" s="10">
        <v>13</v>
      </c>
      <c r="H850" s="10">
        <v>8858</v>
      </c>
      <c r="I850" s="10">
        <v>115154</v>
      </c>
      <c r="J850" t="s">
        <v>51</v>
      </c>
      <c r="K850" s="11">
        <v>648.20000000000005</v>
      </c>
      <c r="L850" s="12">
        <v>177.65</v>
      </c>
    </row>
    <row r="851" spans="1:12" x14ac:dyDescent="0.2">
      <c r="A851" s="9">
        <v>46239</v>
      </c>
      <c r="B851" t="s">
        <v>570</v>
      </c>
      <c r="C851" t="s">
        <v>571</v>
      </c>
      <c r="D851" t="s">
        <v>68</v>
      </c>
      <c r="E851" t="s">
        <v>660</v>
      </c>
      <c r="F851" t="s">
        <v>670</v>
      </c>
      <c r="G851" s="10">
        <v>15</v>
      </c>
      <c r="H851" s="10">
        <v>14139</v>
      </c>
      <c r="I851" s="10">
        <v>212085</v>
      </c>
      <c r="J851" t="s">
        <v>51</v>
      </c>
      <c r="K851" s="11">
        <v>648.20000000000005</v>
      </c>
      <c r="L851" s="12">
        <v>327.19</v>
      </c>
    </row>
    <row r="852" spans="1:12" x14ac:dyDescent="0.2">
      <c r="A852" s="9">
        <v>46239</v>
      </c>
      <c r="B852" t="s">
        <v>573</v>
      </c>
      <c r="C852" t="s">
        <v>574</v>
      </c>
      <c r="D852" t="s">
        <v>41</v>
      </c>
      <c r="E852" t="s">
        <v>653</v>
      </c>
      <c r="F852" t="s">
        <v>658</v>
      </c>
      <c r="G852" s="10">
        <v>10</v>
      </c>
      <c r="H852" s="10">
        <v>12713</v>
      </c>
      <c r="I852" s="10">
        <v>127130</v>
      </c>
      <c r="J852" t="s">
        <v>42</v>
      </c>
      <c r="K852" s="11">
        <v>3145.8</v>
      </c>
      <c r="L852" s="12">
        <v>40.409999999999997</v>
      </c>
    </row>
    <row r="853" spans="1:12" x14ac:dyDescent="0.2">
      <c r="A853" s="9">
        <v>46239</v>
      </c>
      <c r="B853" t="s">
        <v>579</v>
      </c>
      <c r="C853" t="s">
        <v>580</v>
      </c>
      <c r="D853" t="s">
        <v>75</v>
      </c>
      <c r="E853" t="s">
        <v>649</v>
      </c>
      <c r="F853" t="s">
        <v>650</v>
      </c>
      <c r="G853" s="10">
        <v>6</v>
      </c>
      <c r="H853" s="10">
        <v>95440</v>
      </c>
      <c r="I853" s="10">
        <v>572640</v>
      </c>
      <c r="J853" t="s">
        <v>42</v>
      </c>
      <c r="K853" s="11">
        <v>3145.8</v>
      </c>
      <c r="L853" s="12">
        <v>182.03</v>
      </c>
    </row>
    <row r="854" spans="1:12" x14ac:dyDescent="0.2">
      <c r="A854" s="9">
        <v>46239</v>
      </c>
      <c r="B854" t="s">
        <v>590</v>
      </c>
      <c r="C854" t="s">
        <v>591</v>
      </c>
      <c r="D854" t="s">
        <v>41</v>
      </c>
      <c r="E854" t="s">
        <v>660</v>
      </c>
      <c r="F854" t="s">
        <v>670</v>
      </c>
      <c r="G854" s="10">
        <v>14</v>
      </c>
      <c r="H854" s="10">
        <v>68143</v>
      </c>
      <c r="I854" s="10">
        <v>954002</v>
      </c>
      <c r="J854" t="s">
        <v>42</v>
      </c>
      <c r="K854" s="11">
        <v>3145.8</v>
      </c>
      <c r="L854" s="12">
        <v>303.26</v>
      </c>
    </row>
    <row r="855" spans="1:12" x14ac:dyDescent="0.2">
      <c r="A855" s="9">
        <v>46239</v>
      </c>
      <c r="B855" t="s">
        <v>590</v>
      </c>
      <c r="C855" t="s">
        <v>591</v>
      </c>
      <c r="D855" t="s">
        <v>41</v>
      </c>
      <c r="E855" t="s">
        <v>647</v>
      </c>
      <c r="F855" t="s">
        <v>668</v>
      </c>
      <c r="G855" s="10">
        <v>9</v>
      </c>
      <c r="H855" s="10">
        <v>122130</v>
      </c>
      <c r="I855" s="10">
        <v>1099170</v>
      </c>
      <c r="J855" t="s">
        <v>42</v>
      </c>
      <c r="K855" s="11">
        <v>3145.8</v>
      </c>
      <c r="L855" s="12">
        <v>349.41</v>
      </c>
    </row>
    <row r="856" spans="1:12" x14ac:dyDescent="0.2">
      <c r="A856" s="9">
        <v>46239</v>
      </c>
      <c r="B856" t="s">
        <v>593</v>
      </c>
      <c r="C856" t="s">
        <v>594</v>
      </c>
      <c r="D856" t="s">
        <v>50</v>
      </c>
      <c r="E856" t="s">
        <v>647</v>
      </c>
      <c r="F856" t="s">
        <v>668</v>
      </c>
      <c r="G856" s="10">
        <v>4</v>
      </c>
      <c r="H856" s="10">
        <v>25588</v>
      </c>
      <c r="I856" s="10">
        <v>102352</v>
      </c>
      <c r="J856" t="s">
        <v>51</v>
      </c>
      <c r="K856" s="11">
        <v>648.20000000000005</v>
      </c>
      <c r="L856" s="12">
        <v>157.9</v>
      </c>
    </row>
    <row r="857" spans="1:12" x14ac:dyDescent="0.2">
      <c r="A857" s="9">
        <v>46239</v>
      </c>
      <c r="B857" t="s">
        <v>596</v>
      </c>
      <c r="C857" t="s">
        <v>597</v>
      </c>
      <c r="D857" t="s">
        <v>50</v>
      </c>
      <c r="E857" t="s">
        <v>660</v>
      </c>
      <c r="F857" t="s">
        <v>670</v>
      </c>
      <c r="G857" s="10">
        <v>1</v>
      </c>
      <c r="H857" s="10">
        <v>14220</v>
      </c>
      <c r="I857" s="10">
        <v>14220</v>
      </c>
      <c r="J857" t="s">
        <v>51</v>
      </c>
      <c r="K857" s="11">
        <v>648.20000000000005</v>
      </c>
      <c r="L857" s="12">
        <v>21.94</v>
      </c>
    </row>
    <row r="858" spans="1:12" x14ac:dyDescent="0.2">
      <c r="A858" s="9">
        <v>46239</v>
      </c>
      <c r="B858" t="s">
        <v>602</v>
      </c>
      <c r="C858" t="s">
        <v>603</v>
      </c>
      <c r="D858" t="s">
        <v>50</v>
      </c>
      <c r="E858" t="s">
        <v>647</v>
      </c>
      <c r="F858" t="s">
        <v>668</v>
      </c>
      <c r="G858" s="10">
        <v>43</v>
      </c>
      <c r="H858" s="10">
        <v>25205</v>
      </c>
      <c r="I858" s="10">
        <v>1083815</v>
      </c>
      <c r="J858" t="s">
        <v>51</v>
      </c>
      <c r="K858" s="11">
        <v>648.20000000000005</v>
      </c>
      <c r="L858" s="12">
        <v>1672.04</v>
      </c>
    </row>
    <row r="859" spans="1:12" x14ac:dyDescent="0.2">
      <c r="A859" s="9">
        <v>46239</v>
      </c>
      <c r="B859" t="s">
        <v>605</v>
      </c>
      <c r="C859" t="s">
        <v>606</v>
      </c>
      <c r="D859" t="s">
        <v>68</v>
      </c>
      <c r="E859" t="s">
        <v>649</v>
      </c>
      <c r="F859" t="s">
        <v>650</v>
      </c>
      <c r="G859" s="10">
        <v>7</v>
      </c>
      <c r="H859" s="10">
        <v>19486</v>
      </c>
      <c r="I859" s="10">
        <v>136402</v>
      </c>
      <c r="J859" t="s">
        <v>51</v>
      </c>
      <c r="K859" s="11">
        <v>648.20000000000005</v>
      </c>
      <c r="L859" s="12">
        <v>210.43</v>
      </c>
    </row>
    <row r="860" spans="1:12" x14ac:dyDescent="0.2">
      <c r="A860" s="9">
        <v>46239</v>
      </c>
      <c r="B860" t="s">
        <v>605</v>
      </c>
      <c r="C860" t="s">
        <v>606</v>
      </c>
      <c r="D860" t="s">
        <v>68</v>
      </c>
      <c r="E860" t="s">
        <v>653</v>
      </c>
      <c r="F860" t="s">
        <v>654</v>
      </c>
      <c r="G860" s="10">
        <v>29</v>
      </c>
      <c r="H860" s="10">
        <v>5754</v>
      </c>
      <c r="I860" s="10">
        <v>166866</v>
      </c>
      <c r="J860" t="s">
        <v>51</v>
      </c>
      <c r="K860" s="11">
        <v>648.20000000000005</v>
      </c>
      <c r="L860" s="12">
        <v>257.43</v>
      </c>
    </row>
    <row r="861" spans="1:12" x14ac:dyDescent="0.2">
      <c r="A861" s="9">
        <v>46239</v>
      </c>
      <c r="B861" t="s">
        <v>605</v>
      </c>
      <c r="C861" t="s">
        <v>606</v>
      </c>
      <c r="D861" t="s">
        <v>68</v>
      </c>
      <c r="E861" t="s">
        <v>647</v>
      </c>
      <c r="F861" t="s">
        <v>667</v>
      </c>
      <c r="G861" s="10">
        <v>51</v>
      </c>
      <c r="H861" s="10">
        <v>7448</v>
      </c>
      <c r="I861" s="10">
        <v>379848</v>
      </c>
      <c r="J861" t="s">
        <v>51</v>
      </c>
      <c r="K861" s="11">
        <v>648.20000000000005</v>
      </c>
      <c r="L861" s="12">
        <v>586</v>
      </c>
    </row>
    <row r="862" spans="1:12" x14ac:dyDescent="0.2">
      <c r="A862" s="9">
        <v>46239</v>
      </c>
      <c r="B862" t="s">
        <v>614</v>
      </c>
      <c r="C862" t="s">
        <v>615</v>
      </c>
      <c r="D862" t="s">
        <v>68</v>
      </c>
      <c r="E862" t="s">
        <v>647</v>
      </c>
      <c r="F862" t="s">
        <v>668</v>
      </c>
      <c r="G862" s="10">
        <v>13</v>
      </c>
      <c r="H862" s="10">
        <v>24714</v>
      </c>
      <c r="I862" s="10">
        <v>321282</v>
      </c>
      <c r="J862" t="s">
        <v>51</v>
      </c>
      <c r="K862" s="11">
        <v>648.20000000000005</v>
      </c>
      <c r="L862" s="12">
        <v>495.65</v>
      </c>
    </row>
    <row r="863" spans="1:12" x14ac:dyDescent="0.2">
      <c r="A863" s="9">
        <v>46239</v>
      </c>
      <c r="B863" t="s">
        <v>617</v>
      </c>
      <c r="C863" t="s">
        <v>618</v>
      </c>
      <c r="D863" t="s">
        <v>75</v>
      </c>
      <c r="E863" t="s">
        <v>655</v>
      </c>
      <c r="F863" t="s">
        <v>662</v>
      </c>
      <c r="G863" s="10">
        <v>19</v>
      </c>
      <c r="H863" s="10">
        <v>5398</v>
      </c>
      <c r="I863" s="10">
        <v>102562</v>
      </c>
      <c r="J863" t="s">
        <v>42</v>
      </c>
      <c r="K863" s="11">
        <v>3145.8</v>
      </c>
      <c r="L863" s="12">
        <v>32.6</v>
      </c>
    </row>
    <row r="864" spans="1:12" x14ac:dyDescent="0.2">
      <c r="A864" s="9">
        <v>46239</v>
      </c>
      <c r="B864" t="s">
        <v>617</v>
      </c>
      <c r="C864" t="s">
        <v>618</v>
      </c>
      <c r="D864" t="s">
        <v>75</v>
      </c>
      <c r="E864" t="s">
        <v>655</v>
      </c>
      <c r="F864" t="s">
        <v>665</v>
      </c>
      <c r="G864" s="10">
        <v>7</v>
      </c>
      <c r="H864" s="10">
        <v>3240</v>
      </c>
      <c r="I864" s="10">
        <v>22680</v>
      </c>
      <c r="J864" t="s">
        <v>42</v>
      </c>
      <c r="K864" s="11">
        <v>3145.8</v>
      </c>
      <c r="L864" s="12">
        <v>7.21</v>
      </c>
    </row>
    <row r="865" spans="1:12" x14ac:dyDescent="0.2">
      <c r="A865" s="9">
        <v>46239</v>
      </c>
      <c r="B865" t="s">
        <v>623</v>
      </c>
      <c r="C865" t="s">
        <v>624</v>
      </c>
      <c r="D865" t="s">
        <v>68</v>
      </c>
      <c r="E865" t="s">
        <v>655</v>
      </c>
      <c r="F865" t="s">
        <v>662</v>
      </c>
      <c r="G865" s="10">
        <v>41</v>
      </c>
      <c r="H865" s="10">
        <v>1115</v>
      </c>
      <c r="I865" s="10">
        <v>45715</v>
      </c>
      <c r="J865" t="s">
        <v>51</v>
      </c>
      <c r="K865" s="11">
        <v>648.20000000000005</v>
      </c>
      <c r="L865" s="12">
        <v>70.53</v>
      </c>
    </row>
    <row r="866" spans="1:12" x14ac:dyDescent="0.2">
      <c r="A866" s="9">
        <v>46239</v>
      </c>
      <c r="B866" t="s">
        <v>629</v>
      </c>
      <c r="C866" t="s">
        <v>630</v>
      </c>
      <c r="D866" t="s">
        <v>46</v>
      </c>
      <c r="E866" t="s">
        <v>655</v>
      </c>
      <c r="F866" t="s">
        <v>665</v>
      </c>
      <c r="G866" s="10">
        <v>19</v>
      </c>
      <c r="H866" s="10">
        <v>666</v>
      </c>
      <c r="I866" s="10">
        <v>12654</v>
      </c>
      <c r="J866" t="s">
        <v>37</v>
      </c>
      <c r="K866" s="11">
        <v>648.20000000000005</v>
      </c>
      <c r="L866" s="12">
        <v>19.52</v>
      </c>
    </row>
    <row r="867" spans="1:12" x14ac:dyDescent="0.2">
      <c r="A867" s="9">
        <v>46239</v>
      </c>
      <c r="B867" t="s">
        <v>632</v>
      </c>
      <c r="C867" t="s">
        <v>633</v>
      </c>
      <c r="D867" t="s">
        <v>68</v>
      </c>
      <c r="E867" t="s">
        <v>649</v>
      </c>
      <c r="F867" t="s">
        <v>663</v>
      </c>
      <c r="G867" s="10">
        <v>9</v>
      </c>
      <c r="H867" s="10">
        <v>1950</v>
      </c>
      <c r="I867" s="10">
        <v>17550</v>
      </c>
      <c r="J867" t="s">
        <v>51</v>
      </c>
      <c r="K867" s="11">
        <v>648.20000000000005</v>
      </c>
      <c r="L867" s="12">
        <v>27.07</v>
      </c>
    </row>
    <row r="868" spans="1:12" x14ac:dyDescent="0.2">
      <c r="A868" s="9">
        <v>46239</v>
      </c>
      <c r="B868" t="s">
        <v>635</v>
      </c>
      <c r="C868" t="s">
        <v>636</v>
      </c>
      <c r="D868" t="s">
        <v>41</v>
      </c>
      <c r="E868" t="s">
        <v>649</v>
      </c>
      <c r="F868" t="s">
        <v>650</v>
      </c>
      <c r="G868" s="10">
        <v>10</v>
      </c>
      <c r="H868" s="10">
        <v>96790</v>
      </c>
      <c r="I868" s="10">
        <v>967900</v>
      </c>
      <c r="J868" t="s">
        <v>42</v>
      </c>
      <c r="K868" s="11">
        <v>3145.8</v>
      </c>
      <c r="L868" s="12">
        <v>307.68</v>
      </c>
    </row>
    <row r="869" spans="1:12" x14ac:dyDescent="0.2">
      <c r="A869" s="9">
        <v>46239</v>
      </c>
      <c r="B869" t="s">
        <v>635</v>
      </c>
      <c r="C869" t="s">
        <v>636</v>
      </c>
      <c r="D869" t="s">
        <v>41</v>
      </c>
      <c r="E869" t="s">
        <v>647</v>
      </c>
      <c r="F869" t="s">
        <v>668</v>
      </c>
      <c r="G869" s="10">
        <v>16</v>
      </c>
      <c r="H869" s="10">
        <v>125593</v>
      </c>
      <c r="I869" s="10">
        <v>2009488</v>
      </c>
      <c r="J869" t="s">
        <v>42</v>
      </c>
      <c r="K869" s="11">
        <v>3145.8</v>
      </c>
      <c r="L869" s="12">
        <v>638.78</v>
      </c>
    </row>
    <row r="870" spans="1:12" x14ac:dyDescent="0.2">
      <c r="A870" s="9">
        <v>46239</v>
      </c>
      <c r="B870" t="s">
        <v>635</v>
      </c>
      <c r="C870" t="s">
        <v>636</v>
      </c>
      <c r="D870" t="s">
        <v>41</v>
      </c>
      <c r="E870" t="s">
        <v>647</v>
      </c>
      <c r="F870" t="s">
        <v>668</v>
      </c>
      <c r="G870" s="10">
        <v>14</v>
      </c>
      <c r="H870" s="10">
        <v>119715</v>
      </c>
      <c r="I870" s="10">
        <v>1676010</v>
      </c>
      <c r="J870" t="s">
        <v>42</v>
      </c>
      <c r="K870" s="11">
        <v>3145.8</v>
      </c>
      <c r="L870" s="12">
        <v>532.78</v>
      </c>
    </row>
    <row r="871" spans="1:12" x14ac:dyDescent="0.2">
      <c r="A871" s="9">
        <v>46240</v>
      </c>
      <c r="B871" t="s">
        <v>34</v>
      </c>
      <c r="C871" t="s">
        <v>35</v>
      </c>
      <c r="D871" t="s">
        <v>36</v>
      </c>
      <c r="E871" t="s">
        <v>655</v>
      </c>
      <c r="F871" t="s">
        <v>656</v>
      </c>
      <c r="G871" s="10">
        <v>30</v>
      </c>
      <c r="H871" s="10">
        <v>566</v>
      </c>
      <c r="I871" s="10">
        <v>16980</v>
      </c>
      <c r="J871" t="s">
        <v>37</v>
      </c>
      <c r="K871" s="11">
        <v>648.20000000000005</v>
      </c>
      <c r="L871" s="12">
        <v>26.2</v>
      </c>
    </row>
    <row r="872" spans="1:12" x14ac:dyDescent="0.2">
      <c r="A872" s="9">
        <v>46240</v>
      </c>
      <c r="B872" t="s">
        <v>39</v>
      </c>
      <c r="C872" t="s">
        <v>40</v>
      </c>
      <c r="D872" t="s">
        <v>41</v>
      </c>
      <c r="E872" t="s">
        <v>653</v>
      </c>
      <c r="F872" t="s">
        <v>658</v>
      </c>
      <c r="G872" s="10">
        <v>6</v>
      </c>
      <c r="H872" s="10">
        <v>13094</v>
      </c>
      <c r="I872" s="10">
        <v>78564</v>
      </c>
      <c r="J872" t="s">
        <v>42</v>
      </c>
      <c r="K872" s="11">
        <v>3145.8</v>
      </c>
      <c r="L872" s="12">
        <v>24.97</v>
      </c>
    </row>
    <row r="873" spans="1:12" x14ac:dyDescent="0.2">
      <c r="A873" s="9">
        <v>46240</v>
      </c>
      <c r="B873" t="s">
        <v>48</v>
      </c>
      <c r="C873" t="s">
        <v>49</v>
      </c>
      <c r="D873" t="s">
        <v>50</v>
      </c>
      <c r="E873" t="s">
        <v>655</v>
      </c>
      <c r="F873" t="s">
        <v>656</v>
      </c>
      <c r="G873" s="10">
        <v>3</v>
      </c>
      <c r="H873" s="10">
        <v>598</v>
      </c>
      <c r="I873" s="10">
        <v>1794</v>
      </c>
      <c r="J873" t="s">
        <v>51</v>
      </c>
      <c r="K873" s="11">
        <v>648.20000000000005</v>
      </c>
      <c r="L873" s="12">
        <v>2.77</v>
      </c>
    </row>
    <row r="874" spans="1:12" x14ac:dyDescent="0.2">
      <c r="A874" s="9">
        <v>46240</v>
      </c>
      <c r="B874" t="s">
        <v>63</v>
      </c>
      <c r="C874" t="s">
        <v>64</v>
      </c>
      <c r="D874" t="s">
        <v>50</v>
      </c>
      <c r="E874" t="s">
        <v>660</v>
      </c>
      <c r="F874" t="s">
        <v>669</v>
      </c>
      <c r="G874" s="10">
        <v>12</v>
      </c>
      <c r="H874" s="10">
        <v>2489</v>
      </c>
      <c r="I874" s="10">
        <v>29868</v>
      </c>
      <c r="J874" t="s">
        <v>51</v>
      </c>
      <c r="K874" s="11">
        <v>648.20000000000005</v>
      </c>
      <c r="L874" s="12">
        <v>46.08</v>
      </c>
    </row>
    <row r="875" spans="1:12" x14ac:dyDescent="0.2">
      <c r="A875" s="9">
        <v>46240</v>
      </c>
      <c r="B875" t="s">
        <v>73</v>
      </c>
      <c r="C875" t="s">
        <v>74</v>
      </c>
      <c r="D875" t="s">
        <v>75</v>
      </c>
      <c r="E875" t="s">
        <v>653</v>
      </c>
      <c r="F875" t="s">
        <v>666</v>
      </c>
      <c r="G875" s="10">
        <v>74</v>
      </c>
      <c r="H875" s="10">
        <v>7500</v>
      </c>
      <c r="I875" s="10">
        <v>555000</v>
      </c>
      <c r="J875" t="s">
        <v>42</v>
      </c>
      <c r="K875" s="11">
        <v>3145.8</v>
      </c>
      <c r="L875" s="12">
        <v>176.43</v>
      </c>
    </row>
    <row r="876" spans="1:12" x14ac:dyDescent="0.2">
      <c r="A876" s="9">
        <v>46240</v>
      </c>
      <c r="B876" t="s">
        <v>73</v>
      </c>
      <c r="C876" t="s">
        <v>74</v>
      </c>
      <c r="D876" t="s">
        <v>75</v>
      </c>
      <c r="E876" t="s">
        <v>660</v>
      </c>
      <c r="F876" t="s">
        <v>670</v>
      </c>
      <c r="G876" s="10">
        <v>97</v>
      </c>
      <c r="H876" s="10">
        <v>71255</v>
      </c>
      <c r="I876" s="10">
        <v>6911735</v>
      </c>
      <c r="J876" t="s">
        <v>42</v>
      </c>
      <c r="K876" s="11">
        <v>3145.8</v>
      </c>
      <c r="L876" s="12">
        <v>2197.13</v>
      </c>
    </row>
    <row r="877" spans="1:12" x14ac:dyDescent="0.2">
      <c r="A877" s="9">
        <v>46240</v>
      </c>
      <c r="B877" t="s">
        <v>73</v>
      </c>
      <c r="C877" t="s">
        <v>74</v>
      </c>
      <c r="D877" t="s">
        <v>75</v>
      </c>
      <c r="E877" t="s">
        <v>647</v>
      </c>
      <c r="F877" t="s">
        <v>648</v>
      </c>
      <c r="G877" s="10">
        <v>34</v>
      </c>
      <c r="H877" s="10">
        <v>80793</v>
      </c>
      <c r="I877" s="10">
        <v>2746962</v>
      </c>
      <c r="J877" t="s">
        <v>42</v>
      </c>
      <c r="K877" s="11">
        <v>3145.8</v>
      </c>
      <c r="L877" s="12">
        <v>873.22</v>
      </c>
    </row>
    <row r="878" spans="1:12" x14ac:dyDescent="0.2">
      <c r="A878" s="9">
        <v>46240</v>
      </c>
      <c r="B878" t="s">
        <v>73</v>
      </c>
      <c r="C878" t="s">
        <v>74</v>
      </c>
      <c r="D878" t="s">
        <v>75</v>
      </c>
      <c r="E878" t="s">
        <v>647</v>
      </c>
      <c r="F878" t="s">
        <v>648</v>
      </c>
      <c r="G878" s="10">
        <v>80</v>
      </c>
      <c r="H878" s="10">
        <v>76600</v>
      </c>
      <c r="I878" s="10">
        <v>6128000</v>
      </c>
      <c r="J878" t="s">
        <v>42</v>
      </c>
      <c r="K878" s="11">
        <v>3145.8</v>
      </c>
      <c r="L878" s="12">
        <v>1947.99</v>
      </c>
    </row>
    <row r="879" spans="1:12" x14ac:dyDescent="0.2">
      <c r="A879" s="9">
        <v>46240</v>
      </c>
      <c r="B879" t="s">
        <v>73</v>
      </c>
      <c r="C879" t="s">
        <v>74</v>
      </c>
      <c r="D879" t="s">
        <v>75</v>
      </c>
      <c r="E879" t="s">
        <v>647</v>
      </c>
      <c r="F879" t="s">
        <v>667</v>
      </c>
      <c r="G879" s="10">
        <v>29</v>
      </c>
      <c r="H879" s="10">
        <v>35326</v>
      </c>
      <c r="I879" s="10">
        <v>1024454</v>
      </c>
      <c r="J879" t="s">
        <v>42</v>
      </c>
      <c r="K879" s="11">
        <v>3145.8</v>
      </c>
      <c r="L879" s="12">
        <v>325.66000000000003</v>
      </c>
    </row>
    <row r="880" spans="1:12" x14ac:dyDescent="0.2">
      <c r="A880" s="9">
        <v>46240</v>
      </c>
      <c r="B880" t="s">
        <v>73</v>
      </c>
      <c r="C880" t="s">
        <v>74</v>
      </c>
      <c r="D880" t="s">
        <v>75</v>
      </c>
      <c r="E880" t="s">
        <v>655</v>
      </c>
      <c r="F880" t="s">
        <v>665</v>
      </c>
      <c r="G880" s="10">
        <v>34</v>
      </c>
      <c r="H880" s="10">
        <v>3249</v>
      </c>
      <c r="I880" s="10">
        <v>110466</v>
      </c>
      <c r="J880" t="s">
        <v>42</v>
      </c>
      <c r="K880" s="11">
        <v>3145.8</v>
      </c>
      <c r="L880" s="12">
        <v>35.119999999999997</v>
      </c>
    </row>
    <row r="881" spans="1:12" x14ac:dyDescent="0.2">
      <c r="A881" s="9">
        <v>46240</v>
      </c>
      <c r="B881" t="s">
        <v>77</v>
      </c>
      <c r="C881" t="s">
        <v>78</v>
      </c>
      <c r="D881" t="s">
        <v>50</v>
      </c>
      <c r="E881" t="s">
        <v>655</v>
      </c>
      <c r="F881" t="s">
        <v>662</v>
      </c>
      <c r="G881" s="10">
        <v>4</v>
      </c>
      <c r="H881" s="10">
        <v>1135</v>
      </c>
      <c r="I881" s="10">
        <v>4540</v>
      </c>
      <c r="J881" t="s">
        <v>51</v>
      </c>
      <c r="K881" s="11">
        <v>648.20000000000005</v>
      </c>
      <c r="L881" s="12">
        <v>7</v>
      </c>
    </row>
    <row r="882" spans="1:12" x14ac:dyDescent="0.2">
      <c r="A882" s="9">
        <v>46240</v>
      </c>
      <c r="B882" t="s">
        <v>83</v>
      </c>
      <c r="C882" t="s">
        <v>84</v>
      </c>
      <c r="D882" t="s">
        <v>41</v>
      </c>
      <c r="E882" t="s">
        <v>660</v>
      </c>
      <c r="F882" t="s">
        <v>670</v>
      </c>
      <c r="G882" s="10">
        <v>10</v>
      </c>
      <c r="H882" s="10">
        <v>72580</v>
      </c>
      <c r="I882" s="10">
        <v>725800</v>
      </c>
      <c r="J882" t="s">
        <v>42</v>
      </c>
      <c r="K882" s="11">
        <v>3145.8</v>
      </c>
      <c r="L882" s="12">
        <v>230.72</v>
      </c>
    </row>
    <row r="883" spans="1:12" x14ac:dyDescent="0.2">
      <c r="A883" s="9">
        <v>46240</v>
      </c>
      <c r="B883" t="s">
        <v>83</v>
      </c>
      <c r="C883" t="s">
        <v>84</v>
      </c>
      <c r="D883" t="s">
        <v>41</v>
      </c>
      <c r="E883" t="s">
        <v>651</v>
      </c>
      <c r="F883" t="s">
        <v>664</v>
      </c>
      <c r="G883" s="10">
        <v>126</v>
      </c>
      <c r="H883" s="10">
        <v>60107</v>
      </c>
      <c r="I883" s="10">
        <v>7573482</v>
      </c>
      <c r="J883" t="s">
        <v>42</v>
      </c>
      <c r="K883" s="11">
        <v>3145.8</v>
      </c>
      <c r="L883" s="12">
        <v>2407.4899999999998</v>
      </c>
    </row>
    <row r="884" spans="1:12" x14ac:dyDescent="0.2">
      <c r="A884" s="9">
        <v>46240</v>
      </c>
      <c r="B884" t="s">
        <v>86</v>
      </c>
      <c r="C884" t="s">
        <v>87</v>
      </c>
      <c r="D884" t="s">
        <v>50</v>
      </c>
      <c r="E884" t="s">
        <v>660</v>
      </c>
      <c r="F884" t="s">
        <v>669</v>
      </c>
      <c r="G884" s="10">
        <v>2</v>
      </c>
      <c r="H884" s="10">
        <v>2658</v>
      </c>
      <c r="I884" s="10">
        <v>5316</v>
      </c>
      <c r="J884" t="s">
        <v>51</v>
      </c>
      <c r="K884" s="11">
        <v>648.20000000000005</v>
      </c>
      <c r="L884" s="12">
        <v>8.1999999999999993</v>
      </c>
    </row>
    <row r="885" spans="1:12" x14ac:dyDescent="0.2">
      <c r="A885" s="9">
        <v>46240</v>
      </c>
      <c r="B885" t="s">
        <v>86</v>
      </c>
      <c r="C885" t="s">
        <v>87</v>
      </c>
      <c r="D885" t="s">
        <v>50</v>
      </c>
      <c r="E885" t="s">
        <v>660</v>
      </c>
      <c r="F885" t="s">
        <v>670</v>
      </c>
      <c r="G885" s="10">
        <v>2</v>
      </c>
      <c r="H885" s="10">
        <v>15006</v>
      </c>
      <c r="I885" s="10">
        <v>30012</v>
      </c>
      <c r="J885" t="s">
        <v>51</v>
      </c>
      <c r="K885" s="11">
        <v>648.20000000000005</v>
      </c>
      <c r="L885" s="12">
        <v>46.3</v>
      </c>
    </row>
    <row r="886" spans="1:12" x14ac:dyDescent="0.2">
      <c r="A886" s="9">
        <v>46240</v>
      </c>
      <c r="B886" t="s">
        <v>89</v>
      </c>
      <c r="C886" t="s">
        <v>90</v>
      </c>
      <c r="D886" t="s">
        <v>68</v>
      </c>
      <c r="E886" t="s">
        <v>653</v>
      </c>
      <c r="F886" t="s">
        <v>658</v>
      </c>
      <c r="G886" s="10">
        <v>35</v>
      </c>
      <c r="H886" s="10">
        <v>2725</v>
      </c>
      <c r="I886" s="10">
        <v>95375</v>
      </c>
      <c r="J886" t="s">
        <v>51</v>
      </c>
      <c r="K886" s="11">
        <v>648.20000000000005</v>
      </c>
      <c r="L886" s="12">
        <v>147.13999999999999</v>
      </c>
    </row>
    <row r="887" spans="1:12" x14ac:dyDescent="0.2">
      <c r="A887" s="9">
        <v>46240</v>
      </c>
      <c r="B887" t="s">
        <v>89</v>
      </c>
      <c r="C887" t="s">
        <v>90</v>
      </c>
      <c r="D887" t="s">
        <v>68</v>
      </c>
      <c r="E887" t="s">
        <v>649</v>
      </c>
      <c r="F887" t="s">
        <v>663</v>
      </c>
      <c r="G887" s="10">
        <v>20</v>
      </c>
      <c r="H887" s="10">
        <v>2092</v>
      </c>
      <c r="I887" s="10">
        <v>41840</v>
      </c>
      <c r="J887" t="s">
        <v>51</v>
      </c>
      <c r="K887" s="11">
        <v>648.20000000000005</v>
      </c>
      <c r="L887" s="12">
        <v>64.55</v>
      </c>
    </row>
    <row r="888" spans="1:12" x14ac:dyDescent="0.2">
      <c r="A888" s="9">
        <v>46240</v>
      </c>
      <c r="B888" t="s">
        <v>89</v>
      </c>
      <c r="C888" t="s">
        <v>90</v>
      </c>
      <c r="D888" t="s">
        <v>68</v>
      </c>
      <c r="E888" t="s">
        <v>647</v>
      </c>
      <c r="F888" t="s">
        <v>668</v>
      </c>
      <c r="G888" s="10">
        <v>15</v>
      </c>
      <c r="H888" s="10">
        <v>25667</v>
      </c>
      <c r="I888" s="10">
        <v>385005</v>
      </c>
      <c r="J888" t="s">
        <v>51</v>
      </c>
      <c r="K888" s="11">
        <v>648.20000000000005</v>
      </c>
      <c r="L888" s="12">
        <v>593.96</v>
      </c>
    </row>
    <row r="889" spans="1:12" x14ac:dyDescent="0.2">
      <c r="A889" s="9">
        <v>46240</v>
      </c>
      <c r="B889" t="s">
        <v>89</v>
      </c>
      <c r="C889" t="s">
        <v>90</v>
      </c>
      <c r="D889" t="s">
        <v>68</v>
      </c>
      <c r="E889" t="s">
        <v>647</v>
      </c>
      <c r="F889" t="s">
        <v>668</v>
      </c>
      <c r="G889" s="10">
        <v>31</v>
      </c>
      <c r="H889" s="10">
        <v>24375</v>
      </c>
      <c r="I889" s="10">
        <v>755625</v>
      </c>
      <c r="J889" t="s">
        <v>51</v>
      </c>
      <c r="K889" s="11">
        <v>648.20000000000005</v>
      </c>
      <c r="L889" s="12">
        <v>1165.73</v>
      </c>
    </row>
    <row r="890" spans="1:12" x14ac:dyDescent="0.2">
      <c r="A890" s="9">
        <v>46240</v>
      </c>
      <c r="B890" t="s">
        <v>96</v>
      </c>
      <c r="C890" t="s">
        <v>97</v>
      </c>
      <c r="D890" t="s">
        <v>41</v>
      </c>
      <c r="E890" t="s">
        <v>651</v>
      </c>
      <c r="F890" t="s">
        <v>657</v>
      </c>
      <c r="G890" s="10">
        <v>5</v>
      </c>
      <c r="H890" s="10">
        <v>30220</v>
      </c>
      <c r="I890" s="10">
        <v>151100</v>
      </c>
      <c r="J890" t="s">
        <v>42</v>
      </c>
      <c r="K890" s="11">
        <v>3145.8</v>
      </c>
      <c r="L890" s="12">
        <v>48.03</v>
      </c>
    </row>
    <row r="891" spans="1:12" x14ac:dyDescent="0.2">
      <c r="A891" s="9">
        <v>46240</v>
      </c>
      <c r="B891" t="s">
        <v>102</v>
      </c>
      <c r="C891" t="s">
        <v>103</v>
      </c>
      <c r="D891" t="s">
        <v>41</v>
      </c>
      <c r="E891" t="s">
        <v>660</v>
      </c>
      <c r="F891" t="s">
        <v>661</v>
      </c>
      <c r="G891" s="10">
        <v>8</v>
      </c>
      <c r="H891" s="10">
        <v>20741</v>
      </c>
      <c r="I891" s="10">
        <v>165928</v>
      </c>
      <c r="J891" t="s">
        <v>42</v>
      </c>
      <c r="K891" s="11">
        <v>3145.8</v>
      </c>
      <c r="L891" s="12">
        <v>52.75</v>
      </c>
    </row>
    <row r="892" spans="1:12" x14ac:dyDescent="0.2">
      <c r="A892" s="9">
        <v>46240</v>
      </c>
      <c r="B892" t="s">
        <v>105</v>
      </c>
      <c r="C892" t="s">
        <v>106</v>
      </c>
      <c r="D892" t="s">
        <v>41</v>
      </c>
      <c r="E892" t="s">
        <v>660</v>
      </c>
      <c r="F892" t="s">
        <v>670</v>
      </c>
      <c r="G892" s="10">
        <v>4</v>
      </c>
      <c r="H892" s="10">
        <v>68080</v>
      </c>
      <c r="I892" s="10">
        <v>272320</v>
      </c>
      <c r="J892" t="s">
        <v>42</v>
      </c>
      <c r="K892" s="11">
        <v>3145.8</v>
      </c>
      <c r="L892" s="12">
        <v>86.57</v>
      </c>
    </row>
    <row r="893" spans="1:12" x14ac:dyDescent="0.2">
      <c r="A893" s="9">
        <v>46240</v>
      </c>
      <c r="B893" t="s">
        <v>111</v>
      </c>
      <c r="C893" t="s">
        <v>112</v>
      </c>
      <c r="D893" t="s">
        <v>41</v>
      </c>
      <c r="E893" t="s">
        <v>649</v>
      </c>
      <c r="F893" t="s">
        <v>659</v>
      </c>
      <c r="G893" s="10">
        <v>3</v>
      </c>
      <c r="H893" s="10">
        <v>44669</v>
      </c>
      <c r="I893" s="10">
        <v>134007</v>
      </c>
      <c r="J893" t="s">
        <v>42</v>
      </c>
      <c r="K893" s="11">
        <v>3145.8</v>
      </c>
      <c r="L893" s="12">
        <v>42.6</v>
      </c>
    </row>
    <row r="894" spans="1:12" x14ac:dyDescent="0.2">
      <c r="A894" s="9">
        <v>46240</v>
      </c>
      <c r="B894" t="s">
        <v>111</v>
      </c>
      <c r="C894" t="s">
        <v>112</v>
      </c>
      <c r="D894" t="s">
        <v>41</v>
      </c>
      <c r="E894" t="s">
        <v>651</v>
      </c>
      <c r="F894" t="s">
        <v>664</v>
      </c>
      <c r="G894" s="10">
        <v>8</v>
      </c>
      <c r="H894" s="10">
        <v>60044</v>
      </c>
      <c r="I894" s="10">
        <v>480352</v>
      </c>
      <c r="J894" t="s">
        <v>42</v>
      </c>
      <c r="K894" s="11">
        <v>3145.8</v>
      </c>
      <c r="L894" s="12">
        <v>152.69999999999999</v>
      </c>
    </row>
    <row r="895" spans="1:12" x14ac:dyDescent="0.2">
      <c r="A895" s="9">
        <v>46240</v>
      </c>
      <c r="B895" t="s">
        <v>115</v>
      </c>
      <c r="C895" t="s">
        <v>116</v>
      </c>
      <c r="D895" t="s">
        <v>41</v>
      </c>
      <c r="E895" t="s">
        <v>660</v>
      </c>
      <c r="F895" t="s">
        <v>661</v>
      </c>
      <c r="G895" s="10">
        <v>46</v>
      </c>
      <c r="H895" s="10">
        <v>20087</v>
      </c>
      <c r="I895" s="10">
        <v>924002</v>
      </c>
      <c r="J895" t="s">
        <v>42</v>
      </c>
      <c r="K895" s="11">
        <v>3145.8</v>
      </c>
      <c r="L895" s="12">
        <v>293.73</v>
      </c>
    </row>
    <row r="896" spans="1:12" x14ac:dyDescent="0.2">
      <c r="A896" s="9">
        <v>46240</v>
      </c>
      <c r="B896" t="s">
        <v>115</v>
      </c>
      <c r="C896" t="s">
        <v>116</v>
      </c>
      <c r="D896" t="s">
        <v>41</v>
      </c>
      <c r="E896" t="s">
        <v>651</v>
      </c>
      <c r="F896" t="s">
        <v>657</v>
      </c>
      <c r="G896" s="10">
        <v>34</v>
      </c>
      <c r="H896" s="10">
        <v>29985</v>
      </c>
      <c r="I896" s="10">
        <v>1019490</v>
      </c>
      <c r="J896" t="s">
        <v>42</v>
      </c>
      <c r="K896" s="11">
        <v>3145.8</v>
      </c>
      <c r="L896" s="12">
        <v>324.08</v>
      </c>
    </row>
    <row r="897" spans="1:12" x14ac:dyDescent="0.2">
      <c r="A897" s="9">
        <v>46240</v>
      </c>
      <c r="B897" t="s">
        <v>121</v>
      </c>
      <c r="C897" t="s">
        <v>122</v>
      </c>
      <c r="D897" t="s">
        <v>75</v>
      </c>
      <c r="E897" t="s">
        <v>647</v>
      </c>
      <c r="F897" t="s">
        <v>668</v>
      </c>
      <c r="G897" s="10">
        <v>7</v>
      </c>
      <c r="H897" s="10">
        <v>121228</v>
      </c>
      <c r="I897" s="10">
        <v>848596</v>
      </c>
      <c r="J897" t="s">
        <v>42</v>
      </c>
      <c r="K897" s="11">
        <v>3145.8</v>
      </c>
      <c r="L897" s="12">
        <v>269.76</v>
      </c>
    </row>
    <row r="898" spans="1:12" x14ac:dyDescent="0.2">
      <c r="A898" s="9">
        <v>46240</v>
      </c>
      <c r="B898" t="s">
        <v>121</v>
      </c>
      <c r="C898" t="s">
        <v>122</v>
      </c>
      <c r="D898" t="s">
        <v>75</v>
      </c>
      <c r="E898" t="s">
        <v>647</v>
      </c>
      <c r="F898" t="s">
        <v>668</v>
      </c>
      <c r="G898" s="10">
        <v>3</v>
      </c>
      <c r="H898" s="10">
        <v>122905</v>
      </c>
      <c r="I898" s="10">
        <v>368715</v>
      </c>
      <c r="J898" t="s">
        <v>42</v>
      </c>
      <c r="K898" s="11">
        <v>3145.8</v>
      </c>
      <c r="L898" s="12">
        <v>117.21</v>
      </c>
    </row>
    <row r="899" spans="1:12" x14ac:dyDescent="0.2">
      <c r="A899" s="9">
        <v>46240</v>
      </c>
      <c r="B899" t="s">
        <v>133</v>
      </c>
      <c r="C899" t="s">
        <v>134</v>
      </c>
      <c r="D899" t="s">
        <v>41</v>
      </c>
      <c r="E899" t="s">
        <v>649</v>
      </c>
      <c r="F899" t="s">
        <v>650</v>
      </c>
      <c r="G899" s="10">
        <v>2</v>
      </c>
      <c r="H899" s="10">
        <v>94622</v>
      </c>
      <c r="I899" s="10">
        <v>189244</v>
      </c>
      <c r="J899" t="s">
        <v>42</v>
      </c>
      <c r="K899" s="11">
        <v>3145.8</v>
      </c>
      <c r="L899" s="12">
        <v>60.16</v>
      </c>
    </row>
    <row r="900" spans="1:12" x14ac:dyDescent="0.2">
      <c r="A900" s="9">
        <v>46240</v>
      </c>
      <c r="B900" t="s">
        <v>133</v>
      </c>
      <c r="C900" t="s">
        <v>134</v>
      </c>
      <c r="D900" t="s">
        <v>41</v>
      </c>
      <c r="E900" t="s">
        <v>647</v>
      </c>
      <c r="F900" t="s">
        <v>668</v>
      </c>
      <c r="G900" s="10">
        <v>2</v>
      </c>
      <c r="H900" s="10">
        <v>125500</v>
      </c>
      <c r="I900" s="10">
        <v>251000</v>
      </c>
      <c r="J900" t="s">
        <v>42</v>
      </c>
      <c r="K900" s="11">
        <v>3145.8</v>
      </c>
      <c r="L900" s="12">
        <v>79.790000000000006</v>
      </c>
    </row>
    <row r="901" spans="1:12" x14ac:dyDescent="0.2">
      <c r="A901" s="9">
        <v>46240</v>
      </c>
      <c r="B901" t="s">
        <v>145</v>
      </c>
      <c r="C901" t="s">
        <v>146</v>
      </c>
      <c r="D901" t="s">
        <v>68</v>
      </c>
      <c r="E901" t="s">
        <v>653</v>
      </c>
      <c r="F901" t="s">
        <v>654</v>
      </c>
      <c r="G901" s="10">
        <v>2</v>
      </c>
      <c r="H901" s="10">
        <v>5882</v>
      </c>
      <c r="I901" s="10">
        <v>11764</v>
      </c>
      <c r="J901" t="s">
        <v>51</v>
      </c>
      <c r="K901" s="11">
        <v>648.20000000000005</v>
      </c>
      <c r="L901" s="12">
        <v>18.149999999999999</v>
      </c>
    </row>
    <row r="902" spans="1:12" x14ac:dyDescent="0.2">
      <c r="A902" s="9">
        <v>46240</v>
      </c>
      <c r="B902" t="s">
        <v>149</v>
      </c>
      <c r="C902" t="s">
        <v>150</v>
      </c>
      <c r="D902" t="s">
        <v>50</v>
      </c>
      <c r="E902" t="s">
        <v>647</v>
      </c>
      <c r="F902" t="s">
        <v>648</v>
      </c>
      <c r="G902" s="10">
        <v>8</v>
      </c>
      <c r="H902" s="10">
        <v>16105</v>
      </c>
      <c r="I902" s="10">
        <v>128840</v>
      </c>
      <c r="J902" t="s">
        <v>51</v>
      </c>
      <c r="K902" s="11">
        <v>648.20000000000005</v>
      </c>
      <c r="L902" s="12">
        <v>198.77</v>
      </c>
    </row>
    <row r="903" spans="1:12" x14ac:dyDescent="0.2">
      <c r="A903" s="9">
        <v>46240</v>
      </c>
      <c r="B903" t="s">
        <v>149</v>
      </c>
      <c r="C903" t="s">
        <v>150</v>
      </c>
      <c r="D903" t="s">
        <v>50</v>
      </c>
      <c r="E903" t="s">
        <v>647</v>
      </c>
      <c r="F903" t="s">
        <v>648</v>
      </c>
      <c r="G903" s="10">
        <v>6</v>
      </c>
      <c r="H903" s="10">
        <v>16160</v>
      </c>
      <c r="I903" s="10">
        <v>96960</v>
      </c>
      <c r="J903" t="s">
        <v>51</v>
      </c>
      <c r="K903" s="11">
        <v>648.20000000000005</v>
      </c>
      <c r="L903" s="12">
        <v>149.58000000000001</v>
      </c>
    </row>
    <row r="904" spans="1:12" x14ac:dyDescent="0.2">
      <c r="A904" s="9">
        <v>46240</v>
      </c>
      <c r="B904" t="s">
        <v>158</v>
      </c>
      <c r="C904" t="s">
        <v>159</v>
      </c>
      <c r="D904" t="s">
        <v>41</v>
      </c>
      <c r="E904" t="s">
        <v>649</v>
      </c>
      <c r="F904" t="s">
        <v>650</v>
      </c>
      <c r="G904" s="10">
        <v>57</v>
      </c>
      <c r="H904" s="10">
        <v>93900</v>
      </c>
      <c r="I904" s="10">
        <v>5352300</v>
      </c>
      <c r="J904" t="s">
        <v>42</v>
      </c>
      <c r="K904" s="11">
        <v>3145.8</v>
      </c>
      <c r="L904" s="12">
        <v>1701.41</v>
      </c>
    </row>
    <row r="905" spans="1:12" x14ac:dyDescent="0.2">
      <c r="A905" s="9">
        <v>46240</v>
      </c>
      <c r="B905" t="s">
        <v>158</v>
      </c>
      <c r="C905" t="s">
        <v>159</v>
      </c>
      <c r="D905" t="s">
        <v>41</v>
      </c>
      <c r="E905" t="s">
        <v>660</v>
      </c>
      <c r="F905" t="s">
        <v>669</v>
      </c>
      <c r="G905" s="10">
        <v>49</v>
      </c>
      <c r="H905" s="10">
        <v>12812</v>
      </c>
      <c r="I905" s="10">
        <v>627788</v>
      </c>
      <c r="J905" t="s">
        <v>42</v>
      </c>
      <c r="K905" s="11">
        <v>3145.8</v>
      </c>
      <c r="L905" s="12">
        <v>199.56</v>
      </c>
    </row>
    <row r="906" spans="1:12" x14ac:dyDescent="0.2">
      <c r="A906" s="9">
        <v>46240</v>
      </c>
      <c r="B906" t="s">
        <v>158</v>
      </c>
      <c r="C906" t="s">
        <v>159</v>
      </c>
      <c r="D906" t="s">
        <v>41</v>
      </c>
      <c r="E906" t="s">
        <v>653</v>
      </c>
      <c r="F906" t="s">
        <v>654</v>
      </c>
      <c r="G906" s="10">
        <v>44</v>
      </c>
      <c r="H906" s="10">
        <v>27875</v>
      </c>
      <c r="I906" s="10">
        <v>1226500</v>
      </c>
      <c r="J906" t="s">
        <v>42</v>
      </c>
      <c r="K906" s="11">
        <v>3145.8</v>
      </c>
      <c r="L906" s="12">
        <v>389.88</v>
      </c>
    </row>
    <row r="907" spans="1:12" x14ac:dyDescent="0.2">
      <c r="A907" s="9">
        <v>46240</v>
      </c>
      <c r="B907" t="s">
        <v>161</v>
      </c>
      <c r="C907" t="s">
        <v>67</v>
      </c>
      <c r="D907" t="s">
        <v>41</v>
      </c>
      <c r="E907" t="s">
        <v>649</v>
      </c>
      <c r="F907" t="s">
        <v>659</v>
      </c>
      <c r="G907" s="10">
        <v>15</v>
      </c>
      <c r="H907" s="10">
        <v>42361</v>
      </c>
      <c r="I907" s="10">
        <v>635415</v>
      </c>
      <c r="J907" t="s">
        <v>42</v>
      </c>
      <c r="K907" s="11">
        <v>3145.8</v>
      </c>
      <c r="L907" s="12">
        <v>201.99</v>
      </c>
    </row>
    <row r="908" spans="1:12" x14ac:dyDescent="0.2">
      <c r="A908" s="9">
        <v>46240</v>
      </c>
      <c r="B908" t="s">
        <v>161</v>
      </c>
      <c r="C908" t="s">
        <v>67</v>
      </c>
      <c r="D908" t="s">
        <v>41</v>
      </c>
      <c r="E908" t="s">
        <v>649</v>
      </c>
      <c r="F908" t="s">
        <v>659</v>
      </c>
      <c r="G908" s="10">
        <v>27</v>
      </c>
      <c r="H908" s="10">
        <v>44762</v>
      </c>
      <c r="I908" s="10">
        <v>1208574</v>
      </c>
      <c r="J908" t="s">
        <v>42</v>
      </c>
      <c r="K908" s="11">
        <v>3145.8</v>
      </c>
      <c r="L908" s="12">
        <v>384.19</v>
      </c>
    </row>
    <row r="909" spans="1:12" x14ac:dyDescent="0.2">
      <c r="A909" s="9">
        <v>46240</v>
      </c>
      <c r="B909" t="s">
        <v>161</v>
      </c>
      <c r="C909" t="s">
        <v>67</v>
      </c>
      <c r="D909" t="s">
        <v>41</v>
      </c>
      <c r="E909" t="s">
        <v>660</v>
      </c>
      <c r="F909" t="s">
        <v>661</v>
      </c>
      <c r="G909" s="10">
        <v>7</v>
      </c>
      <c r="H909" s="10">
        <v>20028</v>
      </c>
      <c r="I909" s="10">
        <v>140196</v>
      </c>
      <c r="J909" t="s">
        <v>42</v>
      </c>
      <c r="K909" s="11">
        <v>3145.8</v>
      </c>
      <c r="L909" s="12">
        <v>44.57</v>
      </c>
    </row>
    <row r="910" spans="1:12" x14ac:dyDescent="0.2">
      <c r="A910" s="9">
        <v>46240</v>
      </c>
      <c r="B910" t="s">
        <v>161</v>
      </c>
      <c r="C910" t="s">
        <v>67</v>
      </c>
      <c r="D910" t="s">
        <v>41</v>
      </c>
      <c r="E910" t="s">
        <v>647</v>
      </c>
      <c r="F910" t="s">
        <v>648</v>
      </c>
      <c r="G910" s="10">
        <v>8</v>
      </c>
      <c r="H910" s="10">
        <v>77625</v>
      </c>
      <c r="I910" s="10">
        <v>621000</v>
      </c>
      <c r="J910" t="s">
        <v>42</v>
      </c>
      <c r="K910" s="11">
        <v>3145.8</v>
      </c>
      <c r="L910" s="12">
        <v>197.41</v>
      </c>
    </row>
    <row r="911" spans="1:12" x14ac:dyDescent="0.2">
      <c r="A911" s="9">
        <v>46240</v>
      </c>
      <c r="B911" t="s">
        <v>161</v>
      </c>
      <c r="C911" t="s">
        <v>67</v>
      </c>
      <c r="D911" t="s">
        <v>41</v>
      </c>
      <c r="E911" t="s">
        <v>647</v>
      </c>
      <c r="F911" t="s">
        <v>667</v>
      </c>
      <c r="G911" s="10">
        <v>26</v>
      </c>
      <c r="H911" s="10">
        <v>34605</v>
      </c>
      <c r="I911" s="10">
        <v>899730</v>
      </c>
      <c r="J911" t="s">
        <v>42</v>
      </c>
      <c r="K911" s="11">
        <v>3145.8</v>
      </c>
      <c r="L911" s="12">
        <v>286.01</v>
      </c>
    </row>
    <row r="912" spans="1:12" x14ac:dyDescent="0.2">
      <c r="A912" s="9">
        <v>46240</v>
      </c>
      <c r="B912" t="s">
        <v>161</v>
      </c>
      <c r="C912" t="s">
        <v>67</v>
      </c>
      <c r="D912" t="s">
        <v>41</v>
      </c>
      <c r="E912" t="s">
        <v>655</v>
      </c>
      <c r="F912" t="s">
        <v>665</v>
      </c>
      <c r="G912" s="10">
        <v>5</v>
      </c>
      <c r="H912" s="10">
        <v>3259</v>
      </c>
      <c r="I912" s="10">
        <v>16295</v>
      </c>
      <c r="J912" t="s">
        <v>42</v>
      </c>
      <c r="K912" s="11">
        <v>3145.8</v>
      </c>
      <c r="L912" s="12">
        <v>5.18</v>
      </c>
    </row>
    <row r="913" spans="1:12" x14ac:dyDescent="0.2">
      <c r="A913" s="9">
        <v>46240</v>
      </c>
      <c r="B913" t="s">
        <v>161</v>
      </c>
      <c r="C913" t="s">
        <v>67</v>
      </c>
      <c r="D913" t="s">
        <v>41</v>
      </c>
      <c r="E913" t="s">
        <v>655</v>
      </c>
      <c r="F913" t="s">
        <v>665</v>
      </c>
      <c r="G913" s="10">
        <v>43</v>
      </c>
      <c r="H913" s="10">
        <v>3317</v>
      </c>
      <c r="I913" s="10">
        <v>142631</v>
      </c>
      <c r="J913" t="s">
        <v>42</v>
      </c>
      <c r="K913" s="11">
        <v>3145.8</v>
      </c>
      <c r="L913" s="12">
        <v>45.34</v>
      </c>
    </row>
    <row r="914" spans="1:12" x14ac:dyDescent="0.2">
      <c r="A914" s="9">
        <v>46240</v>
      </c>
      <c r="B914" t="s">
        <v>163</v>
      </c>
      <c r="C914" t="s">
        <v>164</v>
      </c>
      <c r="D914" t="s">
        <v>41</v>
      </c>
      <c r="E914" t="s">
        <v>655</v>
      </c>
      <c r="F914" t="s">
        <v>662</v>
      </c>
      <c r="G914" s="10">
        <v>25</v>
      </c>
      <c r="H914" s="10">
        <v>5349</v>
      </c>
      <c r="I914" s="10">
        <v>133725</v>
      </c>
      <c r="J914" t="s">
        <v>42</v>
      </c>
      <c r="K914" s="11">
        <v>3145.8</v>
      </c>
      <c r="L914" s="12">
        <v>42.51</v>
      </c>
    </row>
    <row r="915" spans="1:12" x14ac:dyDescent="0.2">
      <c r="A915" s="9">
        <v>46240</v>
      </c>
      <c r="B915" t="s">
        <v>178</v>
      </c>
      <c r="C915" t="s">
        <v>179</v>
      </c>
      <c r="D915" t="s">
        <v>50</v>
      </c>
      <c r="E915" t="s">
        <v>653</v>
      </c>
      <c r="F915" t="s">
        <v>658</v>
      </c>
      <c r="G915" s="10">
        <v>2</v>
      </c>
      <c r="H915" s="10">
        <v>2742</v>
      </c>
      <c r="I915" s="10">
        <v>5484</v>
      </c>
      <c r="J915" t="s">
        <v>51</v>
      </c>
      <c r="K915" s="11">
        <v>648.20000000000005</v>
      </c>
      <c r="L915" s="12">
        <v>8.4600000000000009</v>
      </c>
    </row>
    <row r="916" spans="1:12" x14ac:dyDescent="0.2">
      <c r="A916" s="9">
        <v>46240</v>
      </c>
      <c r="B916" t="s">
        <v>178</v>
      </c>
      <c r="C916" t="s">
        <v>179</v>
      </c>
      <c r="D916" t="s">
        <v>50</v>
      </c>
      <c r="E916" t="s">
        <v>649</v>
      </c>
      <c r="F916" t="s">
        <v>663</v>
      </c>
      <c r="G916" s="10">
        <v>2</v>
      </c>
      <c r="H916" s="10">
        <v>2004</v>
      </c>
      <c r="I916" s="10">
        <v>4008</v>
      </c>
      <c r="J916" t="s">
        <v>51</v>
      </c>
      <c r="K916" s="11">
        <v>648.20000000000005</v>
      </c>
      <c r="L916" s="12">
        <v>6.18</v>
      </c>
    </row>
    <row r="917" spans="1:12" x14ac:dyDescent="0.2">
      <c r="A917" s="9">
        <v>46240</v>
      </c>
      <c r="B917" t="s">
        <v>181</v>
      </c>
      <c r="C917" t="s">
        <v>182</v>
      </c>
      <c r="D917" t="s">
        <v>41</v>
      </c>
      <c r="E917" t="s">
        <v>651</v>
      </c>
      <c r="F917" t="s">
        <v>664</v>
      </c>
      <c r="G917" s="10">
        <v>8</v>
      </c>
      <c r="H917" s="10">
        <v>58301</v>
      </c>
      <c r="I917" s="10">
        <v>466408</v>
      </c>
      <c r="J917" t="s">
        <v>42</v>
      </c>
      <c r="K917" s="11">
        <v>3145.8</v>
      </c>
      <c r="L917" s="12">
        <v>148.26</v>
      </c>
    </row>
    <row r="918" spans="1:12" x14ac:dyDescent="0.2">
      <c r="A918" s="9">
        <v>46240</v>
      </c>
      <c r="B918" t="s">
        <v>181</v>
      </c>
      <c r="C918" t="s">
        <v>182</v>
      </c>
      <c r="D918" t="s">
        <v>41</v>
      </c>
      <c r="E918" t="s">
        <v>651</v>
      </c>
      <c r="F918" t="s">
        <v>664</v>
      </c>
      <c r="G918" s="10">
        <v>3</v>
      </c>
      <c r="H918" s="10">
        <v>57398</v>
      </c>
      <c r="I918" s="10">
        <v>172194</v>
      </c>
      <c r="J918" t="s">
        <v>42</v>
      </c>
      <c r="K918" s="11">
        <v>3145.8</v>
      </c>
      <c r="L918" s="12">
        <v>54.74</v>
      </c>
    </row>
    <row r="919" spans="1:12" x14ac:dyDescent="0.2">
      <c r="A919" s="9">
        <v>46240</v>
      </c>
      <c r="B919" t="s">
        <v>187</v>
      </c>
      <c r="C919" t="s">
        <v>188</v>
      </c>
      <c r="D919" t="s">
        <v>75</v>
      </c>
      <c r="E919" t="s">
        <v>655</v>
      </c>
      <c r="F919" t="s">
        <v>662</v>
      </c>
      <c r="G919" s="10">
        <v>8</v>
      </c>
      <c r="H919" s="10">
        <v>5365</v>
      </c>
      <c r="I919" s="10">
        <v>42920</v>
      </c>
      <c r="J919" t="s">
        <v>42</v>
      </c>
      <c r="K919" s="11">
        <v>3145.8</v>
      </c>
      <c r="L919" s="12">
        <v>13.64</v>
      </c>
    </row>
    <row r="920" spans="1:12" x14ac:dyDescent="0.2">
      <c r="A920" s="9">
        <v>46240</v>
      </c>
      <c r="B920" t="s">
        <v>190</v>
      </c>
      <c r="C920" t="s">
        <v>191</v>
      </c>
      <c r="D920" t="s">
        <v>68</v>
      </c>
      <c r="E920" t="s">
        <v>655</v>
      </c>
      <c r="F920" t="s">
        <v>665</v>
      </c>
      <c r="G920" s="10">
        <v>33</v>
      </c>
      <c r="H920" s="10">
        <v>673</v>
      </c>
      <c r="I920" s="10">
        <v>22209</v>
      </c>
      <c r="J920" t="s">
        <v>51</v>
      </c>
      <c r="K920" s="11">
        <v>648.20000000000005</v>
      </c>
      <c r="L920" s="12">
        <v>34.26</v>
      </c>
    </row>
    <row r="921" spans="1:12" x14ac:dyDescent="0.2">
      <c r="A921" s="9">
        <v>46240</v>
      </c>
      <c r="B921" t="s">
        <v>193</v>
      </c>
      <c r="C921" t="s">
        <v>194</v>
      </c>
      <c r="D921" t="s">
        <v>68</v>
      </c>
      <c r="E921" t="s">
        <v>647</v>
      </c>
      <c r="F921" t="s">
        <v>667</v>
      </c>
      <c r="G921" s="10">
        <v>12</v>
      </c>
      <c r="H921" s="10">
        <v>7326</v>
      </c>
      <c r="I921" s="10">
        <v>87912</v>
      </c>
      <c r="J921" t="s">
        <v>51</v>
      </c>
      <c r="K921" s="11">
        <v>648.20000000000005</v>
      </c>
      <c r="L921" s="12">
        <v>135.62</v>
      </c>
    </row>
    <row r="922" spans="1:12" x14ac:dyDescent="0.2">
      <c r="A922" s="9">
        <v>46240</v>
      </c>
      <c r="B922" t="s">
        <v>199</v>
      </c>
      <c r="C922" t="s">
        <v>200</v>
      </c>
      <c r="D922" t="s">
        <v>46</v>
      </c>
      <c r="E922" t="s">
        <v>651</v>
      </c>
      <c r="F922" t="s">
        <v>652</v>
      </c>
      <c r="G922" s="10">
        <v>29</v>
      </c>
      <c r="H922" s="10">
        <v>9207</v>
      </c>
      <c r="I922" s="10">
        <v>267003</v>
      </c>
      <c r="J922" t="s">
        <v>37</v>
      </c>
      <c r="K922" s="11">
        <v>648.20000000000005</v>
      </c>
      <c r="L922" s="12">
        <v>411.91</v>
      </c>
    </row>
    <row r="923" spans="1:12" x14ac:dyDescent="0.2">
      <c r="A923" s="9">
        <v>46240</v>
      </c>
      <c r="B923" t="s">
        <v>199</v>
      </c>
      <c r="C923" t="s">
        <v>200</v>
      </c>
      <c r="D923" t="s">
        <v>46</v>
      </c>
      <c r="E923" t="s">
        <v>647</v>
      </c>
      <c r="F923" t="s">
        <v>648</v>
      </c>
      <c r="G923" s="10">
        <v>20</v>
      </c>
      <c r="H923" s="10">
        <v>15953</v>
      </c>
      <c r="I923" s="10">
        <v>319060</v>
      </c>
      <c r="J923" t="s">
        <v>37</v>
      </c>
      <c r="K923" s="11">
        <v>648.20000000000005</v>
      </c>
      <c r="L923" s="12">
        <v>492.22</v>
      </c>
    </row>
    <row r="924" spans="1:12" x14ac:dyDescent="0.2">
      <c r="A924" s="9">
        <v>46240</v>
      </c>
      <c r="B924" t="s">
        <v>208</v>
      </c>
      <c r="C924" t="s">
        <v>209</v>
      </c>
      <c r="D924" t="s">
        <v>46</v>
      </c>
      <c r="E924" t="s">
        <v>655</v>
      </c>
      <c r="F924" t="s">
        <v>662</v>
      </c>
      <c r="G924" s="10">
        <v>4</v>
      </c>
      <c r="H924" s="10">
        <v>1119</v>
      </c>
      <c r="I924" s="10">
        <v>4476</v>
      </c>
      <c r="J924" t="s">
        <v>37</v>
      </c>
      <c r="K924" s="11">
        <v>648.20000000000005</v>
      </c>
      <c r="L924" s="12">
        <v>6.91</v>
      </c>
    </row>
    <row r="925" spans="1:12" x14ac:dyDescent="0.2">
      <c r="A925" s="9">
        <v>46240</v>
      </c>
      <c r="B925" t="s">
        <v>208</v>
      </c>
      <c r="C925" t="s">
        <v>209</v>
      </c>
      <c r="D925" t="s">
        <v>46</v>
      </c>
      <c r="E925" t="s">
        <v>660</v>
      </c>
      <c r="F925" t="s">
        <v>661</v>
      </c>
      <c r="G925" s="10">
        <v>59</v>
      </c>
      <c r="H925" s="10">
        <v>4166</v>
      </c>
      <c r="I925" s="10">
        <v>245794</v>
      </c>
      <c r="J925" t="s">
        <v>37</v>
      </c>
      <c r="K925" s="11">
        <v>648.20000000000005</v>
      </c>
      <c r="L925" s="12">
        <v>379.19</v>
      </c>
    </row>
    <row r="926" spans="1:12" x14ac:dyDescent="0.2">
      <c r="A926" s="9">
        <v>46240</v>
      </c>
      <c r="B926" t="s">
        <v>211</v>
      </c>
      <c r="C926" t="s">
        <v>212</v>
      </c>
      <c r="D926" t="s">
        <v>46</v>
      </c>
      <c r="E926" t="s">
        <v>649</v>
      </c>
      <c r="F926" t="s">
        <v>650</v>
      </c>
      <c r="G926" s="10">
        <v>4</v>
      </c>
      <c r="H926" s="10">
        <v>18598</v>
      </c>
      <c r="I926" s="10">
        <v>74392</v>
      </c>
      <c r="J926" t="s">
        <v>37</v>
      </c>
      <c r="K926" s="11">
        <v>648.20000000000005</v>
      </c>
      <c r="L926" s="12">
        <v>114.77</v>
      </c>
    </row>
    <row r="927" spans="1:12" x14ac:dyDescent="0.2">
      <c r="A927" s="9">
        <v>46240</v>
      </c>
      <c r="B927" t="s">
        <v>211</v>
      </c>
      <c r="C927" t="s">
        <v>212</v>
      </c>
      <c r="D927" t="s">
        <v>46</v>
      </c>
      <c r="E927" t="s">
        <v>651</v>
      </c>
      <c r="F927" t="s">
        <v>657</v>
      </c>
      <c r="G927" s="10">
        <v>3</v>
      </c>
      <c r="H927" s="10">
        <v>6429</v>
      </c>
      <c r="I927" s="10">
        <v>19287</v>
      </c>
      <c r="J927" t="s">
        <v>37</v>
      </c>
      <c r="K927" s="11">
        <v>648.20000000000005</v>
      </c>
      <c r="L927" s="12">
        <v>29.75</v>
      </c>
    </row>
    <row r="928" spans="1:12" x14ac:dyDescent="0.2">
      <c r="A928" s="9">
        <v>46240</v>
      </c>
      <c r="B928" t="s">
        <v>214</v>
      </c>
      <c r="C928" t="s">
        <v>215</v>
      </c>
      <c r="D928" t="s">
        <v>46</v>
      </c>
      <c r="E928" t="s">
        <v>647</v>
      </c>
      <c r="F928" t="s">
        <v>648</v>
      </c>
      <c r="G928" s="10">
        <v>4</v>
      </c>
      <c r="H928" s="10">
        <v>16155</v>
      </c>
      <c r="I928" s="10">
        <v>64620</v>
      </c>
      <c r="J928" t="s">
        <v>37</v>
      </c>
      <c r="K928" s="11">
        <v>648.20000000000005</v>
      </c>
      <c r="L928" s="12">
        <v>99.69</v>
      </c>
    </row>
    <row r="929" spans="1:12" x14ac:dyDescent="0.2">
      <c r="A929" s="9">
        <v>46240</v>
      </c>
      <c r="B929" t="s">
        <v>214</v>
      </c>
      <c r="C929" t="s">
        <v>215</v>
      </c>
      <c r="D929" t="s">
        <v>46</v>
      </c>
      <c r="E929" t="s">
        <v>655</v>
      </c>
      <c r="F929" t="s">
        <v>656</v>
      </c>
      <c r="G929" s="10">
        <v>4</v>
      </c>
      <c r="H929" s="10">
        <v>558</v>
      </c>
      <c r="I929" s="10">
        <v>2232</v>
      </c>
      <c r="J929" t="s">
        <v>37</v>
      </c>
      <c r="K929" s="11">
        <v>648.20000000000005</v>
      </c>
      <c r="L929" s="12">
        <v>3.44</v>
      </c>
    </row>
    <row r="930" spans="1:12" x14ac:dyDescent="0.2">
      <c r="A930" s="9">
        <v>46240</v>
      </c>
      <c r="B930" t="s">
        <v>220</v>
      </c>
      <c r="C930" t="s">
        <v>221</v>
      </c>
      <c r="D930" t="s">
        <v>46</v>
      </c>
      <c r="E930" t="s">
        <v>647</v>
      </c>
      <c r="F930" t="s">
        <v>648</v>
      </c>
      <c r="G930" s="10">
        <v>2</v>
      </c>
      <c r="H930" s="10">
        <v>15634</v>
      </c>
      <c r="I930" s="10">
        <v>31268</v>
      </c>
      <c r="J930" t="s">
        <v>37</v>
      </c>
      <c r="K930" s="11">
        <v>648.20000000000005</v>
      </c>
      <c r="L930" s="12">
        <v>48.24</v>
      </c>
    </row>
    <row r="931" spans="1:12" x14ac:dyDescent="0.2">
      <c r="A931" s="9">
        <v>46240</v>
      </c>
      <c r="B931" t="s">
        <v>223</v>
      </c>
      <c r="C931" t="s">
        <v>224</v>
      </c>
      <c r="D931" t="s">
        <v>36</v>
      </c>
      <c r="E931" t="s">
        <v>660</v>
      </c>
      <c r="F931" t="s">
        <v>661</v>
      </c>
      <c r="G931" s="10">
        <v>25</v>
      </c>
      <c r="H931" s="10">
        <v>4324</v>
      </c>
      <c r="I931" s="10">
        <v>108100</v>
      </c>
      <c r="J931" t="s">
        <v>37</v>
      </c>
      <c r="K931" s="11">
        <v>648.20000000000005</v>
      </c>
      <c r="L931" s="12">
        <v>166.77</v>
      </c>
    </row>
    <row r="932" spans="1:12" x14ac:dyDescent="0.2">
      <c r="A932" s="9">
        <v>46240</v>
      </c>
      <c r="B932" t="s">
        <v>232</v>
      </c>
      <c r="C932" t="s">
        <v>233</v>
      </c>
      <c r="D932" t="s">
        <v>46</v>
      </c>
      <c r="E932" t="s">
        <v>660</v>
      </c>
      <c r="F932" t="s">
        <v>661</v>
      </c>
      <c r="G932" s="10">
        <v>3</v>
      </c>
      <c r="H932" s="10">
        <v>4057</v>
      </c>
      <c r="I932" s="10">
        <v>12171</v>
      </c>
      <c r="J932" t="s">
        <v>37</v>
      </c>
      <c r="K932" s="11">
        <v>648.20000000000005</v>
      </c>
      <c r="L932" s="12">
        <v>18.78</v>
      </c>
    </row>
    <row r="933" spans="1:12" x14ac:dyDescent="0.2">
      <c r="A933" s="9">
        <v>46240</v>
      </c>
      <c r="B933" t="s">
        <v>232</v>
      </c>
      <c r="C933" t="s">
        <v>233</v>
      </c>
      <c r="D933" t="s">
        <v>46</v>
      </c>
      <c r="E933" t="s">
        <v>647</v>
      </c>
      <c r="F933" t="s">
        <v>668</v>
      </c>
      <c r="G933" s="10">
        <v>5</v>
      </c>
      <c r="H933" s="10">
        <v>24465</v>
      </c>
      <c r="I933" s="10">
        <v>122325</v>
      </c>
      <c r="J933" t="s">
        <v>37</v>
      </c>
      <c r="K933" s="11">
        <v>648.20000000000005</v>
      </c>
      <c r="L933" s="12">
        <v>188.71</v>
      </c>
    </row>
    <row r="934" spans="1:12" x14ac:dyDescent="0.2">
      <c r="A934" s="9">
        <v>46240</v>
      </c>
      <c r="B934" t="s">
        <v>232</v>
      </c>
      <c r="C934" t="s">
        <v>233</v>
      </c>
      <c r="D934" t="s">
        <v>46</v>
      </c>
      <c r="E934" t="s">
        <v>647</v>
      </c>
      <c r="F934" t="s">
        <v>667</v>
      </c>
      <c r="G934" s="10">
        <v>10</v>
      </c>
      <c r="H934" s="10">
        <v>7476</v>
      </c>
      <c r="I934" s="10">
        <v>74760</v>
      </c>
      <c r="J934" t="s">
        <v>37</v>
      </c>
      <c r="K934" s="11">
        <v>648.20000000000005</v>
      </c>
      <c r="L934" s="12">
        <v>115.33</v>
      </c>
    </row>
    <row r="935" spans="1:12" x14ac:dyDescent="0.2">
      <c r="A935" s="9">
        <v>46240</v>
      </c>
      <c r="B935" t="s">
        <v>235</v>
      </c>
      <c r="C935" t="s">
        <v>236</v>
      </c>
      <c r="D935" t="s">
        <v>50</v>
      </c>
      <c r="E935" t="s">
        <v>660</v>
      </c>
      <c r="F935" t="s">
        <v>669</v>
      </c>
      <c r="G935" s="10">
        <v>29</v>
      </c>
      <c r="H935" s="10">
        <v>2666</v>
      </c>
      <c r="I935" s="10">
        <v>77314</v>
      </c>
      <c r="J935" t="s">
        <v>51</v>
      </c>
      <c r="K935" s="11">
        <v>648.20000000000005</v>
      </c>
      <c r="L935" s="12">
        <v>119.27</v>
      </c>
    </row>
    <row r="936" spans="1:12" x14ac:dyDescent="0.2">
      <c r="A936" s="9">
        <v>46240</v>
      </c>
      <c r="B936" t="s">
        <v>235</v>
      </c>
      <c r="C936" t="s">
        <v>236</v>
      </c>
      <c r="D936" t="s">
        <v>50</v>
      </c>
      <c r="E936" t="s">
        <v>660</v>
      </c>
      <c r="F936" t="s">
        <v>669</v>
      </c>
      <c r="G936" s="10">
        <v>23</v>
      </c>
      <c r="H936" s="10">
        <v>2662</v>
      </c>
      <c r="I936" s="10">
        <v>61226</v>
      </c>
      <c r="J936" t="s">
        <v>51</v>
      </c>
      <c r="K936" s="11">
        <v>648.20000000000005</v>
      </c>
      <c r="L936" s="12">
        <v>94.46</v>
      </c>
    </row>
    <row r="937" spans="1:12" x14ac:dyDescent="0.2">
      <c r="A937" s="9">
        <v>46240</v>
      </c>
      <c r="B937" t="s">
        <v>235</v>
      </c>
      <c r="C937" t="s">
        <v>236</v>
      </c>
      <c r="D937" t="s">
        <v>50</v>
      </c>
      <c r="E937" t="s">
        <v>647</v>
      </c>
      <c r="F937" t="s">
        <v>667</v>
      </c>
      <c r="G937" s="10">
        <v>12</v>
      </c>
      <c r="H937" s="10">
        <v>7593</v>
      </c>
      <c r="I937" s="10">
        <v>91116</v>
      </c>
      <c r="J937" t="s">
        <v>51</v>
      </c>
      <c r="K937" s="11">
        <v>648.20000000000005</v>
      </c>
      <c r="L937" s="12">
        <v>140.57</v>
      </c>
    </row>
    <row r="938" spans="1:12" x14ac:dyDescent="0.2">
      <c r="A938" s="9">
        <v>46240</v>
      </c>
      <c r="B938" t="s">
        <v>235</v>
      </c>
      <c r="C938" t="s">
        <v>236</v>
      </c>
      <c r="D938" t="s">
        <v>50</v>
      </c>
      <c r="E938" t="s">
        <v>651</v>
      </c>
      <c r="F938" t="s">
        <v>664</v>
      </c>
      <c r="G938" s="10">
        <v>18</v>
      </c>
      <c r="H938" s="10">
        <v>11715</v>
      </c>
      <c r="I938" s="10">
        <v>210870</v>
      </c>
      <c r="J938" t="s">
        <v>51</v>
      </c>
      <c r="K938" s="11">
        <v>648.20000000000005</v>
      </c>
      <c r="L938" s="12">
        <v>325.32</v>
      </c>
    </row>
    <row r="939" spans="1:12" x14ac:dyDescent="0.2">
      <c r="A939" s="9">
        <v>46240</v>
      </c>
      <c r="B939" t="s">
        <v>238</v>
      </c>
      <c r="C939" t="s">
        <v>239</v>
      </c>
      <c r="D939" t="s">
        <v>68</v>
      </c>
      <c r="E939" t="s">
        <v>651</v>
      </c>
      <c r="F939" t="s">
        <v>657</v>
      </c>
      <c r="G939" s="10">
        <v>10</v>
      </c>
      <c r="H939" s="10">
        <v>6217</v>
      </c>
      <c r="I939" s="10">
        <v>62170</v>
      </c>
      <c r="J939" t="s">
        <v>51</v>
      </c>
      <c r="K939" s="11">
        <v>648.20000000000005</v>
      </c>
      <c r="L939" s="12">
        <v>95.91</v>
      </c>
    </row>
    <row r="940" spans="1:12" x14ac:dyDescent="0.2">
      <c r="A940" s="9">
        <v>46240</v>
      </c>
      <c r="B940" t="s">
        <v>256</v>
      </c>
      <c r="C940" t="s">
        <v>182</v>
      </c>
      <c r="D940" t="s">
        <v>50</v>
      </c>
      <c r="E940" t="s">
        <v>653</v>
      </c>
      <c r="F940" t="s">
        <v>654</v>
      </c>
      <c r="G940" s="10">
        <v>14</v>
      </c>
      <c r="H940" s="10">
        <v>5579</v>
      </c>
      <c r="I940" s="10">
        <v>78106</v>
      </c>
      <c r="J940" t="s">
        <v>51</v>
      </c>
      <c r="K940" s="11">
        <v>648.20000000000005</v>
      </c>
      <c r="L940" s="12">
        <v>120.5</v>
      </c>
    </row>
    <row r="941" spans="1:12" x14ac:dyDescent="0.2">
      <c r="A941" s="9">
        <v>46240</v>
      </c>
      <c r="B941" t="s">
        <v>261</v>
      </c>
      <c r="C941" t="s">
        <v>262</v>
      </c>
      <c r="D941" t="s">
        <v>41</v>
      </c>
      <c r="E941" t="s">
        <v>653</v>
      </c>
      <c r="F941" t="s">
        <v>658</v>
      </c>
      <c r="G941" s="10">
        <v>19</v>
      </c>
      <c r="H941" s="10">
        <v>12730</v>
      </c>
      <c r="I941" s="10">
        <v>241870</v>
      </c>
      <c r="J941" t="s">
        <v>42</v>
      </c>
      <c r="K941" s="11">
        <v>3145.8</v>
      </c>
      <c r="L941" s="12">
        <v>76.89</v>
      </c>
    </row>
    <row r="942" spans="1:12" x14ac:dyDescent="0.2">
      <c r="A942" s="9">
        <v>46240</v>
      </c>
      <c r="B942" t="s">
        <v>267</v>
      </c>
      <c r="C942" t="s">
        <v>268</v>
      </c>
      <c r="D942" t="s">
        <v>46</v>
      </c>
      <c r="E942" t="s">
        <v>660</v>
      </c>
      <c r="F942" t="s">
        <v>669</v>
      </c>
      <c r="G942" s="10">
        <v>13</v>
      </c>
      <c r="H942" s="10">
        <v>2629</v>
      </c>
      <c r="I942" s="10">
        <v>34177</v>
      </c>
      <c r="J942" t="s">
        <v>37</v>
      </c>
      <c r="K942" s="11">
        <v>648.20000000000005</v>
      </c>
      <c r="L942" s="12">
        <v>52.73</v>
      </c>
    </row>
    <row r="943" spans="1:12" x14ac:dyDescent="0.2">
      <c r="A943" s="9">
        <v>46240</v>
      </c>
      <c r="B943" t="s">
        <v>267</v>
      </c>
      <c r="C943" t="s">
        <v>268</v>
      </c>
      <c r="D943" t="s">
        <v>46</v>
      </c>
      <c r="E943" t="s">
        <v>660</v>
      </c>
      <c r="F943" t="s">
        <v>670</v>
      </c>
      <c r="G943" s="10">
        <v>46</v>
      </c>
      <c r="H943" s="10">
        <v>15008</v>
      </c>
      <c r="I943" s="10">
        <v>690368</v>
      </c>
      <c r="J943" t="s">
        <v>37</v>
      </c>
      <c r="K943" s="11">
        <v>648.20000000000005</v>
      </c>
      <c r="L943" s="12">
        <v>1065.05</v>
      </c>
    </row>
    <row r="944" spans="1:12" x14ac:dyDescent="0.2">
      <c r="A944" s="9">
        <v>46240</v>
      </c>
      <c r="B944" t="s">
        <v>267</v>
      </c>
      <c r="C944" t="s">
        <v>268</v>
      </c>
      <c r="D944" t="s">
        <v>46</v>
      </c>
      <c r="E944" t="s">
        <v>647</v>
      </c>
      <c r="F944" t="s">
        <v>648</v>
      </c>
      <c r="G944" s="10">
        <v>55</v>
      </c>
      <c r="H944" s="10">
        <v>15867</v>
      </c>
      <c r="I944" s="10">
        <v>872685</v>
      </c>
      <c r="J944" t="s">
        <v>37</v>
      </c>
      <c r="K944" s="11">
        <v>648.20000000000005</v>
      </c>
      <c r="L944" s="12">
        <v>1346.32</v>
      </c>
    </row>
    <row r="945" spans="1:12" x14ac:dyDescent="0.2">
      <c r="A945" s="9">
        <v>46240</v>
      </c>
      <c r="B945" t="s">
        <v>267</v>
      </c>
      <c r="C945" t="s">
        <v>268</v>
      </c>
      <c r="D945" t="s">
        <v>46</v>
      </c>
      <c r="E945" t="s">
        <v>651</v>
      </c>
      <c r="F945" t="s">
        <v>657</v>
      </c>
      <c r="G945" s="10">
        <v>14</v>
      </c>
      <c r="H945" s="10">
        <v>6241</v>
      </c>
      <c r="I945" s="10">
        <v>87374</v>
      </c>
      <c r="J945" t="s">
        <v>37</v>
      </c>
      <c r="K945" s="11">
        <v>648.20000000000005</v>
      </c>
      <c r="L945" s="12">
        <v>134.79</v>
      </c>
    </row>
    <row r="946" spans="1:12" x14ac:dyDescent="0.2">
      <c r="A946" s="9">
        <v>46240</v>
      </c>
      <c r="B946" t="s">
        <v>270</v>
      </c>
      <c r="C946" t="s">
        <v>271</v>
      </c>
      <c r="D946" t="s">
        <v>75</v>
      </c>
      <c r="E946" t="s">
        <v>653</v>
      </c>
      <c r="F946" t="s">
        <v>658</v>
      </c>
      <c r="G946" s="10">
        <v>65</v>
      </c>
      <c r="H946" s="10">
        <v>13703</v>
      </c>
      <c r="I946" s="10">
        <v>890695</v>
      </c>
      <c r="J946" t="s">
        <v>42</v>
      </c>
      <c r="K946" s="11">
        <v>3145.8</v>
      </c>
      <c r="L946" s="12">
        <v>283.14</v>
      </c>
    </row>
    <row r="947" spans="1:12" x14ac:dyDescent="0.2">
      <c r="A947" s="9">
        <v>46240</v>
      </c>
      <c r="B947" t="s">
        <v>270</v>
      </c>
      <c r="C947" t="s">
        <v>271</v>
      </c>
      <c r="D947" t="s">
        <v>75</v>
      </c>
      <c r="E947" t="s">
        <v>653</v>
      </c>
      <c r="F947" t="s">
        <v>666</v>
      </c>
      <c r="G947" s="10">
        <v>16</v>
      </c>
      <c r="H947" s="10">
        <v>7577</v>
      </c>
      <c r="I947" s="10">
        <v>121232</v>
      </c>
      <c r="J947" t="s">
        <v>42</v>
      </c>
      <c r="K947" s="11">
        <v>3145.8</v>
      </c>
      <c r="L947" s="12">
        <v>38.54</v>
      </c>
    </row>
    <row r="948" spans="1:12" x14ac:dyDescent="0.2">
      <c r="A948" s="9">
        <v>46240</v>
      </c>
      <c r="B948" t="s">
        <v>270</v>
      </c>
      <c r="C948" t="s">
        <v>271</v>
      </c>
      <c r="D948" t="s">
        <v>75</v>
      </c>
      <c r="E948" t="s">
        <v>647</v>
      </c>
      <c r="F948" t="s">
        <v>668</v>
      </c>
      <c r="G948" s="10">
        <v>9</v>
      </c>
      <c r="H948" s="10">
        <v>126171</v>
      </c>
      <c r="I948" s="10">
        <v>1135539</v>
      </c>
      <c r="J948" t="s">
        <v>42</v>
      </c>
      <c r="K948" s="11">
        <v>3145.8</v>
      </c>
      <c r="L948" s="12">
        <v>360.97</v>
      </c>
    </row>
    <row r="949" spans="1:12" x14ac:dyDescent="0.2">
      <c r="A949" s="9">
        <v>46240</v>
      </c>
      <c r="B949" t="s">
        <v>270</v>
      </c>
      <c r="C949" t="s">
        <v>271</v>
      </c>
      <c r="D949" t="s">
        <v>75</v>
      </c>
      <c r="E949" t="s">
        <v>647</v>
      </c>
      <c r="F949" t="s">
        <v>667</v>
      </c>
      <c r="G949" s="10">
        <v>28</v>
      </c>
      <c r="H949" s="10">
        <v>35574</v>
      </c>
      <c r="I949" s="10">
        <v>996072</v>
      </c>
      <c r="J949" t="s">
        <v>42</v>
      </c>
      <c r="K949" s="11">
        <v>3145.8</v>
      </c>
      <c r="L949" s="12">
        <v>316.64</v>
      </c>
    </row>
    <row r="950" spans="1:12" x14ac:dyDescent="0.2">
      <c r="A950" s="9">
        <v>46240</v>
      </c>
      <c r="B950" t="s">
        <v>279</v>
      </c>
      <c r="C950" t="s">
        <v>280</v>
      </c>
      <c r="D950" t="s">
        <v>68</v>
      </c>
      <c r="E950" t="s">
        <v>660</v>
      </c>
      <c r="F950" t="s">
        <v>661</v>
      </c>
      <c r="G950" s="10">
        <v>35</v>
      </c>
      <c r="H950" s="10">
        <v>4075</v>
      </c>
      <c r="I950" s="10">
        <v>142625</v>
      </c>
      <c r="J950" t="s">
        <v>51</v>
      </c>
      <c r="K950" s="11">
        <v>648.20000000000005</v>
      </c>
      <c r="L950" s="12">
        <v>220.03</v>
      </c>
    </row>
    <row r="951" spans="1:12" x14ac:dyDescent="0.2">
      <c r="A951" s="9">
        <v>46240</v>
      </c>
      <c r="B951" t="s">
        <v>279</v>
      </c>
      <c r="C951" t="s">
        <v>280</v>
      </c>
      <c r="D951" t="s">
        <v>68</v>
      </c>
      <c r="E951" t="s">
        <v>647</v>
      </c>
      <c r="F951" t="s">
        <v>648</v>
      </c>
      <c r="G951" s="10">
        <v>18</v>
      </c>
      <c r="H951" s="10">
        <v>16580</v>
      </c>
      <c r="I951" s="10">
        <v>298440</v>
      </c>
      <c r="J951" t="s">
        <v>51</v>
      </c>
      <c r="K951" s="11">
        <v>648.20000000000005</v>
      </c>
      <c r="L951" s="12">
        <v>460.41</v>
      </c>
    </row>
    <row r="952" spans="1:12" x14ac:dyDescent="0.2">
      <c r="A952" s="9">
        <v>46240</v>
      </c>
      <c r="B952" t="s">
        <v>279</v>
      </c>
      <c r="C952" t="s">
        <v>280</v>
      </c>
      <c r="D952" t="s">
        <v>68</v>
      </c>
      <c r="E952" t="s">
        <v>647</v>
      </c>
      <c r="F952" t="s">
        <v>648</v>
      </c>
      <c r="G952" s="10">
        <v>7</v>
      </c>
      <c r="H952" s="10">
        <v>16259</v>
      </c>
      <c r="I952" s="10">
        <v>113813</v>
      </c>
      <c r="J952" t="s">
        <v>51</v>
      </c>
      <c r="K952" s="11">
        <v>648.20000000000005</v>
      </c>
      <c r="L952" s="12">
        <v>175.58</v>
      </c>
    </row>
    <row r="953" spans="1:12" x14ac:dyDescent="0.2">
      <c r="A953" s="9">
        <v>46240</v>
      </c>
      <c r="B953" t="s">
        <v>279</v>
      </c>
      <c r="C953" t="s">
        <v>280</v>
      </c>
      <c r="D953" t="s">
        <v>68</v>
      </c>
      <c r="E953" t="s">
        <v>647</v>
      </c>
      <c r="F953" t="s">
        <v>667</v>
      </c>
      <c r="G953" s="10">
        <v>27</v>
      </c>
      <c r="H953" s="10">
        <v>7222</v>
      </c>
      <c r="I953" s="10">
        <v>194994</v>
      </c>
      <c r="J953" t="s">
        <v>51</v>
      </c>
      <c r="K953" s="11">
        <v>648.20000000000005</v>
      </c>
      <c r="L953" s="12">
        <v>300.82</v>
      </c>
    </row>
    <row r="954" spans="1:12" x14ac:dyDescent="0.2">
      <c r="A954" s="9">
        <v>46240</v>
      </c>
      <c r="B954" t="s">
        <v>279</v>
      </c>
      <c r="C954" t="s">
        <v>280</v>
      </c>
      <c r="D954" t="s">
        <v>68</v>
      </c>
      <c r="E954" t="s">
        <v>655</v>
      </c>
      <c r="F954" t="s">
        <v>656</v>
      </c>
      <c r="G954" s="10">
        <v>23</v>
      </c>
      <c r="H954" s="10">
        <v>589</v>
      </c>
      <c r="I954" s="10">
        <v>13547</v>
      </c>
      <c r="J954" t="s">
        <v>51</v>
      </c>
      <c r="K954" s="11">
        <v>648.20000000000005</v>
      </c>
      <c r="L954" s="12">
        <v>20.9</v>
      </c>
    </row>
    <row r="955" spans="1:12" x14ac:dyDescent="0.2">
      <c r="A955" s="9">
        <v>46240</v>
      </c>
      <c r="B955" t="s">
        <v>294</v>
      </c>
      <c r="C955" t="s">
        <v>295</v>
      </c>
      <c r="D955" t="s">
        <v>41</v>
      </c>
      <c r="E955" t="s">
        <v>649</v>
      </c>
      <c r="F955" t="s">
        <v>663</v>
      </c>
      <c r="G955" s="10">
        <v>6</v>
      </c>
      <c r="H955" s="10">
        <v>9725</v>
      </c>
      <c r="I955" s="10">
        <v>58350</v>
      </c>
      <c r="J955" t="s">
        <v>42</v>
      </c>
      <c r="K955" s="11">
        <v>3145.8</v>
      </c>
      <c r="L955" s="12">
        <v>18.55</v>
      </c>
    </row>
    <row r="956" spans="1:12" x14ac:dyDescent="0.2">
      <c r="A956" s="9">
        <v>46240</v>
      </c>
      <c r="B956" t="s">
        <v>297</v>
      </c>
      <c r="C956" t="s">
        <v>298</v>
      </c>
      <c r="D956" t="s">
        <v>36</v>
      </c>
      <c r="E956" t="s">
        <v>649</v>
      </c>
      <c r="F956" t="s">
        <v>663</v>
      </c>
      <c r="G956" s="10">
        <v>7</v>
      </c>
      <c r="H956" s="10">
        <v>2078</v>
      </c>
      <c r="I956" s="10">
        <v>14546</v>
      </c>
      <c r="J956" t="s">
        <v>37</v>
      </c>
      <c r="K956" s="11">
        <v>648.20000000000005</v>
      </c>
      <c r="L956" s="12">
        <v>22.44</v>
      </c>
    </row>
    <row r="957" spans="1:12" x14ac:dyDescent="0.2">
      <c r="A957" s="9">
        <v>46240</v>
      </c>
      <c r="B957" t="s">
        <v>297</v>
      </c>
      <c r="C957" t="s">
        <v>298</v>
      </c>
      <c r="D957" t="s">
        <v>36</v>
      </c>
      <c r="E957" t="s">
        <v>653</v>
      </c>
      <c r="F957" t="s">
        <v>654</v>
      </c>
      <c r="G957" s="10">
        <v>17</v>
      </c>
      <c r="H957" s="10">
        <v>5700</v>
      </c>
      <c r="I957" s="10">
        <v>96900</v>
      </c>
      <c r="J957" t="s">
        <v>37</v>
      </c>
      <c r="K957" s="11">
        <v>648.20000000000005</v>
      </c>
      <c r="L957" s="12">
        <v>149.49</v>
      </c>
    </row>
    <row r="958" spans="1:12" x14ac:dyDescent="0.2">
      <c r="A958" s="9">
        <v>46240</v>
      </c>
      <c r="B958" t="s">
        <v>300</v>
      </c>
      <c r="C958" t="s">
        <v>301</v>
      </c>
      <c r="D958" t="s">
        <v>41</v>
      </c>
      <c r="E958" t="s">
        <v>655</v>
      </c>
      <c r="F958" t="s">
        <v>656</v>
      </c>
      <c r="G958" s="10">
        <v>12</v>
      </c>
      <c r="H958" s="10">
        <v>2844</v>
      </c>
      <c r="I958" s="10">
        <v>34128</v>
      </c>
      <c r="J958" t="s">
        <v>42</v>
      </c>
      <c r="K958" s="11">
        <v>3145.8</v>
      </c>
      <c r="L958" s="12">
        <v>10.85</v>
      </c>
    </row>
    <row r="959" spans="1:12" x14ac:dyDescent="0.2">
      <c r="A959" s="9">
        <v>46240</v>
      </c>
      <c r="B959" t="s">
        <v>306</v>
      </c>
      <c r="C959" t="s">
        <v>307</v>
      </c>
      <c r="D959" t="s">
        <v>36</v>
      </c>
      <c r="E959" t="s">
        <v>647</v>
      </c>
      <c r="F959" t="s">
        <v>648</v>
      </c>
      <c r="G959" s="10">
        <v>2</v>
      </c>
      <c r="H959" s="10">
        <v>16838</v>
      </c>
      <c r="I959" s="10">
        <v>33676</v>
      </c>
      <c r="J959" t="s">
        <v>37</v>
      </c>
      <c r="K959" s="11">
        <v>648.20000000000005</v>
      </c>
      <c r="L959" s="12">
        <v>51.95</v>
      </c>
    </row>
    <row r="960" spans="1:12" x14ac:dyDescent="0.2">
      <c r="A960" s="9">
        <v>46240</v>
      </c>
      <c r="B960" t="s">
        <v>309</v>
      </c>
      <c r="C960" t="s">
        <v>310</v>
      </c>
      <c r="D960" t="s">
        <v>41</v>
      </c>
      <c r="E960" t="s">
        <v>647</v>
      </c>
      <c r="F960" t="s">
        <v>667</v>
      </c>
      <c r="G960" s="10">
        <v>8</v>
      </c>
      <c r="H960" s="10">
        <v>36910</v>
      </c>
      <c r="I960" s="10">
        <v>295280</v>
      </c>
      <c r="J960" t="s">
        <v>42</v>
      </c>
      <c r="K960" s="11">
        <v>3145.8</v>
      </c>
      <c r="L960" s="12">
        <v>93.86</v>
      </c>
    </row>
    <row r="961" spans="1:12" x14ac:dyDescent="0.2">
      <c r="A961" s="9">
        <v>46240</v>
      </c>
      <c r="B961" t="s">
        <v>315</v>
      </c>
      <c r="C961" t="s">
        <v>316</v>
      </c>
      <c r="D961" t="s">
        <v>46</v>
      </c>
      <c r="E961" t="s">
        <v>649</v>
      </c>
      <c r="F961" t="s">
        <v>663</v>
      </c>
      <c r="G961" s="10">
        <v>71</v>
      </c>
      <c r="H961" s="10">
        <v>2045</v>
      </c>
      <c r="I961" s="10">
        <v>145195</v>
      </c>
      <c r="J961" t="s">
        <v>37</v>
      </c>
      <c r="K961" s="11">
        <v>648.20000000000005</v>
      </c>
      <c r="L961" s="12">
        <v>224</v>
      </c>
    </row>
    <row r="962" spans="1:12" x14ac:dyDescent="0.2">
      <c r="A962" s="9">
        <v>46240</v>
      </c>
      <c r="B962" t="s">
        <v>318</v>
      </c>
      <c r="C962" t="s">
        <v>319</v>
      </c>
      <c r="D962" t="s">
        <v>41</v>
      </c>
      <c r="E962" t="s">
        <v>660</v>
      </c>
      <c r="F962" t="s">
        <v>661</v>
      </c>
      <c r="G962" s="10">
        <v>30</v>
      </c>
      <c r="H962" s="10">
        <v>20686</v>
      </c>
      <c r="I962" s="10">
        <v>620580</v>
      </c>
      <c r="J962" t="s">
        <v>42</v>
      </c>
      <c r="K962" s="11">
        <v>3145.8</v>
      </c>
      <c r="L962" s="12">
        <v>197.27</v>
      </c>
    </row>
    <row r="963" spans="1:12" x14ac:dyDescent="0.2">
      <c r="A963" s="9">
        <v>46240</v>
      </c>
      <c r="B963" t="s">
        <v>318</v>
      </c>
      <c r="C963" t="s">
        <v>319</v>
      </c>
      <c r="D963" t="s">
        <v>41</v>
      </c>
      <c r="E963" t="s">
        <v>647</v>
      </c>
      <c r="F963" t="s">
        <v>648</v>
      </c>
      <c r="G963" s="10">
        <v>22</v>
      </c>
      <c r="H963" s="10">
        <v>81112</v>
      </c>
      <c r="I963" s="10">
        <v>1784464</v>
      </c>
      <c r="J963" t="s">
        <v>42</v>
      </c>
      <c r="K963" s="11">
        <v>3145.8</v>
      </c>
      <c r="L963" s="12">
        <v>567.25</v>
      </c>
    </row>
    <row r="964" spans="1:12" x14ac:dyDescent="0.2">
      <c r="A964" s="9">
        <v>46240</v>
      </c>
      <c r="B964" t="s">
        <v>324</v>
      </c>
      <c r="C964" t="s">
        <v>325</v>
      </c>
      <c r="D964" t="s">
        <v>46</v>
      </c>
      <c r="E964" t="s">
        <v>649</v>
      </c>
      <c r="F964" t="s">
        <v>663</v>
      </c>
      <c r="G964" s="10">
        <v>6</v>
      </c>
      <c r="H964" s="10">
        <v>2040</v>
      </c>
      <c r="I964" s="10">
        <v>12240</v>
      </c>
      <c r="J964" t="s">
        <v>37</v>
      </c>
      <c r="K964" s="11">
        <v>648.20000000000005</v>
      </c>
      <c r="L964" s="12">
        <v>18.88</v>
      </c>
    </row>
    <row r="965" spans="1:12" x14ac:dyDescent="0.2">
      <c r="A965" s="9">
        <v>46240</v>
      </c>
      <c r="B965" t="s">
        <v>333</v>
      </c>
      <c r="C965" t="s">
        <v>334</v>
      </c>
      <c r="D965" t="s">
        <v>68</v>
      </c>
      <c r="E965" t="s">
        <v>660</v>
      </c>
      <c r="F965" t="s">
        <v>661</v>
      </c>
      <c r="G965" s="10">
        <v>3</v>
      </c>
      <c r="H965" s="10">
        <v>4336</v>
      </c>
      <c r="I965" s="10">
        <v>13008</v>
      </c>
      <c r="J965" t="s">
        <v>51</v>
      </c>
      <c r="K965" s="11">
        <v>648.20000000000005</v>
      </c>
      <c r="L965" s="12">
        <v>20.07</v>
      </c>
    </row>
    <row r="966" spans="1:12" x14ac:dyDescent="0.2">
      <c r="A966" s="9">
        <v>46240</v>
      </c>
      <c r="B966" t="s">
        <v>336</v>
      </c>
      <c r="C966" t="s">
        <v>337</v>
      </c>
      <c r="D966" t="s">
        <v>68</v>
      </c>
      <c r="E966" t="s">
        <v>647</v>
      </c>
      <c r="F966" t="s">
        <v>668</v>
      </c>
      <c r="G966" s="10">
        <v>10</v>
      </c>
      <c r="H966" s="10">
        <v>24455</v>
      </c>
      <c r="I966" s="10">
        <v>244550</v>
      </c>
      <c r="J966" t="s">
        <v>51</v>
      </c>
      <c r="K966" s="11">
        <v>648.20000000000005</v>
      </c>
      <c r="L966" s="12">
        <v>377.28</v>
      </c>
    </row>
    <row r="967" spans="1:12" x14ac:dyDescent="0.2">
      <c r="A967" s="9">
        <v>46240</v>
      </c>
      <c r="B967" t="s">
        <v>339</v>
      </c>
      <c r="C967" t="s">
        <v>340</v>
      </c>
      <c r="D967" t="s">
        <v>68</v>
      </c>
      <c r="E967" t="s">
        <v>647</v>
      </c>
      <c r="F967" t="s">
        <v>667</v>
      </c>
      <c r="G967" s="10">
        <v>8</v>
      </c>
      <c r="H967" s="10">
        <v>7194</v>
      </c>
      <c r="I967" s="10">
        <v>57552</v>
      </c>
      <c r="J967" t="s">
        <v>51</v>
      </c>
      <c r="K967" s="11">
        <v>648.20000000000005</v>
      </c>
      <c r="L967" s="12">
        <v>88.79</v>
      </c>
    </row>
    <row r="968" spans="1:12" x14ac:dyDescent="0.2">
      <c r="A968" s="9">
        <v>46240</v>
      </c>
      <c r="B968" t="s">
        <v>339</v>
      </c>
      <c r="C968" t="s">
        <v>340</v>
      </c>
      <c r="D968" t="s">
        <v>68</v>
      </c>
      <c r="E968" t="s">
        <v>647</v>
      </c>
      <c r="F968" t="s">
        <v>667</v>
      </c>
      <c r="G968" s="10">
        <v>31</v>
      </c>
      <c r="H968" s="10">
        <v>7075</v>
      </c>
      <c r="I968" s="10">
        <v>219325</v>
      </c>
      <c r="J968" t="s">
        <v>51</v>
      </c>
      <c r="K968" s="11">
        <v>648.20000000000005</v>
      </c>
      <c r="L968" s="12">
        <v>338.36</v>
      </c>
    </row>
    <row r="969" spans="1:12" x14ac:dyDescent="0.2">
      <c r="A969" s="9">
        <v>46240</v>
      </c>
      <c r="B969" t="s">
        <v>342</v>
      </c>
      <c r="C969" t="s">
        <v>343</v>
      </c>
      <c r="D969" t="s">
        <v>41</v>
      </c>
      <c r="E969" t="s">
        <v>651</v>
      </c>
      <c r="F969" t="s">
        <v>652</v>
      </c>
      <c r="G969" s="10">
        <v>39</v>
      </c>
      <c r="H969" s="10">
        <v>45294</v>
      </c>
      <c r="I969" s="10">
        <v>1766466</v>
      </c>
      <c r="J969" t="s">
        <v>42</v>
      </c>
      <c r="K969" s="11">
        <v>3145.8</v>
      </c>
      <c r="L969" s="12">
        <v>561.53</v>
      </c>
    </row>
    <row r="970" spans="1:12" x14ac:dyDescent="0.2">
      <c r="A970" s="9">
        <v>46240</v>
      </c>
      <c r="B970" t="s">
        <v>345</v>
      </c>
      <c r="C970" t="s">
        <v>346</v>
      </c>
      <c r="D970" t="s">
        <v>68</v>
      </c>
      <c r="E970" t="s">
        <v>649</v>
      </c>
      <c r="F970" t="s">
        <v>650</v>
      </c>
      <c r="G970" s="10">
        <v>3</v>
      </c>
      <c r="H970" s="10">
        <v>19436</v>
      </c>
      <c r="I970" s="10">
        <v>58308</v>
      </c>
      <c r="J970" t="s">
        <v>51</v>
      </c>
      <c r="K970" s="11">
        <v>648.20000000000005</v>
      </c>
      <c r="L970" s="12">
        <v>89.95</v>
      </c>
    </row>
    <row r="971" spans="1:12" x14ac:dyDescent="0.2">
      <c r="A971" s="9">
        <v>46240</v>
      </c>
      <c r="B971" t="s">
        <v>345</v>
      </c>
      <c r="C971" t="s">
        <v>346</v>
      </c>
      <c r="D971" t="s">
        <v>68</v>
      </c>
      <c r="E971" t="s">
        <v>660</v>
      </c>
      <c r="F971" t="s">
        <v>670</v>
      </c>
      <c r="G971" s="10">
        <v>1</v>
      </c>
      <c r="H971" s="10">
        <v>15008</v>
      </c>
      <c r="I971" s="10">
        <v>15008</v>
      </c>
      <c r="J971" t="s">
        <v>51</v>
      </c>
      <c r="K971" s="11">
        <v>648.20000000000005</v>
      </c>
      <c r="L971" s="12">
        <v>23.15</v>
      </c>
    </row>
    <row r="972" spans="1:12" x14ac:dyDescent="0.2">
      <c r="A972" s="9">
        <v>46240</v>
      </c>
      <c r="B972" t="s">
        <v>351</v>
      </c>
      <c r="C972" t="s">
        <v>352</v>
      </c>
      <c r="D972" t="s">
        <v>41</v>
      </c>
      <c r="E972" t="s">
        <v>655</v>
      </c>
      <c r="F972" t="s">
        <v>665</v>
      </c>
      <c r="G972" s="10">
        <v>1</v>
      </c>
      <c r="H972" s="10">
        <v>3331</v>
      </c>
      <c r="I972" s="10">
        <v>3331</v>
      </c>
      <c r="J972" t="s">
        <v>42</v>
      </c>
      <c r="K972" s="11">
        <v>3145.8</v>
      </c>
      <c r="L972" s="12">
        <v>1.06</v>
      </c>
    </row>
    <row r="973" spans="1:12" x14ac:dyDescent="0.2">
      <c r="A973" s="9">
        <v>46240</v>
      </c>
      <c r="B973" t="s">
        <v>357</v>
      </c>
      <c r="C973" t="s">
        <v>358</v>
      </c>
      <c r="D973" t="s">
        <v>36</v>
      </c>
      <c r="E973" t="s">
        <v>647</v>
      </c>
      <c r="F973" t="s">
        <v>668</v>
      </c>
      <c r="G973" s="10">
        <v>51</v>
      </c>
      <c r="H973" s="10">
        <v>26054</v>
      </c>
      <c r="I973" s="10">
        <v>1328754</v>
      </c>
      <c r="J973" t="s">
        <v>37</v>
      </c>
      <c r="K973" s="11">
        <v>648.20000000000005</v>
      </c>
      <c r="L973" s="12">
        <v>2049.91</v>
      </c>
    </row>
    <row r="974" spans="1:12" x14ac:dyDescent="0.2">
      <c r="A974" s="9">
        <v>46240</v>
      </c>
      <c r="B974" t="s">
        <v>357</v>
      </c>
      <c r="C974" t="s">
        <v>358</v>
      </c>
      <c r="D974" t="s">
        <v>36</v>
      </c>
      <c r="E974" t="s">
        <v>647</v>
      </c>
      <c r="F974" t="s">
        <v>667</v>
      </c>
      <c r="G974" s="10">
        <v>38</v>
      </c>
      <c r="H974" s="10">
        <v>7180</v>
      </c>
      <c r="I974" s="10">
        <v>272840</v>
      </c>
      <c r="J974" t="s">
        <v>37</v>
      </c>
      <c r="K974" s="11">
        <v>648.20000000000005</v>
      </c>
      <c r="L974" s="12">
        <v>420.92</v>
      </c>
    </row>
    <row r="975" spans="1:12" x14ac:dyDescent="0.2">
      <c r="A975" s="9">
        <v>46240</v>
      </c>
      <c r="B975" t="s">
        <v>357</v>
      </c>
      <c r="C975" t="s">
        <v>358</v>
      </c>
      <c r="D975" t="s">
        <v>36</v>
      </c>
      <c r="E975" t="s">
        <v>655</v>
      </c>
      <c r="F975" t="s">
        <v>665</v>
      </c>
      <c r="G975" s="10">
        <v>100</v>
      </c>
      <c r="H975" s="10">
        <v>698</v>
      </c>
      <c r="I975" s="10">
        <v>69800</v>
      </c>
      <c r="J975" t="s">
        <v>37</v>
      </c>
      <c r="K975" s="11">
        <v>648.20000000000005</v>
      </c>
      <c r="L975" s="12">
        <v>107.68</v>
      </c>
    </row>
    <row r="976" spans="1:12" x14ac:dyDescent="0.2">
      <c r="A976" s="9">
        <v>46240</v>
      </c>
      <c r="B976" t="s">
        <v>363</v>
      </c>
      <c r="C976" t="s">
        <v>364</v>
      </c>
      <c r="D976" t="s">
        <v>46</v>
      </c>
      <c r="E976" t="s">
        <v>653</v>
      </c>
      <c r="F976" t="s">
        <v>666</v>
      </c>
      <c r="G976" s="10">
        <v>185</v>
      </c>
      <c r="H976" s="10">
        <v>1499</v>
      </c>
      <c r="I976" s="10">
        <v>277315</v>
      </c>
      <c r="J976" t="s">
        <v>37</v>
      </c>
      <c r="K976" s="11">
        <v>648.20000000000005</v>
      </c>
      <c r="L976" s="12">
        <v>427.82</v>
      </c>
    </row>
    <row r="977" spans="1:12" x14ac:dyDescent="0.2">
      <c r="A977" s="9">
        <v>46240</v>
      </c>
      <c r="B977" t="s">
        <v>363</v>
      </c>
      <c r="C977" t="s">
        <v>364</v>
      </c>
      <c r="D977" t="s">
        <v>46</v>
      </c>
      <c r="E977" t="s">
        <v>655</v>
      </c>
      <c r="F977" t="s">
        <v>665</v>
      </c>
      <c r="G977" s="10">
        <v>7</v>
      </c>
      <c r="H977" s="10">
        <v>701</v>
      </c>
      <c r="I977" s="10">
        <v>4907</v>
      </c>
      <c r="J977" t="s">
        <v>37</v>
      </c>
      <c r="K977" s="11">
        <v>648.20000000000005</v>
      </c>
      <c r="L977" s="12">
        <v>7.57</v>
      </c>
    </row>
    <row r="978" spans="1:12" x14ac:dyDescent="0.2">
      <c r="A978" s="9">
        <v>46240</v>
      </c>
      <c r="B978" t="s">
        <v>369</v>
      </c>
      <c r="C978" t="s">
        <v>370</v>
      </c>
      <c r="D978" t="s">
        <v>36</v>
      </c>
      <c r="E978" t="s">
        <v>655</v>
      </c>
      <c r="F978" t="s">
        <v>662</v>
      </c>
      <c r="G978" s="10">
        <v>15</v>
      </c>
      <c r="H978" s="10">
        <v>1124</v>
      </c>
      <c r="I978" s="10">
        <v>16860</v>
      </c>
      <c r="J978" t="s">
        <v>37</v>
      </c>
      <c r="K978" s="11">
        <v>648.20000000000005</v>
      </c>
      <c r="L978" s="12">
        <v>26.01</v>
      </c>
    </row>
    <row r="979" spans="1:12" x14ac:dyDescent="0.2">
      <c r="A979" s="9">
        <v>46240</v>
      </c>
      <c r="B979" t="s">
        <v>372</v>
      </c>
      <c r="C979" t="s">
        <v>373</v>
      </c>
      <c r="D979" t="s">
        <v>75</v>
      </c>
      <c r="E979" t="s">
        <v>653</v>
      </c>
      <c r="F979" t="s">
        <v>658</v>
      </c>
      <c r="G979" s="10">
        <v>36</v>
      </c>
      <c r="H979" s="10">
        <v>13485</v>
      </c>
      <c r="I979" s="10">
        <v>485460</v>
      </c>
      <c r="J979" t="s">
        <v>42</v>
      </c>
      <c r="K979" s="11">
        <v>3145.8</v>
      </c>
      <c r="L979" s="12">
        <v>154.32</v>
      </c>
    </row>
    <row r="980" spans="1:12" x14ac:dyDescent="0.2">
      <c r="A980" s="9">
        <v>46240</v>
      </c>
      <c r="B980" t="s">
        <v>375</v>
      </c>
      <c r="C980" t="s">
        <v>376</v>
      </c>
      <c r="D980" t="s">
        <v>36</v>
      </c>
      <c r="E980" t="s">
        <v>651</v>
      </c>
      <c r="F980" t="s">
        <v>652</v>
      </c>
      <c r="G980" s="10">
        <v>4</v>
      </c>
      <c r="H980" s="10">
        <v>9312</v>
      </c>
      <c r="I980" s="10">
        <v>37248</v>
      </c>
      <c r="J980" t="s">
        <v>37</v>
      </c>
      <c r="K980" s="11">
        <v>648.20000000000005</v>
      </c>
      <c r="L980" s="12">
        <v>57.46</v>
      </c>
    </row>
    <row r="981" spans="1:12" x14ac:dyDescent="0.2">
      <c r="A981" s="9">
        <v>46240</v>
      </c>
      <c r="B981" t="s">
        <v>375</v>
      </c>
      <c r="C981" t="s">
        <v>376</v>
      </c>
      <c r="D981" t="s">
        <v>36</v>
      </c>
      <c r="E981" t="s">
        <v>649</v>
      </c>
      <c r="F981" t="s">
        <v>659</v>
      </c>
      <c r="G981" s="10">
        <v>13</v>
      </c>
      <c r="H981" s="10">
        <v>8897</v>
      </c>
      <c r="I981" s="10">
        <v>115661</v>
      </c>
      <c r="J981" t="s">
        <v>37</v>
      </c>
      <c r="K981" s="11">
        <v>648.20000000000005</v>
      </c>
      <c r="L981" s="12">
        <v>178.43</v>
      </c>
    </row>
    <row r="982" spans="1:12" x14ac:dyDescent="0.2">
      <c r="A982" s="9">
        <v>46240</v>
      </c>
      <c r="B982" t="s">
        <v>375</v>
      </c>
      <c r="C982" t="s">
        <v>376</v>
      </c>
      <c r="D982" t="s">
        <v>36</v>
      </c>
      <c r="E982" t="s">
        <v>653</v>
      </c>
      <c r="F982" t="s">
        <v>654</v>
      </c>
      <c r="G982" s="10">
        <v>10</v>
      </c>
      <c r="H982" s="10">
        <v>5778</v>
      </c>
      <c r="I982" s="10">
        <v>57780</v>
      </c>
      <c r="J982" t="s">
        <v>37</v>
      </c>
      <c r="K982" s="11">
        <v>648.20000000000005</v>
      </c>
      <c r="L982" s="12">
        <v>89.14</v>
      </c>
    </row>
    <row r="983" spans="1:12" x14ac:dyDescent="0.2">
      <c r="A983" s="9">
        <v>46240</v>
      </c>
      <c r="B983" t="s">
        <v>375</v>
      </c>
      <c r="C983" t="s">
        <v>376</v>
      </c>
      <c r="D983" t="s">
        <v>36</v>
      </c>
      <c r="E983" t="s">
        <v>653</v>
      </c>
      <c r="F983" t="s">
        <v>654</v>
      </c>
      <c r="G983" s="10">
        <v>12</v>
      </c>
      <c r="H983" s="10">
        <v>5915</v>
      </c>
      <c r="I983" s="10">
        <v>70980</v>
      </c>
      <c r="J983" t="s">
        <v>37</v>
      </c>
      <c r="K983" s="11">
        <v>648.20000000000005</v>
      </c>
      <c r="L983" s="12">
        <v>109.5</v>
      </c>
    </row>
    <row r="984" spans="1:12" x14ac:dyDescent="0.2">
      <c r="A984" s="9">
        <v>46240</v>
      </c>
      <c r="B984" t="s">
        <v>378</v>
      </c>
      <c r="C984" t="s">
        <v>379</v>
      </c>
      <c r="D984" t="s">
        <v>50</v>
      </c>
      <c r="E984" t="s">
        <v>653</v>
      </c>
      <c r="F984" t="s">
        <v>666</v>
      </c>
      <c r="G984" s="10">
        <v>6</v>
      </c>
      <c r="H984" s="10">
        <v>1494</v>
      </c>
      <c r="I984" s="10">
        <v>8964</v>
      </c>
      <c r="J984" t="s">
        <v>51</v>
      </c>
      <c r="K984" s="11">
        <v>648.20000000000005</v>
      </c>
      <c r="L984" s="12">
        <v>13.83</v>
      </c>
    </row>
    <row r="985" spans="1:12" x14ac:dyDescent="0.2">
      <c r="A985" s="9">
        <v>46240</v>
      </c>
      <c r="B985" t="s">
        <v>384</v>
      </c>
      <c r="C985" t="s">
        <v>385</v>
      </c>
      <c r="D985" t="s">
        <v>46</v>
      </c>
      <c r="E985" t="s">
        <v>653</v>
      </c>
      <c r="F985" t="s">
        <v>658</v>
      </c>
      <c r="G985" s="10">
        <v>13</v>
      </c>
      <c r="H985" s="10">
        <v>2736</v>
      </c>
      <c r="I985" s="10">
        <v>35568</v>
      </c>
      <c r="J985" t="s">
        <v>37</v>
      </c>
      <c r="K985" s="11">
        <v>648.20000000000005</v>
      </c>
      <c r="L985" s="12">
        <v>54.87</v>
      </c>
    </row>
    <row r="986" spans="1:12" x14ac:dyDescent="0.2">
      <c r="A986" s="9">
        <v>46240</v>
      </c>
      <c r="B986" t="s">
        <v>393</v>
      </c>
      <c r="C986" t="s">
        <v>307</v>
      </c>
      <c r="D986" t="s">
        <v>68</v>
      </c>
      <c r="E986" t="s">
        <v>660</v>
      </c>
      <c r="F986" t="s">
        <v>669</v>
      </c>
      <c r="G986" s="10">
        <v>133</v>
      </c>
      <c r="H986" s="10">
        <v>2608</v>
      </c>
      <c r="I986" s="10">
        <v>346864</v>
      </c>
      <c r="J986" t="s">
        <v>51</v>
      </c>
      <c r="K986" s="11">
        <v>648.20000000000005</v>
      </c>
      <c r="L986" s="12">
        <v>535.12</v>
      </c>
    </row>
    <row r="987" spans="1:12" x14ac:dyDescent="0.2">
      <c r="A987" s="9">
        <v>46240</v>
      </c>
      <c r="B987" t="s">
        <v>393</v>
      </c>
      <c r="C987" t="s">
        <v>307</v>
      </c>
      <c r="D987" t="s">
        <v>68</v>
      </c>
      <c r="E987" t="s">
        <v>647</v>
      </c>
      <c r="F987" t="s">
        <v>648</v>
      </c>
      <c r="G987" s="10">
        <v>48</v>
      </c>
      <c r="H987" s="10">
        <v>15807</v>
      </c>
      <c r="I987" s="10">
        <v>758736</v>
      </c>
      <c r="J987" t="s">
        <v>51</v>
      </c>
      <c r="K987" s="11">
        <v>648.20000000000005</v>
      </c>
      <c r="L987" s="12">
        <v>1170.53</v>
      </c>
    </row>
    <row r="988" spans="1:12" x14ac:dyDescent="0.2">
      <c r="A988" s="9">
        <v>46240</v>
      </c>
      <c r="B988" t="s">
        <v>393</v>
      </c>
      <c r="C988" t="s">
        <v>307</v>
      </c>
      <c r="D988" t="s">
        <v>68</v>
      </c>
      <c r="E988" t="s">
        <v>647</v>
      </c>
      <c r="F988" t="s">
        <v>648</v>
      </c>
      <c r="G988" s="10">
        <v>369</v>
      </c>
      <c r="H988" s="10">
        <v>16411</v>
      </c>
      <c r="I988" s="10">
        <v>6055659</v>
      </c>
      <c r="J988" t="s">
        <v>51</v>
      </c>
      <c r="K988" s="11">
        <v>648.20000000000005</v>
      </c>
      <c r="L988" s="12">
        <v>9342.27</v>
      </c>
    </row>
    <row r="989" spans="1:12" x14ac:dyDescent="0.2">
      <c r="A989" s="9">
        <v>46240</v>
      </c>
      <c r="B989" t="s">
        <v>393</v>
      </c>
      <c r="C989" t="s">
        <v>307</v>
      </c>
      <c r="D989" t="s">
        <v>68</v>
      </c>
      <c r="E989" t="s">
        <v>655</v>
      </c>
      <c r="F989" t="s">
        <v>665</v>
      </c>
      <c r="G989" s="10">
        <v>142</v>
      </c>
      <c r="H989" s="10">
        <v>685</v>
      </c>
      <c r="I989" s="10">
        <v>97270</v>
      </c>
      <c r="J989" t="s">
        <v>51</v>
      </c>
      <c r="K989" s="11">
        <v>648.20000000000005</v>
      </c>
      <c r="L989" s="12">
        <v>150.06</v>
      </c>
    </row>
    <row r="990" spans="1:12" x14ac:dyDescent="0.2">
      <c r="A990" s="9">
        <v>46240</v>
      </c>
      <c r="B990" t="s">
        <v>395</v>
      </c>
      <c r="C990" t="s">
        <v>396</v>
      </c>
      <c r="D990" t="s">
        <v>46</v>
      </c>
      <c r="E990" t="s">
        <v>660</v>
      </c>
      <c r="F990" t="s">
        <v>669</v>
      </c>
      <c r="G990" s="10">
        <v>12</v>
      </c>
      <c r="H990" s="10">
        <v>2607</v>
      </c>
      <c r="I990" s="10">
        <v>31284</v>
      </c>
      <c r="J990" t="s">
        <v>37</v>
      </c>
      <c r="K990" s="11">
        <v>648.20000000000005</v>
      </c>
      <c r="L990" s="12">
        <v>48.26</v>
      </c>
    </row>
    <row r="991" spans="1:12" x14ac:dyDescent="0.2">
      <c r="A991" s="9">
        <v>46240</v>
      </c>
      <c r="B991" t="s">
        <v>395</v>
      </c>
      <c r="C991" t="s">
        <v>396</v>
      </c>
      <c r="D991" t="s">
        <v>46</v>
      </c>
      <c r="E991" t="s">
        <v>660</v>
      </c>
      <c r="F991" t="s">
        <v>670</v>
      </c>
      <c r="G991" s="10">
        <v>3</v>
      </c>
      <c r="H991" s="10">
        <v>14697</v>
      </c>
      <c r="I991" s="10">
        <v>44091</v>
      </c>
      <c r="J991" t="s">
        <v>37</v>
      </c>
      <c r="K991" s="11">
        <v>648.20000000000005</v>
      </c>
      <c r="L991" s="12">
        <v>68.02</v>
      </c>
    </row>
    <row r="992" spans="1:12" x14ac:dyDescent="0.2">
      <c r="A992" s="9">
        <v>46240</v>
      </c>
      <c r="B992" t="s">
        <v>398</v>
      </c>
      <c r="C992" t="s">
        <v>399</v>
      </c>
      <c r="D992" t="s">
        <v>46</v>
      </c>
      <c r="E992" t="s">
        <v>653</v>
      </c>
      <c r="F992" t="s">
        <v>658</v>
      </c>
      <c r="G992" s="10">
        <v>18</v>
      </c>
      <c r="H992" s="10">
        <v>2699</v>
      </c>
      <c r="I992" s="10">
        <v>48582</v>
      </c>
      <c r="J992" t="s">
        <v>37</v>
      </c>
      <c r="K992" s="11">
        <v>648.20000000000005</v>
      </c>
      <c r="L992" s="12">
        <v>74.95</v>
      </c>
    </row>
    <row r="993" spans="1:12" x14ac:dyDescent="0.2">
      <c r="A993" s="9">
        <v>46240</v>
      </c>
      <c r="B993" t="s">
        <v>398</v>
      </c>
      <c r="C993" t="s">
        <v>399</v>
      </c>
      <c r="D993" t="s">
        <v>46</v>
      </c>
      <c r="E993" t="s">
        <v>649</v>
      </c>
      <c r="F993" t="s">
        <v>659</v>
      </c>
      <c r="G993" s="10">
        <v>14</v>
      </c>
      <c r="H993" s="10">
        <v>8950</v>
      </c>
      <c r="I993" s="10">
        <v>125300</v>
      </c>
      <c r="J993" t="s">
        <v>37</v>
      </c>
      <c r="K993" s="11">
        <v>648.20000000000005</v>
      </c>
      <c r="L993" s="12">
        <v>193.3</v>
      </c>
    </row>
    <row r="994" spans="1:12" x14ac:dyDescent="0.2">
      <c r="A994" s="9">
        <v>46240</v>
      </c>
      <c r="B994" t="s">
        <v>398</v>
      </c>
      <c r="C994" t="s">
        <v>399</v>
      </c>
      <c r="D994" t="s">
        <v>46</v>
      </c>
      <c r="E994" t="s">
        <v>660</v>
      </c>
      <c r="F994" t="s">
        <v>669</v>
      </c>
      <c r="G994" s="10">
        <v>18</v>
      </c>
      <c r="H994" s="10">
        <v>2613</v>
      </c>
      <c r="I994" s="10">
        <v>47034</v>
      </c>
      <c r="J994" t="s">
        <v>37</v>
      </c>
      <c r="K994" s="11">
        <v>648.20000000000005</v>
      </c>
      <c r="L994" s="12">
        <v>72.56</v>
      </c>
    </row>
    <row r="995" spans="1:12" x14ac:dyDescent="0.2">
      <c r="A995" s="9">
        <v>46240</v>
      </c>
      <c r="B995" t="s">
        <v>398</v>
      </c>
      <c r="C995" t="s">
        <v>399</v>
      </c>
      <c r="D995" t="s">
        <v>46</v>
      </c>
      <c r="E995" t="s">
        <v>660</v>
      </c>
      <c r="F995" t="s">
        <v>670</v>
      </c>
      <c r="G995" s="10">
        <v>3</v>
      </c>
      <c r="H995" s="10">
        <v>13996</v>
      </c>
      <c r="I995" s="10">
        <v>41988</v>
      </c>
      <c r="J995" t="s">
        <v>37</v>
      </c>
      <c r="K995" s="11">
        <v>648.20000000000005</v>
      </c>
      <c r="L995" s="12">
        <v>64.78</v>
      </c>
    </row>
    <row r="996" spans="1:12" x14ac:dyDescent="0.2">
      <c r="A996" s="9">
        <v>46240</v>
      </c>
      <c r="B996" t="s">
        <v>404</v>
      </c>
      <c r="C996" t="s">
        <v>405</v>
      </c>
      <c r="D996" t="s">
        <v>46</v>
      </c>
      <c r="E996" t="s">
        <v>649</v>
      </c>
      <c r="F996" t="s">
        <v>663</v>
      </c>
      <c r="G996" s="10">
        <v>34</v>
      </c>
      <c r="H996" s="10">
        <v>2079</v>
      </c>
      <c r="I996" s="10">
        <v>70686</v>
      </c>
      <c r="J996" t="s">
        <v>37</v>
      </c>
      <c r="K996" s="11">
        <v>648.20000000000005</v>
      </c>
      <c r="L996" s="12">
        <v>109.05</v>
      </c>
    </row>
    <row r="997" spans="1:12" x14ac:dyDescent="0.2">
      <c r="A997" s="9">
        <v>46240</v>
      </c>
      <c r="B997" t="s">
        <v>404</v>
      </c>
      <c r="C997" t="s">
        <v>405</v>
      </c>
      <c r="D997" t="s">
        <v>46</v>
      </c>
      <c r="E997" t="s">
        <v>660</v>
      </c>
      <c r="F997" t="s">
        <v>670</v>
      </c>
      <c r="G997" s="10">
        <v>14</v>
      </c>
      <c r="H997" s="10">
        <v>14658</v>
      </c>
      <c r="I997" s="10">
        <v>205212</v>
      </c>
      <c r="J997" t="s">
        <v>37</v>
      </c>
      <c r="K997" s="11">
        <v>648.20000000000005</v>
      </c>
      <c r="L997" s="12">
        <v>316.58999999999997</v>
      </c>
    </row>
    <row r="998" spans="1:12" x14ac:dyDescent="0.2">
      <c r="A998" s="9">
        <v>46240</v>
      </c>
      <c r="B998" t="s">
        <v>404</v>
      </c>
      <c r="C998" t="s">
        <v>405</v>
      </c>
      <c r="D998" t="s">
        <v>46</v>
      </c>
      <c r="E998" t="s">
        <v>660</v>
      </c>
      <c r="F998" t="s">
        <v>661</v>
      </c>
      <c r="G998" s="10">
        <v>3</v>
      </c>
      <c r="H998" s="10">
        <v>4095</v>
      </c>
      <c r="I998" s="10">
        <v>12285</v>
      </c>
      <c r="J998" t="s">
        <v>37</v>
      </c>
      <c r="K998" s="11">
        <v>648.20000000000005</v>
      </c>
      <c r="L998" s="12">
        <v>18.95</v>
      </c>
    </row>
    <row r="999" spans="1:12" x14ac:dyDescent="0.2">
      <c r="A999" s="9">
        <v>46240</v>
      </c>
      <c r="B999" t="s">
        <v>410</v>
      </c>
      <c r="C999" t="s">
        <v>411</v>
      </c>
      <c r="D999" t="s">
        <v>46</v>
      </c>
      <c r="E999" t="s">
        <v>660</v>
      </c>
      <c r="F999" t="s">
        <v>669</v>
      </c>
      <c r="G999" s="10">
        <v>6</v>
      </c>
      <c r="H999" s="10">
        <v>2633</v>
      </c>
      <c r="I999" s="10">
        <v>15798</v>
      </c>
      <c r="J999" t="s">
        <v>37</v>
      </c>
      <c r="K999" s="11">
        <v>648.20000000000005</v>
      </c>
      <c r="L999" s="12">
        <v>24.37</v>
      </c>
    </row>
    <row r="1000" spans="1:12" x14ac:dyDescent="0.2">
      <c r="A1000" s="9">
        <v>46240</v>
      </c>
      <c r="B1000" t="s">
        <v>413</v>
      </c>
      <c r="C1000" t="s">
        <v>414</v>
      </c>
      <c r="D1000" t="s">
        <v>41</v>
      </c>
      <c r="E1000" t="s">
        <v>653</v>
      </c>
      <c r="F1000" t="s">
        <v>666</v>
      </c>
      <c r="G1000" s="10">
        <v>1</v>
      </c>
      <c r="H1000" s="10">
        <v>7492</v>
      </c>
      <c r="I1000" s="10">
        <v>7492</v>
      </c>
      <c r="J1000" t="s">
        <v>42</v>
      </c>
      <c r="K1000" s="11">
        <v>3145.8</v>
      </c>
      <c r="L1000" s="12">
        <v>2.38</v>
      </c>
    </row>
    <row r="1001" spans="1:12" x14ac:dyDescent="0.2">
      <c r="A1001" s="9">
        <v>46240</v>
      </c>
      <c r="B1001" t="s">
        <v>419</v>
      </c>
      <c r="C1001" t="s">
        <v>420</v>
      </c>
      <c r="D1001" t="s">
        <v>46</v>
      </c>
      <c r="E1001" t="s">
        <v>655</v>
      </c>
      <c r="F1001" t="s">
        <v>662</v>
      </c>
      <c r="G1001" s="10">
        <v>3</v>
      </c>
      <c r="H1001" s="10">
        <v>1136</v>
      </c>
      <c r="I1001" s="10">
        <v>3408</v>
      </c>
      <c r="J1001" t="s">
        <v>37</v>
      </c>
      <c r="K1001" s="11">
        <v>648.20000000000005</v>
      </c>
      <c r="L1001" s="12">
        <v>5.26</v>
      </c>
    </row>
    <row r="1002" spans="1:12" x14ac:dyDescent="0.2">
      <c r="A1002" s="9">
        <v>46240</v>
      </c>
      <c r="B1002" t="s">
        <v>419</v>
      </c>
      <c r="C1002" t="s">
        <v>420</v>
      </c>
      <c r="D1002" t="s">
        <v>46</v>
      </c>
      <c r="E1002" t="s">
        <v>660</v>
      </c>
      <c r="F1002" t="s">
        <v>661</v>
      </c>
      <c r="G1002" s="10">
        <v>12</v>
      </c>
      <c r="H1002" s="10">
        <v>4323</v>
      </c>
      <c r="I1002" s="10">
        <v>51876</v>
      </c>
      <c r="J1002" t="s">
        <v>37</v>
      </c>
      <c r="K1002" s="11">
        <v>648.20000000000005</v>
      </c>
      <c r="L1002" s="12">
        <v>80.03</v>
      </c>
    </row>
    <row r="1003" spans="1:12" x14ac:dyDescent="0.2">
      <c r="A1003" s="9">
        <v>46240</v>
      </c>
      <c r="B1003" t="s">
        <v>419</v>
      </c>
      <c r="C1003" t="s">
        <v>420</v>
      </c>
      <c r="D1003" t="s">
        <v>46</v>
      </c>
      <c r="E1003" t="s">
        <v>653</v>
      </c>
      <c r="F1003" t="s">
        <v>654</v>
      </c>
      <c r="G1003" s="10">
        <v>33</v>
      </c>
      <c r="H1003" s="10">
        <v>5817</v>
      </c>
      <c r="I1003" s="10">
        <v>191961</v>
      </c>
      <c r="J1003" t="s">
        <v>37</v>
      </c>
      <c r="K1003" s="11">
        <v>648.20000000000005</v>
      </c>
      <c r="L1003" s="12">
        <v>296.14</v>
      </c>
    </row>
    <row r="1004" spans="1:12" x14ac:dyDescent="0.2">
      <c r="A1004" s="9">
        <v>46240</v>
      </c>
      <c r="B1004" t="s">
        <v>422</v>
      </c>
      <c r="C1004" t="s">
        <v>423</v>
      </c>
      <c r="D1004" t="s">
        <v>68</v>
      </c>
      <c r="E1004" t="s">
        <v>660</v>
      </c>
      <c r="F1004" t="s">
        <v>669</v>
      </c>
      <c r="G1004" s="10">
        <v>13</v>
      </c>
      <c r="H1004" s="10">
        <v>2632</v>
      </c>
      <c r="I1004" s="10">
        <v>34216</v>
      </c>
      <c r="J1004" t="s">
        <v>51</v>
      </c>
      <c r="K1004" s="11">
        <v>648.20000000000005</v>
      </c>
      <c r="L1004" s="12">
        <v>52.79</v>
      </c>
    </row>
    <row r="1005" spans="1:12" x14ac:dyDescent="0.2">
      <c r="A1005" s="9">
        <v>46240</v>
      </c>
      <c r="B1005" t="s">
        <v>439</v>
      </c>
      <c r="C1005" t="s">
        <v>440</v>
      </c>
      <c r="D1005" t="s">
        <v>50</v>
      </c>
      <c r="E1005" t="s">
        <v>647</v>
      </c>
      <c r="F1005" t="s">
        <v>668</v>
      </c>
      <c r="G1005" s="10">
        <v>4</v>
      </c>
      <c r="H1005" s="10">
        <v>25651</v>
      </c>
      <c r="I1005" s="10">
        <v>102604</v>
      </c>
      <c r="J1005" t="s">
        <v>51</v>
      </c>
      <c r="K1005" s="11">
        <v>648.20000000000005</v>
      </c>
      <c r="L1005" s="12">
        <v>158.29</v>
      </c>
    </row>
    <row r="1006" spans="1:12" x14ac:dyDescent="0.2">
      <c r="A1006" s="9">
        <v>46240</v>
      </c>
      <c r="B1006" t="s">
        <v>445</v>
      </c>
      <c r="C1006" t="s">
        <v>446</v>
      </c>
      <c r="D1006" t="s">
        <v>68</v>
      </c>
      <c r="E1006" t="s">
        <v>647</v>
      </c>
      <c r="F1006" t="s">
        <v>648</v>
      </c>
      <c r="G1006" s="10">
        <v>1</v>
      </c>
      <c r="H1006" s="10">
        <v>16628</v>
      </c>
      <c r="I1006" s="10">
        <v>16628</v>
      </c>
      <c r="J1006" t="s">
        <v>51</v>
      </c>
      <c r="K1006" s="11">
        <v>648.20000000000005</v>
      </c>
      <c r="L1006" s="12">
        <v>25.65</v>
      </c>
    </row>
    <row r="1007" spans="1:12" x14ac:dyDescent="0.2">
      <c r="A1007" s="9">
        <v>46240</v>
      </c>
      <c r="B1007" t="s">
        <v>445</v>
      </c>
      <c r="C1007" t="s">
        <v>446</v>
      </c>
      <c r="D1007" t="s">
        <v>68</v>
      </c>
      <c r="E1007" t="s">
        <v>647</v>
      </c>
      <c r="F1007" t="s">
        <v>667</v>
      </c>
      <c r="G1007" s="10">
        <v>34</v>
      </c>
      <c r="H1007" s="10">
        <v>7398</v>
      </c>
      <c r="I1007" s="10">
        <v>251532</v>
      </c>
      <c r="J1007" t="s">
        <v>51</v>
      </c>
      <c r="K1007" s="11">
        <v>648.20000000000005</v>
      </c>
      <c r="L1007" s="12">
        <v>388.05</v>
      </c>
    </row>
    <row r="1008" spans="1:12" x14ac:dyDescent="0.2">
      <c r="A1008" s="9">
        <v>46240</v>
      </c>
      <c r="B1008" t="s">
        <v>448</v>
      </c>
      <c r="C1008" t="s">
        <v>449</v>
      </c>
      <c r="D1008" t="s">
        <v>75</v>
      </c>
      <c r="E1008" t="s">
        <v>651</v>
      </c>
      <c r="F1008" t="s">
        <v>657</v>
      </c>
      <c r="G1008" s="10">
        <v>38</v>
      </c>
      <c r="H1008" s="10">
        <v>31729</v>
      </c>
      <c r="I1008" s="10">
        <v>1205702</v>
      </c>
      <c r="J1008" t="s">
        <v>42</v>
      </c>
      <c r="K1008" s="11">
        <v>3145.8</v>
      </c>
      <c r="L1008" s="12">
        <v>383.27</v>
      </c>
    </row>
    <row r="1009" spans="1:12" x14ac:dyDescent="0.2">
      <c r="A1009" s="9">
        <v>46240</v>
      </c>
      <c r="B1009" t="s">
        <v>451</v>
      </c>
      <c r="C1009" t="s">
        <v>452</v>
      </c>
      <c r="D1009" t="s">
        <v>68</v>
      </c>
      <c r="E1009" t="s">
        <v>660</v>
      </c>
      <c r="F1009" t="s">
        <v>669</v>
      </c>
      <c r="G1009" s="10">
        <v>5</v>
      </c>
      <c r="H1009" s="10">
        <v>2612</v>
      </c>
      <c r="I1009" s="10">
        <v>13060</v>
      </c>
      <c r="J1009" t="s">
        <v>51</v>
      </c>
      <c r="K1009" s="11">
        <v>648.20000000000005</v>
      </c>
      <c r="L1009" s="12">
        <v>20.149999999999999</v>
      </c>
    </row>
    <row r="1010" spans="1:12" x14ac:dyDescent="0.2">
      <c r="A1010" s="9">
        <v>46240</v>
      </c>
      <c r="B1010" t="s">
        <v>451</v>
      </c>
      <c r="C1010" t="s">
        <v>452</v>
      </c>
      <c r="D1010" t="s">
        <v>68</v>
      </c>
      <c r="E1010" t="s">
        <v>653</v>
      </c>
      <c r="F1010" t="s">
        <v>654</v>
      </c>
      <c r="G1010" s="10">
        <v>6</v>
      </c>
      <c r="H1010" s="10">
        <v>5659</v>
      </c>
      <c r="I1010" s="10">
        <v>33954</v>
      </c>
      <c r="J1010" t="s">
        <v>51</v>
      </c>
      <c r="K1010" s="11">
        <v>648.20000000000005</v>
      </c>
      <c r="L1010" s="12">
        <v>52.38</v>
      </c>
    </row>
    <row r="1011" spans="1:12" x14ac:dyDescent="0.2">
      <c r="A1011" s="9">
        <v>46240</v>
      </c>
      <c r="B1011" t="s">
        <v>454</v>
      </c>
      <c r="C1011" t="s">
        <v>455</v>
      </c>
      <c r="D1011" t="s">
        <v>41</v>
      </c>
      <c r="E1011" t="s">
        <v>649</v>
      </c>
      <c r="F1011" t="s">
        <v>650</v>
      </c>
      <c r="G1011" s="10">
        <v>4</v>
      </c>
      <c r="H1011" s="10">
        <v>93188</v>
      </c>
      <c r="I1011" s="10">
        <v>372752</v>
      </c>
      <c r="J1011" t="s">
        <v>42</v>
      </c>
      <c r="K1011" s="11">
        <v>3145.8</v>
      </c>
      <c r="L1011" s="12">
        <v>118.49</v>
      </c>
    </row>
    <row r="1012" spans="1:12" x14ac:dyDescent="0.2">
      <c r="A1012" s="9">
        <v>46240</v>
      </c>
      <c r="B1012" t="s">
        <v>454</v>
      </c>
      <c r="C1012" t="s">
        <v>455</v>
      </c>
      <c r="D1012" t="s">
        <v>41</v>
      </c>
      <c r="E1012" t="s">
        <v>655</v>
      </c>
      <c r="F1012" t="s">
        <v>665</v>
      </c>
      <c r="G1012" s="10">
        <v>11</v>
      </c>
      <c r="H1012" s="10">
        <v>3338</v>
      </c>
      <c r="I1012" s="10">
        <v>36718</v>
      </c>
      <c r="J1012" t="s">
        <v>42</v>
      </c>
      <c r="K1012" s="11">
        <v>3145.8</v>
      </c>
      <c r="L1012" s="12">
        <v>11.67</v>
      </c>
    </row>
    <row r="1013" spans="1:12" x14ac:dyDescent="0.2">
      <c r="A1013" s="9">
        <v>46240</v>
      </c>
      <c r="B1013" t="s">
        <v>457</v>
      </c>
      <c r="C1013" t="s">
        <v>458</v>
      </c>
      <c r="D1013" t="s">
        <v>46</v>
      </c>
      <c r="E1013" t="s">
        <v>653</v>
      </c>
      <c r="F1013" t="s">
        <v>666</v>
      </c>
      <c r="G1013" s="10">
        <v>9</v>
      </c>
      <c r="H1013" s="10">
        <v>1526</v>
      </c>
      <c r="I1013" s="10">
        <v>13734</v>
      </c>
      <c r="J1013" t="s">
        <v>37</v>
      </c>
      <c r="K1013" s="11">
        <v>648.20000000000005</v>
      </c>
      <c r="L1013" s="12">
        <v>21.19</v>
      </c>
    </row>
    <row r="1014" spans="1:12" x14ac:dyDescent="0.2">
      <c r="A1014" s="9">
        <v>46240</v>
      </c>
      <c r="B1014" t="s">
        <v>457</v>
      </c>
      <c r="C1014" t="s">
        <v>458</v>
      </c>
      <c r="D1014" t="s">
        <v>46</v>
      </c>
      <c r="E1014" t="s">
        <v>649</v>
      </c>
      <c r="F1014" t="s">
        <v>650</v>
      </c>
      <c r="G1014" s="10">
        <v>145</v>
      </c>
      <c r="H1014" s="10">
        <v>19276</v>
      </c>
      <c r="I1014" s="10">
        <v>2795020</v>
      </c>
      <c r="J1014" t="s">
        <v>37</v>
      </c>
      <c r="K1014" s="11">
        <v>648.20000000000005</v>
      </c>
      <c r="L1014" s="12">
        <v>4311.97</v>
      </c>
    </row>
    <row r="1015" spans="1:12" x14ac:dyDescent="0.2">
      <c r="A1015" s="9">
        <v>46240</v>
      </c>
      <c r="B1015" t="s">
        <v>460</v>
      </c>
      <c r="C1015" t="s">
        <v>461</v>
      </c>
      <c r="D1015" t="s">
        <v>75</v>
      </c>
      <c r="E1015" t="s">
        <v>660</v>
      </c>
      <c r="F1015" t="s">
        <v>670</v>
      </c>
      <c r="G1015" s="10">
        <v>66</v>
      </c>
      <c r="H1015" s="10">
        <v>69249</v>
      </c>
      <c r="I1015" s="10">
        <v>4570434</v>
      </c>
      <c r="J1015" t="s">
        <v>42</v>
      </c>
      <c r="K1015" s="11">
        <v>3145.8</v>
      </c>
      <c r="L1015" s="12">
        <v>1452.87</v>
      </c>
    </row>
    <row r="1016" spans="1:12" x14ac:dyDescent="0.2">
      <c r="A1016" s="9">
        <v>46240</v>
      </c>
      <c r="B1016" t="s">
        <v>460</v>
      </c>
      <c r="C1016" t="s">
        <v>461</v>
      </c>
      <c r="D1016" t="s">
        <v>75</v>
      </c>
      <c r="E1016" t="s">
        <v>660</v>
      </c>
      <c r="F1016" t="s">
        <v>670</v>
      </c>
      <c r="G1016" s="10">
        <v>8</v>
      </c>
      <c r="H1016" s="10">
        <v>71140</v>
      </c>
      <c r="I1016" s="10">
        <v>569120</v>
      </c>
      <c r="J1016" t="s">
        <v>42</v>
      </c>
      <c r="K1016" s="11">
        <v>3145.8</v>
      </c>
      <c r="L1016" s="12">
        <v>180.91</v>
      </c>
    </row>
    <row r="1017" spans="1:12" x14ac:dyDescent="0.2">
      <c r="A1017" s="9">
        <v>46240</v>
      </c>
      <c r="B1017" t="s">
        <v>460</v>
      </c>
      <c r="C1017" t="s">
        <v>461</v>
      </c>
      <c r="D1017" t="s">
        <v>75</v>
      </c>
      <c r="E1017" t="s">
        <v>655</v>
      </c>
      <c r="F1017" t="s">
        <v>656</v>
      </c>
      <c r="G1017" s="10">
        <v>10</v>
      </c>
      <c r="H1017" s="10">
        <v>2780</v>
      </c>
      <c r="I1017" s="10">
        <v>27800</v>
      </c>
      <c r="J1017" t="s">
        <v>42</v>
      </c>
      <c r="K1017" s="11">
        <v>3145.8</v>
      </c>
      <c r="L1017" s="12">
        <v>8.84</v>
      </c>
    </row>
    <row r="1018" spans="1:12" x14ac:dyDescent="0.2">
      <c r="A1018" s="9">
        <v>46240</v>
      </c>
      <c r="B1018" t="s">
        <v>463</v>
      </c>
      <c r="C1018" t="s">
        <v>464</v>
      </c>
      <c r="D1018" t="s">
        <v>36</v>
      </c>
      <c r="E1018" t="s">
        <v>660</v>
      </c>
      <c r="F1018" t="s">
        <v>669</v>
      </c>
      <c r="G1018" s="10">
        <v>8</v>
      </c>
      <c r="H1018" s="10">
        <v>2678</v>
      </c>
      <c r="I1018" s="10">
        <v>21424</v>
      </c>
      <c r="J1018" t="s">
        <v>37</v>
      </c>
      <c r="K1018" s="11">
        <v>648.20000000000005</v>
      </c>
      <c r="L1018" s="12">
        <v>33.049999999999997</v>
      </c>
    </row>
    <row r="1019" spans="1:12" x14ac:dyDescent="0.2">
      <c r="A1019" s="9">
        <v>46240</v>
      </c>
      <c r="B1019" t="s">
        <v>466</v>
      </c>
      <c r="C1019" t="s">
        <v>467</v>
      </c>
      <c r="D1019" t="s">
        <v>50</v>
      </c>
      <c r="E1019" t="s">
        <v>649</v>
      </c>
      <c r="F1019" t="s">
        <v>650</v>
      </c>
      <c r="G1019" s="10">
        <v>7</v>
      </c>
      <c r="H1019" s="10">
        <v>18947</v>
      </c>
      <c r="I1019" s="10">
        <v>132629</v>
      </c>
      <c r="J1019" t="s">
        <v>51</v>
      </c>
      <c r="K1019" s="11">
        <v>648.20000000000005</v>
      </c>
      <c r="L1019" s="12">
        <v>204.61</v>
      </c>
    </row>
    <row r="1020" spans="1:12" x14ac:dyDescent="0.2">
      <c r="A1020" s="9">
        <v>46240</v>
      </c>
      <c r="B1020" t="s">
        <v>469</v>
      </c>
      <c r="C1020" t="s">
        <v>470</v>
      </c>
      <c r="D1020" t="s">
        <v>41</v>
      </c>
      <c r="E1020" t="s">
        <v>655</v>
      </c>
      <c r="F1020" t="s">
        <v>665</v>
      </c>
      <c r="G1020" s="10">
        <v>30</v>
      </c>
      <c r="H1020" s="10">
        <v>3389</v>
      </c>
      <c r="I1020" s="10">
        <v>101670</v>
      </c>
      <c r="J1020" t="s">
        <v>42</v>
      </c>
      <c r="K1020" s="11">
        <v>3145.8</v>
      </c>
      <c r="L1020" s="12">
        <v>32.32</v>
      </c>
    </row>
    <row r="1021" spans="1:12" x14ac:dyDescent="0.2">
      <c r="A1021" s="9">
        <v>46240</v>
      </c>
      <c r="B1021" t="s">
        <v>472</v>
      </c>
      <c r="C1021" t="s">
        <v>473</v>
      </c>
      <c r="D1021" t="s">
        <v>68</v>
      </c>
      <c r="E1021" t="s">
        <v>647</v>
      </c>
      <c r="F1021" t="s">
        <v>668</v>
      </c>
      <c r="G1021" s="10">
        <v>16</v>
      </c>
      <c r="H1021" s="10">
        <v>24611</v>
      </c>
      <c r="I1021" s="10">
        <v>393776</v>
      </c>
      <c r="J1021" t="s">
        <v>51</v>
      </c>
      <c r="K1021" s="11">
        <v>648.20000000000005</v>
      </c>
      <c r="L1021" s="12">
        <v>607.49</v>
      </c>
    </row>
    <row r="1022" spans="1:12" x14ac:dyDescent="0.2">
      <c r="A1022" s="9">
        <v>46240</v>
      </c>
      <c r="B1022" t="s">
        <v>475</v>
      </c>
      <c r="C1022" t="s">
        <v>476</v>
      </c>
      <c r="D1022" t="s">
        <v>75</v>
      </c>
      <c r="E1022" t="s">
        <v>647</v>
      </c>
      <c r="F1022" t="s">
        <v>667</v>
      </c>
      <c r="G1022" s="10">
        <v>36</v>
      </c>
      <c r="H1022" s="10">
        <v>36664</v>
      </c>
      <c r="I1022" s="10">
        <v>1319904</v>
      </c>
      <c r="J1022" t="s">
        <v>42</v>
      </c>
      <c r="K1022" s="11">
        <v>3145.8</v>
      </c>
      <c r="L1022" s="12">
        <v>419.58</v>
      </c>
    </row>
    <row r="1023" spans="1:12" x14ac:dyDescent="0.2">
      <c r="A1023" s="9">
        <v>46240</v>
      </c>
      <c r="B1023" t="s">
        <v>475</v>
      </c>
      <c r="C1023" t="s">
        <v>476</v>
      </c>
      <c r="D1023" t="s">
        <v>75</v>
      </c>
      <c r="E1023" t="s">
        <v>655</v>
      </c>
      <c r="F1023" t="s">
        <v>656</v>
      </c>
      <c r="G1023" s="10">
        <v>16</v>
      </c>
      <c r="H1023" s="10">
        <v>2870</v>
      </c>
      <c r="I1023" s="10">
        <v>45920</v>
      </c>
      <c r="J1023" t="s">
        <v>42</v>
      </c>
      <c r="K1023" s="11">
        <v>3145.8</v>
      </c>
      <c r="L1023" s="12">
        <v>14.6</v>
      </c>
    </row>
    <row r="1024" spans="1:12" x14ac:dyDescent="0.2">
      <c r="A1024" s="9">
        <v>46240</v>
      </c>
      <c r="B1024" t="s">
        <v>475</v>
      </c>
      <c r="C1024" t="s">
        <v>476</v>
      </c>
      <c r="D1024" t="s">
        <v>75</v>
      </c>
      <c r="E1024" t="s">
        <v>655</v>
      </c>
      <c r="F1024" t="s">
        <v>656</v>
      </c>
      <c r="G1024" s="10">
        <v>14</v>
      </c>
      <c r="H1024" s="10">
        <v>2783</v>
      </c>
      <c r="I1024" s="10">
        <v>38962</v>
      </c>
      <c r="J1024" t="s">
        <v>42</v>
      </c>
      <c r="K1024" s="11">
        <v>3145.8</v>
      </c>
      <c r="L1024" s="12">
        <v>12.39</v>
      </c>
    </row>
    <row r="1025" spans="1:12" x14ac:dyDescent="0.2">
      <c r="A1025" s="9">
        <v>46240</v>
      </c>
      <c r="B1025" t="s">
        <v>475</v>
      </c>
      <c r="C1025" t="s">
        <v>476</v>
      </c>
      <c r="D1025" t="s">
        <v>75</v>
      </c>
      <c r="E1025" t="s">
        <v>655</v>
      </c>
      <c r="F1025" t="s">
        <v>665</v>
      </c>
      <c r="G1025" s="10">
        <v>55</v>
      </c>
      <c r="H1025" s="10">
        <v>3333</v>
      </c>
      <c r="I1025" s="10">
        <v>183315</v>
      </c>
      <c r="J1025" t="s">
        <v>42</v>
      </c>
      <c r="K1025" s="11">
        <v>3145.8</v>
      </c>
      <c r="L1025" s="12">
        <v>58.27</v>
      </c>
    </row>
    <row r="1026" spans="1:12" x14ac:dyDescent="0.2">
      <c r="A1026" s="9">
        <v>46240</v>
      </c>
      <c r="B1026" t="s">
        <v>481</v>
      </c>
      <c r="C1026" t="s">
        <v>78</v>
      </c>
      <c r="D1026" t="s">
        <v>41</v>
      </c>
      <c r="E1026" t="s">
        <v>653</v>
      </c>
      <c r="F1026" t="s">
        <v>654</v>
      </c>
      <c r="G1026" s="10">
        <v>10</v>
      </c>
      <c r="H1026" s="10">
        <v>28650</v>
      </c>
      <c r="I1026" s="10">
        <v>286500</v>
      </c>
      <c r="J1026" t="s">
        <v>42</v>
      </c>
      <c r="K1026" s="11">
        <v>3145.8</v>
      </c>
      <c r="L1026" s="12">
        <v>91.07</v>
      </c>
    </row>
    <row r="1027" spans="1:12" x14ac:dyDescent="0.2">
      <c r="A1027" s="9">
        <v>46240</v>
      </c>
      <c r="B1027" t="s">
        <v>481</v>
      </c>
      <c r="C1027" t="s">
        <v>78</v>
      </c>
      <c r="D1027" t="s">
        <v>41</v>
      </c>
      <c r="E1027" t="s">
        <v>647</v>
      </c>
      <c r="F1027" t="s">
        <v>648</v>
      </c>
      <c r="G1027" s="10">
        <v>14</v>
      </c>
      <c r="H1027" s="10">
        <v>78661</v>
      </c>
      <c r="I1027" s="10">
        <v>1101254</v>
      </c>
      <c r="J1027" t="s">
        <v>42</v>
      </c>
      <c r="K1027" s="11">
        <v>3145.8</v>
      </c>
      <c r="L1027" s="12">
        <v>350.07</v>
      </c>
    </row>
    <row r="1028" spans="1:12" x14ac:dyDescent="0.2">
      <c r="A1028" s="9">
        <v>46240</v>
      </c>
      <c r="B1028" t="s">
        <v>488</v>
      </c>
      <c r="C1028" t="s">
        <v>489</v>
      </c>
      <c r="D1028" t="s">
        <v>46</v>
      </c>
      <c r="E1028" t="s">
        <v>647</v>
      </c>
      <c r="F1028" t="s">
        <v>648</v>
      </c>
      <c r="G1028" s="10">
        <v>10</v>
      </c>
      <c r="H1028" s="10">
        <v>15780</v>
      </c>
      <c r="I1028" s="10">
        <v>157800</v>
      </c>
      <c r="J1028" t="s">
        <v>37</v>
      </c>
      <c r="K1028" s="11">
        <v>648.20000000000005</v>
      </c>
      <c r="L1028" s="12">
        <v>243.44</v>
      </c>
    </row>
    <row r="1029" spans="1:12" x14ac:dyDescent="0.2">
      <c r="A1029" s="9">
        <v>46240</v>
      </c>
      <c r="B1029" t="s">
        <v>491</v>
      </c>
      <c r="C1029" t="s">
        <v>125</v>
      </c>
      <c r="D1029" t="s">
        <v>75</v>
      </c>
      <c r="E1029" t="s">
        <v>649</v>
      </c>
      <c r="F1029" t="s">
        <v>650</v>
      </c>
      <c r="G1029" s="10">
        <v>11</v>
      </c>
      <c r="H1029" s="10">
        <v>91143</v>
      </c>
      <c r="I1029" s="10">
        <v>1002573</v>
      </c>
      <c r="J1029" t="s">
        <v>42</v>
      </c>
      <c r="K1029" s="11">
        <v>3145.8</v>
      </c>
      <c r="L1029" s="12">
        <v>318.7</v>
      </c>
    </row>
    <row r="1030" spans="1:12" x14ac:dyDescent="0.2">
      <c r="A1030" s="9">
        <v>46240</v>
      </c>
      <c r="B1030" t="s">
        <v>491</v>
      </c>
      <c r="C1030" t="s">
        <v>125</v>
      </c>
      <c r="D1030" t="s">
        <v>75</v>
      </c>
      <c r="E1030" t="s">
        <v>649</v>
      </c>
      <c r="F1030" t="s">
        <v>659</v>
      </c>
      <c r="G1030" s="10">
        <v>91</v>
      </c>
      <c r="H1030" s="10">
        <v>41970</v>
      </c>
      <c r="I1030" s="10">
        <v>3819270</v>
      </c>
      <c r="J1030" t="s">
        <v>42</v>
      </c>
      <c r="K1030" s="11">
        <v>3145.8</v>
      </c>
      <c r="L1030" s="12">
        <v>1214.0899999999999</v>
      </c>
    </row>
    <row r="1031" spans="1:12" x14ac:dyDescent="0.2">
      <c r="A1031" s="9">
        <v>46240</v>
      </c>
      <c r="B1031" t="s">
        <v>496</v>
      </c>
      <c r="C1031" t="s">
        <v>497</v>
      </c>
      <c r="D1031" t="s">
        <v>41</v>
      </c>
      <c r="E1031" t="s">
        <v>647</v>
      </c>
      <c r="F1031" t="s">
        <v>668</v>
      </c>
      <c r="G1031" s="10">
        <v>16</v>
      </c>
      <c r="H1031" s="10">
        <v>126062</v>
      </c>
      <c r="I1031" s="10">
        <v>2016992</v>
      </c>
      <c r="J1031" t="s">
        <v>42</v>
      </c>
      <c r="K1031" s="11">
        <v>3145.8</v>
      </c>
      <c r="L1031" s="12">
        <v>641.16999999999996</v>
      </c>
    </row>
    <row r="1032" spans="1:12" x14ac:dyDescent="0.2">
      <c r="A1032" s="9">
        <v>46240</v>
      </c>
      <c r="B1032" t="s">
        <v>499</v>
      </c>
      <c r="C1032" t="s">
        <v>500</v>
      </c>
      <c r="D1032" t="s">
        <v>41</v>
      </c>
      <c r="E1032" t="s">
        <v>649</v>
      </c>
      <c r="F1032" t="s">
        <v>663</v>
      </c>
      <c r="G1032" s="10">
        <v>5</v>
      </c>
      <c r="H1032" s="10">
        <v>9739</v>
      </c>
      <c r="I1032" s="10">
        <v>48695</v>
      </c>
      <c r="J1032" t="s">
        <v>42</v>
      </c>
      <c r="K1032" s="11">
        <v>3145.8</v>
      </c>
      <c r="L1032" s="12">
        <v>15.48</v>
      </c>
    </row>
    <row r="1033" spans="1:12" x14ac:dyDescent="0.2">
      <c r="A1033" s="9">
        <v>46240</v>
      </c>
      <c r="B1033" t="s">
        <v>499</v>
      </c>
      <c r="C1033" t="s">
        <v>500</v>
      </c>
      <c r="D1033" t="s">
        <v>41</v>
      </c>
      <c r="E1033" t="s">
        <v>660</v>
      </c>
      <c r="F1033" t="s">
        <v>669</v>
      </c>
      <c r="G1033" s="10">
        <v>58</v>
      </c>
      <c r="H1033" s="10">
        <v>12283</v>
      </c>
      <c r="I1033" s="10">
        <v>712414</v>
      </c>
      <c r="J1033" t="s">
        <v>42</v>
      </c>
      <c r="K1033" s="11">
        <v>3145.8</v>
      </c>
      <c r="L1033" s="12">
        <v>226.47</v>
      </c>
    </row>
    <row r="1034" spans="1:12" x14ac:dyDescent="0.2">
      <c r="A1034" s="9">
        <v>46240</v>
      </c>
      <c r="B1034" t="s">
        <v>499</v>
      </c>
      <c r="C1034" t="s">
        <v>500</v>
      </c>
      <c r="D1034" t="s">
        <v>41</v>
      </c>
      <c r="E1034" t="s">
        <v>660</v>
      </c>
      <c r="F1034" t="s">
        <v>661</v>
      </c>
      <c r="G1034" s="10">
        <v>18</v>
      </c>
      <c r="H1034" s="10">
        <v>19565</v>
      </c>
      <c r="I1034" s="10">
        <v>352170</v>
      </c>
      <c r="J1034" t="s">
        <v>42</v>
      </c>
      <c r="K1034" s="11">
        <v>3145.8</v>
      </c>
      <c r="L1034" s="12">
        <v>111.95</v>
      </c>
    </row>
    <row r="1035" spans="1:12" x14ac:dyDescent="0.2">
      <c r="A1035" s="9">
        <v>46240</v>
      </c>
      <c r="B1035" t="s">
        <v>499</v>
      </c>
      <c r="C1035" t="s">
        <v>500</v>
      </c>
      <c r="D1035" t="s">
        <v>41</v>
      </c>
      <c r="E1035" t="s">
        <v>647</v>
      </c>
      <c r="F1035" t="s">
        <v>667</v>
      </c>
      <c r="G1035" s="10">
        <v>30</v>
      </c>
      <c r="H1035" s="10">
        <v>35508</v>
      </c>
      <c r="I1035" s="10">
        <v>1065240</v>
      </c>
      <c r="J1035" t="s">
        <v>42</v>
      </c>
      <c r="K1035" s="11">
        <v>3145.8</v>
      </c>
      <c r="L1035" s="12">
        <v>338.62</v>
      </c>
    </row>
    <row r="1036" spans="1:12" x14ac:dyDescent="0.2">
      <c r="A1036" s="9">
        <v>46240</v>
      </c>
      <c r="B1036" t="s">
        <v>502</v>
      </c>
      <c r="C1036" t="s">
        <v>503</v>
      </c>
      <c r="D1036" t="s">
        <v>41</v>
      </c>
      <c r="E1036" t="s">
        <v>660</v>
      </c>
      <c r="F1036" t="s">
        <v>670</v>
      </c>
      <c r="G1036" s="10">
        <v>1</v>
      </c>
      <c r="H1036" s="10">
        <v>67996</v>
      </c>
      <c r="I1036" s="10">
        <v>67996</v>
      </c>
      <c r="J1036" t="s">
        <v>42</v>
      </c>
      <c r="K1036" s="11">
        <v>3145.8</v>
      </c>
      <c r="L1036" s="12">
        <v>21.61</v>
      </c>
    </row>
    <row r="1037" spans="1:12" x14ac:dyDescent="0.2">
      <c r="A1037" s="9">
        <v>46240</v>
      </c>
      <c r="B1037" t="s">
        <v>508</v>
      </c>
      <c r="C1037" t="s">
        <v>509</v>
      </c>
      <c r="D1037" t="s">
        <v>68</v>
      </c>
      <c r="E1037" t="s">
        <v>660</v>
      </c>
      <c r="F1037" t="s">
        <v>669</v>
      </c>
      <c r="G1037" s="10">
        <v>6</v>
      </c>
      <c r="H1037" s="10">
        <v>2569</v>
      </c>
      <c r="I1037" s="10">
        <v>15414</v>
      </c>
      <c r="J1037" t="s">
        <v>51</v>
      </c>
      <c r="K1037" s="11">
        <v>648.20000000000005</v>
      </c>
      <c r="L1037" s="12">
        <v>23.78</v>
      </c>
    </row>
    <row r="1038" spans="1:12" x14ac:dyDescent="0.2">
      <c r="A1038" s="9">
        <v>46240</v>
      </c>
      <c r="B1038" t="s">
        <v>511</v>
      </c>
      <c r="C1038" t="s">
        <v>512</v>
      </c>
      <c r="D1038" t="s">
        <v>75</v>
      </c>
      <c r="E1038" t="s">
        <v>653</v>
      </c>
      <c r="F1038" t="s">
        <v>666</v>
      </c>
      <c r="G1038" s="10">
        <v>24</v>
      </c>
      <c r="H1038" s="10">
        <v>7348</v>
      </c>
      <c r="I1038" s="10">
        <v>176352</v>
      </c>
      <c r="J1038" t="s">
        <v>42</v>
      </c>
      <c r="K1038" s="11">
        <v>3145.8</v>
      </c>
      <c r="L1038" s="12">
        <v>56.06</v>
      </c>
    </row>
    <row r="1039" spans="1:12" x14ac:dyDescent="0.2">
      <c r="A1039" s="9">
        <v>46240</v>
      </c>
      <c r="B1039" t="s">
        <v>514</v>
      </c>
      <c r="C1039" t="s">
        <v>515</v>
      </c>
      <c r="D1039" t="s">
        <v>41</v>
      </c>
      <c r="E1039" t="s">
        <v>655</v>
      </c>
      <c r="F1039" t="s">
        <v>662</v>
      </c>
      <c r="G1039" s="10">
        <v>3</v>
      </c>
      <c r="H1039" s="10">
        <v>5488</v>
      </c>
      <c r="I1039" s="10">
        <v>16464</v>
      </c>
      <c r="J1039" t="s">
        <v>42</v>
      </c>
      <c r="K1039" s="11">
        <v>3145.8</v>
      </c>
      <c r="L1039" s="12">
        <v>5.23</v>
      </c>
    </row>
    <row r="1040" spans="1:12" x14ac:dyDescent="0.2">
      <c r="A1040" s="9">
        <v>46240</v>
      </c>
      <c r="B1040" t="s">
        <v>517</v>
      </c>
      <c r="C1040" t="s">
        <v>518</v>
      </c>
      <c r="D1040" t="s">
        <v>41</v>
      </c>
      <c r="E1040" t="s">
        <v>651</v>
      </c>
      <c r="F1040" t="s">
        <v>664</v>
      </c>
      <c r="G1040" s="10">
        <v>12</v>
      </c>
      <c r="H1040" s="10">
        <v>56111</v>
      </c>
      <c r="I1040" s="10">
        <v>673332</v>
      </c>
      <c r="J1040" t="s">
        <v>42</v>
      </c>
      <c r="K1040" s="11">
        <v>3145.8</v>
      </c>
      <c r="L1040" s="12">
        <v>214.04</v>
      </c>
    </row>
    <row r="1041" spans="1:12" x14ac:dyDescent="0.2">
      <c r="A1041" s="9">
        <v>46240</v>
      </c>
      <c r="B1041" t="s">
        <v>522</v>
      </c>
      <c r="C1041" t="s">
        <v>523</v>
      </c>
      <c r="D1041" t="s">
        <v>50</v>
      </c>
      <c r="E1041" t="s">
        <v>651</v>
      </c>
      <c r="F1041" t="s">
        <v>652</v>
      </c>
      <c r="G1041" s="10">
        <v>12</v>
      </c>
      <c r="H1041" s="10">
        <v>9802</v>
      </c>
      <c r="I1041" s="10">
        <v>117624</v>
      </c>
      <c r="J1041" t="s">
        <v>51</v>
      </c>
      <c r="K1041" s="11">
        <v>648.20000000000005</v>
      </c>
      <c r="L1041" s="12">
        <v>181.46</v>
      </c>
    </row>
    <row r="1042" spans="1:12" x14ac:dyDescent="0.2">
      <c r="A1042" s="9">
        <v>46240</v>
      </c>
      <c r="B1042" t="s">
        <v>528</v>
      </c>
      <c r="C1042" t="s">
        <v>529</v>
      </c>
      <c r="D1042" t="s">
        <v>46</v>
      </c>
      <c r="E1042" t="s">
        <v>649</v>
      </c>
      <c r="F1042" t="s">
        <v>663</v>
      </c>
      <c r="G1042" s="10">
        <v>48</v>
      </c>
      <c r="H1042" s="10">
        <v>1960</v>
      </c>
      <c r="I1042" s="10">
        <v>94080</v>
      </c>
      <c r="J1042" t="s">
        <v>37</v>
      </c>
      <c r="K1042" s="11">
        <v>648.20000000000005</v>
      </c>
      <c r="L1042" s="12">
        <v>145.13999999999999</v>
      </c>
    </row>
    <row r="1043" spans="1:12" x14ac:dyDescent="0.2">
      <c r="A1043" s="9">
        <v>46240</v>
      </c>
      <c r="B1043" t="s">
        <v>528</v>
      </c>
      <c r="C1043" t="s">
        <v>529</v>
      </c>
      <c r="D1043" t="s">
        <v>46</v>
      </c>
      <c r="E1043" t="s">
        <v>649</v>
      </c>
      <c r="F1043" t="s">
        <v>663</v>
      </c>
      <c r="G1043" s="10">
        <v>53</v>
      </c>
      <c r="H1043" s="10">
        <v>2089</v>
      </c>
      <c r="I1043" s="10">
        <v>110717</v>
      </c>
      <c r="J1043" t="s">
        <v>37</v>
      </c>
      <c r="K1043" s="11">
        <v>648.20000000000005</v>
      </c>
      <c r="L1043" s="12">
        <v>170.81</v>
      </c>
    </row>
    <row r="1044" spans="1:12" x14ac:dyDescent="0.2">
      <c r="A1044" s="9">
        <v>46240</v>
      </c>
      <c r="B1044" t="s">
        <v>528</v>
      </c>
      <c r="C1044" t="s">
        <v>529</v>
      </c>
      <c r="D1044" t="s">
        <v>46</v>
      </c>
      <c r="E1044" t="s">
        <v>647</v>
      </c>
      <c r="F1044" t="s">
        <v>668</v>
      </c>
      <c r="G1044" s="10">
        <v>75</v>
      </c>
      <c r="H1044" s="10">
        <v>25931</v>
      </c>
      <c r="I1044" s="10">
        <v>1944825</v>
      </c>
      <c r="J1044" t="s">
        <v>37</v>
      </c>
      <c r="K1044" s="11">
        <v>648.20000000000005</v>
      </c>
      <c r="L1044" s="12">
        <v>3000.35</v>
      </c>
    </row>
    <row r="1045" spans="1:12" x14ac:dyDescent="0.2">
      <c r="A1045" s="9">
        <v>46240</v>
      </c>
      <c r="B1045" t="s">
        <v>531</v>
      </c>
      <c r="C1045" t="s">
        <v>532</v>
      </c>
      <c r="D1045" t="s">
        <v>50</v>
      </c>
      <c r="E1045" t="s">
        <v>653</v>
      </c>
      <c r="F1045" t="s">
        <v>658</v>
      </c>
      <c r="G1045" s="10">
        <v>29</v>
      </c>
      <c r="H1045" s="10">
        <v>2632</v>
      </c>
      <c r="I1045" s="10">
        <v>76328</v>
      </c>
      <c r="J1045" t="s">
        <v>51</v>
      </c>
      <c r="K1045" s="11">
        <v>648.20000000000005</v>
      </c>
      <c r="L1045" s="12">
        <v>117.75</v>
      </c>
    </row>
    <row r="1046" spans="1:12" x14ac:dyDescent="0.2">
      <c r="A1046" s="9">
        <v>46240</v>
      </c>
      <c r="B1046" t="s">
        <v>531</v>
      </c>
      <c r="C1046" t="s">
        <v>532</v>
      </c>
      <c r="D1046" t="s">
        <v>50</v>
      </c>
      <c r="E1046" t="s">
        <v>660</v>
      </c>
      <c r="F1046" t="s">
        <v>669</v>
      </c>
      <c r="G1046" s="10">
        <v>29</v>
      </c>
      <c r="H1046" s="10">
        <v>2514</v>
      </c>
      <c r="I1046" s="10">
        <v>72906</v>
      </c>
      <c r="J1046" t="s">
        <v>51</v>
      </c>
      <c r="K1046" s="11">
        <v>648.20000000000005</v>
      </c>
      <c r="L1046" s="12">
        <v>112.47</v>
      </c>
    </row>
    <row r="1047" spans="1:12" x14ac:dyDescent="0.2">
      <c r="A1047" s="9">
        <v>46240</v>
      </c>
      <c r="B1047" t="s">
        <v>537</v>
      </c>
      <c r="C1047" t="s">
        <v>538</v>
      </c>
      <c r="D1047" t="s">
        <v>68</v>
      </c>
      <c r="E1047" t="s">
        <v>660</v>
      </c>
      <c r="F1047" t="s">
        <v>669</v>
      </c>
      <c r="G1047" s="10">
        <v>18</v>
      </c>
      <c r="H1047" s="10">
        <v>2506</v>
      </c>
      <c r="I1047" s="10">
        <v>45108</v>
      </c>
      <c r="J1047" t="s">
        <v>51</v>
      </c>
      <c r="K1047" s="11">
        <v>648.20000000000005</v>
      </c>
      <c r="L1047" s="12">
        <v>69.59</v>
      </c>
    </row>
    <row r="1048" spans="1:12" x14ac:dyDescent="0.2">
      <c r="A1048" s="9">
        <v>46240</v>
      </c>
      <c r="B1048" t="s">
        <v>537</v>
      </c>
      <c r="C1048" t="s">
        <v>538</v>
      </c>
      <c r="D1048" t="s">
        <v>68</v>
      </c>
      <c r="E1048" t="s">
        <v>653</v>
      </c>
      <c r="F1048" t="s">
        <v>654</v>
      </c>
      <c r="G1048" s="10">
        <v>88</v>
      </c>
      <c r="H1048" s="10">
        <v>5550</v>
      </c>
      <c r="I1048" s="10">
        <v>488400</v>
      </c>
      <c r="J1048" t="s">
        <v>51</v>
      </c>
      <c r="K1048" s="11">
        <v>648.20000000000005</v>
      </c>
      <c r="L1048" s="12">
        <v>753.47</v>
      </c>
    </row>
    <row r="1049" spans="1:12" x14ac:dyDescent="0.2">
      <c r="A1049" s="9">
        <v>46240</v>
      </c>
      <c r="B1049" t="s">
        <v>537</v>
      </c>
      <c r="C1049" t="s">
        <v>538</v>
      </c>
      <c r="D1049" t="s">
        <v>68</v>
      </c>
      <c r="E1049" t="s">
        <v>647</v>
      </c>
      <c r="F1049" t="s">
        <v>668</v>
      </c>
      <c r="G1049" s="10">
        <v>178</v>
      </c>
      <c r="H1049" s="10">
        <v>25231</v>
      </c>
      <c r="I1049" s="10">
        <v>4491118</v>
      </c>
      <c r="J1049" t="s">
        <v>51</v>
      </c>
      <c r="K1049" s="11">
        <v>648.20000000000005</v>
      </c>
      <c r="L1049" s="12">
        <v>6928.6</v>
      </c>
    </row>
    <row r="1050" spans="1:12" x14ac:dyDescent="0.2">
      <c r="A1050" s="9">
        <v>46240</v>
      </c>
      <c r="B1050" t="s">
        <v>540</v>
      </c>
      <c r="C1050" t="s">
        <v>541</v>
      </c>
      <c r="D1050" t="s">
        <v>41</v>
      </c>
      <c r="E1050" t="s">
        <v>655</v>
      </c>
      <c r="F1050" t="s">
        <v>656</v>
      </c>
      <c r="G1050" s="10">
        <v>36</v>
      </c>
      <c r="H1050" s="10">
        <v>2800</v>
      </c>
      <c r="I1050" s="10">
        <v>100800</v>
      </c>
      <c r="J1050" t="s">
        <v>42</v>
      </c>
      <c r="K1050" s="11">
        <v>3145.8</v>
      </c>
      <c r="L1050" s="12">
        <v>32.04</v>
      </c>
    </row>
    <row r="1051" spans="1:12" x14ac:dyDescent="0.2">
      <c r="A1051" s="9">
        <v>46240</v>
      </c>
      <c r="B1051" t="s">
        <v>543</v>
      </c>
      <c r="C1051" t="s">
        <v>544</v>
      </c>
      <c r="D1051" t="s">
        <v>68</v>
      </c>
      <c r="E1051" t="s">
        <v>649</v>
      </c>
      <c r="F1051" t="s">
        <v>663</v>
      </c>
      <c r="G1051" s="10">
        <v>3</v>
      </c>
      <c r="H1051" s="10">
        <v>1958</v>
      </c>
      <c r="I1051" s="10">
        <v>5874</v>
      </c>
      <c r="J1051" t="s">
        <v>51</v>
      </c>
      <c r="K1051" s="11">
        <v>648.20000000000005</v>
      </c>
      <c r="L1051" s="12">
        <v>9.06</v>
      </c>
    </row>
    <row r="1052" spans="1:12" x14ac:dyDescent="0.2">
      <c r="A1052" s="9">
        <v>46240</v>
      </c>
      <c r="B1052" t="s">
        <v>552</v>
      </c>
      <c r="C1052" t="s">
        <v>553</v>
      </c>
      <c r="D1052" t="s">
        <v>41</v>
      </c>
      <c r="E1052" t="s">
        <v>649</v>
      </c>
      <c r="F1052" t="s">
        <v>650</v>
      </c>
      <c r="G1052" s="10">
        <v>8</v>
      </c>
      <c r="H1052" s="10">
        <v>93977</v>
      </c>
      <c r="I1052" s="10">
        <v>751816</v>
      </c>
      <c r="J1052" t="s">
        <v>42</v>
      </c>
      <c r="K1052" s="11">
        <v>3145.8</v>
      </c>
      <c r="L1052" s="12">
        <v>238.99</v>
      </c>
    </row>
    <row r="1053" spans="1:12" x14ac:dyDescent="0.2">
      <c r="A1053" s="9">
        <v>46240</v>
      </c>
      <c r="B1053" t="s">
        <v>552</v>
      </c>
      <c r="C1053" t="s">
        <v>553</v>
      </c>
      <c r="D1053" t="s">
        <v>41</v>
      </c>
      <c r="E1053" t="s">
        <v>647</v>
      </c>
      <c r="F1053" t="s">
        <v>668</v>
      </c>
      <c r="G1053" s="10">
        <v>2</v>
      </c>
      <c r="H1053" s="10">
        <v>126945</v>
      </c>
      <c r="I1053" s="10">
        <v>253890</v>
      </c>
      <c r="J1053" t="s">
        <v>42</v>
      </c>
      <c r="K1053" s="11">
        <v>3145.8</v>
      </c>
      <c r="L1053" s="12">
        <v>80.709999999999994</v>
      </c>
    </row>
    <row r="1054" spans="1:12" x14ac:dyDescent="0.2">
      <c r="A1054" s="9">
        <v>46240</v>
      </c>
      <c r="B1054" t="s">
        <v>555</v>
      </c>
      <c r="C1054" t="s">
        <v>556</v>
      </c>
      <c r="D1054" t="s">
        <v>41</v>
      </c>
      <c r="E1054" t="s">
        <v>649</v>
      </c>
      <c r="F1054" t="s">
        <v>659</v>
      </c>
      <c r="G1054" s="10">
        <v>1</v>
      </c>
      <c r="H1054" s="10">
        <v>44391</v>
      </c>
      <c r="I1054" s="10">
        <v>44391</v>
      </c>
      <c r="J1054" t="s">
        <v>42</v>
      </c>
      <c r="K1054" s="11">
        <v>3145.8</v>
      </c>
      <c r="L1054" s="12">
        <v>14.11</v>
      </c>
    </row>
    <row r="1055" spans="1:12" x14ac:dyDescent="0.2">
      <c r="A1055" s="9">
        <v>46240</v>
      </c>
      <c r="B1055" t="s">
        <v>555</v>
      </c>
      <c r="C1055" t="s">
        <v>556</v>
      </c>
      <c r="D1055" t="s">
        <v>41</v>
      </c>
      <c r="E1055" t="s">
        <v>655</v>
      </c>
      <c r="F1055" t="s">
        <v>662</v>
      </c>
      <c r="G1055" s="10">
        <v>5</v>
      </c>
      <c r="H1055" s="10">
        <v>5549</v>
      </c>
      <c r="I1055" s="10">
        <v>27745</v>
      </c>
      <c r="J1055" t="s">
        <v>42</v>
      </c>
      <c r="K1055" s="11">
        <v>3145.8</v>
      </c>
      <c r="L1055" s="12">
        <v>8.82</v>
      </c>
    </row>
    <row r="1056" spans="1:12" x14ac:dyDescent="0.2">
      <c r="A1056" s="9">
        <v>46240</v>
      </c>
      <c r="B1056" t="s">
        <v>561</v>
      </c>
      <c r="C1056" t="s">
        <v>562</v>
      </c>
      <c r="D1056" t="s">
        <v>46</v>
      </c>
      <c r="E1056" t="s">
        <v>655</v>
      </c>
      <c r="F1056" t="s">
        <v>665</v>
      </c>
      <c r="G1056" s="10">
        <v>85</v>
      </c>
      <c r="H1056" s="10">
        <v>696</v>
      </c>
      <c r="I1056" s="10">
        <v>59160</v>
      </c>
      <c r="J1056" t="s">
        <v>37</v>
      </c>
      <c r="K1056" s="11">
        <v>648.20000000000005</v>
      </c>
      <c r="L1056" s="12">
        <v>91.27</v>
      </c>
    </row>
    <row r="1057" spans="1:12" x14ac:dyDescent="0.2">
      <c r="A1057" s="9">
        <v>46240</v>
      </c>
      <c r="B1057" t="s">
        <v>564</v>
      </c>
      <c r="C1057" t="s">
        <v>565</v>
      </c>
      <c r="D1057" t="s">
        <v>41</v>
      </c>
      <c r="E1057" t="s">
        <v>660</v>
      </c>
      <c r="F1057" t="s">
        <v>669</v>
      </c>
      <c r="G1057" s="10">
        <v>26</v>
      </c>
      <c r="H1057" s="10">
        <v>13039</v>
      </c>
      <c r="I1057" s="10">
        <v>339014</v>
      </c>
      <c r="J1057" t="s">
        <v>42</v>
      </c>
      <c r="K1057" s="11">
        <v>3145.8</v>
      </c>
      <c r="L1057" s="12">
        <v>107.77</v>
      </c>
    </row>
    <row r="1058" spans="1:12" x14ac:dyDescent="0.2">
      <c r="A1058" s="9">
        <v>46240</v>
      </c>
      <c r="B1058" t="s">
        <v>564</v>
      </c>
      <c r="C1058" t="s">
        <v>565</v>
      </c>
      <c r="D1058" t="s">
        <v>41</v>
      </c>
      <c r="E1058" t="s">
        <v>653</v>
      </c>
      <c r="F1058" t="s">
        <v>654</v>
      </c>
      <c r="G1058" s="10">
        <v>31</v>
      </c>
      <c r="H1058" s="10">
        <v>26597</v>
      </c>
      <c r="I1058" s="10">
        <v>824507</v>
      </c>
      <c r="J1058" t="s">
        <v>42</v>
      </c>
      <c r="K1058" s="11">
        <v>3145.8</v>
      </c>
      <c r="L1058" s="12">
        <v>262.10000000000002</v>
      </c>
    </row>
    <row r="1059" spans="1:12" x14ac:dyDescent="0.2">
      <c r="A1059" s="9">
        <v>46240</v>
      </c>
      <c r="B1059" t="s">
        <v>564</v>
      </c>
      <c r="C1059" t="s">
        <v>565</v>
      </c>
      <c r="D1059" t="s">
        <v>41</v>
      </c>
      <c r="E1059" t="s">
        <v>647</v>
      </c>
      <c r="F1059" t="s">
        <v>648</v>
      </c>
      <c r="G1059" s="10">
        <v>37</v>
      </c>
      <c r="H1059" s="10">
        <v>79711</v>
      </c>
      <c r="I1059" s="10">
        <v>2949307</v>
      </c>
      <c r="J1059" t="s">
        <v>42</v>
      </c>
      <c r="K1059" s="11">
        <v>3145.8</v>
      </c>
      <c r="L1059" s="12">
        <v>937.54</v>
      </c>
    </row>
    <row r="1060" spans="1:12" x14ac:dyDescent="0.2">
      <c r="A1060" s="9">
        <v>46240</v>
      </c>
      <c r="B1060" t="s">
        <v>564</v>
      </c>
      <c r="C1060" t="s">
        <v>565</v>
      </c>
      <c r="D1060" t="s">
        <v>41</v>
      </c>
      <c r="E1060" t="s">
        <v>655</v>
      </c>
      <c r="F1060" t="s">
        <v>656</v>
      </c>
      <c r="G1060" s="10">
        <v>16</v>
      </c>
      <c r="H1060" s="10">
        <v>2765</v>
      </c>
      <c r="I1060" s="10">
        <v>44240</v>
      </c>
      <c r="J1060" t="s">
        <v>42</v>
      </c>
      <c r="K1060" s="11">
        <v>3145.8</v>
      </c>
      <c r="L1060" s="12">
        <v>14.06</v>
      </c>
    </row>
    <row r="1061" spans="1:12" x14ac:dyDescent="0.2">
      <c r="A1061" s="9">
        <v>46240</v>
      </c>
      <c r="B1061" t="s">
        <v>567</v>
      </c>
      <c r="C1061" t="s">
        <v>568</v>
      </c>
      <c r="D1061" t="s">
        <v>41</v>
      </c>
      <c r="E1061" t="s">
        <v>651</v>
      </c>
      <c r="F1061" t="s">
        <v>652</v>
      </c>
      <c r="G1061" s="10">
        <v>16</v>
      </c>
      <c r="H1061" s="10">
        <v>45461</v>
      </c>
      <c r="I1061" s="10">
        <v>727376</v>
      </c>
      <c r="J1061" t="s">
        <v>42</v>
      </c>
      <c r="K1061" s="11">
        <v>3145.8</v>
      </c>
      <c r="L1061" s="12">
        <v>231.22</v>
      </c>
    </row>
    <row r="1062" spans="1:12" x14ac:dyDescent="0.2">
      <c r="A1062" s="9">
        <v>46240</v>
      </c>
      <c r="B1062" t="s">
        <v>567</v>
      </c>
      <c r="C1062" t="s">
        <v>568</v>
      </c>
      <c r="D1062" t="s">
        <v>41</v>
      </c>
      <c r="E1062" t="s">
        <v>649</v>
      </c>
      <c r="F1062" t="s">
        <v>659</v>
      </c>
      <c r="G1062" s="10">
        <v>16</v>
      </c>
      <c r="H1062" s="10">
        <v>44406</v>
      </c>
      <c r="I1062" s="10">
        <v>710496</v>
      </c>
      <c r="J1062" t="s">
        <v>42</v>
      </c>
      <c r="K1062" s="11">
        <v>3145.8</v>
      </c>
      <c r="L1062" s="12">
        <v>225.86</v>
      </c>
    </row>
    <row r="1063" spans="1:12" x14ac:dyDescent="0.2">
      <c r="A1063" s="9">
        <v>46240</v>
      </c>
      <c r="B1063" t="s">
        <v>567</v>
      </c>
      <c r="C1063" t="s">
        <v>568</v>
      </c>
      <c r="D1063" t="s">
        <v>41</v>
      </c>
      <c r="E1063" t="s">
        <v>660</v>
      </c>
      <c r="F1063" t="s">
        <v>661</v>
      </c>
      <c r="G1063" s="10">
        <v>31</v>
      </c>
      <c r="H1063" s="10">
        <v>20604</v>
      </c>
      <c r="I1063" s="10">
        <v>638724</v>
      </c>
      <c r="J1063" t="s">
        <v>42</v>
      </c>
      <c r="K1063" s="11">
        <v>3145.8</v>
      </c>
      <c r="L1063" s="12">
        <v>203.04</v>
      </c>
    </row>
    <row r="1064" spans="1:12" x14ac:dyDescent="0.2">
      <c r="A1064" s="9">
        <v>46240</v>
      </c>
      <c r="B1064" t="s">
        <v>567</v>
      </c>
      <c r="C1064" t="s">
        <v>568</v>
      </c>
      <c r="D1064" t="s">
        <v>41</v>
      </c>
      <c r="E1064" t="s">
        <v>660</v>
      </c>
      <c r="F1064" t="s">
        <v>661</v>
      </c>
      <c r="G1064" s="10">
        <v>97</v>
      </c>
      <c r="H1064" s="10">
        <v>20701</v>
      </c>
      <c r="I1064" s="10">
        <v>2007997</v>
      </c>
      <c r="J1064" t="s">
        <v>42</v>
      </c>
      <c r="K1064" s="11">
        <v>3145.8</v>
      </c>
      <c r="L1064" s="12">
        <v>638.30999999999995</v>
      </c>
    </row>
    <row r="1065" spans="1:12" x14ac:dyDescent="0.2">
      <c r="A1065" s="9">
        <v>46240</v>
      </c>
      <c r="B1065" t="s">
        <v>567</v>
      </c>
      <c r="C1065" t="s">
        <v>568</v>
      </c>
      <c r="D1065" t="s">
        <v>41</v>
      </c>
      <c r="E1065" t="s">
        <v>647</v>
      </c>
      <c r="F1065" t="s">
        <v>667</v>
      </c>
      <c r="G1065" s="10">
        <v>45</v>
      </c>
      <c r="H1065" s="10">
        <v>34452</v>
      </c>
      <c r="I1065" s="10">
        <v>1550340</v>
      </c>
      <c r="J1065" t="s">
        <v>42</v>
      </c>
      <c r="K1065" s="11">
        <v>3145.8</v>
      </c>
      <c r="L1065" s="12">
        <v>492.83</v>
      </c>
    </row>
    <row r="1066" spans="1:12" x14ac:dyDescent="0.2">
      <c r="A1066" s="9">
        <v>46240</v>
      </c>
      <c r="B1066" t="s">
        <v>570</v>
      </c>
      <c r="C1066" t="s">
        <v>571</v>
      </c>
      <c r="D1066" t="s">
        <v>68</v>
      </c>
      <c r="E1066" t="s">
        <v>649</v>
      </c>
      <c r="F1066" t="s">
        <v>659</v>
      </c>
      <c r="G1066" s="10">
        <v>30</v>
      </c>
      <c r="H1066" s="10">
        <v>9020</v>
      </c>
      <c r="I1066" s="10">
        <v>270600</v>
      </c>
      <c r="J1066" t="s">
        <v>51</v>
      </c>
      <c r="K1066" s="11">
        <v>648.20000000000005</v>
      </c>
      <c r="L1066" s="12">
        <v>417.46</v>
      </c>
    </row>
    <row r="1067" spans="1:12" x14ac:dyDescent="0.2">
      <c r="A1067" s="9">
        <v>46240</v>
      </c>
      <c r="B1067" t="s">
        <v>570</v>
      </c>
      <c r="C1067" t="s">
        <v>571</v>
      </c>
      <c r="D1067" t="s">
        <v>68</v>
      </c>
      <c r="E1067" t="s">
        <v>651</v>
      </c>
      <c r="F1067" t="s">
        <v>664</v>
      </c>
      <c r="G1067" s="10">
        <v>23</v>
      </c>
      <c r="H1067" s="10">
        <v>11539</v>
      </c>
      <c r="I1067" s="10">
        <v>265397</v>
      </c>
      <c r="J1067" t="s">
        <v>51</v>
      </c>
      <c r="K1067" s="11">
        <v>648.20000000000005</v>
      </c>
      <c r="L1067" s="12">
        <v>409.44</v>
      </c>
    </row>
    <row r="1068" spans="1:12" x14ac:dyDescent="0.2">
      <c r="A1068" s="9">
        <v>46240</v>
      </c>
      <c r="B1068" t="s">
        <v>579</v>
      </c>
      <c r="C1068" t="s">
        <v>580</v>
      </c>
      <c r="D1068" t="s">
        <v>75</v>
      </c>
      <c r="E1068" t="s">
        <v>660</v>
      </c>
      <c r="F1068" t="s">
        <v>670</v>
      </c>
      <c r="G1068" s="10">
        <v>2</v>
      </c>
      <c r="H1068" s="10">
        <v>70759</v>
      </c>
      <c r="I1068" s="10">
        <v>141518</v>
      </c>
      <c r="J1068" t="s">
        <v>42</v>
      </c>
      <c r="K1068" s="11">
        <v>3145.8</v>
      </c>
      <c r="L1068" s="12">
        <v>44.99</v>
      </c>
    </row>
    <row r="1069" spans="1:12" x14ac:dyDescent="0.2">
      <c r="A1069" s="9">
        <v>46240</v>
      </c>
      <c r="B1069" t="s">
        <v>579</v>
      </c>
      <c r="C1069" t="s">
        <v>580</v>
      </c>
      <c r="D1069" t="s">
        <v>75</v>
      </c>
      <c r="E1069" t="s">
        <v>647</v>
      </c>
      <c r="F1069" t="s">
        <v>668</v>
      </c>
      <c r="G1069" s="10">
        <v>5</v>
      </c>
      <c r="H1069" s="10">
        <v>121584</v>
      </c>
      <c r="I1069" s="10">
        <v>607920</v>
      </c>
      <c r="J1069" t="s">
        <v>42</v>
      </c>
      <c r="K1069" s="11">
        <v>3145.8</v>
      </c>
      <c r="L1069" s="12">
        <v>193.25</v>
      </c>
    </row>
    <row r="1070" spans="1:12" x14ac:dyDescent="0.2">
      <c r="A1070" s="9">
        <v>46240</v>
      </c>
      <c r="B1070" t="s">
        <v>582</v>
      </c>
      <c r="C1070" t="s">
        <v>583</v>
      </c>
      <c r="D1070" t="s">
        <v>36</v>
      </c>
      <c r="E1070" t="s">
        <v>649</v>
      </c>
      <c r="F1070" t="s">
        <v>650</v>
      </c>
      <c r="G1070" s="10">
        <v>12</v>
      </c>
      <c r="H1070" s="10">
        <v>19865</v>
      </c>
      <c r="I1070" s="10">
        <v>238380</v>
      </c>
      <c r="J1070" t="s">
        <v>37</v>
      </c>
      <c r="K1070" s="11">
        <v>648.20000000000005</v>
      </c>
      <c r="L1070" s="12">
        <v>367.76</v>
      </c>
    </row>
    <row r="1071" spans="1:12" x14ac:dyDescent="0.2">
      <c r="A1071" s="9">
        <v>46240</v>
      </c>
      <c r="B1071" t="s">
        <v>582</v>
      </c>
      <c r="C1071" t="s">
        <v>583</v>
      </c>
      <c r="D1071" t="s">
        <v>36</v>
      </c>
      <c r="E1071" t="s">
        <v>649</v>
      </c>
      <c r="F1071" t="s">
        <v>663</v>
      </c>
      <c r="G1071" s="10">
        <v>10</v>
      </c>
      <c r="H1071" s="10">
        <v>2051</v>
      </c>
      <c r="I1071" s="10">
        <v>20510</v>
      </c>
      <c r="J1071" t="s">
        <v>37</v>
      </c>
      <c r="K1071" s="11">
        <v>648.20000000000005</v>
      </c>
      <c r="L1071" s="12">
        <v>31.64</v>
      </c>
    </row>
    <row r="1072" spans="1:12" x14ac:dyDescent="0.2">
      <c r="A1072" s="9">
        <v>46240</v>
      </c>
      <c r="B1072" t="s">
        <v>582</v>
      </c>
      <c r="C1072" t="s">
        <v>583</v>
      </c>
      <c r="D1072" t="s">
        <v>36</v>
      </c>
      <c r="E1072" t="s">
        <v>647</v>
      </c>
      <c r="F1072" t="s">
        <v>667</v>
      </c>
      <c r="G1072" s="10">
        <v>24</v>
      </c>
      <c r="H1072" s="10">
        <v>7174</v>
      </c>
      <c r="I1072" s="10">
        <v>172176</v>
      </c>
      <c r="J1072" t="s">
        <v>37</v>
      </c>
      <c r="K1072" s="11">
        <v>648.20000000000005</v>
      </c>
      <c r="L1072" s="12">
        <v>265.62</v>
      </c>
    </row>
    <row r="1073" spans="1:12" x14ac:dyDescent="0.2">
      <c r="A1073" s="9">
        <v>46240</v>
      </c>
      <c r="B1073" t="s">
        <v>590</v>
      </c>
      <c r="C1073" t="s">
        <v>591</v>
      </c>
      <c r="D1073" t="s">
        <v>41</v>
      </c>
      <c r="E1073" t="s">
        <v>660</v>
      </c>
      <c r="F1073" t="s">
        <v>661</v>
      </c>
      <c r="G1073" s="10">
        <v>3</v>
      </c>
      <c r="H1073" s="10">
        <v>20784</v>
      </c>
      <c r="I1073" s="10">
        <v>62352</v>
      </c>
      <c r="J1073" t="s">
        <v>42</v>
      </c>
      <c r="K1073" s="11">
        <v>3145.8</v>
      </c>
      <c r="L1073" s="12">
        <v>19.82</v>
      </c>
    </row>
    <row r="1074" spans="1:12" x14ac:dyDescent="0.2">
      <c r="A1074" s="9">
        <v>46240</v>
      </c>
      <c r="B1074" t="s">
        <v>590</v>
      </c>
      <c r="C1074" t="s">
        <v>591</v>
      </c>
      <c r="D1074" t="s">
        <v>41</v>
      </c>
      <c r="E1074" t="s">
        <v>647</v>
      </c>
      <c r="F1074" t="s">
        <v>648</v>
      </c>
      <c r="G1074" s="10">
        <v>1</v>
      </c>
      <c r="H1074" s="10">
        <v>81046</v>
      </c>
      <c r="I1074" s="10">
        <v>81046</v>
      </c>
      <c r="J1074" t="s">
        <v>42</v>
      </c>
      <c r="K1074" s="11">
        <v>3145.8</v>
      </c>
      <c r="L1074" s="12">
        <v>25.76</v>
      </c>
    </row>
    <row r="1075" spans="1:12" x14ac:dyDescent="0.2">
      <c r="A1075" s="9">
        <v>46240</v>
      </c>
      <c r="B1075" t="s">
        <v>590</v>
      </c>
      <c r="C1075" t="s">
        <v>591</v>
      </c>
      <c r="D1075" t="s">
        <v>41</v>
      </c>
      <c r="E1075" t="s">
        <v>655</v>
      </c>
      <c r="F1075" t="s">
        <v>665</v>
      </c>
      <c r="G1075" s="10">
        <v>27</v>
      </c>
      <c r="H1075" s="10">
        <v>3358</v>
      </c>
      <c r="I1075" s="10">
        <v>90666</v>
      </c>
      <c r="J1075" t="s">
        <v>42</v>
      </c>
      <c r="K1075" s="11">
        <v>3145.8</v>
      </c>
      <c r="L1075" s="12">
        <v>28.82</v>
      </c>
    </row>
    <row r="1076" spans="1:12" x14ac:dyDescent="0.2">
      <c r="A1076" s="9">
        <v>46240</v>
      </c>
      <c r="B1076" t="s">
        <v>593</v>
      </c>
      <c r="C1076" t="s">
        <v>594</v>
      </c>
      <c r="D1076" t="s">
        <v>50</v>
      </c>
      <c r="E1076" t="s">
        <v>651</v>
      </c>
      <c r="F1076" t="s">
        <v>664</v>
      </c>
      <c r="G1076" s="10">
        <v>4</v>
      </c>
      <c r="H1076" s="10">
        <v>11460</v>
      </c>
      <c r="I1076" s="10">
        <v>45840</v>
      </c>
      <c r="J1076" t="s">
        <v>51</v>
      </c>
      <c r="K1076" s="11">
        <v>648.20000000000005</v>
      </c>
      <c r="L1076" s="12">
        <v>70.72</v>
      </c>
    </row>
    <row r="1077" spans="1:12" x14ac:dyDescent="0.2">
      <c r="A1077" s="9">
        <v>46240</v>
      </c>
      <c r="B1077" t="s">
        <v>596</v>
      </c>
      <c r="C1077" t="s">
        <v>597</v>
      </c>
      <c r="D1077" t="s">
        <v>50</v>
      </c>
      <c r="E1077" t="s">
        <v>647</v>
      </c>
      <c r="F1077" t="s">
        <v>648</v>
      </c>
      <c r="G1077" s="10">
        <v>7</v>
      </c>
      <c r="H1077" s="10">
        <v>16323</v>
      </c>
      <c r="I1077" s="10">
        <v>114261</v>
      </c>
      <c r="J1077" t="s">
        <v>51</v>
      </c>
      <c r="K1077" s="11">
        <v>648.20000000000005</v>
      </c>
      <c r="L1077" s="12">
        <v>176.27</v>
      </c>
    </row>
    <row r="1078" spans="1:12" x14ac:dyDescent="0.2">
      <c r="A1078" s="9">
        <v>46240</v>
      </c>
      <c r="B1078" t="s">
        <v>599</v>
      </c>
      <c r="C1078" t="s">
        <v>600</v>
      </c>
      <c r="D1078" t="s">
        <v>75</v>
      </c>
      <c r="E1078" t="s">
        <v>660</v>
      </c>
      <c r="F1078" t="s">
        <v>669</v>
      </c>
      <c r="G1078" s="10">
        <v>5</v>
      </c>
      <c r="H1078" s="10">
        <v>12215</v>
      </c>
      <c r="I1078" s="10">
        <v>61075</v>
      </c>
      <c r="J1078" t="s">
        <v>42</v>
      </c>
      <c r="K1078" s="11">
        <v>3145.8</v>
      </c>
      <c r="L1078" s="12">
        <v>19.41</v>
      </c>
    </row>
    <row r="1079" spans="1:12" x14ac:dyDescent="0.2">
      <c r="A1079" s="9">
        <v>46240</v>
      </c>
      <c r="B1079" t="s">
        <v>602</v>
      </c>
      <c r="C1079" t="s">
        <v>603</v>
      </c>
      <c r="D1079" t="s">
        <v>50</v>
      </c>
      <c r="E1079" t="s">
        <v>647</v>
      </c>
      <c r="F1079" t="s">
        <v>648</v>
      </c>
      <c r="G1079" s="10">
        <v>32</v>
      </c>
      <c r="H1079" s="10">
        <v>16302</v>
      </c>
      <c r="I1079" s="10">
        <v>521664</v>
      </c>
      <c r="J1079" t="s">
        <v>51</v>
      </c>
      <c r="K1079" s="11">
        <v>648.20000000000005</v>
      </c>
      <c r="L1079" s="12">
        <v>804.79</v>
      </c>
    </row>
    <row r="1080" spans="1:12" x14ac:dyDescent="0.2">
      <c r="A1080" s="9">
        <v>46240</v>
      </c>
      <c r="B1080" t="s">
        <v>602</v>
      </c>
      <c r="C1080" t="s">
        <v>603</v>
      </c>
      <c r="D1080" t="s">
        <v>50</v>
      </c>
      <c r="E1080" t="s">
        <v>647</v>
      </c>
      <c r="F1080" t="s">
        <v>667</v>
      </c>
      <c r="G1080" s="10">
        <v>18</v>
      </c>
      <c r="H1080" s="10">
        <v>7201</v>
      </c>
      <c r="I1080" s="10">
        <v>129618</v>
      </c>
      <c r="J1080" t="s">
        <v>51</v>
      </c>
      <c r="K1080" s="11">
        <v>648.20000000000005</v>
      </c>
      <c r="L1080" s="12">
        <v>199.97</v>
      </c>
    </row>
    <row r="1081" spans="1:12" x14ac:dyDescent="0.2">
      <c r="A1081" s="9">
        <v>46240</v>
      </c>
      <c r="B1081" t="s">
        <v>602</v>
      </c>
      <c r="C1081" t="s">
        <v>603</v>
      </c>
      <c r="D1081" t="s">
        <v>50</v>
      </c>
      <c r="E1081" t="s">
        <v>651</v>
      </c>
      <c r="F1081" t="s">
        <v>664</v>
      </c>
      <c r="G1081" s="10">
        <v>13</v>
      </c>
      <c r="H1081" s="10">
        <v>11644</v>
      </c>
      <c r="I1081" s="10">
        <v>151372</v>
      </c>
      <c r="J1081" t="s">
        <v>51</v>
      </c>
      <c r="K1081" s="11">
        <v>648.20000000000005</v>
      </c>
      <c r="L1081" s="12">
        <v>233.53</v>
      </c>
    </row>
    <row r="1082" spans="1:12" x14ac:dyDescent="0.2">
      <c r="A1082" s="9">
        <v>46240</v>
      </c>
      <c r="B1082" t="s">
        <v>605</v>
      </c>
      <c r="C1082" t="s">
        <v>606</v>
      </c>
      <c r="D1082" t="s">
        <v>68</v>
      </c>
      <c r="E1082" t="s">
        <v>653</v>
      </c>
      <c r="F1082" t="s">
        <v>658</v>
      </c>
      <c r="G1082" s="10">
        <v>6</v>
      </c>
      <c r="H1082" s="10">
        <v>2806</v>
      </c>
      <c r="I1082" s="10">
        <v>16836</v>
      </c>
      <c r="J1082" t="s">
        <v>51</v>
      </c>
      <c r="K1082" s="11">
        <v>648.20000000000005</v>
      </c>
      <c r="L1082" s="12">
        <v>25.97</v>
      </c>
    </row>
    <row r="1083" spans="1:12" x14ac:dyDescent="0.2">
      <c r="A1083" s="9">
        <v>46240</v>
      </c>
      <c r="B1083" t="s">
        <v>605</v>
      </c>
      <c r="C1083" t="s">
        <v>606</v>
      </c>
      <c r="D1083" t="s">
        <v>68</v>
      </c>
      <c r="E1083" t="s">
        <v>647</v>
      </c>
      <c r="F1083" t="s">
        <v>648</v>
      </c>
      <c r="G1083" s="10">
        <v>9</v>
      </c>
      <c r="H1083" s="10">
        <v>16569</v>
      </c>
      <c r="I1083" s="10">
        <v>149121</v>
      </c>
      <c r="J1083" t="s">
        <v>51</v>
      </c>
      <c r="K1083" s="11">
        <v>648.20000000000005</v>
      </c>
      <c r="L1083" s="12">
        <v>230.05</v>
      </c>
    </row>
    <row r="1084" spans="1:12" x14ac:dyDescent="0.2">
      <c r="A1084" s="9">
        <v>46240</v>
      </c>
      <c r="B1084" t="s">
        <v>611</v>
      </c>
      <c r="C1084" t="s">
        <v>612</v>
      </c>
      <c r="D1084" t="s">
        <v>41</v>
      </c>
      <c r="E1084" t="s">
        <v>660</v>
      </c>
      <c r="F1084" t="s">
        <v>670</v>
      </c>
      <c r="G1084" s="10">
        <v>1</v>
      </c>
      <c r="H1084" s="10">
        <v>72475</v>
      </c>
      <c r="I1084" s="10">
        <v>72475</v>
      </c>
      <c r="J1084" t="s">
        <v>42</v>
      </c>
      <c r="K1084" s="11">
        <v>3145.8</v>
      </c>
      <c r="L1084" s="12">
        <v>23.04</v>
      </c>
    </row>
    <row r="1085" spans="1:12" x14ac:dyDescent="0.2">
      <c r="A1085" s="9">
        <v>46240</v>
      </c>
      <c r="B1085" t="s">
        <v>614</v>
      </c>
      <c r="C1085" t="s">
        <v>615</v>
      </c>
      <c r="D1085" t="s">
        <v>68</v>
      </c>
      <c r="E1085" t="s">
        <v>647</v>
      </c>
      <c r="F1085" t="s">
        <v>668</v>
      </c>
      <c r="G1085" s="10">
        <v>12</v>
      </c>
      <c r="H1085" s="10">
        <v>24796</v>
      </c>
      <c r="I1085" s="10">
        <v>297552</v>
      </c>
      <c r="J1085" t="s">
        <v>51</v>
      </c>
      <c r="K1085" s="11">
        <v>648.20000000000005</v>
      </c>
      <c r="L1085" s="12">
        <v>459.04</v>
      </c>
    </row>
    <row r="1086" spans="1:12" x14ac:dyDescent="0.2">
      <c r="A1086" s="9">
        <v>46240</v>
      </c>
      <c r="B1086" t="s">
        <v>617</v>
      </c>
      <c r="C1086" t="s">
        <v>618</v>
      </c>
      <c r="D1086" t="s">
        <v>75</v>
      </c>
      <c r="E1086" t="s">
        <v>649</v>
      </c>
      <c r="F1086" t="s">
        <v>650</v>
      </c>
      <c r="G1086" s="10">
        <v>9</v>
      </c>
      <c r="H1086" s="10">
        <v>91232</v>
      </c>
      <c r="I1086" s="10">
        <v>821088</v>
      </c>
      <c r="J1086" t="s">
        <v>42</v>
      </c>
      <c r="K1086" s="11">
        <v>3145.8</v>
      </c>
      <c r="L1086" s="12">
        <v>261.01</v>
      </c>
    </row>
    <row r="1087" spans="1:12" x14ac:dyDescent="0.2">
      <c r="A1087" s="9">
        <v>46240</v>
      </c>
      <c r="B1087" t="s">
        <v>617</v>
      </c>
      <c r="C1087" t="s">
        <v>618</v>
      </c>
      <c r="D1087" t="s">
        <v>75</v>
      </c>
      <c r="E1087" t="s">
        <v>660</v>
      </c>
      <c r="F1087" t="s">
        <v>661</v>
      </c>
      <c r="G1087" s="10">
        <v>4</v>
      </c>
      <c r="H1087" s="10">
        <v>20846</v>
      </c>
      <c r="I1087" s="10">
        <v>83384</v>
      </c>
      <c r="J1087" t="s">
        <v>42</v>
      </c>
      <c r="K1087" s="11">
        <v>3145.8</v>
      </c>
      <c r="L1087" s="12">
        <v>26.51</v>
      </c>
    </row>
    <row r="1088" spans="1:12" x14ac:dyDescent="0.2">
      <c r="A1088" s="9">
        <v>46240</v>
      </c>
      <c r="B1088" t="s">
        <v>623</v>
      </c>
      <c r="C1088" t="s">
        <v>624</v>
      </c>
      <c r="D1088" t="s">
        <v>68</v>
      </c>
      <c r="E1088" t="s">
        <v>655</v>
      </c>
      <c r="F1088" t="s">
        <v>662</v>
      </c>
      <c r="G1088" s="10">
        <v>13</v>
      </c>
      <c r="H1088" s="10">
        <v>1120</v>
      </c>
      <c r="I1088" s="10">
        <v>14560</v>
      </c>
      <c r="J1088" t="s">
        <v>51</v>
      </c>
      <c r="K1088" s="11">
        <v>648.20000000000005</v>
      </c>
      <c r="L1088" s="12">
        <v>22.46</v>
      </c>
    </row>
    <row r="1089" spans="1:12" x14ac:dyDescent="0.2">
      <c r="A1089" s="9">
        <v>46240</v>
      </c>
      <c r="B1089" t="s">
        <v>626</v>
      </c>
      <c r="C1089" t="s">
        <v>627</v>
      </c>
      <c r="D1089" t="s">
        <v>50</v>
      </c>
      <c r="E1089" t="s">
        <v>660</v>
      </c>
      <c r="F1089" t="s">
        <v>669</v>
      </c>
      <c r="G1089" s="10">
        <v>7</v>
      </c>
      <c r="H1089" s="10">
        <v>2592</v>
      </c>
      <c r="I1089" s="10">
        <v>18144</v>
      </c>
      <c r="J1089" t="s">
        <v>51</v>
      </c>
      <c r="K1089" s="11">
        <v>648.20000000000005</v>
      </c>
      <c r="L1089" s="12">
        <v>27.99</v>
      </c>
    </row>
    <row r="1090" spans="1:12" x14ac:dyDescent="0.2">
      <c r="A1090" s="9">
        <v>46240</v>
      </c>
      <c r="B1090" t="s">
        <v>635</v>
      </c>
      <c r="C1090" t="s">
        <v>636</v>
      </c>
      <c r="D1090" t="s">
        <v>41</v>
      </c>
      <c r="E1090" t="s">
        <v>649</v>
      </c>
      <c r="F1090" t="s">
        <v>650</v>
      </c>
      <c r="G1090" s="10">
        <v>6</v>
      </c>
      <c r="H1090" s="10">
        <v>94627</v>
      </c>
      <c r="I1090" s="10">
        <v>567762</v>
      </c>
      <c r="J1090" t="s">
        <v>42</v>
      </c>
      <c r="K1090" s="11">
        <v>3145.8</v>
      </c>
      <c r="L1090" s="12">
        <v>180.48</v>
      </c>
    </row>
    <row r="1091" spans="1:12" x14ac:dyDescent="0.2">
      <c r="A1091" s="9">
        <v>46241</v>
      </c>
      <c r="B1091" t="s">
        <v>34</v>
      </c>
      <c r="C1091" t="s">
        <v>35</v>
      </c>
      <c r="D1091" t="s">
        <v>36</v>
      </c>
      <c r="E1091" t="s">
        <v>653</v>
      </c>
      <c r="F1091" t="s">
        <v>658</v>
      </c>
      <c r="G1091" s="10">
        <v>25</v>
      </c>
      <c r="H1091" s="10">
        <v>2684</v>
      </c>
      <c r="I1091" s="10">
        <v>67100</v>
      </c>
      <c r="J1091" t="s">
        <v>37</v>
      </c>
      <c r="K1091" s="11">
        <v>648.20000000000005</v>
      </c>
      <c r="L1091" s="12">
        <v>103.52</v>
      </c>
    </row>
    <row r="1092" spans="1:12" x14ac:dyDescent="0.2">
      <c r="A1092" s="9">
        <v>46241</v>
      </c>
      <c r="B1092" t="s">
        <v>39</v>
      </c>
      <c r="C1092" t="s">
        <v>40</v>
      </c>
      <c r="D1092" t="s">
        <v>41</v>
      </c>
      <c r="E1092" t="s">
        <v>660</v>
      </c>
      <c r="F1092" t="s">
        <v>670</v>
      </c>
      <c r="G1092" s="10">
        <v>2</v>
      </c>
      <c r="H1092" s="10">
        <v>67749</v>
      </c>
      <c r="I1092" s="10">
        <v>135498</v>
      </c>
      <c r="J1092" t="s">
        <v>42</v>
      </c>
      <c r="K1092" s="11">
        <v>3145.8</v>
      </c>
      <c r="L1092" s="12">
        <v>43.07</v>
      </c>
    </row>
    <row r="1093" spans="1:12" x14ac:dyDescent="0.2">
      <c r="A1093" s="9">
        <v>46241</v>
      </c>
      <c r="B1093" t="s">
        <v>56</v>
      </c>
      <c r="C1093" t="s">
        <v>57</v>
      </c>
      <c r="D1093" t="s">
        <v>46</v>
      </c>
      <c r="E1093" t="s">
        <v>651</v>
      </c>
      <c r="F1093" t="s">
        <v>657</v>
      </c>
      <c r="G1093" s="10">
        <v>8</v>
      </c>
      <c r="H1093" s="10">
        <v>6662</v>
      </c>
      <c r="I1093" s="10">
        <v>53296</v>
      </c>
      <c r="J1093" t="s">
        <v>37</v>
      </c>
      <c r="K1093" s="11">
        <v>648.20000000000005</v>
      </c>
      <c r="L1093" s="12">
        <v>82.22</v>
      </c>
    </row>
    <row r="1094" spans="1:12" x14ac:dyDescent="0.2">
      <c r="A1094" s="9">
        <v>46241</v>
      </c>
      <c r="B1094" t="s">
        <v>56</v>
      </c>
      <c r="C1094" t="s">
        <v>57</v>
      </c>
      <c r="D1094" t="s">
        <v>46</v>
      </c>
      <c r="E1094" t="s">
        <v>651</v>
      </c>
      <c r="F1094" t="s">
        <v>664</v>
      </c>
      <c r="G1094" s="10">
        <v>1</v>
      </c>
      <c r="H1094" s="10">
        <v>11688</v>
      </c>
      <c r="I1094" s="10">
        <v>11688</v>
      </c>
      <c r="J1094" t="s">
        <v>37</v>
      </c>
      <c r="K1094" s="11">
        <v>648.20000000000005</v>
      </c>
      <c r="L1094" s="12">
        <v>18.03</v>
      </c>
    </row>
    <row r="1095" spans="1:12" x14ac:dyDescent="0.2">
      <c r="A1095" s="9">
        <v>46241</v>
      </c>
      <c r="B1095" t="s">
        <v>63</v>
      </c>
      <c r="C1095" t="s">
        <v>64</v>
      </c>
      <c r="D1095" t="s">
        <v>50</v>
      </c>
      <c r="E1095" t="s">
        <v>649</v>
      </c>
      <c r="F1095" t="s">
        <v>659</v>
      </c>
      <c r="G1095" s="10">
        <v>9</v>
      </c>
      <c r="H1095" s="10">
        <v>8843</v>
      </c>
      <c r="I1095" s="10">
        <v>79587</v>
      </c>
      <c r="J1095" t="s">
        <v>51</v>
      </c>
      <c r="K1095" s="11">
        <v>648.20000000000005</v>
      </c>
      <c r="L1095" s="12">
        <v>122.78</v>
      </c>
    </row>
    <row r="1096" spans="1:12" x14ac:dyDescent="0.2">
      <c r="A1096" s="9">
        <v>46241</v>
      </c>
      <c r="B1096" t="s">
        <v>63</v>
      </c>
      <c r="C1096" t="s">
        <v>64</v>
      </c>
      <c r="D1096" t="s">
        <v>50</v>
      </c>
      <c r="E1096" t="s">
        <v>647</v>
      </c>
      <c r="F1096" t="s">
        <v>648</v>
      </c>
      <c r="G1096" s="10">
        <v>28</v>
      </c>
      <c r="H1096" s="10">
        <v>16149</v>
      </c>
      <c r="I1096" s="10">
        <v>452172</v>
      </c>
      <c r="J1096" t="s">
        <v>51</v>
      </c>
      <c r="K1096" s="11">
        <v>648.20000000000005</v>
      </c>
      <c r="L1096" s="12">
        <v>697.58</v>
      </c>
    </row>
    <row r="1097" spans="1:12" x14ac:dyDescent="0.2">
      <c r="A1097" s="9">
        <v>46241</v>
      </c>
      <c r="B1097" t="s">
        <v>66</v>
      </c>
      <c r="C1097" t="s">
        <v>67</v>
      </c>
      <c r="D1097" t="s">
        <v>68</v>
      </c>
      <c r="E1097" t="s">
        <v>660</v>
      </c>
      <c r="F1097" t="s">
        <v>669</v>
      </c>
      <c r="G1097" s="10">
        <v>73</v>
      </c>
      <c r="H1097" s="10">
        <v>2597</v>
      </c>
      <c r="I1097" s="10">
        <v>189581</v>
      </c>
      <c r="J1097" t="s">
        <v>51</v>
      </c>
      <c r="K1097" s="11">
        <v>648.20000000000005</v>
      </c>
      <c r="L1097" s="12">
        <v>292.47000000000003</v>
      </c>
    </row>
    <row r="1098" spans="1:12" x14ac:dyDescent="0.2">
      <c r="A1098" s="9">
        <v>46241</v>
      </c>
      <c r="B1098" t="s">
        <v>73</v>
      </c>
      <c r="C1098" t="s">
        <v>74</v>
      </c>
      <c r="D1098" t="s">
        <v>75</v>
      </c>
      <c r="E1098" t="s">
        <v>649</v>
      </c>
      <c r="F1098" t="s">
        <v>659</v>
      </c>
      <c r="G1098" s="10">
        <v>109</v>
      </c>
      <c r="H1098" s="10">
        <v>44167</v>
      </c>
      <c r="I1098" s="10">
        <v>4814203</v>
      </c>
      <c r="J1098" t="s">
        <v>42</v>
      </c>
      <c r="K1098" s="11">
        <v>3145.8</v>
      </c>
      <c r="L1098" s="12">
        <v>1530.36</v>
      </c>
    </row>
    <row r="1099" spans="1:12" x14ac:dyDescent="0.2">
      <c r="A1099" s="9">
        <v>46241</v>
      </c>
      <c r="B1099" t="s">
        <v>73</v>
      </c>
      <c r="C1099" t="s">
        <v>74</v>
      </c>
      <c r="D1099" t="s">
        <v>75</v>
      </c>
      <c r="E1099" t="s">
        <v>647</v>
      </c>
      <c r="F1099" t="s">
        <v>648</v>
      </c>
      <c r="G1099" s="10">
        <v>65</v>
      </c>
      <c r="H1099" s="10">
        <v>80284</v>
      </c>
      <c r="I1099" s="10">
        <v>5218460</v>
      </c>
      <c r="J1099" t="s">
        <v>42</v>
      </c>
      <c r="K1099" s="11">
        <v>3145.8</v>
      </c>
      <c r="L1099" s="12">
        <v>1658.87</v>
      </c>
    </row>
    <row r="1100" spans="1:12" x14ac:dyDescent="0.2">
      <c r="A1100" s="9">
        <v>46241</v>
      </c>
      <c r="B1100" t="s">
        <v>77</v>
      </c>
      <c r="C1100" t="s">
        <v>78</v>
      </c>
      <c r="D1100" t="s">
        <v>50</v>
      </c>
      <c r="E1100" t="s">
        <v>653</v>
      </c>
      <c r="F1100" t="s">
        <v>654</v>
      </c>
      <c r="G1100" s="10">
        <v>33</v>
      </c>
      <c r="H1100" s="10">
        <v>5881</v>
      </c>
      <c r="I1100" s="10">
        <v>194073</v>
      </c>
      <c r="J1100" t="s">
        <v>51</v>
      </c>
      <c r="K1100" s="11">
        <v>648.20000000000005</v>
      </c>
      <c r="L1100" s="12">
        <v>299.39999999999998</v>
      </c>
    </row>
    <row r="1101" spans="1:12" x14ac:dyDescent="0.2">
      <c r="A1101" s="9">
        <v>46241</v>
      </c>
      <c r="B1101" t="s">
        <v>86</v>
      </c>
      <c r="C1101" t="s">
        <v>87</v>
      </c>
      <c r="D1101" t="s">
        <v>50</v>
      </c>
      <c r="E1101" t="s">
        <v>647</v>
      </c>
      <c r="F1101" t="s">
        <v>648</v>
      </c>
      <c r="G1101" s="10">
        <v>3</v>
      </c>
      <c r="H1101" s="10">
        <v>16061</v>
      </c>
      <c r="I1101" s="10">
        <v>48183</v>
      </c>
      <c r="J1101" t="s">
        <v>51</v>
      </c>
      <c r="K1101" s="11">
        <v>648.20000000000005</v>
      </c>
      <c r="L1101" s="12">
        <v>74.33</v>
      </c>
    </row>
    <row r="1102" spans="1:12" x14ac:dyDescent="0.2">
      <c r="A1102" s="9">
        <v>46241</v>
      </c>
      <c r="B1102" t="s">
        <v>89</v>
      </c>
      <c r="C1102" t="s">
        <v>90</v>
      </c>
      <c r="D1102" t="s">
        <v>68</v>
      </c>
      <c r="E1102" t="s">
        <v>649</v>
      </c>
      <c r="F1102" t="s">
        <v>659</v>
      </c>
      <c r="G1102" s="10">
        <v>28</v>
      </c>
      <c r="H1102" s="10">
        <v>8750</v>
      </c>
      <c r="I1102" s="10">
        <v>245000</v>
      </c>
      <c r="J1102" t="s">
        <v>51</v>
      </c>
      <c r="K1102" s="11">
        <v>648.20000000000005</v>
      </c>
      <c r="L1102" s="12">
        <v>377.97</v>
      </c>
    </row>
    <row r="1103" spans="1:12" x14ac:dyDescent="0.2">
      <c r="A1103" s="9">
        <v>46241</v>
      </c>
      <c r="B1103" t="s">
        <v>89</v>
      </c>
      <c r="C1103" t="s">
        <v>90</v>
      </c>
      <c r="D1103" t="s">
        <v>68</v>
      </c>
      <c r="E1103" t="s">
        <v>647</v>
      </c>
      <c r="F1103" t="s">
        <v>668</v>
      </c>
      <c r="G1103" s="10">
        <v>11</v>
      </c>
      <c r="H1103" s="10">
        <v>24486</v>
      </c>
      <c r="I1103" s="10">
        <v>269346</v>
      </c>
      <c r="J1103" t="s">
        <v>51</v>
      </c>
      <c r="K1103" s="11">
        <v>648.20000000000005</v>
      </c>
      <c r="L1103" s="12">
        <v>415.53</v>
      </c>
    </row>
    <row r="1104" spans="1:12" x14ac:dyDescent="0.2">
      <c r="A1104" s="9">
        <v>46241</v>
      </c>
      <c r="B1104" t="s">
        <v>96</v>
      </c>
      <c r="C1104" t="s">
        <v>97</v>
      </c>
      <c r="D1104" t="s">
        <v>41</v>
      </c>
      <c r="E1104" t="s">
        <v>660</v>
      </c>
      <c r="F1104" t="s">
        <v>661</v>
      </c>
      <c r="G1104" s="10">
        <v>12</v>
      </c>
      <c r="H1104" s="10">
        <v>20209</v>
      </c>
      <c r="I1104" s="10">
        <v>242508</v>
      </c>
      <c r="J1104" t="s">
        <v>42</v>
      </c>
      <c r="K1104" s="11">
        <v>3145.8</v>
      </c>
      <c r="L1104" s="12">
        <v>77.09</v>
      </c>
    </row>
    <row r="1105" spans="1:12" x14ac:dyDescent="0.2">
      <c r="A1105" s="9">
        <v>46241</v>
      </c>
      <c r="B1105" t="s">
        <v>96</v>
      </c>
      <c r="C1105" t="s">
        <v>97</v>
      </c>
      <c r="D1105" t="s">
        <v>41</v>
      </c>
      <c r="E1105" t="s">
        <v>647</v>
      </c>
      <c r="F1105" t="s">
        <v>668</v>
      </c>
      <c r="G1105" s="10">
        <v>4</v>
      </c>
      <c r="H1105" s="10">
        <v>118103</v>
      </c>
      <c r="I1105" s="10">
        <v>472412</v>
      </c>
      <c r="J1105" t="s">
        <v>42</v>
      </c>
      <c r="K1105" s="11">
        <v>3145.8</v>
      </c>
      <c r="L1105" s="12">
        <v>150.16999999999999</v>
      </c>
    </row>
    <row r="1106" spans="1:12" x14ac:dyDescent="0.2">
      <c r="A1106" s="9">
        <v>46241</v>
      </c>
      <c r="B1106" t="s">
        <v>99</v>
      </c>
      <c r="C1106" t="s">
        <v>100</v>
      </c>
      <c r="D1106" t="s">
        <v>75</v>
      </c>
      <c r="E1106" t="s">
        <v>660</v>
      </c>
      <c r="F1106" t="s">
        <v>669</v>
      </c>
      <c r="G1106" s="10">
        <v>5</v>
      </c>
      <c r="H1106" s="10">
        <v>12361</v>
      </c>
      <c r="I1106" s="10">
        <v>61805</v>
      </c>
      <c r="J1106" t="s">
        <v>42</v>
      </c>
      <c r="K1106" s="11">
        <v>3145.8</v>
      </c>
      <c r="L1106" s="12">
        <v>19.649999999999999</v>
      </c>
    </row>
    <row r="1107" spans="1:12" x14ac:dyDescent="0.2">
      <c r="A1107" s="9">
        <v>46241</v>
      </c>
      <c r="B1107" t="s">
        <v>99</v>
      </c>
      <c r="C1107" t="s">
        <v>100</v>
      </c>
      <c r="D1107" t="s">
        <v>75</v>
      </c>
      <c r="E1107" t="s">
        <v>655</v>
      </c>
      <c r="F1107" t="s">
        <v>656</v>
      </c>
      <c r="G1107" s="10">
        <v>11</v>
      </c>
      <c r="H1107" s="10">
        <v>2821</v>
      </c>
      <c r="I1107" s="10">
        <v>31031</v>
      </c>
      <c r="J1107" t="s">
        <v>42</v>
      </c>
      <c r="K1107" s="11">
        <v>3145.8</v>
      </c>
      <c r="L1107" s="12">
        <v>9.86</v>
      </c>
    </row>
    <row r="1108" spans="1:12" x14ac:dyDescent="0.2">
      <c r="A1108" s="9">
        <v>46241</v>
      </c>
      <c r="B1108" t="s">
        <v>102</v>
      </c>
      <c r="C1108" t="s">
        <v>103</v>
      </c>
      <c r="D1108" t="s">
        <v>41</v>
      </c>
      <c r="E1108" t="s">
        <v>660</v>
      </c>
      <c r="F1108" t="s">
        <v>661</v>
      </c>
      <c r="G1108" s="10">
        <v>12</v>
      </c>
      <c r="H1108" s="10">
        <v>20038</v>
      </c>
      <c r="I1108" s="10">
        <v>240456</v>
      </c>
      <c r="J1108" t="s">
        <v>42</v>
      </c>
      <c r="K1108" s="11">
        <v>3145.8</v>
      </c>
      <c r="L1108" s="12">
        <v>76.44</v>
      </c>
    </row>
    <row r="1109" spans="1:12" x14ac:dyDescent="0.2">
      <c r="A1109" s="9">
        <v>46241</v>
      </c>
      <c r="B1109" t="s">
        <v>102</v>
      </c>
      <c r="C1109" t="s">
        <v>103</v>
      </c>
      <c r="D1109" t="s">
        <v>41</v>
      </c>
      <c r="E1109" t="s">
        <v>647</v>
      </c>
      <c r="F1109" t="s">
        <v>648</v>
      </c>
      <c r="G1109" s="10">
        <v>14</v>
      </c>
      <c r="H1109" s="10">
        <v>76706</v>
      </c>
      <c r="I1109" s="10">
        <v>1073884</v>
      </c>
      <c r="J1109" t="s">
        <v>42</v>
      </c>
      <c r="K1109" s="11">
        <v>3145.8</v>
      </c>
      <c r="L1109" s="12">
        <v>341.37</v>
      </c>
    </row>
    <row r="1110" spans="1:12" x14ac:dyDescent="0.2">
      <c r="A1110" s="9">
        <v>46241</v>
      </c>
      <c r="B1110" t="s">
        <v>111</v>
      </c>
      <c r="C1110" t="s">
        <v>112</v>
      </c>
      <c r="D1110" t="s">
        <v>41</v>
      </c>
      <c r="E1110" t="s">
        <v>647</v>
      </c>
      <c r="F1110" t="s">
        <v>648</v>
      </c>
      <c r="G1110" s="10">
        <v>8</v>
      </c>
      <c r="H1110" s="10">
        <v>78534</v>
      </c>
      <c r="I1110" s="10">
        <v>628272</v>
      </c>
      <c r="J1110" t="s">
        <v>42</v>
      </c>
      <c r="K1110" s="11">
        <v>3145.8</v>
      </c>
      <c r="L1110" s="12">
        <v>199.72</v>
      </c>
    </row>
    <row r="1111" spans="1:12" x14ac:dyDescent="0.2">
      <c r="A1111" s="9">
        <v>46241</v>
      </c>
      <c r="B1111" t="s">
        <v>111</v>
      </c>
      <c r="C1111" t="s">
        <v>112</v>
      </c>
      <c r="D1111" t="s">
        <v>41</v>
      </c>
      <c r="E1111" t="s">
        <v>647</v>
      </c>
      <c r="F1111" t="s">
        <v>667</v>
      </c>
      <c r="G1111" s="10">
        <v>5</v>
      </c>
      <c r="H1111" s="10">
        <v>34751</v>
      </c>
      <c r="I1111" s="10">
        <v>173755</v>
      </c>
      <c r="J1111" t="s">
        <v>42</v>
      </c>
      <c r="K1111" s="11">
        <v>3145.8</v>
      </c>
      <c r="L1111" s="12">
        <v>55.23</v>
      </c>
    </row>
    <row r="1112" spans="1:12" x14ac:dyDescent="0.2">
      <c r="A1112" s="9">
        <v>46241</v>
      </c>
      <c r="B1112" t="s">
        <v>118</v>
      </c>
      <c r="C1112" t="s">
        <v>119</v>
      </c>
      <c r="D1112" t="s">
        <v>36</v>
      </c>
      <c r="E1112" t="s">
        <v>660</v>
      </c>
      <c r="F1112" t="s">
        <v>661</v>
      </c>
      <c r="G1112" s="10">
        <v>17</v>
      </c>
      <c r="H1112" s="10">
        <v>4120</v>
      </c>
      <c r="I1112" s="10">
        <v>70040</v>
      </c>
      <c r="J1112" t="s">
        <v>37</v>
      </c>
      <c r="K1112" s="11">
        <v>648.20000000000005</v>
      </c>
      <c r="L1112" s="12">
        <v>108.05</v>
      </c>
    </row>
    <row r="1113" spans="1:12" x14ac:dyDescent="0.2">
      <c r="A1113" s="9">
        <v>46241</v>
      </c>
      <c r="B1113" t="s">
        <v>118</v>
      </c>
      <c r="C1113" t="s">
        <v>119</v>
      </c>
      <c r="D1113" t="s">
        <v>36</v>
      </c>
      <c r="E1113" t="s">
        <v>647</v>
      </c>
      <c r="F1113" t="s">
        <v>668</v>
      </c>
      <c r="G1113" s="10">
        <v>12</v>
      </c>
      <c r="H1113" s="10">
        <v>24810</v>
      </c>
      <c r="I1113" s="10">
        <v>297720</v>
      </c>
      <c r="J1113" t="s">
        <v>37</v>
      </c>
      <c r="K1113" s="11">
        <v>648.20000000000005</v>
      </c>
      <c r="L1113" s="12">
        <v>459.3</v>
      </c>
    </row>
    <row r="1114" spans="1:12" x14ac:dyDescent="0.2">
      <c r="A1114" s="9">
        <v>46241</v>
      </c>
      <c r="B1114" t="s">
        <v>118</v>
      </c>
      <c r="C1114" t="s">
        <v>119</v>
      </c>
      <c r="D1114" t="s">
        <v>36</v>
      </c>
      <c r="E1114" t="s">
        <v>655</v>
      </c>
      <c r="F1114" t="s">
        <v>665</v>
      </c>
      <c r="G1114" s="10">
        <v>11</v>
      </c>
      <c r="H1114" s="10">
        <v>714</v>
      </c>
      <c r="I1114" s="10">
        <v>7854</v>
      </c>
      <c r="J1114" t="s">
        <v>37</v>
      </c>
      <c r="K1114" s="11">
        <v>648.20000000000005</v>
      </c>
      <c r="L1114" s="12">
        <v>12.12</v>
      </c>
    </row>
    <row r="1115" spans="1:12" x14ac:dyDescent="0.2">
      <c r="A1115" s="9">
        <v>46241</v>
      </c>
      <c r="B1115" t="s">
        <v>121</v>
      </c>
      <c r="C1115" t="s">
        <v>122</v>
      </c>
      <c r="D1115" t="s">
        <v>75</v>
      </c>
      <c r="E1115" t="s">
        <v>649</v>
      </c>
      <c r="F1115" t="s">
        <v>650</v>
      </c>
      <c r="G1115" s="10">
        <v>6</v>
      </c>
      <c r="H1115" s="10">
        <v>96457</v>
      </c>
      <c r="I1115" s="10">
        <v>578742</v>
      </c>
      <c r="J1115" t="s">
        <v>42</v>
      </c>
      <c r="K1115" s="11">
        <v>3145.8</v>
      </c>
      <c r="L1115" s="12">
        <v>183.97</v>
      </c>
    </row>
    <row r="1116" spans="1:12" x14ac:dyDescent="0.2">
      <c r="A1116" s="9">
        <v>46241</v>
      </c>
      <c r="B1116" t="s">
        <v>130</v>
      </c>
      <c r="C1116" t="s">
        <v>131</v>
      </c>
      <c r="D1116" t="s">
        <v>46</v>
      </c>
      <c r="E1116" t="s">
        <v>647</v>
      </c>
      <c r="F1116" t="s">
        <v>668</v>
      </c>
      <c r="G1116" s="10">
        <v>17</v>
      </c>
      <c r="H1116" s="10">
        <v>25412</v>
      </c>
      <c r="I1116" s="10">
        <v>432004</v>
      </c>
      <c r="J1116" t="s">
        <v>37</v>
      </c>
      <c r="K1116" s="11">
        <v>648.20000000000005</v>
      </c>
      <c r="L1116" s="12">
        <v>666.47</v>
      </c>
    </row>
    <row r="1117" spans="1:12" x14ac:dyDescent="0.2">
      <c r="A1117" s="9">
        <v>46241</v>
      </c>
      <c r="B1117" t="s">
        <v>130</v>
      </c>
      <c r="C1117" t="s">
        <v>131</v>
      </c>
      <c r="D1117" t="s">
        <v>46</v>
      </c>
      <c r="E1117" t="s">
        <v>647</v>
      </c>
      <c r="F1117" t="s">
        <v>668</v>
      </c>
      <c r="G1117" s="10">
        <v>2</v>
      </c>
      <c r="H1117" s="10">
        <v>24766</v>
      </c>
      <c r="I1117" s="10">
        <v>49532</v>
      </c>
      <c r="J1117" t="s">
        <v>37</v>
      </c>
      <c r="K1117" s="11">
        <v>648.20000000000005</v>
      </c>
      <c r="L1117" s="12">
        <v>76.41</v>
      </c>
    </row>
    <row r="1118" spans="1:12" x14ac:dyDescent="0.2">
      <c r="A1118" s="9">
        <v>46241</v>
      </c>
      <c r="B1118" t="s">
        <v>142</v>
      </c>
      <c r="C1118" t="s">
        <v>143</v>
      </c>
      <c r="D1118" t="s">
        <v>75</v>
      </c>
      <c r="E1118" t="s">
        <v>653</v>
      </c>
      <c r="F1118" t="s">
        <v>666</v>
      </c>
      <c r="G1118" s="10">
        <v>9</v>
      </c>
      <c r="H1118" s="10">
        <v>7235</v>
      </c>
      <c r="I1118" s="10">
        <v>65115</v>
      </c>
      <c r="J1118" t="s">
        <v>42</v>
      </c>
      <c r="K1118" s="11">
        <v>3145.8</v>
      </c>
      <c r="L1118" s="12">
        <v>20.7</v>
      </c>
    </row>
    <row r="1119" spans="1:12" x14ac:dyDescent="0.2">
      <c r="A1119" s="9">
        <v>46241</v>
      </c>
      <c r="B1119" t="s">
        <v>142</v>
      </c>
      <c r="C1119" t="s">
        <v>143</v>
      </c>
      <c r="D1119" t="s">
        <v>75</v>
      </c>
      <c r="E1119" t="s">
        <v>660</v>
      </c>
      <c r="F1119" t="s">
        <v>661</v>
      </c>
      <c r="G1119" s="10">
        <v>8</v>
      </c>
      <c r="H1119" s="10">
        <v>20252</v>
      </c>
      <c r="I1119" s="10">
        <v>162016</v>
      </c>
      <c r="J1119" t="s">
        <v>42</v>
      </c>
      <c r="K1119" s="11">
        <v>3145.8</v>
      </c>
      <c r="L1119" s="12">
        <v>51.5</v>
      </c>
    </row>
    <row r="1120" spans="1:12" x14ac:dyDescent="0.2">
      <c r="A1120" s="9">
        <v>46241</v>
      </c>
      <c r="B1120" t="s">
        <v>149</v>
      </c>
      <c r="C1120" t="s">
        <v>150</v>
      </c>
      <c r="D1120" t="s">
        <v>50</v>
      </c>
      <c r="E1120" t="s">
        <v>655</v>
      </c>
      <c r="F1120" t="s">
        <v>665</v>
      </c>
      <c r="G1120" s="10">
        <v>17</v>
      </c>
      <c r="H1120" s="10">
        <v>673</v>
      </c>
      <c r="I1120" s="10">
        <v>11441</v>
      </c>
      <c r="J1120" t="s">
        <v>51</v>
      </c>
      <c r="K1120" s="11">
        <v>648.20000000000005</v>
      </c>
      <c r="L1120" s="12">
        <v>17.649999999999999</v>
      </c>
    </row>
    <row r="1121" spans="1:12" x14ac:dyDescent="0.2">
      <c r="A1121" s="9">
        <v>46241</v>
      </c>
      <c r="B1121" t="s">
        <v>152</v>
      </c>
      <c r="C1121" t="s">
        <v>153</v>
      </c>
      <c r="D1121" t="s">
        <v>75</v>
      </c>
      <c r="E1121" t="s">
        <v>660</v>
      </c>
      <c r="F1121" t="s">
        <v>669</v>
      </c>
      <c r="G1121" s="10">
        <v>9</v>
      </c>
      <c r="H1121" s="10">
        <v>12278</v>
      </c>
      <c r="I1121" s="10">
        <v>110502</v>
      </c>
      <c r="J1121" t="s">
        <v>42</v>
      </c>
      <c r="K1121" s="11">
        <v>3145.8</v>
      </c>
      <c r="L1121" s="12">
        <v>35.130000000000003</v>
      </c>
    </row>
    <row r="1122" spans="1:12" x14ac:dyDescent="0.2">
      <c r="A1122" s="9">
        <v>46241</v>
      </c>
      <c r="B1122" t="s">
        <v>152</v>
      </c>
      <c r="C1122" t="s">
        <v>153</v>
      </c>
      <c r="D1122" t="s">
        <v>75</v>
      </c>
      <c r="E1122" t="s">
        <v>647</v>
      </c>
      <c r="F1122" t="s">
        <v>648</v>
      </c>
      <c r="G1122" s="10">
        <v>9</v>
      </c>
      <c r="H1122" s="10">
        <v>79675</v>
      </c>
      <c r="I1122" s="10">
        <v>717075</v>
      </c>
      <c r="J1122" t="s">
        <v>42</v>
      </c>
      <c r="K1122" s="11">
        <v>3145.8</v>
      </c>
      <c r="L1122" s="12">
        <v>227.95</v>
      </c>
    </row>
    <row r="1123" spans="1:12" x14ac:dyDescent="0.2">
      <c r="A1123" s="9">
        <v>46241</v>
      </c>
      <c r="B1123" t="s">
        <v>158</v>
      </c>
      <c r="C1123" t="s">
        <v>159</v>
      </c>
      <c r="D1123" t="s">
        <v>41</v>
      </c>
      <c r="E1123" t="s">
        <v>649</v>
      </c>
      <c r="F1123" t="s">
        <v>650</v>
      </c>
      <c r="G1123" s="10">
        <v>17</v>
      </c>
      <c r="H1123" s="10">
        <v>91176</v>
      </c>
      <c r="I1123" s="10">
        <v>1549992</v>
      </c>
      <c r="J1123" t="s">
        <v>42</v>
      </c>
      <c r="K1123" s="11">
        <v>3145.8</v>
      </c>
      <c r="L1123" s="12">
        <v>492.72</v>
      </c>
    </row>
    <row r="1124" spans="1:12" x14ac:dyDescent="0.2">
      <c r="A1124" s="9">
        <v>46241</v>
      </c>
      <c r="B1124" t="s">
        <v>158</v>
      </c>
      <c r="C1124" t="s">
        <v>159</v>
      </c>
      <c r="D1124" t="s">
        <v>41</v>
      </c>
      <c r="E1124" t="s">
        <v>651</v>
      </c>
      <c r="F1124" t="s">
        <v>657</v>
      </c>
      <c r="G1124" s="10">
        <v>39</v>
      </c>
      <c r="H1124" s="10">
        <v>30047</v>
      </c>
      <c r="I1124" s="10">
        <v>1171833</v>
      </c>
      <c r="J1124" t="s">
        <v>42</v>
      </c>
      <c r="K1124" s="11">
        <v>3145.8</v>
      </c>
      <c r="L1124" s="12">
        <v>372.51</v>
      </c>
    </row>
    <row r="1125" spans="1:12" x14ac:dyDescent="0.2">
      <c r="A1125" s="9">
        <v>46241</v>
      </c>
      <c r="B1125" t="s">
        <v>163</v>
      </c>
      <c r="C1125" t="s">
        <v>164</v>
      </c>
      <c r="D1125" t="s">
        <v>41</v>
      </c>
      <c r="E1125" t="s">
        <v>649</v>
      </c>
      <c r="F1125" t="s">
        <v>650</v>
      </c>
      <c r="G1125" s="10">
        <v>3</v>
      </c>
      <c r="H1125" s="10">
        <v>93186</v>
      </c>
      <c r="I1125" s="10">
        <v>279558</v>
      </c>
      <c r="J1125" t="s">
        <v>42</v>
      </c>
      <c r="K1125" s="11">
        <v>3145.8</v>
      </c>
      <c r="L1125" s="12">
        <v>88.87</v>
      </c>
    </row>
    <row r="1126" spans="1:12" x14ac:dyDescent="0.2">
      <c r="A1126" s="9">
        <v>46241</v>
      </c>
      <c r="B1126" t="s">
        <v>163</v>
      </c>
      <c r="C1126" t="s">
        <v>164</v>
      </c>
      <c r="D1126" t="s">
        <v>41</v>
      </c>
      <c r="E1126" t="s">
        <v>653</v>
      </c>
      <c r="F1126" t="s">
        <v>654</v>
      </c>
      <c r="G1126" s="10">
        <v>5</v>
      </c>
      <c r="H1126" s="10">
        <v>27675</v>
      </c>
      <c r="I1126" s="10">
        <v>138375</v>
      </c>
      <c r="J1126" t="s">
        <v>42</v>
      </c>
      <c r="K1126" s="11">
        <v>3145.8</v>
      </c>
      <c r="L1126" s="12">
        <v>43.99</v>
      </c>
    </row>
    <row r="1127" spans="1:12" x14ac:dyDescent="0.2">
      <c r="A1127" s="9">
        <v>46241</v>
      </c>
      <c r="B1127" t="s">
        <v>163</v>
      </c>
      <c r="C1127" t="s">
        <v>164</v>
      </c>
      <c r="D1127" t="s">
        <v>41</v>
      </c>
      <c r="E1127" t="s">
        <v>647</v>
      </c>
      <c r="F1127" t="s">
        <v>667</v>
      </c>
      <c r="G1127" s="10">
        <v>5</v>
      </c>
      <c r="H1127" s="10">
        <v>35484</v>
      </c>
      <c r="I1127" s="10">
        <v>177420</v>
      </c>
      <c r="J1127" t="s">
        <v>42</v>
      </c>
      <c r="K1127" s="11">
        <v>3145.8</v>
      </c>
      <c r="L1127" s="12">
        <v>56.4</v>
      </c>
    </row>
    <row r="1128" spans="1:12" x14ac:dyDescent="0.2">
      <c r="A1128" s="9">
        <v>46241</v>
      </c>
      <c r="B1128" t="s">
        <v>175</v>
      </c>
      <c r="C1128" t="s">
        <v>176</v>
      </c>
      <c r="D1128" t="s">
        <v>50</v>
      </c>
      <c r="E1128" t="s">
        <v>660</v>
      </c>
      <c r="F1128" t="s">
        <v>669</v>
      </c>
      <c r="G1128" s="10">
        <v>28</v>
      </c>
      <c r="H1128" s="10">
        <v>2591</v>
      </c>
      <c r="I1128" s="10">
        <v>72548</v>
      </c>
      <c r="J1128" t="s">
        <v>51</v>
      </c>
      <c r="K1128" s="11">
        <v>648.20000000000005</v>
      </c>
      <c r="L1128" s="12">
        <v>111.92</v>
      </c>
    </row>
    <row r="1129" spans="1:12" x14ac:dyDescent="0.2">
      <c r="A1129" s="9">
        <v>46241</v>
      </c>
      <c r="B1129" t="s">
        <v>178</v>
      </c>
      <c r="C1129" t="s">
        <v>179</v>
      </c>
      <c r="D1129" t="s">
        <v>50</v>
      </c>
      <c r="E1129" t="s">
        <v>647</v>
      </c>
      <c r="F1129" t="s">
        <v>668</v>
      </c>
      <c r="G1129" s="10">
        <v>9</v>
      </c>
      <c r="H1129" s="10">
        <v>25080</v>
      </c>
      <c r="I1129" s="10">
        <v>225720</v>
      </c>
      <c r="J1129" t="s">
        <v>51</v>
      </c>
      <c r="K1129" s="11">
        <v>648.20000000000005</v>
      </c>
      <c r="L1129" s="12">
        <v>348.23</v>
      </c>
    </row>
    <row r="1130" spans="1:12" x14ac:dyDescent="0.2">
      <c r="A1130" s="9">
        <v>46241</v>
      </c>
      <c r="B1130" t="s">
        <v>178</v>
      </c>
      <c r="C1130" t="s">
        <v>179</v>
      </c>
      <c r="D1130" t="s">
        <v>50</v>
      </c>
      <c r="E1130" t="s">
        <v>647</v>
      </c>
      <c r="F1130" t="s">
        <v>667</v>
      </c>
      <c r="G1130" s="10">
        <v>3</v>
      </c>
      <c r="H1130" s="10">
        <v>7108</v>
      </c>
      <c r="I1130" s="10">
        <v>21324</v>
      </c>
      <c r="J1130" t="s">
        <v>51</v>
      </c>
      <c r="K1130" s="11">
        <v>648.20000000000005</v>
      </c>
      <c r="L1130" s="12">
        <v>32.9</v>
      </c>
    </row>
    <row r="1131" spans="1:12" x14ac:dyDescent="0.2">
      <c r="A1131" s="9">
        <v>46241</v>
      </c>
      <c r="B1131" t="s">
        <v>181</v>
      </c>
      <c r="C1131" t="s">
        <v>182</v>
      </c>
      <c r="D1131" t="s">
        <v>41</v>
      </c>
      <c r="E1131" t="s">
        <v>655</v>
      </c>
      <c r="F1131" t="s">
        <v>662</v>
      </c>
      <c r="G1131" s="10">
        <v>24</v>
      </c>
      <c r="H1131" s="10">
        <v>5407</v>
      </c>
      <c r="I1131" s="10">
        <v>129768</v>
      </c>
      <c r="J1131" t="s">
        <v>42</v>
      </c>
      <c r="K1131" s="11">
        <v>3145.8</v>
      </c>
      <c r="L1131" s="12">
        <v>41.25</v>
      </c>
    </row>
    <row r="1132" spans="1:12" x14ac:dyDescent="0.2">
      <c r="A1132" s="9">
        <v>46241</v>
      </c>
      <c r="B1132" t="s">
        <v>181</v>
      </c>
      <c r="C1132" t="s">
        <v>182</v>
      </c>
      <c r="D1132" t="s">
        <v>41</v>
      </c>
      <c r="E1132" t="s">
        <v>660</v>
      </c>
      <c r="F1132" t="s">
        <v>670</v>
      </c>
      <c r="G1132" s="10">
        <v>27</v>
      </c>
      <c r="H1132" s="10">
        <v>72474</v>
      </c>
      <c r="I1132" s="10">
        <v>1956798</v>
      </c>
      <c r="J1132" t="s">
        <v>42</v>
      </c>
      <c r="K1132" s="11">
        <v>3145.8</v>
      </c>
      <c r="L1132" s="12">
        <v>622.04</v>
      </c>
    </row>
    <row r="1133" spans="1:12" x14ac:dyDescent="0.2">
      <c r="A1133" s="9">
        <v>46241</v>
      </c>
      <c r="B1133" t="s">
        <v>187</v>
      </c>
      <c r="C1133" t="s">
        <v>188</v>
      </c>
      <c r="D1133" t="s">
        <v>75</v>
      </c>
      <c r="E1133" t="s">
        <v>660</v>
      </c>
      <c r="F1133" t="s">
        <v>669</v>
      </c>
      <c r="G1133" s="10">
        <v>14</v>
      </c>
      <c r="H1133" s="10">
        <v>12624</v>
      </c>
      <c r="I1133" s="10">
        <v>176736</v>
      </c>
      <c r="J1133" t="s">
        <v>42</v>
      </c>
      <c r="K1133" s="11">
        <v>3145.8</v>
      </c>
      <c r="L1133" s="12">
        <v>56.18</v>
      </c>
    </row>
    <row r="1134" spans="1:12" x14ac:dyDescent="0.2">
      <c r="A1134" s="9">
        <v>46241</v>
      </c>
      <c r="B1134" t="s">
        <v>187</v>
      </c>
      <c r="C1134" t="s">
        <v>188</v>
      </c>
      <c r="D1134" t="s">
        <v>75</v>
      </c>
      <c r="E1134" t="s">
        <v>651</v>
      </c>
      <c r="F1134" t="s">
        <v>657</v>
      </c>
      <c r="G1134" s="10">
        <v>11</v>
      </c>
      <c r="H1134" s="10">
        <v>29936</v>
      </c>
      <c r="I1134" s="10">
        <v>329296</v>
      </c>
      <c r="J1134" t="s">
        <v>42</v>
      </c>
      <c r="K1134" s="11">
        <v>3145.8</v>
      </c>
      <c r="L1134" s="12">
        <v>104.68</v>
      </c>
    </row>
    <row r="1135" spans="1:12" x14ac:dyDescent="0.2">
      <c r="A1135" s="9">
        <v>46241</v>
      </c>
      <c r="B1135" t="s">
        <v>193</v>
      </c>
      <c r="C1135" t="s">
        <v>194</v>
      </c>
      <c r="D1135" t="s">
        <v>68</v>
      </c>
      <c r="E1135" t="s">
        <v>653</v>
      </c>
      <c r="F1135" t="s">
        <v>666</v>
      </c>
      <c r="G1135" s="10">
        <v>7</v>
      </c>
      <c r="H1135" s="10">
        <v>1493</v>
      </c>
      <c r="I1135" s="10">
        <v>10451</v>
      </c>
      <c r="J1135" t="s">
        <v>51</v>
      </c>
      <c r="K1135" s="11">
        <v>648.20000000000005</v>
      </c>
      <c r="L1135" s="12">
        <v>16.12</v>
      </c>
    </row>
    <row r="1136" spans="1:12" x14ac:dyDescent="0.2">
      <c r="A1136" s="9">
        <v>46241</v>
      </c>
      <c r="B1136" t="s">
        <v>193</v>
      </c>
      <c r="C1136" t="s">
        <v>194</v>
      </c>
      <c r="D1136" t="s">
        <v>68</v>
      </c>
      <c r="E1136" t="s">
        <v>649</v>
      </c>
      <c r="F1136" t="s">
        <v>659</v>
      </c>
      <c r="G1136" s="10">
        <v>11</v>
      </c>
      <c r="H1136" s="10">
        <v>8812</v>
      </c>
      <c r="I1136" s="10">
        <v>96932</v>
      </c>
      <c r="J1136" t="s">
        <v>51</v>
      </c>
      <c r="K1136" s="11">
        <v>648.20000000000005</v>
      </c>
      <c r="L1136" s="12">
        <v>149.54</v>
      </c>
    </row>
    <row r="1137" spans="1:12" x14ac:dyDescent="0.2">
      <c r="A1137" s="9">
        <v>46241</v>
      </c>
      <c r="B1137" t="s">
        <v>196</v>
      </c>
      <c r="C1137" t="s">
        <v>197</v>
      </c>
      <c r="D1137" t="s">
        <v>46</v>
      </c>
      <c r="E1137" t="s">
        <v>649</v>
      </c>
      <c r="F1137" t="s">
        <v>659</v>
      </c>
      <c r="G1137" s="10">
        <v>35</v>
      </c>
      <c r="H1137" s="10">
        <v>8935</v>
      </c>
      <c r="I1137" s="10">
        <v>312725</v>
      </c>
      <c r="J1137" t="s">
        <v>37</v>
      </c>
      <c r="K1137" s="11">
        <v>648.20000000000005</v>
      </c>
      <c r="L1137" s="12">
        <v>482.45</v>
      </c>
    </row>
    <row r="1138" spans="1:12" x14ac:dyDescent="0.2">
      <c r="A1138" s="9">
        <v>46241</v>
      </c>
      <c r="B1138" t="s">
        <v>199</v>
      </c>
      <c r="C1138" t="s">
        <v>200</v>
      </c>
      <c r="D1138" t="s">
        <v>46</v>
      </c>
      <c r="E1138" t="s">
        <v>647</v>
      </c>
      <c r="F1138" t="s">
        <v>668</v>
      </c>
      <c r="G1138" s="10">
        <v>46</v>
      </c>
      <c r="H1138" s="10">
        <v>25869</v>
      </c>
      <c r="I1138" s="10">
        <v>1189974</v>
      </c>
      <c r="J1138" t="s">
        <v>37</v>
      </c>
      <c r="K1138" s="11">
        <v>648.20000000000005</v>
      </c>
      <c r="L1138" s="12">
        <v>1835.81</v>
      </c>
    </row>
    <row r="1139" spans="1:12" x14ac:dyDescent="0.2">
      <c r="A1139" s="9">
        <v>46241</v>
      </c>
      <c r="B1139" t="s">
        <v>199</v>
      </c>
      <c r="C1139" t="s">
        <v>200</v>
      </c>
      <c r="D1139" t="s">
        <v>46</v>
      </c>
      <c r="E1139" t="s">
        <v>647</v>
      </c>
      <c r="F1139" t="s">
        <v>667</v>
      </c>
      <c r="G1139" s="10">
        <v>55</v>
      </c>
      <c r="H1139" s="10">
        <v>7084</v>
      </c>
      <c r="I1139" s="10">
        <v>389620</v>
      </c>
      <c r="J1139" t="s">
        <v>37</v>
      </c>
      <c r="K1139" s="11">
        <v>648.20000000000005</v>
      </c>
      <c r="L1139" s="12">
        <v>601.08000000000004</v>
      </c>
    </row>
    <row r="1140" spans="1:12" x14ac:dyDescent="0.2">
      <c r="A1140" s="9">
        <v>46241</v>
      </c>
      <c r="B1140" t="s">
        <v>211</v>
      </c>
      <c r="C1140" t="s">
        <v>212</v>
      </c>
      <c r="D1140" t="s">
        <v>46</v>
      </c>
      <c r="E1140" t="s">
        <v>655</v>
      </c>
      <c r="F1140" t="s">
        <v>662</v>
      </c>
      <c r="G1140" s="10">
        <v>7</v>
      </c>
      <c r="H1140" s="10">
        <v>1163</v>
      </c>
      <c r="I1140" s="10">
        <v>8141</v>
      </c>
      <c r="J1140" t="s">
        <v>37</v>
      </c>
      <c r="K1140" s="11">
        <v>648.20000000000005</v>
      </c>
      <c r="L1140" s="12">
        <v>12.56</v>
      </c>
    </row>
    <row r="1141" spans="1:12" x14ac:dyDescent="0.2">
      <c r="A1141" s="9">
        <v>46241</v>
      </c>
      <c r="B1141" t="s">
        <v>211</v>
      </c>
      <c r="C1141" t="s">
        <v>212</v>
      </c>
      <c r="D1141" t="s">
        <v>46</v>
      </c>
      <c r="E1141" t="s">
        <v>647</v>
      </c>
      <c r="F1141" t="s">
        <v>648</v>
      </c>
      <c r="G1141" s="10">
        <v>3</v>
      </c>
      <c r="H1141" s="10">
        <v>16109</v>
      </c>
      <c r="I1141" s="10">
        <v>48327</v>
      </c>
      <c r="J1141" t="s">
        <v>37</v>
      </c>
      <c r="K1141" s="11">
        <v>648.20000000000005</v>
      </c>
      <c r="L1141" s="12">
        <v>74.56</v>
      </c>
    </row>
    <row r="1142" spans="1:12" x14ac:dyDescent="0.2">
      <c r="A1142" s="9">
        <v>46241</v>
      </c>
      <c r="B1142" t="s">
        <v>211</v>
      </c>
      <c r="C1142" t="s">
        <v>212</v>
      </c>
      <c r="D1142" t="s">
        <v>46</v>
      </c>
      <c r="E1142" t="s">
        <v>647</v>
      </c>
      <c r="F1142" t="s">
        <v>667</v>
      </c>
      <c r="G1142" s="10">
        <v>6</v>
      </c>
      <c r="H1142" s="10">
        <v>7365</v>
      </c>
      <c r="I1142" s="10">
        <v>44190</v>
      </c>
      <c r="J1142" t="s">
        <v>37</v>
      </c>
      <c r="K1142" s="11">
        <v>648.20000000000005</v>
      </c>
      <c r="L1142" s="12">
        <v>68.17</v>
      </c>
    </row>
    <row r="1143" spans="1:12" x14ac:dyDescent="0.2">
      <c r="A1143" s="9">
        <v>46241</v>
      </c>
      <c r="B1143" t="s">
        <v>211</v>
      </c>
      <c r="C1143" t="s">
        <v>212</v>
      </c>
      <c r="D1143" t="s">
        <v>46</v>
      </c>
      <c r="E1143" t="s">
        <v>651</v>
      </c>
      <c r="F1143" t="s">
        <v>657</v>
      </c>
      <c r="G1143" s="10">
        <v>27</v>
      </c>
      <c r="H1143" s="10">
        <v>6286</v>
      </c>
      <c r="I1143" s="10">
        <v>169722</v>
      </c>
      <c r="J1143" t="s">
        <v>37</v>
      </c>
      <c r="K1143" s="11">
        <v>648.20000000000005</v>
      </c>
      <c r="L1143" s="12">
        <v>261.83999999999997</v>
      </c>
    </row>
    <row r="1144" spans="1:12" x14ac:dyDescent="0.2">
      <c r="A1144" s="9">
        <v>46241</v>
      </c>
      <c r="B1144" t="s">
        <v>214</v>
      </c>
      <c r="C1144" t="s">
        <v>215</v>
      </c>
      <c r="D1144" t="s">
        <v>46</v>
      </c>
      <c r="E1144" t="s">
        <v>660</v>
      </c>
      <c r="F1144" t="s">
        <v>670</v>
      </c>
      <c r="G1144" s="10">
        <v>9</v>
      </c>
      <c r="H1144" s="10">
        <v>14269</v>
      </c>
      <c r="I1144" s="10">
        <v>128421</v>
      </c>
      <c r="J1144" t="s">
        <v>37</v>
      </c>
      <c r="K1144" s="11">
        <v>648.20000000000005</v>
      </c>
      <c r="L1144" s="12">
        <v>198.12</v>
      </c>
    </row>
    <row r="1145" spans="1:12" x14ac:dyDescent="0.2">
      <c r="A1145" s="9">
        <v>46241</v>
      </c>
      <c r="B1145" t="s">
        <v>220</v>
      </c>
      <c r="C1145" t="s">
        <v>221</v>
      </c>
      <c r="D1145" t="s">
        <v>46</v>
      </c>
      <c r="E1145" t="s">
        <v>660</v>
      </c>
      <c r="F1145" t="s">
        <v>661</v>
      </c>
      <c r="G1145" s="10">
        <v>23</v>
      </c>
      <c r="H1145" s="10">
        <v>4168</v>
      </c>
      <c r="I1145" s="10">
        <v>95864</v>
      </c>
      <c r="J1145" t="s">
        <v>37</v>
      </c>
      <c r="K1145" s="11">
        <v>648.20000000000005</v>
      </c>
      <c r="L1145" s="12">
        <v>147.88999999999999</v>
      </c>
    </row>
    <row r="1146" spans="1:12" x14ac:dyDescent="0.2">
      <c r="A1146" s="9">
        <v>46241</v>
      </c>
      <c r="B1146" t="s">
        <v>220</v>
      </c>
      <c r="C1146" t="s">
        <v>221</v>
      </c>
      <c r="D1146" t="s">
        <v>46</v>
      </c>
      <c r="E1146" t="s">
        <v>647</v>
      </c>
      <c r="F1146" t="s">
        <v>648</v>
      </c>
      <c r="G1146" s="10">
        <v>5</v>
      </c>
      <c r="H1146" s="10">
        <v>15766</v>
      </c>
      <c r="I1146" s="10">
        <v>78830</v>
      </c>
      <c r="J1146" t="s">
        <v>37</v>
      </c>
      <c r="K1146" s="11">
        <v>648.20000000000005</v>
      </c>
      <c r="L1146" s="12">
        <v>121.61</v>
      </c>
    </row>
    <row r="1147" spans="1:12" x14ac:dyDescent="0.2">
      <c r="A1147" s="9">
        <v>46241</v>
      </c>
      <c r="B1147" t="s">
        <v>226</v>
      </c>
      <c r="C1147" t="s">
        <v>227</v>
      </c>
      <c r="D1147" t="s">
        <v>41</v>
      </c>
      <c r="E1147" t="s">
        <v>649</v>
      </c>
      <c r="F1147" t="s">
        <v>650</v>
      </c>
      <c r="G1147" s="10">
        <v>5</v>
      </c>
      <c r="H1147" s="10">
        <v>91257</v>
      </c>
      <c r="I1147" s="10">
        <v>456285</v>
      </c>
      <c r="J1147" t="s">
        <v>42</v>
      </c>
      <c r="K1147" s="11">
        <v>3145.8</v>
      </c>
      <c r="L1147" s="12">
        <v>145.05000000000001</v>
      </c>
    </row>
    <row r="1148" spans="1:12" x14ac:dyDescent="0.2">
      <c r="A1148" s="9">
        <v>46241</v>
      </c>
      <c r="B1148" t="s">
        <v>229</v>
      </c>
      <c r="C1148" t="s">
        <v>230</v>
      </c>
      <c r="D1148" t="s">
        <v>36</v>
      </c>
      <c r="E1148" t="s">
        <v>660</v>
      </c>
      <c r="F1148" t="s">
        <v>670</v>
      </c>
      <c r="G1148" s="10">
        <v>7</v>
      </c>
      <c r="H1148" s="10">
        <v>14202</v>
      </c>
      <c r="I1148" s="10">
        <v>99414</v>
      </c>
      <c r="J1148" t="s">
        <v>37</v>
      </c>
      <c r="K1148" s="11">
        <v>648.20000000000005</v>
      </c>
      <c r="L1148" s="12">
        <v>153.37</v>
      </c>
    </row>
    <row r="1149" spans="1:12" x14ac:dyDescent="0.2">
      <c r="A1149" s="9">
        <v>46241</v>
      </c>
      <c r="B1149" t="s">
        <v>235</v>
      </c>
      <c r="C1149" t="s">
        <v>236</v>
      </c>
      <c r="D1149" t="s">
        <v>50</v>
      </c>
      <c r="E1149" t="s">
        <v>653</v>
      </c>
      <c r="F1149" t="s">
        <v>658</v>
      </c>
      <c r="G1149" s="10">
        <v>7</v>
      </c>
      <c r="H1149" s="10">
        <v>2647</v>
      </c>
      <c r="I1149" s="10">
        <v>18529</v>
      </c>
      <c r="J1149" t="s">
        <v>51</v>
      </c>
      <c r="K1149" s="11">
        <v>648.20000000000005</v>
      </c>
      <c r="L1149" s="12">
        <v>28.59</v>
      </c>
    </row>
    <row r="1150" spans="1:12" x14ac:dyDescent="0.2">
      <c r="A1150" s="9">
        <v>46241</v>
      </c>
      <c r="B1150" t="s">
        <v>235</v>
      </c>
      <c r="C1150" t="s">
        <v>236</v>
      </c>
      <c r="D1150" t="s">
        <v>50</v>
      </c>
      <c r="E1150" t="s">
        <v>660</v>
      </c>
      <c r="F1150" t="s">
        <v>670</v>
      </c>
      <c r="G1150" s="10">
        <v>13</v>
      </c>
      <c r="H1150" s="10">
        <v>14519</v>
      </c>
      <c r="I1150" s="10">
        <v>188747</v>
      </c>
      <c r="J1150" t="s">
        <v>51</v>
      </c>
      <c r="K1150" s="11">
        <v>648.20000000000005</v>
      </c>
      <c r="L1150" s="12">
        <v>291.19</v>
      </c>
    </row>
    <row r="1151" spans="1:12" x14ac:dyDescent="0.2">
      <c r="A1151" s="9">
        <v>46241</v>
      </c>
      <c r="B1151" t="s">
        <v>235</v>
      </c>
      <c r="C1151" t="s">
        <v>236</v>
      </c>
      <c r="D1151" t="s">
        <v>50</v>
      </c>
      <c r="E1151" t="s">
        <v>653</v>
      </c>
      <c r="F1151" t="s">
        <v>654</v>
      </c>
      <c r="G1151" s="10">
        <v>7</v>
      </c>
      <c r="H1151" s="10">
        <v>5827</v>
      </c>
      <c r="I1151" s="10">
        <v>40789</v>
      </c>
      <c r="J1151" t="s">
        <v>51</v>
      </c>
      <c r="K1151" s="11">
        <v>648.20000000000005</v>
      </c>
      <c r="L1151" s="12">
        <v>62.93</v>
      </c>
    </row>
    <row r="1152" spans="1:12" x14ac:dyDescent="0.2">
      <c r="A1152" s="9">
        <v>46241</v>
      </c>
      <c r="B1152" t="s">
        <v>238</v>
      </c>
      <c r="C1152" t="s">
        <v>239</v>
      </c>
      <c r="D1152" t="s">
        <v>68</v>
      </c>
      <c r="E1152" t="s">
        <v>653</v>
      </c>
      <c r="F1152" t="s">
        <v>658</v>
      </c>
      <c r="G1152" s="10">
        <v>26</v>
      </c>
      <c r="H1152" s="10">
        <v>2659</v>
      </c>
      <c r="I1152" s="10">
        <v>69134</v>
      </c>
      <c r="J1152" t="s">
        <v>51</v>
      </c>
      <c r="K1152" s="11">
        <v>648.20000000000005</v>
      </c>
      <c r="L1152" s="12">
        <v>106.66</v>
      </c>
    </row>
    <row r="1153" spans="1:12" x14ac:dyDescent="0.2">
      <c r="A1153" s="9">
        <v>46241</v>
      </c>
      <c r="B1153" t="s">
        <v>238</v>
      </c>
      <c r="C1153" t="s">
        <v>239</v>
      </c>
      <c r="D1153" t="s">
        <v>68</v>
      </c>
      <c r="E1153" t="s">
        <v>649</v>
      </c>
      <c r="F1153" t="s">
        <v>663</v>
      </c>
      <c r="G1153" s="10">
        <v>14</v>
      </c>
      <c r="H1153" s="10">
        <v>2057</v>
      </c>
      <c r="I1153" s="10">
        <v>28798</v>
      </c>
      <c r="J1153" t="s">
        <v>51</v>
      </c>
      <c r="K1153" s="11">
        <v>648.20000000000005</v>
      </c>
      <c r="L1153" s="12">
        <v>44.43</v>
      </c>
    </row>
    <row r="1154" spans="1:12" x14ac:dyDescent="0.2">
      <c r="A1154" s="9">
        <v>46241</v>
      </c>
      <c r="B1154" t="s">
        <v>244</v>
      </c>
      <c r="C1154" t="s">
        <v>245</v>
      </c>
      <c r="D1154" t="s">
        <v>75</v>
      </c>
      <c r="E1154" t="s">
        <v>660</v>
      </c>
      <c r="F1154" t="s">
        <v>661</v>
      </c>
      <c r="G1154" s="10">
        <v>24</v>
      </c>
      <c r="H1154" s="10">
        <v>21117</v>
      </c>
      <c r="I1154" s="10">
        <v>506808</v>
      </c>
      <c r="J1154" t="s">
        <v>42</v>
      </c>
      <c r="K1154" s="11">
        <v>3145.8</v>
      </c>
      <c r="L1154" s="12">
        <v>161.11000000000001</v>
      </c>
    </row>
    <row r="1155" spans="1:12" x14ac:dyDescent="0.2">
      <c r="A1155" s="9">
        <v>46241</v>
      </c>
      <c r="B1155" t="s">
        <v>253</v>
      </c>
      <c r="C1155" t="s">
        <v>254</v>
      </c>
      <c r="D1155" t="s">
        <v>50</v>
      </c>
      <c r="E1155" t="s">
        <v>649</v>
      </c>
      <c r="F1155" t="s">
        <v>650</v>
      </c>
      <c r="G1155" s="10">
        <v>11</v>
      </c>
      <c r="H1155" s="10">
        <v>19440</v>
      </c>
      <c r="I1155" s="10">
        <v>213840</v>
      </c>
      <c r="J1155" t="s">
        <v>51</v>
      </c>
      <c r="K1155" s="11">
        <v>648.20000000000005</v>
      </c>
      <c r="L1155" s="12">
        <v>329.9</v>
      </c>
    </row>
    <row r="1156" spans="1:12" x14ac:dyDescent="0.2">
      <c r="A1156" s="9">
        <v>46241</v>
      </c>
      <c r="B1156" t="s">
        <v>267</v>
      </c>
      <c r="C1156" t="s">
        <v>268</v>
      </c>
      <c r="D1156" t="s">
        <v>46</v>
      </c>
      <c r="E1156" t="s">
        <v>660</v>
      </c>
      <c r="F1156" t="s">
        <v>670</v>
      </c>
      <c r="G1156" s="10">
        <v>6</v>
      </c>
      <c r="H1156" s="10">
        <v>15028</v>
      </c>
      <c r="I1156" s="10">
        <v>90168</v>
      </c>
      <c r="J1156" t="s">
        <v>37</v>
      </c>
      <c r="K1156" s="11">
        <v>648.20000000000005</v>
      </c>
      <c r="L1156" s="12">
        <v>139.11000000000001</v>
      </c>
    </row>
    <row r="1157" spans="1:12" x14ac:dyDescent="0.2">
      <c r="A1157" s="9">
        <v>46241</v>
      </c>
      <c r="B1157" t="s">
        <v>267</v>
      </c>
      <c r="C1157" t="s">
        <v>268</v>
      </c>
      <c r="D1157" t="s">
        <v>46</v>
      </c>
      <c r="E1157" t="s">
        <v>653</v>
      </c>
      <c r="F1157" t="s">
        <v>654</v>
      </c>
      <c r="G1157" s="10">
        <v>12</v>
      </c>
      <c r="H1157" s="10">
        <v>5738</v>
      </c>
      <c r="I1157" s="10">
        <v>68856</v>
      </c>
      <c r="J1157" t="s">
        <v>37</v>
      </c>
      <c r="K1157" s="11">
        <v>648.20000000000005</v>
      </c>
      <c r="L1157" s="12">
        <v>106.23</v>
      </c>
    </row>
    <row r="1158" spans="1:12" x14ac:dyDescent="0.2">
      <c r="A1158" s="9">
        <v>46241</v>
      </c>
      <c r="B1158" t="s">
        <v>267</v>
      </c>
      <c r="C1158" t="s">
        <v>268</v>
      </c>
      <c r="D1158" t="s">
        <v>46</v>
      </c>
      <c r="E1158" t="s">
        <v>655</v>
      </c>
      <c r="F1158" t="s">
        <v>656</v>
      </c>
      <c r="G1158" s="10">
        <v>21</v>
      </c>
      <c r="H1158" s="10">
        <v>588</v>
      </c>
      <c r="I1158" s="10">
        <v>12348</v>
      </c>
      <c r="J1158" t="s">
        <v>37</v>
      </c>
      <c r="K1158" s="11">
        <v>648.20000000000005</v>
      </c>
      <c r="L1158" s="12">
        <v>19.05</v>
      </c>
    </row>
    <row r="1159" spans="1:12" x14ac:dyDescent="0.2">
      <c r="A1159" s="9">
        <v>46241</v>
      </c>
      <c r="B1159" t="s">
        <v>273</v>
      </c>
      <c r="C1159" t="s">
        <v>274</v>
      </c>
      <c r="D1159" t="s">
        <v>41</v>
      </c>
      <c r="E1159" t="s">
        <v>660</v>
      </c>
      <c r="F1159" t="s">
        <v>670</v>
      </c>
      <c r="G1159" s="10">
        <v>1</v>
      </c>
      <c r="H1159" s="10">
        <v>69173</v>
      </c>
      <c r="I1159" s="10">
        <v>69173</v>
      </c>
      <c r="J1159" t="s">
        <v>42</v>
      </c>
      <c r="K1159" s="11">
        <v>3145.8</v>
      </c>
      <c r="L1159" s="12">
        <v>21.99</v>
      </c>
    </row>
    <row r="1160" spans="1:12" x14ac:dyDescent="0.2">
      <c r="A1160" s="9">
        <v>46241</v>
      </c>
      <c r="B1160" t="s">
        <v>273</v>
      </c>
      <c r="C1160" t="s">
        <v>274</v>
      </c>
      <c r="D1160" t="s">
        <v>41</v>
      </c>
      <c r="E1160" t="s">
        <v>660</v>
      </c>
      <c r="F1160" t="s">
        <v>661</v>
      </c>
      <c r="G1160" s="10">
        <v>2</v>
      </c>
      <c r="H1160" s="10">
        <v>21112</v>
      </c>
      <c r="I1160" s="10">
        <v>42224</v>
      </c>
      <c r="J1160" t="s">
        <v>42</v>
      </c>
      <c r="K1160" s="11">
        <v>3145.8</v>
      </c>
      <c r="L1160" s="12">
        <v>13.42</v>
      </c>
    </row>
    <row r="1161" spans="1:12" x14ac:dyDescent="0.2">
      <c r="A1161" s="9">
        <v>46241</v>
      </c>
      <c r="B1161" t="s">
        <v>279</v>
      </c>
      <c r="C1161" t="s">
        <v>280</v>
      </c>
      <c r="D1161" t="s">
        <v>68</v>
      </c>
      <c r="E1161" t="s">
        <v>653</v>
      </c>
      <c r="F1161" t="s">
        <v>666</v>
      </c>
      <c r="G1161" s="10">
        <v>82</v>
      </c>
      <c r="H1161" s="10">
        <v>1470</v>
      </c>
      <c r="I1161" s="10">
        <v>120540</v>
      </c>
      <c r="J1161" t="s">
        <v>51</v>
      </c>
      <c r="K1161" s="11">
        <v>648.20000000000005</v>
      </c>
      <c r="L1161" s="12">
        <v>185.96</v>
      </c>
    </row>
    <row r="1162" spans="1:12" x14ac:dyDescent="0.2">
      <c r="A1162" s="9">
        <v>46241</v>
      </c>
      <c r="B1162" t="s">
        <v>279</v>
      </c>
      <c r="C1162" t="s">
        <v>280</v>
      </c>
      <c r="D1162" t="s">
        <v>68</v>
      </c>
      <c r="E1162" t="s">
        <v>660</v>
      </c>
      <c r="F1162" t="s">
        <v>669</v>
      </c>
      <c r="G1162" s="10">
        <v>15</v>
      </c>
      <c r="H1162" s="10">
        <v>2540</v>
      </c>
      <c r="I1162" s="10">
        <v>38100</v>
      </c>
      <c r="J1162" t="s">
        <v>51</v>
      </c>
      <c r="K1162" s="11">
        <v>648.20000000000005</v>
      </c>
      <c r="L1162" s="12">
        <v>58.78</v>
      </c>
    </row>
    <row r="1163" spans="1:12" x14ac:dyDescent="0.2">
      <c r="A1163" s="9">
        <v>46241</v>
      </c>
      <c r="B1163" t="s">
        <v>282</v>
      </c>
      <c r="C1163" t="s">
        <v>283</v>
      </c>
      <c r="D1163" t="s">
        <v>41</v>
      </c>
      <c r="E1163" t="s">
        <v>647</v>
      </c>
      <c r="F1163" t="s">
        <v>648</v>
      </c>
      <c r="G1163" s="10">
        <v>8</v>
      </c>
      <c r="H1163" s="10">
        <v>76888</v>
      </c>
      <c r="I1163" s="10">
        <v>615104</v>
      </c>
      <c r="J1163" t="s">
        <v>42</v>
      </c>
      <c r="K1163" s="11">
        <v>3145.8</v>
      </c>
      <c r="L1163" s="12">
        <v>195.53</v>
      </c>
    </row>
    <row r="1164" spans="1:12" x14ac:dyDescent="0.2">
      <c r="A1164" s="9">
        <v>46241</v>
      </c>
      <c r="B1164" t="s">
        <v>282</v>
      </c>
      <c r="C1164" t="s">
        <v>283</v>
      </c>
      <c r="D1164" t="s">
        <v>41</v>
      </c>
      <c r="E1164" t="s">
        <v>651</v>
      </c>
      <c r="F1164" t="s">
        <v>657</v>
      </c>
      <c r="G1164" s="10">
        <v>2</v>
      </c>
      <c r="H1164" s="10">
        <v>30276</v>
      </c>
      <c r="I1164" s="10">
        <v>60552</v>
      </c>
      <c r="J1164" t="s">
        <v>42</v>
      </c>
      <c r="K1164" s="11">
        <v>3145.8</v>
      </c>
      <c r="L1164" s="12">
        <v>19.25</v>
      </c>
    </row>
    <row r="1165" spans="1:12" x14ac:dyDescent="0.2">
      <c r="A1165" s="9">
        <v>46241</v>
      </c>
      <c r="B1165" t="s">
        <v>288</v>
      </c>
      <c r="C1165" t="s">
        <v>289</v>
      </c>
      <c r="D1165" t="s">
        <v>41</v>
      </c>
      <c r="E1165" t="s">
        <v>653</v>
      </c>
      <c r="F1165" t="s">
        <v>658</v>
      </c>
      <c r="G1165" s="10">
        <v>11</v>
      </c>
      <c r="H1165" s="10">
        <v>13464</v>
      </c>
      <c r="I1165" s="10">
        <v>148104</v>
      </c>
      <c r="J1165" t="s">
        <v>42</v>
      </c>
      <c r="K1165" s="11">
        <v>3145.8</v>
      </c>
      <c r="L1165" s="12">
        <v>47.08</v>
      </c>
    </row>
    <row r="1166" spans="1:12" x14ac:dyDescent="0.2">
      <c r="A1166" s="9">
        <v>46241</v>
      </c>
      <c r="B1166" t="s">
        <v>291</v>
      </c>
      <c r="C1166" t="s">
        <v>292</v>
      </c>
      <c r="D1166" t="s">
        <v>68</v>
      </c>
      <c r="E1166" t="s">
        <v>649</v>
      </c>
      <c r="F1166" t="s">
        <v>663</v>
      </c>
      <c r="G1166" s="10">
        <v>8</v>
      </c>
      <c r="H1166" s="10">
        <v>1967</v>
      </c>
      <c r="I1166" s="10">
        <v>15736</v>
      </c>
      <c r="J1166" t="s">
        <v>51</v>
      </c>
      <c r="K1166" s="11">
        <v>648.20000000000005</v>
      </c>
      <c r="L1166" s="12">
        <v>24.28</v>
      </c>
    </row>
    <row r="1167" spans="1:12" x14ac:dyDescent="0.2">
      <c r="A1167" s="9">
        <v>46241</v>
      </c>
      <c r="B1167" t="s">
        <v>294</v>
      </c>
      <c r="C1167" t="s">
        <v>295</v>
      </c>
      <c r="D1167" t="s">
        <v>41</v>
      </c>
      <c r="E1167" t="s">
        <v>660</v>
      </c>
      <c r="F1167" t="s">
        <v>670</v>
      </c>
      <c r="G1167" s="10">
        <v>7</v>
      </c>
      <c r="H1167" s="10">
        <v>69055</v>
      </c>
      <c r="I1167" s="10">
        <v>483385</v>
      </c>
      <c r="J1167" t="s">
        <v>42</v>
      </c>
      <c r="K1167" s="11">
        <v>3145.8</v>
      </c>
      <c r="L1167" s="12">
        <v>153.66</v>
      </c>
    </row>
    <row r="1168" spans="1:12" x14ac:dyDescent="0.2">
      <c r="A1168" s="9">
        <v>46241</v>
      </c>
      <c r="B1168" t="s">
        <v>297</v>
      </c>
      <c r="C1168" t="s">
        <v>298</v>
      </c>
      <c r="D1168" t="s">
        <v>36</v>
      </c>
      <c r="E1168" t="s">
        <v>660</v>
      </c>
      <c r="F1168" t="s">
        <v>661</v>
      </c>
      <c r="G1168" s="10">
        <v>84</v>
      </c>
      <c r="H1168" s="10">
        <v>4094</v>
      </c>
      <c r="I1168" s="10">
        <v>343896</v>
      </c>
      <c r="J1168" t="s">
        <v>37</v>
      </c>
      <c r="K1168" s="11">
        <v>648.20000000000005</v>
      </c>
      <c r="L1168" s="12">
        <v>530.54</v>
      </c>
    </row>
    <row r="1169" spans="1:12" x14ac:dyDescent="0.2">
      <c r="A1169" s="9">
        <v>46241</v>
      </c>
      <c r="B1169" t="s">
        <v>306</v>
      </c>
      <c r="C1169" t="s">
        <v>307</v>
      </c>
      <c r="D1169" t="s">
        <v>36</v>
      </c>
      <c r="E1169" t="s">
        <v>647</v>
      </c>
      <c r="F1169" t="s">
        <v>648</v>
      </c>
      <c r="G1169" s="10">
        <v>7</v>
      </c>
      <c r="H1169" s="10">
        <v>16872</v>
      </c>
      <c r="I1169" s="10">
        <v>118104</v>
      </c>
      <c r="J1169" t="s">
        <v>37</v>
      </c>
      <c r="K1169" s="11">
        <v>648.20000000000005</v>
      </c>
      <c r="L1169" s="12">
        <v>182.2</v>
      </c>
    </row>
    <row r="1170" spans="1:12" x14ac:dyDescent="0.2">
      <c r="A1170" s="9">
        <v>46241</v>
      </c>
      <c r="B1170" t="s">
        <v>309</v>
      </c>
      <c r="C1170" t="s">
        <v>310</v>
      </c>
      <c r="D1170" t="s">
        <v>41</v>
      </c>
      <c r="E1170" t="s">
        <v>651</v>
      </c>
      <c r="F1170" t="s">
        <v>664</v>
      </c>
      <c r="G1170" s="10">
        <v>4</v>
      </c>
      <c r="H1170" s="10">
        <v>56556</v>
      </c>
      <c r="I1170" s="10">
        <v>226224</v>
      </c>
      <c r="J1170" t="s">
        <v>42</v>
      </c>
      <c r="K1170" s="11">
        <v>3145.8</v>
      </c>
      <c r="L1170" s="12">
        <v>71.91</v>
      </c>
    </row>
    <row r="1171" spans="1:12" x14ac:dyDescent="0.2">
      <c r="A1171" s="9">
        <v>46241</v>
      </c>
      <c r="B1171" t="s">
        <v>312</v>
      </c>
      <c r="C1171" t="s">
        <v>313</v>
      </c>
      <c r="D1171" t="s">
        <v>41</v>
      </c>
      <c r="E1171" t="s">
        <v>649</v>
      </c>
      <c r="F1171" t="s">
        <v>650</v>
      </c>
      <c r="G1171" s="10">
        <v>6</v>
      </c>
      <c r="H1171" s="10">
        <v>96031</v>
      </c>
      <c r="I1171" s="10">
        <v>576186</v>
      </c>
      <c r="J1171" t="s">
        <v>42</v>
      </c>
      <c r="K1171" s="11">
        <v>3145.8</v>
      </c>
      <c r="L1171" s="12">
        <v>183.16</v>
      </c>
    </row>
    <row r="1172" spans="1:12" x14ac:dyDescent="0.2">
      <c r="A1172" s="9">
        <v>46241</v>
      </c>
      <c r="B1172" t="s">
        <v>315</v>
      </c>
      <c r="C1172" t="s">
        <v>316</v>
      </c>
      <c r="D1172" t="s">
        <v>46</v>
      </c>
      <c r="E1172" t="s">
        <v>647</v>
      </c>
      <c r="F1172" t="s">
        <v>667</v>
      </c>
      <c r="G1172" s="10">
        <v>14</v>
      </c>
      <c r="H1172" s="10">
        <v>7317</v>
      </c>
      <c r="I1172" s="10">
        <v>102438</v>
      </c>
      <c r="J1172" t="s">
        <v>37</v>
      </c>
      <c r="K1172" s="11">
        <v>648.20000000000005</v>
      </c>
      <c r="L1172" s="12">
        <v>158.03</v>
      </c>
    </row>
    <row r="1173" spans="1:12" x14ac:dyDescent="0.2">
      <c r="A1173" s="9">
        <v>46241</v>
      </c>
      <c r="B1173" t="s">
        <v>321</v>
      </c>
      <c r="C1173" t="s">
        <v>322</v>
      </c>
      <c r="D1173" t="s">
        <v>41</v>
      </c>
      <c r="E1173" t="s">
        <v>655</v>
      </c>
      <c r="F1173" t="s">
        <v>656</v>
      </c>
      <c r="G1173" s="10">
        <v>1</v>
      </c>
      <c r="H1173" s="10">
        <v>2889</v>
      </c>
      <c r="I1173" s="10">
        <v>2889</v>
      </c>
      <c r="J1173" t="s">
        <v>42</v>
      </c>
      <c r="K1173" s="11">
        <v>3145.8</v>
      </c>
      <c r="L1173" s="12">
        <v>0.92</v>
      </c>
    </row>
    <row r="1174" spans="1:12" x14ac:dyDescent="0.2">
      <c r="A1174" s="9">
        <v>46241</v>
      </c>
      <c r="B1174" t="s">
        <v>324</v>
      </c>
      <c r="C1174" t="s">
        <v>325</v>
      </c>
      <c r="D1174" t="s">
        <v>46</v>
      </c>
      <c r="E1174" t="s">
        <v>653</v>
      </c>
      <c r="F1174" t="s">
        <v>666</v>
      </c>
      <c r="G1174" s="10">
        <v>19</v>
      </c>
      <c r="H1174" s="10">
        <v>1545</v>
      </c>
      <c r="I1174" s="10">
        <v>29355</v>
      </c>
      <c r="J1174" t="s">
        <v>37</v>
      </c>
      <c r="K1174" s="11">
        <v>648.20000000000005</v>
      </c>
      <c r="L1174" s="12">
        <v>45.29</v>
      </c>
    </row>
    <row r="1175" spans="1:12" x14ac:dyDescent="0.2">
      <c r="A1175" s="9">
        <v>46241</v>
      </c>
      <c r="B1175" t="s">
        <v>327</v>
      </c>
      <c r="C1175" t="s">
        <v>328</v>
      </c>
      <c r="D1175" t="s">
        <v>46</v>
      </c>
      <c r="E1175" t="s">
        <v>649</v>
      </c>
      <c r="F1175" t="s">
        <v>650</v>
      </c>
      <c r="G1175" s="10">
        <v>7</v>
      </c>
      <c r="H1175" s="10">
        <v>19771</v>
      </c>
      <c r="I1175" s="10">
        <v>138397</v>
      </c>
      <c r="J1175" t="s">
        <v>37</v>
      </c>
      <c r="K1175" s="11">
        <v>648.20000000000005</v>
      </c>
      <c r="L1175" s="12">
        <v>213.51</v>
      </c>
    </row>
    <row r="1176" spans="1:12" x14ac:dyDescent="0.2">
      <c r="A1176" s="9">
        <v>46241</v>
      </c>
      <c r="B1176" t="s">
        <v>327</v>
      </c>
      <c r="C1176" t="s">
        <v>328</v>
      </c>
      <c r="D1176" t="s">
        <v>46</v>
      </c>
      <c r="E1176" t="s">
        <v>660</v>
      </c>
      <c r="F1176" t="s">
        <v>670</v>
      </c>
      <c r="G1176" s="10">
        <v>8</v>
      </c>
      <c r="H1176" s="10">
        <v>14829</v>
      </c>
      <c r="I1176" s="10">
        <v>118632</v>
      </c>
      <c r="J1176" t="s">
        <v>37</v>
      </c>
      <c r="K1176" s="11">
        <v>648.20000000000005</v>
      </c>
      <c r="L1176" s="12">
        <v>183.02</v>
      </c>
    </row>
    <row r="1177" spans="1:12" x14ac:dyDescent="0.2">
      <c r="A1177" s="9">
        <v>46241</v>
      </c>
      <c r="B1177" t="s">
        <v>330</v>
      </c>
      <c r="C1177" t="s">
        <v>331</v>
      </c>
      <c r="D1177" t="s">
        <v>68</v>
      </c>
      <c r="E1177" t="s">
        <v>647</v>
      </c>
      <c r="F1177" t="s">
        <v>648</v>
      </c>
      <c r="G1177" s="10">
        <v>53</v>
      </c>
      <c r="H1177" s="10">
        <v>16135</v>
      </c>
      <c r="I1177" s="10">
        <v>855155</v>
      </c>
      <c r="J1177" t="s">
        <v>51</v>
      </c>
      <c r="K1177" s="11">
        <v>648.20000000000005</v>
      </c>
      <c r="L1177" s="12">
        <v>1319.28</v>
      </c>
    </row>
    <row r="1178" spans="1:12" x14ac:dyDescent="0.2">
      <c r="A1178" s="9">
        <v>46241</v>
      </c>
      <c r="B1178" t="s">
        <v>342</v>
      </c>
      <c r="C1178" t="s">
        <v>343</v>
      </c>
      <c r="D1178" t="s">
        <v>41</v>
      </c>
      <c r="E1178" t="s">
        <v>660</v>
      </c>
      <c r="F1178" t="s">
        <v>669</v>
      </c>
      <c r="G1178" s="10">
        <v>23</v>
      </c>
      <c r="H1178" s="10">
        <v>12168</v>
      </c>
      <c r="I1178" s="10">
        <v>279864</v>
      </c>
      <c r="J1178" t="s">
        <v>42</v>
      </c>
      <c r="K1178" s="11">
        <v>3145.8</v>
      </c>
      <c r="L1178" s="12">
        <v>88.96</v>
      </c>
    </row>
    <row r="1179" spans="1:12" x14ac:dyDescent="0.2">
      <c r="A1179" s="9">
        <v>46241</v>
      </c>
      <c r="B1179" t="s">
        <v>348</v>
      </c>
      <c r="C1179" t="s">
        <v>349</v>
      </c>
      <c r="D1179" t="s">
        <v>36</v>
      </c>
      <c r="E1179" t="s">
        <v>660</v>
      </c>
      <c r="F1179" t="s">
        <v>661</v>
      </c>
      <c r="G1179" s="10">
        <v>11</v>
      </c>
      <c r="H1179" s="10">
        <v>4237</v>
      </c>
      <c r="I1179" s="10">
        <v>46607</v>
      </c>
      <c r="J1179" t="s">
        <v>37</v>
      </c>
      <c r="K1179" s="11">
        <v>648.20000000000005</v>
      </c>
      <c r="L1179" s="12">
        <v>71.900000000000006</v>
      </c>
    </row>
    <row r="1180" spans="1:12" x14ac:dyDescent="0.2">
      <c r="A1180" s="9">
        <v>46241</v>
      </c>
      <c r="B1180" t="s">
        <v>351</v>
      </c>
      <c r="C1180" t="s">
        <v>352</v>
      </c>
      <c r="D1180" t="s">
        <v>41</v>
      </c>
      <c r="E1180" t="s">
        <v>647</v>
      </c>
      <c r="F1180" t="s">
        <v>668</v>
      </c>
      <c r="G1180" s="10">
        <v>14</v>
      </c>
      <c r="H1180" s="10">
        <v>119976</v>
      </c>
      <c r="I1180" s="10">
        <v>1679664</v>
      </c>
      <c r="J1180" t="s">
        <v>42</v>
      </c>
      <c r="K1180" s="11">
        <v>3145.8</v>
      </c>
      <c r="L1180" s="12">
        <v>533.94000000000005</v>
      </c>
    </row>
    <row r="1181" spans="1:12" x14ac:dyDescent="0.2">
      <c r="A1181" s="9">
        <v>46241</v>
      </c>
      <c r="B1181" t="s">
        <v>357</v>
      </c>
      <c r="C1181" t="s">
        <v>358</v>
      </c>
      <c r="D1181" t="s">
        <v>36</v>
      </c>
      <c r="E1181" t="s">
        <v>649</v>
      </c>
      <c r="F1181" t="s">
        <v>650</v>
      </c>
      <c r="G1181" s="10">
        <v>31</v>
      </c>
      <c r="H1181" s="10">
        <v>19035</v>
      </c>
      <c r="I1181" s="10">
        <v>590085</v>
      </c>
      <c r="J1181" t="s">
        <v>37</v>
      </c>
      <c r="K1181" s="11">
        <v>648.20000000000005</v>
      </c>
      <c r="L1181" s="12">
        <v>910.34</v>
      </c>
    </row>
    <row r="1182" spans="1:12" x14ac:dyDescent="0.2">
      <c r="A1182" s="9">
        <v>46241</v>
      </c>
      <c r="B1182" t="s">
        <v>357</v>
      </c>
      <c r="C1182" t="s">
        <v>358</v>
      </c>
      <c r="D1182" t="s">
        <v>36</v>
      </c>
      <c r="E1182" t="s">
        <v>651</v>
      </c>
      <c r="F1182" t="s">
        <v>664</v>
      </c>
      <c r="G1182" s="10">
        <v>7</v>
      </c>
      <c r="H1182" s="10">
        <v>11805</v>
      </c>
      <c r="I1182" s="10">
        <v>82635</v>
      </c>
      <c r="J1182" t="s">
        <v>37</v>
      </c>
      <c r="K1182" s="11">
        <v>648.20000000000005</v>
      </c>
      <c r="L1182" s="12">
        <v>127.48</v>
      </c>
    </row>
    <row r="1183" spans="1:12" x14ac:dyDescent="0.2">
      <c r="A1183" s="9">
        <v>46241</v>
      </c>
      <c r="B1183" t="s">
        <v>363</v>
      </c>
      <c r="C1183" t="s">
        <v>364</v>
      </c>
      <c r="D1183" t="s">
        <v>46</v>
      </c>
      <c r="E1183" t="s">
        <v>653</v>
      </c>
      <c r="F1183" t="s">
        <v>658</v>
      </c>
      <c r="G1183" s="10">
        <v>40</v>
      </c>
      <c r="H1183" s="10">
        <v>2728</v>
      </c>
      <c r="I1183" s="10">
        <v>109120</v>
      </c>
      <c r="J1183" t="s">
        <v>37</v>
      </c>
      <c r="K1183" s="11">
        <v>648.20000000000005</v>
      </c>
      <c r="L1183" s="12">
        <v>168.34</v>
      </c>
    </row>
    <row r="1184" spans="1:12" x14ac:dyDescent="0.2">
      <c r="A1184" s="9">
        <v>46241</v>
      </c>
      <c r="B1184" t="s">
        <v>363</v>
      </c>
      <c r="C1184" t="s">
        <v>364</v>
      </c>
      <c r="D1184" t="s">
        <v>46</v>
      </c>
      <c r="E1184" t="s">
        <v>653</v>
      </c>
      <c r="F1184" t="s">
        <v>666</v>
      </c>
      <c r="G1184" s="10">
        <v>76</v>
      </c>
      <c r="H1184" s="10">
        <v>1565</v>
      </c>
      <c r="I1184" s="10">
        <v>118940</v>
      </c>
      <c r="J1184" t="s">
        <v>37</v>
      </c>
      <c r="K1184" s="11">
        <v>648.20000000000005</v>
      </c>
      <c r="L1184" s="12">
        <v>183.49</v>
      </c>
    </row>
    <row r="1185" spans="1:12" x14ac:dyDescent="0.2">
      <c r="A1185" s="9">
        <v>46241</v>
      </c>
      <c r="B1185" t="s">
        <v>363</v>
      </c>
      <c r="C1185" t="s">
        <v>364</v>
      </c>
      <c r="D1185" t="s">
        <v>46</v>
      </c>
      <c r="E1185" t="s">
        <v>649</v>
      </c>
      <c r="F1185" t="s">
        <v>659</v>
      </c>
      <c r="G1185" s="10">
        <v>22</v>
      </c>
      <c r="H1185" s="10">
        <v>9029</v>
      </c>
      <c r="I1185" s="10">
        <v>198638</v>
      </c>
      <c r="J1185" t="s">
        <v>37</v>
      </c>
      <c r="K1185" s="11">
        <v>648.20000000000005</v>
      </c>
      <c r="L1185" s="12">
        <v>306.45</v>
      </c>
    </row>
    <row r="1186" spans="1:12" x14ac:dyDescent="0.2">
      <c r="A1186" s="9">
        <v>46241</v>
      </c>
      <c r="B1186" t="s">
        <v>366</v>
      </c>
      <c r="C1186" t="s">
        <v>367</v>
      </c>
      <c r="D1186" t="s">
        <v>41</v>
      </c>
      <c r="E1186" t="s">
        <v>649</v>
      </c>
      <c r="F1186" t="s">
        <v>650</v>
      </c>
      <c r="G1186" s="10">
        <v>4</v>
      </c>
      <c r="H1186" s="10">
        <v>91410</v>
      </c>
      <c r="I1186" s="10">
        <v>365640</v>
      </c>
      <c r="J1186" t="s">
        <v>42</v>
      </c>
      <c r="K1186" s="11">
        <v>3145.8</v>
      </c>
      <c r="L1186" s="12">
        <v>116.23</v>
      </c>
    </row>
    <row r="1187" spans="1:12" x14ac:dyDescent="0.2">
      <c r="A1187" s="9">
        <v>46241</v>
      </c>
      <c r="B1187" t="s">
        <v>369</v>
      </c>
      <c r="C1187" t="s">
        <v>370</v>
      </c>
      <c r="D1187" t="s">
        <v>36</v>
      </c>
      <c r="E1187" t="s">
        <v>653</v>
      </c>
      <c r="F1187" t="s">
        <v>666</v>
      </c>
      <c r="G1187" s="10">
        <v>12</v>
      </c>
      <c r="H1187" s="10">
        <v>1505</v>
      </c>
      <c r="I1187" s="10">
        <v>18060</v>
      </c>
      <c r="J1187" t="s">
        <v>37</v>
      </c>
      <c r="K1187" s="11">
        <v>648.20000000000005</v>
      </c>
      <c r="L1187" s="12">
        <v>27.86</v>
      </c>
    </row>
    <row r="1188" spans="1:12" x14ac:dyDescent="0.2">
      <c r="A1188" s="9">
        <v>46241</v>
      </c>
      <c r="B1188" t="s">
        <v>369</v>
      </c>
      <c r="C1188" t="s">
        <v>370</v>
      </c>
      <c r="D1188" t="s">
        <v>36</v>
      </c>
      <c r="E1188" t="s">
        <v>649</v>
      </c>
      <c r="F1188" t="s">
        <v>663</v>
      </c>
      <c r="G1188" s="10">
        <v>10</v>
      </c>
      <c r="H1188" s="10">
        <v>2009</v>
      </c>
      <c r="I1188" s="10">
        <v>20090</v>
      </c>
      <c r="J1188" t="s">
        <v>37</v>
      </c>
      <c r="K1188" s="11">
        <v>648.20000000000005</v>
      </c>
      <c r="L1188" s="12">
        <v>30.99</v>
      </c>
    </row>
    <row r="1189" spans="1:12" x14ac:dyDescent="0.2">
      <c r="A1189" s="9">
        <v>46241</v>
      </c>
      <c r="B1189" t="s">
        <v>369</v>
      </c>
      <c r="C1189" t="s">
        <v>370</v>
      </c>
      <c r="D1189" t="s">
        <v>36</v>
      </c>
      <c r="E1189" t="s">
        <v>647</v>
      </c>
      <c r="F1189" t="s">
        <v>667</v>
      </c>
      <c r="G1189" s="10">
        <v>6</v>
      </c>
      <c r="H1189" s="10">
        <v>7068</v>
      </c>
      <c r="I1189" s="10">
        <v>42408</v>
      </c>
      <c r="J1189" t="s">
        <v>37</v>
      </c>
      <c r="K1189" s="11">
        <v>648.20000000000005</v>
      </c>
      <c r="L1189" s="12">
        <v>65.42</v>
      </c>
    </row>
    <row r="1190" spans="1:12" x14ac:dyDescent="0.2">
      <c r="A1190" s="9">
        <v>46241</v>
      </c>
      <c r="B1190" t="s">
        <v>369</v>
      </c>
      <c r="C1190" t="s">
        <v>370</v>
      </c>
      <c r="D1190" t="s">
        <v>36</v>
      </c>
      <c r="E1190" t="s">
        <v>647</v>
      </c>
      <c r="F1190" t="s">
        <v>667</v>
      </c>
      <c r="G1190" s="10">
        <v>11</v>
      </c>
      <c r="H1190" s="10">
        <v>7541</v>
      </c>
      <c r="I1190" s="10">
        <v>82951</v>
      </c>
      <c r="J1190" t="s">
        <v>37</v>
      </c>
      <c r="K1190" s="11">
        <v>648.20000000000005</v>
      </c>
      <c r="L1190" s="12">
        <v>127.97</v>
      </c>
    </row>
    <row r="1191" spans="1:12" x14ac:dyDescent="0.2">
      <c r="A1191" s="9">
        <v>46241</v>
      </c>
      <c r="B1191" t="s">
        <v>372</v>
      </c>
      <c r="C1191" t="s">
        <v>373</v>
      </c>
      <c r="D1191" t="s">
        <v>75</v>
      </c>
      <c r="E1191" t="s">
        <v>651</v>
      </c>
      <c r="F1191" t="s">
        <v>652</v>
      </c>
      <c r="G1191" s="10">
        <v>5</v>
      </c>
      <c r="H1191" s="10">
        <v>47230</v>
      </c>
      <c r="I1191" s="10">
        <v>236150</v>
      </c>
      <c r="J1191" t="s">
        <v>42</v>
      </c>
      <c r="K1191" s="11">
        <v>3145.8</v>
      </c>
      <c r="L1191" s="12">
        <v>75.069999999999993</v>
      </c>
    </row>
    <row r="1192" spans="1:12" x14ac:dyDescent="0.2">
      <c r="A1192" s="9">
        <v>46241</v>
      </c>
      <c r="B1192" t="s">
        <v>372</v>
      </c>
      <c r="C1192" t="s">
        <v>373</v>
      </c>
      <c r="D1192" t="s">
        <v>75</v>
      </c>
      <c r="E1192" t="s">
        <v>653</v>
      </c>
      <c r="F1192" t="s">
        <v>654</v>
      </c>
      <c r="G1192" s="10">
        <v>21</v>
      </c>
      <c r="H1192" s="10">
        <v>28370</v>
      </c>
      <c r="I1192" s="10">
        <v>595770</v>
      </c>
      <c r="J1192" t="s">
        <v>42</v>
      </c>
      <c r="K1192" s="11">
        <v>3145.8</v>
      </c>
      <c r="L1192" s="12">
        <v>189.39</v>
      </c>
    </row>
    <row r="1193" spans="1:12" x14ac:dyDescent="0.2">
      <c r="A1193" s="9">
        <v>46241</v>
      </c>
      <c r="B1193" t="s">
        <v>375</v>
      </c>
      <c r="C1193" t="s">
        <v>376</v>
      </c>
      <c r="D1193" t="s">
        <v>36</v>
      </c>
      <c r="E1193" t="s">
        <v>651</v>
      </c>
      <c r="F1193" t="s">
        <v>652</v>
      </c>
      <c r="G1193" s="10">
        <v>7</v>
      </c>
      <c r="H1193" s="10">
        <v>9622</v>
      </c>
      <c r="I1193" s="10">
        <v>67354</v>
      </c>
      <c r="J1193" t="s">
        <v>37</v>
      </c>
      <c r="K1193" s="11">
        <v>648.20000000000005</v>
      </c>
      <c r="L1193" s="12">
        <v>103.91</v>
      </c>
    </row>
    <row r="1194" spans="1:12" x14ac:dyDescent="0.2">
      <c r="A1194" s="9">
        <v>46241</v>
      </c>
      <c r="B1194" t="s">
        <v>378</v>
      </c>
      <c r="C1194" t="s">
        <v>379</v>
      </c>
      <c r="D1194" t="s">
        <v>50</v>
      </c>
      <c r="E1194" t="s">
        <v>655</v>
      </c>
      <c r="F1194" t="s">
        <v>662</v>
      </c>
      <c r="G1194" s="10">
        <v>5</v>
      </c>
      <c r="H1194" s="10">
        <v>1092</v>
      </c>
      <c r="I1194" s="10">
        <v>5460</v>
      </c>
      <c r="J1194" t="s">
        <v>51</v>
      </c>
      <c r="K1194" s="11">
        <v>648.20000000000005</v>
      </c>
      <c r="L1194" s="12">
        <v>8.42</v>
      </c>
    </row>
    <row r="1195" spans="1:12" x14ac:dyDescent="0.2">
      <c r="A1195" s="9">
        <v>46241</v>
      </c>
      <c r="B1195" t="s">
        <v>381</v>
      </c>
      <c r="C1195" t="s">
        <v>382</v>
      </c>
      <c r="D1195" t="s">
        <v>36</v>
      </c>
      <c r="E1195" t="s">
        <v>655</v>
      </c>
      <c r="F1195" t="s">
        <v>665</v>
      </c>
      <c r="G1195" s="10">
        <v>6</v>
      </c>
      <c r="H1195" s="10">
        <v>683</v>
      </c>
      <c r="I1195" s="10">
        <v>4098</v>
      </c>
      <c r="J1195" t="s">
        <v>37</v>
      </c>
      <c r="K1195" s="11">
        <v>648.20000000000005</v>
      </c>
      <c r="L1195" s="12">
        <v>6.32</v>
      </c>
    </row>
    <row r="1196" spans="1:12" x14ac:dyDescent="0.2">
      <c r="A1196" s="9">
        <v>46241</v>
      </c>
      <c r="B1196" t="s">
        <v>384</v>
      </c>
      <c r="C1196" t="s">
        <v>385</v>
      </c>
      <c r="D1196" t="s">
        <v>46</v>
      </c>
      <c r="E1196" t="s">
        <v>651</v>
      </c>
      <c r="F1196" t="s">
        <v>652</v>
      </c>
      <c r="G1196" s="10">
        <v>1</v>
      </c>
      <c r="H1196" s="10">
        <v>9414</v>
      </c>
      <c r="I1196" s="10">
        <v>9414</v>
      </c>
      <c r="J1196" t="s">
        <v>37</v>
      </c>
      <c r="K1196" s="11">
        <v>648.20000000000005</v>
      </c>
      <c r="L1196" s="12">
        <v>14.52</v>
      </c>
    </row>
    <row r="1197" spans="1:12" x14ac:dyDescent="0.2">
      <c r="A1197" s="9">
        <v>46241</v>
      </c>
      <c r="B1197" t="s">
        <v>384</v>
      </c>
      <c r="C1197" t="s">
        <v>385</v>
      </c>
      <c r="D1197" t="s">
        <v>46</v>
      </c>
      <c r="E1197" t="s">
        <v>647</v>
      </c>
      <c r="F1197" t="s">
        <v>668</v>
      </c>
      <c r="G1197" s="10">
        <v>17</v>
      </c>
      <c r="H1197" s="10">
        <v>24356</v>
      </c>
      <c r="I1197" s="10">
        <v>414052</v>
      </c>
      <c r="J1197" t="s">
        <v>37</v>
      </c>
      <c r="K1197" s="11">
        <v>648.20000000000005</v>
      </c>
      <c r="L1197" s="12">
        <v>638.77</v>
      </c>
    </row>
    <row r="1198" spans="1:12" x14ac:dyDescent="0.2">
      <c r="A1198" s="9">
        <v>46241</v>
      </c>
      <c r="B1198" t="s">
        <v>384</v>
      </c>
      <c r="C1198" t="s">
        <v>385</v>
      </c>
      <c r="D1198" t="s">
        <v>46</v>
      </c>
      <c r="E1198" t="s">
        <v>647</v>
      </c>
      <c r="F1198" t="s">
        <v>667</v>
      </c>
      <c r="G1198" s="10">
        <v>27</v>
      </c>
      <c r="H1198" s="10">
        <v>7568</v>
      </c>
      <c r="I1198" s="10">
        <v>204336</v>
      </c>
      <c r="J1198" t="s">
        <v>37</v>
      </c>
      <c r="K1198" s="11">
        <v>648.20000000000005</v>
      </c>
      <c r="L1198" s="12">
        <v>315.24</v>
      </c>
    </row>
    <row r="1199" spans="1:12" x14ac:dyDescent="0.2">
      <c r="A1199" s="9">
        <v>46241</v>
      </c>
      <c r="B1199" t="s">
        <v>393</v>
      </c>
      <c r="C1199" t="s">
        <v>307</v>
      </c>
      <c r="D1199" t="s">
        <v>68</v>
      </c>
      <c r="E1199" t="s">
        <v>655</v>
      </c>
      <c r="F1199" t="s">
        <v>662</v>
      </c>
      <c r="G1199" s="10">
        <v>379</v>
      </c>
      <c r="H1199" s="10">
        <v>1096</v>
      </c>
      <c r="I1199" s="10">
        <v>415384</v>
      </c>
      <c r="J1199" t="s">
        <v>51</v>
      </c>
      <c r="K1199" s="11">
        <v>648.20000000000005</v>
      </c>
      <c r="L1199" s="12">
        <v>640.83000000000004</v>
      </c>
    </row>
    <row r="1200" spans="1:12" x14ac:dyDescent="0.2">
      <c r="A1200" s="9">
        <v>46241</v>
      </c>
      <c r="B1200" t="s">
        <v>393</v>
      </c>
      <c r="C1200" t="s">
        <v>307</v>
      </c>
      <c r="D1200" t="s">
        <v>68</v>
      </c>
      <c r="E1200" t="s">
        <v>660</v>
      </c>
      <c r="F1200" t="s">
        <v>669</v>
      </c>
      <c r="G1200" s="10">
        <v>77</v>
      </c>
      <c r="H1200" s="10">
        <v>2580</v>
      </c>
      <c r="I1200" s="10">
        <v>198660</v>
      </c>
      <c r="J1200" t="s">
        <v>51</v>
      </c>
      <c r="K1200" s="11">
        <v>648.20000000000005</v>
      </c>
      <c r="L1200" s="12">
        <v>306.48</v>
      </c>
    </row>
    <row r="1201" spans="1:12" x14ac:dyDescent="0.2">
      <c r="A1201" s="9">
        <v>46241</v>
      </c>
      <c r="B1201" t="s">
        <v>393</v>
      </c>
      <c r="C1201" t="s">
        <v>307</v>
      </c>
      <c r="D1201" t="s">
        <v>68</v>
      </c>
      <c r="E1201" t="s">
        <v>647</v>
      </c>
      <c r="F1201" t="s">
        <v>667</v>
      </c>
      <c r="G1201" s="10">
        <v>49</v>
      </c>
      <c r="H1201" s="10">
        <v>7393</v>
      </c>
      <c r="I1201" s="10">
        <v>362257</v>
      </c>
      <c r="J1201" t="s">
        <v>51</v>
      </c>
      <c r="K1201" s="11">
        <v>648.20000000000005</v>
      </c>
      <c r="L1201" s="12">
        <v>558.87</v>
      </c>
    </row>
    <row r="1202" spans="1:12" x14ac:dyDescent="0.2">
      <c r="A1202" s="9">
        <v>46241</v>
      </c>
      <c r="B1202" t="s">
        <v>395</v>
      </c>
      <c r="C1202" t="s">
        <v>396</v>
      </c>
      <c r="D1202" t="s">
        <v>46</v>
      </c>
      <c r="E1202" t="s">
        <v>647</v>
      </c>
      <c r="F1202" t="s">
        <v>667</v>
      </c>
      <c r="G1202" s="10">
        <v>2</v>
      </c>
      <c r="H1202" s="10">
        <v>7137</v>
      </c>
      <c r="I1202" s="10">
        <v>14274</v>
      </c>
      <c r="J1202" t="s">
        <v>37</v>
      </c>
      <c r="K1202" s="11">
        <v>648.20000000000005</v>
      </c>
      <c r="L1202" s="12">
        <v>22.02</v>
      </c>
    </row>
    <row r="1203" spans="1:12" x14ac:dyDescent="0.2">
      <c r="A1203" s="9">
        <v>46241</v>
      </c>
      <c r="B1203" t="s">
        <v>398</v>
      </c>
      <c r="C1203" t="s">
        <v>399</v>
      </c>
      <c r="D1203" t="s">
        <v>46</v>
      </c>
      <c r="E1203" t="s">
        <v>651</v>
      </c>
      <c r="F1203" t="s">
        <v>664</v>
      </c>
      <c r="G1203" s="10">
        <v>41</v>
      </c>
      <c r="H1203" s="10">
        <v>12182</v>
      </c>
      <c r="I1203" s="10">
        <v>499462</v>
      </c>
      <c r="J1203" t="s">
        <v>37</v>
      </c>
      <c r="K1203" s="11">
        <v>648.20000000000005</v>
      </c>
      <c r="L1203" s="12">
        <v>770.54</v>
      </c>
    </row>
    <row r="1204" spans="1:12" x14ac:dyDescent="0.2">
      <c r="A1204" s="9">
        <v>46241</v>
      </c>
      <c r="B1204" t="s">
        <v>401</v>
      </c>
      <c r="C1204" t="s">
        <v>402</v>
      </c>
      <c r="D1204" t="s">
        <v>36</v>
      </c>
      <c r="E1204" t="s">
        <v>649</v>
      </c>
      <c r="F1204" t="s">
        <v>663</v>
      </c>
      <c r="G1204" s="10">
        <v>42</v>
      </c>
      <c r="H1204" s="10">
        <v>1957</v>
      </c>
      <c r="I1204" s="10">
        <v>82194</v>
      </c>
      <c r="J1204" t="s">
        <v>37</v>
      </c>
      <c r="K1204" s="11">
        <v>648.20000000000005</v>
      </c>
      <c r="L1204" s="12">
        <v>126.8</v>
      </c>
    </row>
    <row r="1205" spans="1:12" x14ac:dyDescent="0.2">
      <c r="A1205" s="9">
        <v>46241</v>
      </c>
      <c r="B1205" t="s">
        <v>404</v>
      </c>
      <c r="C1205" t="s">
        <v>405</v>
      </c>
      <c r="D1205" t="s">
        <v>46</v>
      </c>
      <c r="E1205" t="s">
        <v>647</v>
      </c>
      <c r="F1205" t="s">
        <v>667</v>
      </c>
      <c r="G1205" s="10">
        <v>12</v>
      </c>
      <c r="H1205" s="10">
        <v>7520</v>
      </c>
      <c r="I1205" s="10">
        <v>90240</v>
      </c>
      <c r="J1205" t="s">
        <v>37</v>
      </c>
      <c r="K1205" s="11">
        <v>648.20000000000005</v>
      </c>
      <c r="L1205" s="12">
        <v>139.22</v>
      </c>
    </row>
    <row r="1206" spans="1:12" x14ac:dyDescent="0.2">
      <c r="A1206" s="9">
        <v>46241</v>
      </c>
      <c r="B1206" t="s">
        <v>416</v>
      </c>
      <c r="C1206" t="s">
        <v>417</v>
      </c>
      <c r="D1206" t="s">
        <v>36</v>
      </c>
      <c r="E1206" t="s">
        <v>649</v>
      </c>
      <c r="F1206" t="s">
        <v>663</v>
      </c>
      <c r="G1206" s="10">
        <v>3</v>
      </c>
      <c r="H1206" s="10">
        <v>2004</v>
      </c>
      <c r="I1206" s="10">
        <v>6012</v>
      </c>
      <c r="J1206" t="s">
        <v>37</v>
      </c>
      <c r="K1206" s="11">
        <v>648.20000000000005</v>
      </c>
      <c r="L1206" s="12">
        <v>9.27</v>
      </c>
    </row>
    <row r="1207" spans="1:12" x14ac:dyDescent="0.2">
      <c r="A1207" s="9">
        <v>46241</v>
      </c>
      <c r="B1207" t="s">
        <v>416</v>
      </c>
      <c r="C1207" t="s">
        <v>417</v>
      </c>
      <c r="D1207" t="s">
        <v>36</v>
      </c>
      <c r="E1207" t="s">
        <v>647</v>
      </c>
      <c r="F1207" t="s">
        <v>667</v>
      </c>
      <c r="G1207" s="10">
        <v>7</v>
      </c>
      <c r="H1207" s="10">
        <v>7317</v>
      </c>
      <c r="I1207" s="10">
        <v>51219</v>
      </c>
      <c r="J1207" t="s">
        <v>37</v>
      </c>
      <c r="K1207" s="11">
        <v>648.20000000000005</v>
      </c>
      <c r="L1207" s="12">
        <v>79.02</v>
      </c>
    </row>
    <row r="1208" spans="1:12" x14ac:dyDescent="0.2">
      <c r="A1208" s="9">
        <v>46241</v>
      </c>
      <c r="B1208" t="s">
        <v>419</v>
      </c>
      <c r="C1208" t="s">
        <v>420</v>
      </c>
      <c r="D1208" t="s">
        <v>46</v>
      </c>
      <c r="E1208" t="s">
        <v>655</v>
      </c>
      <c r="F1208" t="s">
        <v>662</v>
      </c>
      <c r="G1208" s="10">
        <v>6</v>
      </c>
      <c r="H1208" s="10">
        <v>1090</v>
      </c>
      <c r="I1208" s="10">
        <v>6540</v>
      </c>
      <c r="J1208" t="s">
        <v>37</v>
      </c>
      <c r="K1208" s="11">
        <v>648.20000000000005</v>
      </c>
      <c r="L1208" s="12">
        <v>10.09</v>
      </c>
    </row>
    <row r="1209" spans="1:12" x14ac:dyDescent="0.2">
      <c r="A1209" s="9">
        <v>46241</v>
      </c>
      <c r="B1209" t="s">
        <v>419</v>
      </c>
      <c r="C1209" t="s">
        <v>420</v>
      </c>
      <c r="D1209" t="s">
        <v>46</v>
      </c>
      <c r="E1209" t="s">
        <v>660</v>
      </c>
      <c r="F1209" t="s">
        <v>661</v>
      </c>
      <c r="G1209" s="10">
        <v>5</v>
      </c>
      <c r="H1209" s="10">
        <v>4254</v>
      </c>
      <c r="I1209" s="10">
        <v>21270</v>
      </c>
      <c r="J1209" t="s">
        <v>37</v>
      </c>
      <c r="K1209" s="11">
        <v>648.20000000000005</v>
      </c>
      <c r="L1209" s="12">
        <v>32.81</v>
      </c>
    </row>
    <row r="1210" spans="1:12" x14ac:dyDescent="0.2">
      <c r="A1210" s="9">
        <v>46241</v>
      </c>
      <c r="B1210" t="s">
        <v>419</v>
      </c>
      <c r="C1210" t="s">
        <v>420</v>
      </c>
      <c r="D1210" t="s">
        <v>46</v>
      </c>
      <c r="E1210" t="s">
        <v>651</v>
      </c>
      <c r="F1210" t="s">
        <v>664</v>
      </c>
      <c r="G1210" s="10">
        <v>12</v>
      </c>
      <c r="H1210" s="10">
        <v>11473</v>
      </c>
      <c r="I1210" s="10">
        <v>137676</v>
      </c>
      <c r="J1210" t="s">
        <v>37</v>
      </c>
      <c r="K1210" s="11">
        <v>648.20000000000005</v>
      </c>
      <c r="L1210" s="12">
        <v>212.4</v>
      </c>
    </row>
    <row r="1211" spans="1:12" x14ac:dyDescent="0.2">
      <c r="A1211" s="9">
        <v>46241</v>
      </c>
      <c r="B1211" t="s">
        <v>422</v>
      </c>
      <c r="C1211" t="s">
        <v>423</v>
      </c>
      <c r="D1211" t="s">
        <v>68</v>
      </c>
      <c r="E1211" t="s">
        <v>660</v>
      </c>
      <c r="F1211" t="s">
        <v>661</v>
      </c>
      <c r="G1211" s="10">
        <v>9</v>
      </c>
      <c r="H1211" s="10">
        <v>4125</v>
      </c>
      <c r="I1211" s="10">
        <v>37125</v>
      </c>
      <c r="J1211" t="s">
        <v>51</v>
      </c>
      <c r="K1211" s="11">
        <v>648.20000000000005</v>
      </c>
      <c r="L1211" s="12">
        <v>57.27</v>
      </c>
    </row>
    <row r="1212" spans="1:12" x14ac:dyDescent="0.2">
      <c r="A1212" s="9">
        <v>46241</v>
      </c>
      <c r="B1212" t="s">
        <v>422</v>
      </c>
      <c r="C1212" t="s">
        <v>423</v>
      </c>
      <c r="D1212" t="s">
        <v>68</v>
      </c>
      <c r="E1212" t="s">
        <v>653</v>
      </c>
      <c r="F1212" t="s">
        <v>654</v>
      </c>
      <c r="G1212" s="10">
        <v>32</v>
      </c>
      <c r="H1212" s="10">
        <v>5808</v>
      </c>
      <c r="I1212" s="10">
        <v>185856</v>
      </c>
      <c r="J1212" t="s">
        <v>51</v>
      </c>
      <c r="K1212" s="11">
        <v>648.20000000000005</v>
      </c>
      <c r="L1212" s="12">
        <v>286.73</v>
      </c>
    </row>
    <row r="1213" spans="1:12" x14ac:dyDescent="0.2">
      <c r="A1213" s="9">
        <v>46241</v>
      </c>
      <c r="B1213" t="s">
        <v>431</v>
      </c>
      <c r="C1213" t="s">
        <v>432</v>
      </c>
      <c r="D1213" t="s">
        <v>36</v>
      </c>
      <c r="E1213" t="s">
        <v>647</v>
      </c>
      <c r="F1213" t="s">
        <v>648</v>
      </c>
      <c r="G1213" s="10">
        <v>3</v>
      </c>
      <c r="H1213" s="10">
        <v>16259</v>
      </c>
      <c r="I1213" s="10">
        <v>48777</v>
      </c>
      <c r="J1213" t="s">
        <v>37</v>
      </c>
      <c r="K1213" s="11">
        <v>648.20000000000005</v>
      </c>
      <c r="L1213" s="12">
        <v>75.25</v>
      </c>
    </row>
    <row r="1214" spans="1:12" x14ac:dyDescent="0.2">
      <c r="A1214" s="9">
        <v>46241</v>
      </c>
      <c r="B1214" t="s">
        <v>434</v>
      </c>
      <c r="C1214" t="s">
        <v>176</v>
      </c>
      <c r="D1214" t="s">
        <v>46</v>
      </c>
      <c r="E1214" t="s">
        <v>647</v>
      </c>
      <c r="F1214" t="s">
        <v>668</v>
      </c>
      <c r="G1214" s="10">
        <v>9</v>
      </c>
      <c r="H1214" s="10">
        <v>24458</v>
      </c>
      <c r="I1214" s="10">
        <v>220122</v>
      </c>
      <c r="J1214" t="s">
        <v>37</v>
      </c>
      <c r="K1214" s="11">
        <v>648.20000000000005</v>
      </c>
      <c r="L1214" s="12">
        <v>339.59</v>
      </c>
    </row>
    <row r="1215" spans="1:12" x14ac:dyDescent="0.2">
      <c r="A1215" s="9">
        <v>46241</v>
      </c>
      <c r="B1215" t="s">
        <v>439</v>
      </c>
      <c r="C1215" t="s">
        <v>440</v>
      </c>
      <c r="D1215" t="s">
        <v>50</v>
      </c>
      <c r="E1215" t="s">
        <v>660</v>
      </c>
      <c r="F1215" t="s">
        <v>661</v>
      </c>
      <c r="G1215" s="10">
        <v>3</v>
      </c>
      <c r="H1215" s="10">
        <v>4303</v>
      </c>
      <c r="I1215" s="10">
        <v>12909</v>
      </c>
      <c r="J1215" t="s">
        <v>51</v>
      </c>
      <c r="K1215" s="11">
        <v>648.20000000000005</v>
      </c>
      <c r="L1215" s="12">
        <v>19.920000000000002</v>
      </c>
    </row>
    <row r="1216" spans="1:12" x14ac:dyDescent="0.2">
      <c r="A1216" s="9">
        <v>46241</v>
      </c>
      <c r="B1216" t="s">
        <v>439</v>
      </c>
      <c r="C1216" t="s">
        <v>440</v>
      </c>
      <c r="D1216" t="s">
        <v>50</v>
      </c>
      <c r="E1216" t="s">
        <v>655</v>
      </c>
      <c r="F1216" t="s">
        <v>656</v>
      </c>
      <c r="G1216" s="10">
        <v>5</v>
      </c>
      <c r="H1216" s="10">
        <v>553</v>
      </c>
      <c r="I1216" s="10">
        <v>2765</v>
      </c>
      <c r="J1216" t="s">
        <v>51</v>
      </c>
      <c r="K1216" s="11">
        <v>648.20000000000005</v>
      </c>
      <c r="L1216" s="12">
        <v>4.2699999999999996</v>
      </c>
    </row>
    <row r="1217" spans="1:12" x14ac:dyDescent="0.2">
      <c r="A1217" s="9">
        <v>46241</v>
      </c>
      <c r="B1217" t="s">
        <v>445</v>
      </c>
      <c r="C1217" t="s">
        <v>446</v>
      </c>
      <c r="D1217" t="s">
        <v>68</v>
      </c>
      <c r="E1217" t="s">
        <v>649</v>
      </c>
      <c r="F1217" t="s">
        <v>659</v>
      </c>
      <c r="G1217" s="10">
        <v>3</v>
      </c>
      <c r="H1217" s="10">
        <v>8880</v>
      </c>
      <c r="I1217" s="10">
        <v>26640</v>
      </c>
      <c r="J1217" t="s">
        <v>51</v>
      </c>
      <c r="K1217" s="11">
        <v>648.20000000000005</v>
      </c>
      <c r="L1217" s="12">
        <v>41.1</v>
      </c>
    </row>
    <row r="1218" spans="1:12" x14ac:dyDescent="0.2">
      <c r="A1218" s="9">
        <v>46241</v>
      </c>
      <c r="B1218" t="s">
        <v>445</v>
      </c>
      <c r="C1218" t="s">
        <v>446</v>
      </c>
      <c r="D1218" t="s">
        <v>68</v>
      </c>
      <c r="E1218" t="s">
        <v>647</v>
      </c>
      <c r="F1218" t="s">
        <v>648</v>
      </c>
      <c r="G1218" s="10">
        <v>8</v>
      </c>
      <c r="H1218" s="10">
        <v>15908</v>
      </c>
      <c r="I1218" s="10">
        <v>127264</v>
      </c>
      <c r="J1218" t="s">
        <v>51</v>
      </c>
      <c r="K1218" s="11">
        <v>648.20000000000005</v>
      </c>
      <c r="L1218" s="12">
        <v>196.33</v>
      </c>
    </row>
    <row r="1219" spans="1:12" x14ac:dyDescent="0.2">
      <c r="A1219" s="9">
        <v>46241</v>
      </c>
      <c r="B1219" t="s">
        <v>445</v>
      </c>
      <c r="C1219" t="s">
        <v>446</v>
      </c>
      <c r="D1219" t="s">
        <v>68</v>
      </c>
      <c r="E1219" t="s">
        <v>655</v>
      </c>
      <c r="F1219" t="s">
        <v>665</v>
      </c>
      <c r="G1219" s="10">
        <v>3</v>
      </c>
      <c r="H1219" s="10">
        <v>697</v>
      </c>
      <c r="I1219" s="10">
        <v>2091</v>
      </c>
      <c r="J1219" t="s">
        <v>51</v>
      </c>
      <c r="K1219" s="11">
        <v>648.20000000000005</v>
      </c>
      <c r="L1219" s="12">
        <v>3.23</v>
      </c>
    </row>
    <row r="1220" spans="1:12" x14ac:dyDescent="0.2">
      <c r="A1220" s="9">
        <v>46241</v>
      </c>
      <c r="B1220" t="s">
        <v>448</v>
      </c>
      <c r="C1220" t="s">
        <v>449</v>
      </c>
      <c r="D1220" t="s">
        <v>75</v>
      </c>
      <c r="E1220" t="s">
        <v>647</v>
      </c>
      <c r="F1220" t="s">
        <v>667</v>
      </c>
      <c r="G1220" s="10">
        <v>19</v>
      </c>
      <c r="H1220" s="10">
        <v>35058</v>
      </c>
      <c r="I1220" s="10">
        <v>666102</v>
      </c>
      <c r="J1220" t="s">
        <v>42</v>
      </c>
      <c r="K1220" s="11">
        <v>3145.8</v>
      </c>
      <c r="L1220" s="12">
        <v>211.74</v>
      </c>
    </row>
    <row r="1221" spans="1:12" x14ac:dyDescent="0.2">
      <c r="A1221" s="9">
        <v>46241</v>
      </c>
      <c r="B1221" t="s">
        <v>451</v>
      </c>
      <c r="C1221" t="s">
        <v>452</v>
      </c>
      <c r="D1221" t="s">
        <v>68</v>
      </c>
      <c r="E1221" t="s">
        <v>655</v>
      </c>
      <c r="F1221" t="s">
        <v>665</v>
      </c>
      <c r="G1221" s="10">
        <v>2</v>
      </c>
      <c r="H1221" s="10">
        <v>692</v>
      </c>
      <c r="I1221" s="10">
        <v>1384</v>
      </c>
      <c r="J1221" t="s">
        <v>51</v>
      </c>
      <c r="K1221" s="11">
        <v>648.20000000000005</v>
      </c>
      <c r="L1221" s="12">
        <v>2.14</v>
      </c>
    </row>
    <row r="1222" spans="1:12" x14ac:dyDescent="0.2">
      <c r="A1222" s="9">
        <v>46241</v>
      </c>
      <c r="B1222" t="s">
        <v>454</v>
      </c>
      <c r="C1222" t="s">
        <v>455</v>
      </c>
      <c r="D1222" t="s">
        <v>41</v>
      </c>
      <c r="E1222" t="s">
        <v>660</v>
      </c>
      <c r="F1222" t="s">
        <v>670</v>
      </c>
      <c r="G1222" s="10">
        <v>22</v>
      </c>
      <c r="H1222" s="10">
        <v>69989</v>
      </c>
      <c r="I1222" s="10">
        <v>1539758</v>
      </c>
      <c r="J1222" t="s">
        <v>42</v>
      </c>
      <c r="K1222" s="11">
        <v>3145.8</v>
      </c>
      <c r="L1222" s="12">
        <v>489.46</v>
      </c>
    </row>
    <row r="1223" spans="1:12" x14ac:dyDescent="0.2">
      <c r="A1223" s="9">
        <v>46241</v>
      </c>
      <c r="B1223" t="s">
        <v>457</v>
      </c>
      <c r="C1223" t="s">
        <v>458</v>
      </c>
      <c r="D1223" t="s">
        <v>46</v>
      </c>
      <c r="E1223" t="s">
        <v>660</v>
      </c>
      <c r="F1223" t="s">
        <v>661</v>
      </c>
      <c r="G1223" s="10">
        <v>5</v>
      </c>
      <c r="H1223" s="10">
        <v>4079</v>
      </c>
      <c r="I1223" s="10">
        <v>20395</v>
      </c>
      <c r="J1223" t="s">
        <v>37</v>
      </c>
      <c r="K1223" s="11">
        <v>648.20000000000005</v>
      </c>
      <c r="L1223" s="12">
        <v>31.46</v>
      </c>
    </row>
    <row r="1224" spans="1:12" x14ac:dyDescent="0.2">
      <c r="A1224" s="9">
        <v>46241</v>
      </c>
      <c r="B1224" t="s">
        <v>460</v>
      </c>
      <c r="C1224" t="s">
        <v>461</v>
      </c>
      <c r="D1224" t="s">
        <v>75</v>
      </c>
      <c r="E1224" t="s">
        <v>651</v>
      </c>
      <c r="F1224" t="s">
        <v>664</v>
      </c>
      <c r="G1224" s="10">
        <v>28</v>
      </c>
      <c r="H1224" s="10">
        <v>56930</v>
      </c>
      <c r="I1224" s="10">
        <v>1594040</v>
      </c>
      <c r="J1224" t="s">
        <v>42</v>
      </c>
      <c r="K1224" s="11">
        <v>3145.8</v>
      </c>
      <c r="L1224" s="12">
        <v>506.72</v>
      </c>
    </row>
    <row r="1225" spans="1:12" x14ac:dyDescent="0.2">
      <c r="A1225" s="9">
        <v>46241</v>
      </c>
      <c r="B1225" t="s">
        <v>463</v>
      </c>
      <c r="C1225" t="s">
        <v>464</v>
      </c>
      <c r="D1225" t="s">
        <v>36</v>
      </c>
      <c r="E1225" t="s">
        <v>660</v>
      </c>
      <c r="F1225" t="s">
        <v>670</v>
      </c>
      <c r="G1225" s="10">
        <v>2</v>
      </c>
      <c r="H1225" s="10">
        <v>14450</v>
      </c>
      <c r="I1225" s="10">
        <v>28900</v>
      </c>
      <c r="J1225" t="s">
        <v>37</v>
      </c>
      <c r="K1225" s="11">
        <v>648.20000000000005</v>
      </c>
      <c r="L1225" s="12">
        <v>44.59</v>
      </c>
    </row>
    <row r="1226" spans="1:12" x14ac:dyDescent="0.2">
      <c r="A1226" s="9">
        <v>46241</v>
      </c>
      <c r="B1226" t="s">
        <v>466</v>
      </c>
      <c r="C1226" t="s">
        <v>467</v>
      </c>
      <c r="D1226" t="s">
        <v>50</v>
      </c>
      <c r="E1226" t="s">
        <v>649</v>
      </c>
      <c r="F1226" t="s">
        <v>659</v>
      </c>
      <c r="G1226" s="10">
        <v>65</v>
      </c>
      <c r="H1226" s="10">
        <v>8759</v>
      </c>
      <c r="I1226" s="10">
        <v>569335</v>
      </c>
      <c r="J1226" t="s">
        <v>51</v>
      </c>
      <c r="K1226" s="11">
        <v>648.20000000000005</v>
      </c>
      <c r="L1226" s="12">
        <v>878.33</v>
      </c>
    </row>
    <row r="1227" spans="1:12" x14ac:dyDescent="0.2">
      <c r="A1227" s="9">
        <v>46241</v>
      </c>
      <c r="B1227" t="s">
        <v>469</v>
      </c>
      <c r="C1227" t="s">
        <v>470</v>
      </c>
      <c r="D1227" t="s">
        <v>41</v>
      </c>
      <c r="E1227" t="s">
        <v>660</v>
      </c>
      <c r="F1227" t="s">
        <v>669</v>
      </c>
      <c r="G1227" s="10">
        <v>31</v>
      </c>
      <c r="H1227" s="10">
        <v>12735</v>
      </c>
      <c r="I1227" s="10">
        <v>394785</v>
      </c>
      <c r="J1227" t="s">
        <v>42</v>
      </c>
      <c r="K1227" s="11">
        <v>3145.8</v>
      </c>
      <c r="L1227" s="12">
        <v>125.5</v>
      </c>
    </row>
    <row r="1228" spans="1:12" x14ac:dyDescent="0.2">
      <c r="A1228" s="9">
        <v>46241</v>
      </c>
      <c r="B1228" t="s">
        <v>469</v>
      </c>
      <c r="C1228" t="s">
        <v>470</v>
      </c>
      <c r="D1228" t="s">
        <v>41</v>
      </c>
      <c r="E1228" t="s">
        <v>651</v>
      </c>
      <c r="F1228" t="s">
        <v>664</v>
      </c>
      <c r="G1228" s="10">
        <v>19</v>
      </c>
      <c r="H1228" s="10">
        <v>59137</v>
      </c>
      <c r="I1228" s="10">
        <v>1123603</v>
      </c>
      <c r="J1228" t="s">
        <v>42</v>
      </c>
      <c r="K1228" s="11">
        <v>3145.8</v>
      </c>
      <c r="L1228" s="12">
        <v>357.18</v>
      </c>
    </row>
    <row r="1229" spans="1:12" x14ac:dyDescent="0.2">
      <c r="A1229" s="9">
        <v>46241</v>
      </c>
      <c r="B1229" t="s">
        <v>469</v>
      </c>
      <c r="C1229" t="s">
        <v>470</v>
      </c>
      <c r="D1229" t="s">
        <v>41</v>
      </c>
      <c r="E1229" t="s">
        <v>651</v>
      </c>
      <c r="F1229" t="s">
        <v>664</v>
      </c>
      <c r="G1229" s="10">
        <v>6</v>
      </c>
      <c r="H1229" s="10">
        <v>58850</v>
      </c>
      <c r="I1229" s="10">
        <v>353100</v>
      </c>
      <c r="J1229" t="s">
        <v>42</v>
      </c>
      <c r="K1229" s="11">
        <v>3145.8</v>
      </c>
      <c r="L1229" s="12">
        <v>112.24</v>
      </c>
    </row>
    <row r="1230" spans="1:12" x14ac:dyDescent="0.2">
      <c r="A1230" s="9">
        <v>46241</v>
      </c>
      <c r="B1230" t="s">
        <v>475</v>
      </c>
      <c r="C1230" t="s">
        <v>476</v>
      </c>
      <c r="D1230" t="s">
        <v>75</v>
      </c>
      <c r="E1230" t="s">
        <v>649</v>
      </c>
      <c r="F1230" t="s">
        <v>650</v>
      </c>
      <c r="G1230" s="10">
        <v>25</v>
      </c>
      <c r="H1230" s="10">
        <v>90369</v>
      </c>
      <c r="I1230" s="10">
        <v>2259225</v>
      </c>
      <c r="J1230" t="s">
        <v>42</v>
      </c>
      <c r="K1230" s="11">
        <v>3145.8</v>
      </c>
      <c r="L1230" s="12">
        <v>718.17</v>
      </c>
    </row>
    <row r="1231" spans="1:12" x14ac:dyDescent="0.2">
      <c r="A1231" s="9">
        <v>46241</v>
      </c>
      <c r="B1231" t="s">
        <v>478</v>
      </c>
      <c r="C1231" t="s">
        <v>479</v>
      </c>
      <c r="D1231" t="s">
        <v>75</v>
      </c>
      <c r="E1231" t="s">
        <v>655</v>
      </c>
      <c r="F1231" t="s">
        <v>656</v>
      </c>
      <c r="G1231" s="10">
        <v>4</v>
      </c>
      <c r="H1231" s="10">
        <v>2858</v>
      </c>
      <c r="I1231" s="10">
        <v>11432</v>
      </c>
      <c r="J1231" t="s">
        <v>42</v>
      </c>
      <c r="K1231" s="11">
        <v>3145.8</v>
      </c>
      <c r="L1231" s="12">
        <v>3.63</v>
      </c>
    </row>
    <row r="1232" spans="1:12" x14ac:dyDescent="0.2">
      <c r="A1232" s="9">
        <v>46241</v>
      </c>
      <c r="B1232" t="s">
        <v>481</v>
      </c>
      <c r="C1232" t="s">
        <v>78</v>
      </c>
      <c r="D1232" t="s">
        <v>41</v>
      </c>
      <c r="E1232" t="s">
        <v>649</v>
      </c>
      <c r="F1232" t="s">
        <v>663</v>
      </c>
      <c r="G1232" s="10">
        <v>10</v>
      </c>
      <c r="H1232" s="10">
        <v>9657</v>
      </c>
      <c r="I1232" s="10">
        <v>96570</v>
      </c>
      <c r="J1232" t="s">
        <v>42</v>
      </c>
      <c r="K1232" s="11">
        <v>3145.8</v>
      </c>
      <c r="L1232" s="12">
        <v>30.7</v>
      </c>
    </row>
    <row r="1233" spans="1:12" x14ac:dyDescent="0.2">
      <c r="A1233" s="9">
        <v>46241</v>
      </c>
      <c r="B1233" t="s">
        <v>483</v>
      </c>
      <c r="C1233" t="s">
        <v>340</v>
      </c>
      <c r="D1233" t="s">
        <v>46</v>
      </c>
      <c r="E1233" t="s">
        <v>649</v>
      </c>
      <c r="F1233" t="s">
        <v>663</v>
      </c>
      <c r="G1233" s="10">
        <v>40</v>
      </c>
      <c r="H1233" s="10">
        <v>2038</v>
      </c>
      <c r="I1233" s="10">
        <v>81520</v>
      </c>
      <c r="J1233" t="s">
        <v>37</v>
      </c>
      <c r="K1233" s="11">
        <v>648.20000000000005</v>
      </c>
      <c r="L1233" s="12">
        <v>125.76</v>
      </c>
    </row>
    <row r="1234" spans="1:12" x14ac:dyDescent="0.2">
      <c r="A1234" s="9">
        <v>46241</v>
      </c>
      <c r="B1234" t="s">
        <v>488</v>
      </c>
      <c r="C1234" t="s">
        <v>489</v>
      </c>
      <c r="D1234" t="s">
        <v>46</v>
      </c>
      <c r="E1234" t="s">
        <v>649</v>
      </c>
      <c r="F1234" t="s">
        <v>650</v>
      </c>
      <c r="G1234" s="10">
        <v>14</v>
      </c>
      <c r="H1234" s="10">
        <v>18623</v>
      </c>
      <c r="I1234" s="10">
        <v>260722</v>
      </c>
      <c r="J1234" t="s">
        <v>37</v>
      </c>
      <c r="K1234" s="11">
        <v>648.20000000000005</v>
      </c>
      <c r="L1234" s="12">
        <v>402.22</v>
      </c>
    </row>
    <row r="1235" spans="1:12" x14ac:dyDescent="0.2">
      <c r="A1235" s="9">
        <v>46241</v>
      </c>
      <c r="B1235" t="s">
        <v>488</v>
      </c>
      <c r="C1235" t="s">
        <v>489</v>
      </c>
      <c r="D1235" t="s">
        <v>46</v>
      </c>
      <c r="E1235" t="s">
        <v>647</v>
      </c>
      <c r="F1235" t="s">
        <v>648</v>
      </c>
      <c r="G1235" s="10">
        <v>5</v>
      </c>
      <c r="H1235" s="10">
        <v>16449</v>
      </c>
      <c r="I1235" s="10">
        <v>82245</v>
      </c>
      <c r="J1235" t="s">
        <v>37</v>
      </c>
      <c r="K1235" s="11">
        <v>648.20000000000005</v>
      </c>
      <c r="L1235" s="12">
        <v>126.88</v>
      </c>
    </row>
    <row r="1236" spans="1:12" x14ac:dyDescent="0.2">
      <c r="A1236" s="9">
        <v>46241</v>
      </c>
      <c r="B1236" t="s">
        <v>491</v>
      </c>
      <c r="C1236" t="s">
        <v>125</v>
      </c>
      <c r="D1236" t="s">
        <v>75</v>
      </c>
      <c r="E1236" t="s">
        <v>649</v>
      </c>
      <c r="F1236" t="s">
        <v>659</v>
      </c>
      <c r="G1236" s="10">
        <v>20</v>
      </c>
      <c r="H1236" s="10">
        <v>44911</v>
      </c>
      <c r="I1236" s="10">
        <v>898220</v>
      </c>
      <c r="J1236" t="s">
        <v>42</v>
      </c>
      <c r="K1236" s="11">
        <v>3145.8</v>
      </c>
      <c r="L1236" s="12">
        <v>285.52999999999997</v>
      </c>
    </row>
    <row r="1237" spans="1:12" x14ac:dyDescent="0.2">
      <c r="A1237" s="9">
        <v>46241</v>
      </c>
      <c r="B1237" t="s">
        <v>491</v>
      </c>
      <c r="C1237" t="s">
        <v>125</v>
      </c>
      <c r="D1237" t="s">
        <v>75</v>
      </c>
      <c r="E1237" t="s">
        <v>655</v>
      </c>
      <c r="F1237" t="s">
        <v>662</v>
      </c>
      <c r="G1237" s="10">
        <v>11</v>
      </c>
      <c r="H1237" s="10">
        <v>5466</v>
      </c>
      <c r="I1237" s="10">
        <v>60126</v>
      </c>
      <c r="J1237" t="s">
        <v>42</v>
      </c>
      <c r="K1237" s="11">
        <v>3145.8</v>
      </c>
      <c r="L1237" s="12">
        <v>19.11</v>
      </c>
    </row>
    <row r="1238" spans="1:12" x14ac:dyDescent="0.2">
      <c r="A1238" s="9">
        <v>46241</v>
      </c>
      <c r="B1238" t="s">
        <v>491</v>
      </c>
      <c r="C1238" t="s">
        <v>125</v>
      </c>
      <c r="D1238" t="s">
        <v>75</v>
      </c>
      <c r="E1238" t="s">
        <v>655</v>
      </c>
      <c r="F1238" t="s">
        <v>662</v>
      </c>
      <c r="G1238" s="10">
        <v>1</v>
      </c>
      <c r="H1238" s="10">
        <v>5632</v>
      </c>
      <c r="I1238" s="10">
        <v>5632</v>
      </c>
      <c r="J1238" t="s">
        <v>42</v>
      </c>
      <c r="K1238" s="11">
        <v>3145.8</v>
      </c>
      <c r="L1238" s="12">
        <v>1.79</v>
      </c>
    </row>
    <row r="1239" spans="1:12" x14ac:dyDescent="0.2">
      <c r="A1239" s="9">
        <v>46241</v>
      </c>
      <c r="B1239" t="s">
        <v>493</v>
      </c>
      <c r="C1239" t="s">
        <v>494</v>
      </c>
      <c r="D1239" t="s">
        <v>46</v>
      </c>
      <c r="E1239" t="s">
        <v>647</v>
      </c>
      <c r="F1239" t="s">
        <v>667</v>
      </c>
      <c r="G1239" s="10">
        <v>1</v>
      </c>
      <c r="H1239" s="10">
        <v>7310</v>
      </c>
      <c r="I1239" s="10">
        <v>7310</v>
      </c>
      <c r="J1239" t="s">
        <v>37</v>
      </c>
      <c r="K1239" s="11">
        <v>648.20000000000005</v>
      </c>
      <c r="L1239" s="12">
        <v>11.28</v>
      </c>
    </row>
    <row r="1240" spans="1:12" x14ac:dyDescent="0.2">
      <c r="A1240" s="9">
        <v>46241</v>
      </c>
      <c r="B1240" t="s">
        <v>496</v>
      </c>
      <c r="C1240" t="s">
        <v>497</v>
      </c>
      <c r="D1240" t="s">
        <v>41</v>
      </c>
      <c r="E1240" t="s">
        <v>651</v>
      </c>
      <c r="F1240" t="s">
        <v>652</v>
      </c>
      <c r="G1240" s="10">
        <v>6</v>
      </c>
      <c r="H1240" s="10">
        <v>47160</v>
      </c>
      <c r="I1240" s="10">
        <v>282960</v>
      </c>
      <c r="J1240" t="s">
        <v>42</v>
      </c>
      <c r="K1240" s="11">
        <v>3145.8</v>
      </c>
      <c r="L1240" s="12">
        <v>89.95</v>
      </c>
    </row>
    <row r="1241" spans="1:12" x14ac:dyDescent="0.2">
      <c r="A1241" s="9">
        <v>46241</v>
      </c>
      <c r="B1241" t="s">
        <v>496</v>
      </c>
      <c r="C1241" t="s">
        <v>497</v>
      </c>
      <c r="D1241" t="s">
        <v>41</v>
      </c>
      <c r="E1241" t="s">
        <v>655</v>
      </c>
      <c r="F1241" t="s">
        <v>662</v>
      </c>
      <c r="G1241" s="10">
        <v>54</v>
      </c>
      <c r="H1241" s="10">
        <v>5524</v>
      </c>
      <c r="I1241" s="10">
        <v>298296</v>
      </c>
      <c r="J1241" t="s">
        <v>42</v>
      </c>
      <c r="K1241" s="11">
        <v>3145.8</v>
      </c>
      <c r="L1241" s="12">
        <v>94.82</v>
      </c>
    </row>
    <row r="1242" spans="1:12" x14ac:dyDescent="0.2">
      <c r="A1242" s="9">
        <v>46241</v>
      </c>
      <c r="B1242" t="s">
        <v>499</v>
      </c>
      <c r="C1242" t="s">
        <v>500</v>
      </c>
      <c r="D1242" t="s">
        <v>41</v>
      </c>
      <c r="E1242" t="s">
        <v>655</v>
      </c>
      <c r="F1242" t="s">
        <v>665</v>
      </c>
      <c r="G1242" s="10">
        <v>33</v>
      </c>
      <c r="H1242" s="10">
        <v>3351</v>
      </c>
      <c r="I1242" s="10">
        <v>110583</v>
      </c>
      <c r="J1242" t="s">
        <v>42</v>
      </c>
      <c r="K1242" s="11">
        <v>3145.8</v>
      </c>
      <c r="L1242" s="12">
        <v>35.15</v>
      </c>
    </row>
    <row r="1243" spans="1:12" x14ac:dyDescent="0.2">
      <c r="A1243" s="9">
        <v>46241</v>
      </c>
      <c r="B1243" t="s">
        <v>502</v>
      </c>
      <c r="C1243" t="s">
        <v>503</v>
      </c>
      <c r="D1243" t="s">
        <v>41</v>
      </c>
      <c r="E1243" t="s">
        <v>649</v>
      </c>
      <c r="F1243" t="s">
        <v>650</v>
      </c>
      <c r="G1243" s="10">
        <v>1</v>
      </c>
      <c r="H1243" s="10">
        <v>91583</v>
      </c>
      <c r="I1243" s="10">
        <v>91583</v>
      </c>
      <c r="J1243" t="s">
        <v>42</v>
      </c>
      <c r="K1243" s="11">
        <v>3145.8</v>
      </c>
      <c r="L1243" s="12">
        <v>29.11</v>
      </c>
    </row>
    <row r="1244" spans="1:12" x14ac:dyDescent="0.2">
      <c r="A1244" s="9">
        <v>46241</v>
      </c>
      <c r="B1244" t="s">
        <v>511</v>
      </c>
      <c r="C1244" t="s">
        <v>512</v>
      </c>
      <c r="D1244" t="s">
        <v>75</v>
      </c>
      <c r="E1244" t="s">
        <v>660</v>
      </c>
      <c r="F1244" t="s">
        <v>669</v>
      </c>
      <c r="G1244" s="10">
        <v>28</v>
      </c>
      <c r="H1244" s="10">
        <v>12622</v>
      </c>
      <c r="I1244" s="10">
        <v>353416</v>
      </c>
      <c r="J1244" t="s">
        <v>42</v>
      </c>
      <c r="K1244" s="11">
        <v>3145.8</v>
      </c>
      <c r="L1244" s="12">
        <v>112.35</v>
      </c>
    </row>
    <row r="1245" spans="1:12" x14ac:dyDescent="0.2">
      <c r="A1245" s="9">
        <v>46241</v>
      </c>
      <c r="B1245" t="s">
        <v>511</v>
      </c>
      <c r="C1245" t="s">
        <v>512</v>
      </c>
      <c r="D1245" t="s">
        <v>75</v>
      </c>
      <c r="E1245" t="s">
        <v>660</v>
      </c>
      <c r="F1245" t="s">
        <v>661</v>
      </c>
      <c r="G1245" s="10">
        <v>2</v>
      </c>
      <c r="H1245" s="10">
        <v>19622</v>
      </c>
      <c r="I1245" s="10">
        <v>39244</v>
      </c>
      <c r="J1245" t="s">
        <v>42</v>
      </c>
      <c r="K1245" s="11">
        <v>3145.8</v>
      </c>
      <c r="L1245" s="12">
        <v>12.48</v>
      </c>
    </row>
    <row r="1246" spans="1:12" x14ac:dyDescent="0.2">
      <c r="A1246" s="9">
        <v>46241</v>
      </c>
      <c r="B1246" t="s">
        <v>517</v>
      </c>
      <c r="C1246" t="s">
        <v>518</v>
      </c>
      <c r="D1246" t="s">
        <v>41</v>
      </c>
      <c r="E1246" t="s">
        <v>649</v>
      </c>
      <c r="F1246" t="s">
        <v>650</v>
      </c>
      <c r="G1246" s="10">
        <v>107</v>
      </c>
      <c r="H1246" s="10">
        <v>89729</v>
      </c>
      <c r="I1246" s="10">
        <v>9601003</v>
      </c>
      <c r="J1246" t="s">
        <v>42</v>
      </c>
      <c r="K1246" s="11">
        <v>3145.8</v>
      </c>
      <c r="L1246" s="12">
        <v>3052.01</v>
      </c>
    </row>
    <row r="1247" spans="1:12" x14ac:dyDescent="0.2">
      <c r="A1247" s="9">
        <v>46241</v>
      </c>
      <c r="B1247" t="s">
        <v>517</v>
      </c>
      <c r="C1247" t="s">
        <v>518</v>
      </c>
      <c r="D1247" t="s">
        <v>41</v>
      </c>
      <c r="E1247" t="s">
        <v>660</v>
      </c>
      <c r="F1247" t="s">
        <v>661</v>
      </c>
      <c r="G1247" s="10">
        <v>15</v>
      </c>
      <c r="H1247" s="10">
        <v>20471</v>
      </c>
      <c r="I1247" s="10">
        <v>307065</v>
      </c>
      <c r="J1247" t="s">
        <v>42</v>
      </c>
      <c r="K1247" s="11">
        <v>3145.8</v>
      </c>
      <c r="L1247" s="12">
        <v>97.61</v>
      </c>
    </row>
    <row r="1248" spans="1:12" x14ac:dyDescent="0.2">
      <c r="A1248" s="9">
        <v>46241</v>
      </c>
      <c r="B1248" t="s">
        <v>522</v>
      </c>
      <c r="C1248" t="s">
        <v>523</v>
      </c>
      <c r="D1248" t="s">
        <v>50</v>
      </c>
      <c r="E1248" t="s">
        <v>647</v>
      </c>
      <c r="F1248" t="s">
        <v>668</v>
      </c>
      <c r="G1248" s="10">
        <v>13</v>
      </c>
      <c r="H1248" s="10">
        <v>24667</v>
      </c>
      <c r="I1248" s="10">
        <v>320671</v>
      </c>
      <c r="J1248" t="s">
        <v>51</v>
      </c>
      <c r="K1248" s="11">
        <v>648.20000000000005</v>
      </c>
      <c r="L1248" s="12">
        <v>494.71</v>
      </c>
    </row>
    <row r="1249" spans="1:12" x14ac:dyDescent="0.2">
      <c r="A1249" s="9">
        <v>46241</v>
      </c>
      <c r="B1249" t="s">
        <v>522</v>
      </c>
      <c r="C1249" t="s">
        <v>523</v>
      </c>
      <c r="D1249" t="s">
        <v>50</v>
      </c>
      <c r="E1249" t="s">
        <v>647</v>
      </c>
      <c r="F1249" t="s">
        <v>667</v>
      </c>
      <c r="G1249" s="10">
        <v>6</v>
      </c>
      <c r="H1249" s="10">
        <v>7540</v>
      </c>
      <c r="I1249" s="10">
        <v>45240</v>
      </c>
      <c r="J1249" t="s">
        <v>51</v>
      </c>
      <c r="K1249" s="11">
        <v>648.20000000000005</v>
      </c>
      <c r="L1249" s="12">
        <v>69.790000000000006</v>
      </c>
    </row>
    <row r="1250" spans="1:12" x14ac:dyDescent="0.2">
      <c r="A1250" s="9">
        <v>46241</v>
      </c>
      <c r="B1250" t="s">
        <v>528</v>
      </c>
      <c r="C1250" t="s">
        <v>529</v>
      </c>
      <c r="D1250" t="s">
        <v>46</v>
      </c>
      <c r="E1250" t="s">
        <v>653</v>
      </c>
      <c r="F1250" t="s">
        <v>666</v>
      </c>
      <c r="G1250" s="10">
        <v>62</v>
      </c>
      <c r="H1250" s="10">
        <v>1528</v>
      </c>
      <c r="I1250" s="10">
        <v>94736</v>
      </c>
      <c r="J1250" t="s">
        <v>37</v>
      </c>
      <c r="K1250" s="11">
        <v>648.20000000000005</v>
      </c>
      <c r="L1250" s="12">
        <v>146.15</v>
      </c>
    </row>
    <row r="1251" spans="1:12" x14ac:dyDescent="0.2">
      <c r="A1251" s="9">
        <v>46241</v>
      </c>
      <c r="B1251" t="s">
        <v>528</v>
      </c>
      <c r="C1251" t="s">
        <v>529</v>
      </c>
      <c r="D1251" t="s">
        <v>46</v>
      </c>
      <c r="E1251" t="s">
        <v>649</v>
      </c>
      <c r="F1251" t="s">
        <v>650</v>
      </c>
      <c r="G1251" s="10">
        <v>183</v>
      </c>
      <c r="H1251" s="10">
        <v>18630</v>
      </c>
      <c r="I1251" s="10">
        <v>3409290</v>
      </c>
      <c r="J1251" t="s">
        <v>37</v>
      </c>
      <c r="K1251" s="11">
        <v>648.20000000000005</v>
      </c>
      <c r="L1251" s="12">
        <v>5259.63</v>
      </c>
    </row>
    <row r="1252" spans="1:12" x14ac:dyDescent="0.2">
      <c r="A1252" s="9">
        <v>46241</v>
      </c>
      <c r="B1252" t="s">
        <v>528</v>
      </c>
      <c r="C1252" t="s">
        <v>529</v>
      </c>
      <c r="D1252" t="s">
        <v>46</v>
      </c>
      <c r="E1252" t="s">
        <v>660</v>
      </c>
      <c r="F1252" t="s">
        <v>661</v>
      </c>
      <c r="G1252" s="10">
        <v>18</v>
      </c>
      <c r="H1252" s="10">
        <v>4135</v>
      </c>
      <c r="I1252" s="10">
        <v>74430</v>
      </c>
      <c r="J1252" t="s">
        <v>37</v>
      </c>
      <c r="K1252" s="11">
        <v>648.20000000000005</v>
      </c>
      <c r="L1252" s="12">
        <v>114.83</v>
      </c>
    </row>
    <row r="1253" spans="1:12" x14ac:dyDescent="0.2">
      <c r="A1253" s="9">
        <v>46241</v>
      </c>
      <c r="B1253" t="s">
        <v>528</v>
      </c>
      <c r="C1253" t="s">
        <v>529</v>
      </c>
      <c r="D1253" t="s">
        <v>46</v>
      </c>
      <c r="E1253" t="s">
        <v>647</v>
      </c>
      <c r="F1253" t="s">
        <v>648</v>
      </c>
      <c r="G1253" s="10">
        <v>339</v>
      </c>
      <c r="H1253" s="10">
        <v>15768</v>
      </c>
      <c r="I1253" s="10">
        <v>5345352</v>
      </c>
      <c r="J1253" t="s">
        <v>37</v>
      </c>
      <c r="K1253" s="11">
        <v>648.20000000000005</v>
      </c>
      <c r="L1253" s="12">
        <v>8246.4500000000007</v>
      </c>
    </row>
    <row r="1254" spans="1:12" x14ac:dyDescent="0.2">
      <c r="A1254" s="9">
        <v>46241</v>
      </c>
      <c r="B1254" t="s">
        <v>528</v>
      </c>
      <c r="C1254" t="s">
        <v>529</v>
      </c>
      <c r="D1254" t="s">
        <v>46</v>
      </c>
      <c r="E1254" t="s">
        <v>647</v>
      </c>
      <c r="F1254" t="s">
        <v>667</v>
      </c>
      <c r="G1254" s="10">
        <v>52</v>
      </c>
      <c r="H1254" s="10">
        <v>7235</v>
      </c>
      <c r="I1254" s="10">
        <v>376220</v>
      </c>
      <c r="J1254" t="s">
        <v>37</v>
      </c>
      <c r="K1254" s="11">
        <v>648.20000000000005</v>
      </c>
      <c r="L1254" s="12">
        <v>580.41</v>
      </c>
    </row>
    <row r="1255" spans="1:12" x14ac:dyDescent="0.2">
      <c r="A1255" s="9">
        <v>46241</v>
      </c>
      <c r="B1255" t="s">
        <v>531</v>
      </c>
      <c r="C1255" t="s">
        <v>532</v>
      </c>
      <c r="D1255" t="s">
        <v>50</v>
      </c>
      <c r="E1255" t="s">
        <v>649</v>
      </c>
      <c r="F1255" t="s">
        <v>650</v>
      </c>
      <c r="G1255" s="10">
        <v>53</v>
      </c>
      <c r="H1255" s="10">
        <v>19638</v>
      </c>
      <c r="I1255" s="10">
        <v>1040814</v>
      </c>
      <c r="J1255" t="s">
        <v>51</v>
      </c>
      <c r="K1255" s="11">
        <v>648.20000000000005</v>
      </c>
      <c r="L1255" s="12">
        <v>1605.7</v>
      </c>
    </row>
    <row r="1256" spans="1:12" x14ac:dyDescent="0.2">
      <c r="A1256" s="9">
        <v>46241</v>
      </c>
      <c r="B1256" t="s">
        <v>531</v>
      </c>
      <c r="C1256" t="s">
        <v>532</v>
      </c>
      <c r="D1256" t="s">
        <v>50</v>
      </c>
      <c r="E1256" t="s">
        <v>653</v>
      </c>
      <c r="F1256" t="s">
        <v>654</v>
      </c>
      <c r="G1256" s="10">
        <v>23</v>
      </c>
      <c r="H1256" s="10">
        <v>5698</v>
      </c>
      <c r="I1256" s="10">
        <v>131054</v>
      </c>
      <c r="J1256" t="s">
        <v>51</v>
      </c>
      <c r="K1256" s="11">
        <v>648.20000000000005</v>
      </c>
      <c r="L1256" s="12">
        <v>202.18</v>
      </c>
    </row>
    <row r="1257" spans="1:12" x14ac:dyDescent="0.2">
      <c r="A1257" s="9">
        <v>46241</v>
      </c>
      <c r="B1257" t="s">
        <v>531</v>
      </c>
      <c r="C1257" t="s">
        <v>532</v>
      </c>
      <c r="D1257" t="s">
        <v>50</v>
      </c>
      <c r="E1257" t="s">
        <v>647</v>
      </c>
      <c r="F1257" t="s">
        <v>648</v>
      </c>
      <c r="G1257" s="10">
        <v>80</v>
      </c>
      <c r="H1257" s="10">
        <v>15596</v>
      </c>
      <c r="I1257" s="10">
        <v>1247680</v>
      </c>
      <c r="J1257" t="s">
        <v>51</v>
      </c>
      <c r="K1257" s="11">
        <v>648.20000000000005</v>
      </c>
      <c r="L1257" s="12">
        <v>1924.84</v>
      </c>
    </row>
    <row r="1258" spans="1:12" x14ac:dyDescent="0.2">
      <c r="A1258" s="9">
        <v>46241</v>
      </c>
      <c r="B1258" t="s">
        <v>531</v>
      </c>
      <c r="C1258" t="s">
        <v>532</v>
      </c>
      <c r="D1258" t="s">
        <v>50</v>
      </c>
      <c r="E1258" t="s">
        <v>647</v>
      </c>
      <c r="F1258" t="s">
        <v>667</v>
      </c>
      <c r="G1258" s="10">
        <v>32</v>
      </c>
      <c r="H1258" s="10">
        <v>7311</v>
      </c>
      <c r="I1258" s="10">
        <v>233952</v>
      </c>
      <c r="J1258" t="s">
        <v>51</v>
      </c>
      <c r="K1258" s="11">
        <v>648.20000000000005</v>
      </c>
      <c r="L1258" s="12">
        <v>360.93</v>
      </c>
    </row>
    <row r="1259" spans="1:12" x14ac:dyDescent="0.2">
      <c r="A1259" s="9">
        <v>46241</v>
      </c>
      <c r="B1259" t="s">
        <v>534</v>
      </c>
      <c r="C1259" t="s">
        <v>535</v>
      </c>
      <c r="D1259" t="s">
        <v>36</v>
      </c>
      <c r="E1259" t="s">
        <v>647</v>
      </c>
      <c r="F1259" t="s">
        <v>667</v>
      </c>
      <c r="G1259" s="10">
        <v>1</v>
      </c>
      <c r="H1259" s="10">
        <v>7329</v>
      </c>
      <c r="I1259" s="10">
        <v>7329</v>
      </c>
      <c r="J1259" t="s">
        <v>37</v>
      </c>
      <c r="K1259" s="11">
        <v>648.20000000000005</v>
      </c>
      <c r="L1259" s="12">
        <v>11.31</v>
      </c>
    </row>
    <row r="1260" spans="1:12" x14ac:dyDescent="0.2">
      <c r="A1260" s="9">
        <v>46241</v>
      </c>
      <c r="B1260" t="s">
        <v>537</v>
      </c>
      <c r="C1260" t="s">
        <v>538</v>
      </c>
      <c r="D1260" t="s">
        <v>68</v>
      </c>
      <c r="E1260" t="s">
        <v>660</v>
      </c>
      <c r="F1260" t="s">
        <v>670</v>
      </c>
      <c r="G1260" s="10">
        <v>7</v>
      </c>
      <c r="H1260" s="10">
        <v>13912</v>
      </c>
      <c r="I1260" s="10">
        <v>97384</v>
      </c>
      <c r="J1260" t="s">
        <v>51</v>
      </c>
      <c r="K1260" s="11">
        <v>648.20000000000005</v>
      </c>
      <c r="L1260" s="12">
        <v>150.24</v>
      </c>
    </row>
    <row r="1261" spans="1:12" x14ac:dyDescent="0.2">
      <c r="A1261" s="9">
        <v>46241</v>
      </c>
      <c r="B1261" t="s">
        <v>540</v>
      </c>
      <c r="C1261" t="s">
        <v>541</v>
      </c>
      <c r="D1261" t="s">
        <v>41</v>
      </c>
      <c r="E1261" t="s">
        <v>651</v>
      </c>
      <c r="F1261" t="s">
        <v>652</v>
      </c>
      <c r="G1261" s="10">
        <v>4</v>
      </c>
      <c r="H1261" s="10">
        <v>46177</v>
      </c>
      <c r="I1261" s="10">
        <v>184708</v>
      </c>
      <c r="J1261" t="s">
        <v>42</v>
      </c>
      <c r="K1261" s="11">
        <v>3145.8</v>
      </c>
      <c r="L1261" s="12">
        <v>58.72</v>
      </c>
    </row>
    <row r="1262" spans="1:12" x14ac:dyDescent="0.2">
      <c r="A1262" s="9">
        <v>46241</v>
      </c>
      <c r="B1262" t="s">
        <v>540</v>
      </c>
      <c r="C1262" t="s">
        <v>541</v>
      </c>
      <c r="D1262" t="s">
        <v>41</v>
      </c>
      <c r="E1262" t="s">
        <v>660</v>
      </c>
      <c r="F1262" t="s">
        <v>661</v>
      </c>
      <c r="G1262" s="10">
        <v>8</v>
      </c>
      <c r="H1262" s="10">
        <v>21074</v>
      </c>
      <c r="I1262" s="10">
        <v>168592</v>
      </c>
      <c r="J1262" t="s">
        <v>42</v>
      </c>
      <c r="K1262" s="11">
        <v>3145.8</v>
      </c>
      <c r="L1262" s="12">
        <v>53.59</v>
      </c>
    </row>
    <row r="1263" spans="1:12" x14ac:dyDescent="0.2">
      <c r="A1263" s="9">
        <v>46241</v>
      </c>
      <c r="B1263" t="s">
        <v>546</v>
      </c>
      <c r="C1263" t="s">
        <v>547</v>
      </c>
      <c r="D1263" t="s">
        <v>41</v>
      </c>
      <c r="E1263" t="s">
        <v>647</v>
      </c>
      <c r="F1263" t="s">
        <v>648</v>
      </c>
      <c r="G1263" s="10">
        <v>2</v>
      </c>
      <c r="H1263" s="10">
        <v>76671</v>
      </c>
      <c r="I1263" s="10">
        <v>153342</v>
      </c>
      <c r="J1263" t="s">
        <v>42</v>
      </c>
      <c r="K1263" s="11">
        <v>3145.8</v>
      </c>
      <c r="L1263" s="12">
        <v>48.74</v>
      </c>
    </row>
    <row r="1264" spans="1:12" x14ac:dyDescent="0.2">
      <c r="A1264" s="9">
        <v>46241</v>
      </c>
      <c r="B1264" t="s">
        <v>546</v>
      </c>
      <c r="C1264" t="s">
        <v>547</v>
      </c>
      <c r="D1264" t="s">
        <v>41</v>
      </c>
      <c r="E1264" t="s">
        <v>655</v>
      </c>
      <c r="F1264" t="s">
        <v>665</v>
      </c>
      <c r="G1264" s="10">
        <v>5</v>
      </c>
      <c r="H1264" s="10">
        <v>3350</v>
      </c>
      <c r="I1264" s="10">
        <v>16750</v>
      </c>
      <c r="J1264" t="s">
        <v>42</v>
      </c>
      <c r="K1264" s="11">
        <v>3145.8</v>
      </c>
      <c r="L1264" s="12">
        <v>5.32</v>
      </c>
    </row>
    <row r="1265" spans="1:12" x14ac:dyDescent="0.2">
      <c r="A1265" s="9">
        <v>46241</v>
      </c>
      <c r="B1265" t="s">
        <v>549</v>
      </c>
      <c r="C1265" t="s">
        <v>550</v>
      </c>
      <c r="D1265" t="s">
        <v>41</v>
      </c>
      <c r="E1265" t="s">
        <v>647</v>
      </c>
      <c r="F1265" t="s">
        <v>667</v>
      </c>
      <c r="G1265" s="10">
        <v>6</v>
      </c>
      <c r="H1265" s="10">
        <v>34391</v>
      </c>
      <c r="I1265" s="10">
        <v>206346</v>
      </c>
      <c r="J1265" t="s">
        <v>42</v>
      </c>
      <c r="K1265" s="11">
        <v>3145.8</v>
      </c>
      <c r="L1265" s="12">
        <v>65.59</v>
      </c>
    </row>
    <row r="1266" spans="1:12" x14ac:dyDescent="0.2">
      <c r="A1266" s="9">
        <v>46241</v>
      </c>
      <c r="B1266" t="s">
        <v>552</v>
      </c>
      <c r="C1266" t="s">
        <v>553</v>
      </c>
      <c r="D1266" t="s">
        <v>41</v>
      </c>
      <c r="E1266" t="s">
        <v>647</v>
      </c>
      <c r="F1266" t="s">
        <v>667</v>
      </c>
      <c r="G1266" s="10">
        <v>8</v>
      </c>
      <c r="H1266" s="10">
        <v>36864</v>
      </c>
      <c r="I1266" s="10">
        <v>294912</v>
      </c>
      <c r="J1266" t="s">
        <v>42</v>
      </c>
      <c r="K1266" s="11">
        <v>3145.8</v>
      </c>
      <c r="L1266" s="12">
        <v>93.75</v>
      </c>
    </row>
    <row r="1267" spans="1:12" x14ac:dyDescent="0.2">
      <c r="A1267" s="9">
        <v>46241</v>
      </c>
      <c r="B1267" t="s">
        <v>555</v>
      </c>
      <c r="C1267" t="s">
        <v>556</v>
      </c>
      <c r="D1267" t="s">
        <v>41</v>
      </c>
      <c r="E1267" t="s">
        <v>653</v>
      </c>
      <c r="F1267" t="s">
        <v>654</v>
      </c>
      <c r="G1267" s="10">
        <v>8</v>
      </c>
      <c r="H1267" s="10">
        <v>28375</v>
      </c>
      <c r="I1267" s="10">
        <v>227000</v>
      </c>
      <c r="J1267" t="s">
        <v>42</v>
      </c>
      <c r="K1267" s="11">
        <v>3145.8</v>
      </c>
      <c r="L1267" s="12">
        <v>72.16</v>
      </c>
    </row>
    <row r="1268" spans="1:12" x14ac:dyDescent="0.2">
      <c r="A1268" s="9">
        <v>46241</v>
      </c>
      <c r="B1268" t="s">
        <v>558</v>
      </c>
      <c r="C1268" t="s">
        <v>559</v>
      </c>
      <c r="D1268" t="s">
        <v>75</v>
      </c>
      <c r="E1268" t="s">
        <v>647</v>
      </c>
      <c r="F1268" t="s">
        <v>668</v>
      </c>
      <c r="G1268" s="10">
        <v>1</v>
      </c>
      <c r="H1268" s="10">
        <v>119627</v>
      </c>
      <c r="I1268" s="10">
        <v>119627</v>
      </c>
      <c r="J1268" t="s">
        <v>42</v>
      </c>
      <c r="K1268" s="11">
        <v>3145.8</v>
      </c>
      <c r="L1268" s="12">
        <v>38.03</v>
      </c>
    </row>
    <row r="1269" spans="1:12" x14ac:dyDescent="0.2">
      <c r="A1269" s="9">
        <v>46241</v>
      </c>
      <c r="B1269" t="s">
        <v>561</v>
      </c>
      <c r="C1269" t="s">
        <v>562</v>
      </c>
      <c r="D1269" t="s">
        <v>46</v>
      </c>
      <c r="E1269" t="s">
        <v>660</v>
      </c>
      <c r="F1269" t="s">
        <v>670</v>
      </c>
      <c r="G1269" s="10">
        <v>26</v>
      </c>
      <c r="H1269" s="10">
        <v>14789</v>
      </c>
      <c r="I1269" s="10">
        <v>384514</v>
      </c>
      <c r="J1269" t="s">
        <v>37</v>
      </c>
      <c r="K1269" s="11">
        <v>648.20000000000005</v>
      </c>
      <c r="L1269" s="12">
        <v>593.20000000000005</v>
      </c>
    </row>
    <row r="1270" spans="1:12" x14ac:dyDescent="0.2">
      <c r="A1270" s="9">
        <v>46241</v>
      </c>
      <c r="B1270" t="s">
        <v>564</v>
      </c>
      <c r="C1270" t="s">
        <v>565</v>
      </c>
      <c r="D1270" t="s">
        <v>41</v>
      </c>
      <c r="E1270" t="s">
        <v>649</v>
      </c>
      <c r="F1270" t="s">
        <v>650</v>
      </c>
      <c r="G1270" s="10">
        <v>14</v>
      </c>
      <c r="H1270" s="10">
        <v>97075</v>
      </c>
      <c r="I1270" s="10">
        <v>1359050</v>
      </c>
      <c r="J1270" t="s">
        <v>42</v>
      </c>
      <c r="K1270" s="11">
        <v>3145.8</v>
      </c>
      <c r="L1270" s="12">
        <v>432.02</v>
      </c>
    </row>
    <row r="1271" spans="1:12" x14ac:dyDescent="0.2">
      <c r="A1271" s="9">
        <v>46241</v>
      </c>
      <c r="B1271" t="s">
        <v>567</v>
      </c>
      <c r="C1271" t="s">
        <v>568</v>
      </c>
      <c r="D1271" t="s">
        <v>41</v>
      </c>
      <c r="E1271" t="s">
        <v>653</v>
      </c>
      <c r="F1271" t="s">
        <v>666</v>
      </c>
      <c r="G1271" s="10">
        <v>60</v>
      </c>
      <c r="H1271" s="10">
        <v>7056</v>
      </c>
      <c r="I1271" s="10">
        <v>423360</v>
      </c>
      <c r="J1271" t="s">
        <v>42</v>
      </c>
      <c r="K1271" s="11">
        <v>3145.8</v>
      </c>
      <c r="L1271" s="12">
        <v>134.58000000000001</v>
      </c>
    </row>
    <row r="1272" spans="1:12" x14ac:dyDescent="0.2">
      <c r="A1272" s="9">
        <v>46241</v>
      </c>
      <c r="B1272" t="s">
        <v>567</v>
      </c>
      <c r="C1272" t="s">
        <v>568</v>
      </c>
      <c r="D1272" t="s">
        <v>41</v>
      </c>
      <c r="E1272" t="s">
        <v>649</v>
      </c>
      <c r="F1272" t="s">
        <v>663</v>
      </c>
      <c r="G1272" s="10">
        <v>97</v>
      </c>
      <c r="H1272" s="10">
        <v>9752</v>
      </c>
      <c r="I1272" s="10">
        <v>945944</v>
      </c>
      <c r="J1272" t="s">
        <v>42</v>
      </c>
      <c r="K1272" s="11">
        <v>3145.8</v>
      </c>
      <c r="L1272" s="12">
        <v>300.7</v>
      </c>
    </row>
    <row r="1273" spans="1:12" x14ac:dyDescent="0.2">
      <c r="A1273" s="9">
        <v>46241</v>
      </c>
      <c r="B1273" t="s">
        <v>567</v>
      </c>
      <c r="C1273" t="s">
        <v>568</v>
      </c>
      <c r="D1273" t="s">
        <v>41</v>
      </c>
      <c r="E1273" t="s">
        <v>655</v>
      </c>
      <c r="F1273" t="s">
        <v>662</v>
      </c>
      <c r="G1273" s="10">
        <v>28</v>
      </c>
      <c r="H1273" s="10">
        <v>5566</v>
      </c>
      <c r="I1273" s="10">
        <v>155848</v>
      </c>
      <c r="J1273" t="s">
        <v>42</v>
      </c>
      <c r="K1273" s="11">
        <v>3145.8</v>
      </c>
      <c r="L1273" s="12">
        <v>49.54</v>
      </c>
    </row>
    <row r="1274" spans="1:12" x14ac:dyDescent="0.2">
      <c r="A1274" s="9">
        <v>46241</v>
      </c>
      <c r="B1274" t="s">
        <v>567</v>
      </c>
      <c r="C1274" t="s">
        <v>568</v>
      </c>
      <c r="D1274" t="s">
        <v>41</v>
      </c>
      <c r="E1274" t="s">
        <v>651</v>
      </c>
      <c r="F1274" t="s">
        <v>657</v>
      </c>
      <c r="G1274" s="10">
        <v>75</v>
      </c>
      <c r="H1274" s="10">
        <v>30344</v>
      </c>
      <c r="I1274" s="10">
        <v>2275800</v>
      </c>
      <c r="J1274" t="s">
        <v>42</v>
      </c>
      <c r="K1274" s="11">
        <v>3145.8</v>
      </c>
      <c r="L1274" s="12">
        <v>723.44</v>
      </c>
    </row>
    <row r="1275" spans="1:12" x14ac:dyDescent="0.2">
      <c r="A1275" s="9">
        <v>46241</v>
      </c>
      <c r="B1275" t="s">
        <v>570</v>
      </c>
      <c r="C1275" t="s">
        <v>571</v>
      </c>
      <c r="D1275" t="s">
        <v>68</v>
      </c>
      <c r="E1275" t="s">
        <v>655</v>
      </c>
      <c r="F1275" t="s">
        <v>656</v>
      </c>
      <c r="G1275" s="10">
        <v>16</v>
      </c>
      <c r="H1275" s="10">
        <v>576</v>
      </c>
      <c r="I1275" s="10">
        <v>9216</v>
      </c>
      <c r="J1275" t="s">
        <v>51</v>
      </c>
      <c r="K1275" s="11">
        <v>648.20000000000005</v>
      </c>
      <c r="L1275" s="12">
        <v>14.22</v>
      </c>
    </row>
    <row r="1276" spans="1:12" x14ac:dyDescent="0.2">
      <c r="A1276" s="9">
        <v>46241</v>
      </c>
      <c r="B1276" t="s">
        <v>576</v>
      </c>
      <c r="C1276" t="s">
        <v>577</v>
      </c>
      <c r="D1276" t="s">
        <v>50</v>
      </c>
      <c r="E1276" t="s">
        <v>647</v>
      </c>
      <c r="F1276" t="s">
        <v>668</v>
      </c>
      <c r="G1276" s="10">
        <v>2</v>
      </c>
      <c r="H1276" s="10">
        <v>26163</v>
      </c>
      <c r="I1276" s="10">
        <v>52326</v>
      </c>
      <c r="J1276" t="s">
        <v>51</v>
      </c>
      <c r="K1276" s="11">
        <v>648.20000000000005</v>
      </c>
      <c r="L1276" s="12">
        <v>80.73</v>
      </c>
    </row>
    <row r="1277" spans="1:12" x14ac:dyDescent="0.2">
      <c r="A1277" s="9">
        <v>46241</v>
      </c>
      <c r="B1277" t="s">
        <v>579</v>
      </c>
      <c r="C1277" t="s">
        <v>580</v>
      </c>
      <c r="D1277" t="s">
        <v>75</v>
      </c>
      <c r="E1277" t="s">
        <v>647</v>
      </c>
      <c r="F1277" t="s">
        <v>668</v>
      </c>
      <c r="G1277" s="10">
        <v>8</v>
      </c>
      <c r="H1277" s="10">
        <v>125596</v>
      </c>
      <c r="I1277" s="10">
        <v>1004768</v>
      </c>
      <c r="J1277" t="s">
        <v>42</v>
      </c>
      <c r="K1277" s="11">
        <v>3145.8</v>
      </c>
      <c r="L1277" s="12">
        <v>319.39999999999998</v>
      </c>
    </row>
    <row r="1278" spans="1:12" x14ac:dyDescent="0.2">
      <c r="A1278" s="9">
        <v>46241</v>
      </c>
      <c r="B1278" t="s">
        <v>585</v>
      </c>
      <c r="C1278" t="s">
        <v>586</v>
      </c>
      <c r="D1278" t="s">
        <v>50</v>
      </c>
      <c r="E1278" t="s">
        <v>651</v>
      </c>
      <c r="F1278" t="s">
        <v>652</v>
      </c>
      <c r="G1278" s="10">
        <v>7</v>
      </c>
      <c r="H1278" s="10">
        <v>9533</v>
      </c>
      <c r="I1278" s="10">
        <v>66731</v>
      </c>
      <c r="J1278" t="s">
        <v>51</v>
      </c>
      <c r="K1278" s="11">
        <v>648.20000000000005</v>
      </c>
      <c r="L1278" s="12">
        <v>102.95</v>
      </c>
    </row>
    <row r="1279" spans="1:12" x14ac:dyDescent="0.2">
      <c r="A1279" s="9">
        <v>46241</v>
      </c>
      <c r="B1279" t="s">
        <v>585</v>
      </c>
      <c r="C1279" t="s">
        <v>586</v>
      </c>
      <c r="D1279" t="s">
        <v>50</v>
      </c>
      <c r="E1279" t="s">
        <v>647</v>
      </c>
      <c r="F1279" t="s">
        <v>668</v>
      </c>
      <c r="G1279" s="10">
        <v>3</v>
      </c>
      <c r="H1279" s="10">
        <v>24689</v>
      </c>
      <c r="I1279" s="10">
        <v>74067</v>
      </c>
      <c r="J1279" t="s">
        <v>51</v>
      </c>
      <c r="K1279" s="11">
        <v>648.20000000000005</v>
      </c>
      <c r="L1279" s="12">
        <v>114.27</v>
      </c>
    </row>
    <row r="1280" spans="1:12" x14ac:dyDescent="0.2">
      <c r="A1280" s="9">
        <v>46241</v>
      </c>
      <c r="B1280" t="s">
        <v>590</v>
      </c>
      <c r="C1280" t="s">
        <v>591</v>
      </c>
      <c r="D1280" t="s">
        <v>41</v>
      </c>
      <c r="E1280" t="s">
        <v>651</v>
      </c>
      <c r="F1280" t="s">
        <v>652</v>
      </c>
      <c r="G1280" s="10">
        <v>50</v>
      </c>
      <c r="H1280" s="10">
        <v>45485</v>
      </c>
      <c r="I1280" s="10">
        <v>2274250</v>
      </c>
      <c r="J1280" t="s">
        <v>42</v>
      </c>
      <c r="K1280" s="11">
        <v>3145.8</v>
      </c>
      <c r="L1280" s="12">
        <v>722.95</v>
      </c>
    </row>
    <row r="1281" spans="1:12" x14ac:dyDescent="0.2">
      <c r="A1281" s="9">
        <v>46241</v>
      </c>
      <c r="B1281" t="s">
        <v>593</v>
      </c>
      <c r="C1281" t="s">
        <v>594</v>
      </c>
      <c r="D1281" t="s">
        <v>50</v>
      </c>
      <c r="E1281" t="s">
        <v>660</v>
      </c>
      <c r="F1281" t="s">
        <v>669</v>
      </c>
      <c r="G1281" s="10">
        <v>5</v>
      </c>
      <c r="H1281" s="10">
        <v>2509</v>
      </c>
      <c r="I1281" s="10">
        <v>12545</v>
      </c>
      <c r="J1281" t="s">
        <v>51</v>
      </c>
      <c r="K1281" s="11">
        <v>648.20000000000005</v>
      </c>
      <c r="L1281" s="12">
        <v>19.350000000000001</v>
      </c>
    </row>
    <row r="1282" spans="1:12" x14ac:dyDescent="0.2">
      <c r="A1282" s="9">
        <v>46241</v>
      </c>
      <c r="B1282" t="s">
        <v>602</v>
      </c>
      <c r="C1282" t="s">
        <v>603</v>
      </c>
      <c r="D1282" t="s">
        <v>50</v>
      </c>
      <c r="E1282" t="s">
        <v>649</v>
      </c>
      <c r="F1282" t="s">
        <v>650</v>
      </c>
      <c r="G1282" s="10">
        <v>36</v>
      </c>
      <c r="H1282" s="10">
        <v>19059</v>
      </c>
      <c r="I1282" s="10">
        <v>686124</v>
      </c>
      <c r="J1282" t="s">
        <v>51</v>
      </c>
      <c r="K1282" s="11">
        <v>648.20000000000005</v>
      </c>
      <c r="L1282" s="12">
        <v>1058.51</v>
      </c>
    </row>
    <row r="1283" spans="1:12" x14ac:dyDescent="0.2">
      <c r="A1283" s="9">
        <v>46241</v>
      </c>
      <c r="B1283" t="s">
        <v>602</v>
      </c>
      <c r="C1283" t="s">
        <v>603</v>
      </c>
      <c r="D1283" t="s">
        <v>50</v>
      </c>
      <c r="E1283" t="s">
        <v>647</v>
      </c>
      <c r="F1283" t="s">
        <v>667</v>
      </c>
      <c r="G1283" s="10">
        <v>5</v>
      </c>
      <c r="H1283" s="10">
        <v>7345</v>
      </c>
      <c r="I1283" s="10">
        <v>36725</v>
      </c>
      <c r="J1283" t="s">
        <v>51</v>
      </c>
      <c r="K1283" s="11">
        <v>648.20000000000005</v>
      </c>
      <c r="L1283" s="12">
        <v>56.66</v>
      </c>
    </row>
    <row r="1284" spans="1:12" x14ac:dyDescent="0.2">
      <c r="A1284" s="9">
        <v>46241</v>
      </c>
      <c r="B1284" t="s">
        <v>605</v>
      </c>
      <c r="C1284" t="s">
        <v>606</v>
      </c>
      <c r="D1284" t="s">
        <v>68</v>
      </c>
      <c r="E1284" t="s">
        <v>649</v>
      </c>
      <c r="F1284" t="s">
        <v>650</v>
      </c>
      <c r="G1284" s="10">
        <v>36</v>
      </c>
      <c r="H1284" s="10">
        <v>19564</v>
      </c>
      <c r="I1284" s="10">
        <v>704304</v>
      </c>
      <c r="J1284" t="s">
        <v>51</v>
      </c>
      <c r="K1284" s="11">
        <v>648.20000000000005</v>
      </c>
      <c r="L1284" s="12">
        <v>1086.55</v>
      </c>
    </row>
    <row r="1285" spans="1:12" x14ac:dyDescent="0.2">
      <c r="A1285" s="9">
        <v>46241</v>
      </c>
      <c r="B1285" t="s">
        <v>605</v>
      </c>
      <c r="C1285" t="s">
        <v>606</v>
      </c>
      <c r="D1285" t="s">
        <v>68</v>
      </c>
      <c r="E1285" t="s">
        <v>660</v>
      </c>
      <c r="F1285" t="s">
        <v>669</v>
      </c>
      <c r="G1285" s="10">
        <v>8</v>
      </c>
      <c r="H1285" s="10">
        <v>2568</v>
      </c>
      <c r="I1285" s="10">
        <v>20544</v>
      </c>
      <c r="J1285" t="s">
        <v>51</v>
      </c>
      <c r="K1285" s="11">
        <v>648.20000000000005</v>
      </c>
      <c r="L1285" s="12">
        <v>31.69</v>
      </c>
    </row>
    <row r="1286" spans="1:12" x14ac:dyDescent="0.2">
      <c r="A1286" s="9">
        <v>46241</v>
      </c>
      <c r="B1286" t="s">
        <v>605</v>
      </c>
      <c r="C1286" t="s">
        <v>606</v>
      </c>
      <c r="D1286" t="s">
        <v>68</v>
      </c>
      <c r="E1286" t="s">
        <v>660</v>
      </c>
      <c r="F1286" t="s">
        <v>670</v>
      </c>
      <c r="G1286" s="10">
        <v>8</v>
      </c>
      <c r="H1286" s="10">
        <v>14887</v>
      </c>
      <c r="I1286" s="10">
        <v>119096</v>
      </c>
      <c r="J1286" t="s">
        <v>51</v>
      </c>
      <c r="K1286" s="11">
        <v>648.20000000000005</v>
      </c>
      <c r="L1286" s="12">
        <v>183.73</v>
      </c>
    </row>
    <row r="1287" spans="1:12" x14ac:dyDescent="0.2">
      <c r="A1287" s="9">
        <v>46241</v>
      </c>
      <c r="B1287" t="s">
        <v>611</v>
      </c>
      <c r="C1287" t="s">
        <v>612</v>
      </c>
      <c r="D1287" t="s">
        <v>41</v>
      </c>
      <c r="E1287" t="s">
        <v>647</v>
      </c>
      <c r="F1287" t="s">
        <v>667</v>
      </c>
      <c r="G1287" s="10">
        <v>5</v>
      </c>
      <c r="H1287" s="10">
        <v>36117</v>
      </c>
      <c r="I1287" s="10">
        <v>180585</v>
      </c>
      <c r="J1287" t="s">
        <v>42</v>
      </c>
      <c r="K1287" s="11">
        <v>3145.8</v>
      </c>
      <c r="L1287" s="12">
        <v>57.41</v>
      </c>
    </row>
    <row r="1288" spans="1:12" x14ac:dyDescent="0.2">
      <c r="A1288" s="9">
        <v>46241</v>
      </c>
      <c r="B1288" t="s">
        <v>614</v>
      </c>
      <c r="C1288" t="s">
        <v>615</v>
      </c>
      <c r="D1288" t="s">
        <v>68</v>
      </c>
      <c r="E1288" t="s">
        <v>653</v>
      </c>
      <c r="F1288" t="s">
        <v>666</v>
      </c>
      <c r="G1288" s="10">
        <v>30</v>
      </c>
      <c r="H1288" s="10">
        <v>1528</v>
      </c>
      <c r="I1288" s="10">
        <v>45840</v>
      </c>
      <c r="J1288" t="s">
        <v>51</v>
      </c>
      <c r="K1288" s="11">
        <v>648.20000000000005</v>
      </c>
      <c r="L1288" s="12">
        <v>70.72</v>
      </c>
    </row>
    <row r="1289" spans="1:12" x14ac:dyDescent="0.2">
      <c r="A1289" s="9">
        <v>46241</v>
      </c>
      <c r="B1289" t="s">
        <v>620</v>
      </c>
      <c r="C1289" t="s">
        <v>621</v>
      </c>
      <c r="D1289" t="s">
        <v>50</v>
      </c>
      <c r="E1289" t="s">
        <v>649</v>
      </c>
      <c r="F1289" t="s">
        <v>650</v>
      </c>
      <c r="G1289" s="10">
        <v>10</v>
      </c>
      <c r="H1289" s="10">
        <v>19421</v>
      </c>
      <c r="I1289" s="10">
        <v>194210</v>
      </c>
      <c r="J1289" t="s">
        <v>51</v>
      </c>
      <c r="K1289" s="11">
        <v>648.20000000000005</v>
      </c>
      <c r="L1289" s="12">
        <v>299.61</v>
      </c>
    </row>
    <row r="1290" spans="1:12" x14ac:dyDescent="0.2">
      <c r="A1290" s="9">
        <v>46241</v>
      </c>
      <c r="B1290" t="s">
        <v>623</v>
      </c>
      <c r="C1290" t="s">
        <v>624</v>
      </c>
      <c r="D1290" t="s">
        <v>68</v>
      </c>
      <c r="E1290" t="s">
        <v>653</v>
      </c>
      <c r="F1290" t="s">
        <v>666</v>
      </c>
      <c r="G1290" s="10">
        <v>20</v>
      </c>
      <c r="H1290" s="10">
        <v>1511</v>
      </c>
      <c r="I1290" s="10">
        <v>30220</v>
      </c>
      <c r="J1290" t="s">
        <v>51</v>
      </c>
      <c r="K1290" s="11">
        <v>648.20000000000005</v>
      </c>
      <c r="L1290" s="12">
        <v>46.62</v>
      </c>
    </row>
    <row r="1291" spans="1:12" x14ac:dyDescent="0.2">
      <c r="A1291" s="9">
        <v>46241</v>
      </c>
      <c r="B1291" t="s">
        <v>623</v>
      </c>
      <c r="C1291" t="s">
        <v>624</v>
      </c>
      <c r="D1291" t="s">
        <v>68</v>
      </c>
      <c r="E1291" t="s">
        <v>647</v>
      </c>
      <c r="F1291" t="s">
        <v>667</v>
      </c>
      <c r="G1291" s="10">
        <v>39</v>
      </c>
      <c r="H1291" s="10">
        <v>7278</v>
      </c>
      <c r="I1291" s="10">
        <v>283842</v>
      </c>
      <c r="J1291" t="s">
        <v>51</v>
      </c>
      <c r="K1291" s="11">
        <v>648.20000000000005</v>
      </c>
      <c r="L1291" s="12">
        <v>437.89</v>
      </c>
    </row>
    <row r="1292" spans="1:12" x14ac:dyDescent="0.2">
      <c r="A1292" s="9">
        <v>46241</v>
      </c>
      <c r="B1292" t="s">
        <v>626</v>
      </c>
      <c r="C1292" t="s">
        <v>627</v>
      </c>
      <c r="D1292" t="s">
        <v>50</v>
      </c>
      <c r="E1292" t="s">
        <v>655</v>
      </c>
      <c r="F1292" t="s">
        <v>656</v>
      </c>
      <c r="G1292" s="10">
        <v>57</v>
      </c>
      <c r="H1292" s="10">
        <v>566</v>
      </c>
      <c r="I1292" s="10">
        <v>32262</v>
      </c>
      <c r="J1292" t="s">
        <v>51</v>
      </c>
      <c r="K1292" s="11">
        <v>648.20000000000005</v>
      </c>
      <c r="L1292" s="12">
        <v>49.77</v>
      </c>
    </row>
    <row r="1293" spans="1:12" x14ac:dyDescent="0.2">
      <c r="A1293" s="9">
        <v>46241</v>
      </c>
      <c r="B1293" t="s">
        <v>635</v>
      </c>
      <c r="C1293" t="s">
        <v>636</v>
      </c>
      <c r="D1293" t="s">
        <v>41</v>
      </c>
      <c r="E1293" t="s">
        <v>651</v>
      </c>
      <c r="F1293" t="s">
        <v>652</v>
      </c>
      <c r="G1293" s="10">
        <v>66</v>
      </c>
      <c r="H1293" s="10">
        <v>48187</v>
      </c>
      <c r="I1293" s="10">
        <v>3180342</v>
      </c>
      <c r="J1293" t="s">
        <v>42</v>
      </c>
      <c r="K1293" s="11">
        <v>3145.8</v>
      </c>
      <c r="L1293" s="12">
        <v>1010.98</v>
      </c>
    </row>
    <row r="1294" spans="1:12" x14ac:dyDescent="0.2">
      <c r="A1294" s="9">
        <v>46241</v>
      </c>
      <c r="B1294" t="s">
        <v>635</v>
      </c>
      <c r="C1294" t="s">
        <v>636</v>
      </c>
      <c r="D1294" t="s">
        <v>41</v>
      </c>
      <c r="E1294" t="s">
        <v>653</v>
      </c>
      <c r="F1294" t="s">
        <v>654</v>
      </c>
      <c r="G1294" s="10">
        <v>32</v>
      </c>
      <c r="H1294" s="10">
        <v>28133</v>
      </c>
      <c r="I1294" s="10">
        <v>900256</v>
      </c>
      <c r="J1294" t="s">
        <v>42</v>
      </c>
      <c r="K1294" s="11">
        <v>3145.8</v>
      </c>
      <c r="L1294" s="12">
        <v>286.18</v>
      </c>
    </row>
    <row r="1295" spans="1:12" x14ac:dyDescent="0.2">
      <c r="A1295" s="9">
        <v>46242</v>
      </c>
      <c r="B1295" t="s">
        <v>39</v>
      </c>
      <c r="C1295" t="s">
        <v>40</v>
      </c>
      <c r="D1295" t="s">
        <v>41</v>
      </c>
      <c r="E1295" t="s">
        <v>660</v>
      </c>
      <c r="F1295" t="s">
        <v>661</v>
      </c>
      <c r="G1295" s="10">
        <v>5</v>
      </c>
      <c r="H1295" s="10">
        <v>19746</v>
      </c>
      <c r="I1295" s="10">
        <v>98730</v>
      </c>
      <c r="J1295" t="s">
        <v>42</v>
      </c>
      <c r="K1295" s="11">
        <v>3145.8</v>
      </c>
      <c r="L1295" s="12">
        <v>31.38</v>
      </c>
    </row>
    <row r="1296" spans="1:12" x14ac:dyDescent="0.2">
      <c r="A1296" s="9">
        <v>46242</v>
      </c>
      <c r="B1296" t="s">
        <v>44</v>
      </c>
      <c r="C1296" t="s">
        <v>45</v>
      </c>
      <c r="D1296" t="s">
        <v>46</v>
      </c>
      <c r="E1296" t="s">
        <v>653</v>
      </c>
      <c r="F1296" t="s">
        <v>658</v>
      </c>
      <c r="G1296" s="10">
        <v>14</v>
      </c>
      <c r="H1296" s="10">
        <v>2664</v>
      </c>
      <c r="I1296" s="10">
        <v>37296</v>
      </c>
      <c r="J1296" t="s">
        <v>37</v>
      </c>
      <c r="K1296" s="11">
        <v>648.20000000000005</v>
      </c>
      <c r="L1296" s="12">
        <v>57.54</v>
      </c>
    </row>
    <row r="1297" spans="1:12" x14ac:dyDescent="0.2">
      <c r="A1297" s="9">
        <v>46242</v>
      </c>
      <c r="B1297" t="s">
        <v>44</v>
      </c>
      <c r="C1297" t="s">
        <v>45</v>
      </c>
      <c r="D1297" t="s">
        <v>46</v>
      </c>
      <c r="E1297" t="s">
        <v>647</v>
      </c>
      <c r="F1297" t="s">
        <v>667</v>
      </c>
      <c r="G1297" s="10">
        <v>6</v>
      </c>
      <c r="H1297" s="10">
        <v>7277</v>
      </c>
      <c r="I1297" s="10">
        <v>43662</v>
      </c>
      <c r="J1297" t="s">
        <v>37</v>
      </c>
      <c r="K1297" s="11">
        <v>648.20000000000005</v>
      </c>
      <c r="L1297" s="12">
        <v>67.36</v>
      </c>
    </row>
    <row r="1298" spans="1:12" x14ac:dyDescent="0.2">
      <c r="A1298" s="9">
        <v>46242</v>
      </c>
      <c r="B1298" t="s">
        <v>53</v>
      </c>
      <c r="C1298" t="s">
        <v>54</v>
      </c>
      <c r="D1298" t="s">
        <v>41</v>
      </c>
      <c r="E1298" t="s">
        <v>660</v>
      </c>
      <c r="F1298" t="s">
        <v>669</v>
      </c>
      <c r="G1298" s="10">
        <v>7</v>
      </c>
      <c r="H1298" s="10">
        <v>13029</v>
      </c>
      <c r="I1298" s="10">
        <v>91203</v>
      </c>
      <c r="J1298" t="s">
        <v>42</v>
      </c>
      <c r="K1298" s="11">
        <v>3145.8</v>
      </c>
      <c r="L1298" s="12">
        <v>28.99</v>
      </c>
    </row>
    <row r="1299" spans="1:12" x14ac:dyDescent="0.2">
      <c r="A1299" s="9">
        <v>46242</v>
      </c>
      <c r="B1299" t="s">
        <v>56</v>
      </c>
      <c r="C1299" t="s">
        <v>57</v>
      </c>
      <c r="D1299" t="s">
        <v>46</v>
      </c>
      <c r="E1299" t="s">
        <v>647</v>
      </c>
      <c r="F1299" t="s">
        <v>667</v>
      </c>
      <c r="G1299" s="10">
        <v>1</v>
      </c>
      <c r="H1299" s="10">
        <v>7468</v>
      </c>
      <c r="I1299" s="10">
        <v>7468</v>
      </c>
      <c r="J1299" t="s">
        <v>37</v>
      </c>
      <c r="K1299" s="11">
        <v>648.20000000000005</v>
      </c>
      <c r="L1299" s="12">
        <v>11.52</v>
      </c>
    </row>
    <row r="1300" spans="1:12" x14ac:dyDescent="0.2">
      <c r="A1300" s="9">
        <v>46242</v>
      </c>
      <c r="B1300" t="s">
        <v>56</v>
      </c>
      <c r="C1300" t="s">
        <v>57</v>
      </c>
      <c r="D1300" t="s">
        <v>46</v>
      </c>
      <c r="E1300" t="s">
        <v>647</v>
      </c>
      <c r="F1300" t="s">
        <v>667</v>
      </c>
      <c r="G1300" s="10">
        <v>12</v>
      </c>
      <c r="H1300" s="10">
        <v>7216</v>
      </c>
      <c r="I1300" s="10">
        <v>86592</v>
      </c>
      <c r="J1300" t="s">
        <v>37</v>
      </c>
      <c r="K1300" s="11">
        <v>648.20000000000005</v>
      </c>
      <c r="L1300" s="12">
        <v>133.59</v>
      </c>
    </row>
    <row r="1301" spans="1:12" x14ac:dyDescent="0.2">
      <c r="A1301" s="9">
        <v>46242</v>
      </c>
      <c r="B1301" t="s">
        <v>56</v>
      </c>
      <c r="C1301" t="s">
        <v>57</v>
      </c>
      <c r="D1301" t="s">
        <v>46</v>
      </c>
      <c r="E1301" t="s">
        <v>651</v>
      </c>
      <c r="F1301" t="s">
        <v>657</v>
      </c>
      <c r="G1301" s="10">
        <v>2</v>
      </c>
      <c r="H1301" s="10">
        <v>6424</v>
      </c>
      <c r="I1301" s="10">
        <v>12848</v>
      </c>
      <c r="J1301" t="s">
        <v>37</v>
      </c>
      <c r="K1301" s="11">
        <v>648.20000000000005</v>
      </c>
      <c r="L1301" s="12">
        <v>19.82</v>
      </c>
    </row>
    <row r="1302" spans="1:12" x14ac:dyDescent="0.2">
      <c r="A1302" s="9">
        <v>46242</v>
      </c>
      <c r="B1302" t="s">
        <v>66</v>
      </c>
      <c r="C1302" t="s">
        <v>67</v>
      </c>
      <c r="D1302" t="s">
        <v>68</v>
      </c>
      <c r="E1302" t="s">
        <v>655</v>
      </c>
      <c r="F1302" t="s">
        <v>662</v>
      </c>
      <c r="G1302" s="10">
        <v>25</v>
      </c>
      <c r="H1302" s="10">
        <v>1157</v>
      </c>
      <c r="I1302" s="10">
        <v>28925</v>
      </c>
      <c r="J1302" t="s">
        <v>51</v>
      </c>
      <c r="K1302" s="11">
        <v>648.20000000000005</v>
      </c>
      <c r="L1302" s="12">
        <v>44.62</v>
      </c>
    </row>
    <row r="1303" spans="1:12" x14ac:dyDescent="0.2">
      <c r="A1303" s="9">
        <v>46242</v>
      </c>
      <c r="B1303" t="s">
        <v>66</v>
      </c>
      <c r="C1303" t="s">
        <v>67</v>
      </c>
      <c r="D1303" t="s">
        <v>68</v>
      </c>
      <c r="E1303" t="s">
        <v>647</v>
      </c>
      <c r="F1303" t="s">
        <v>667</v>
      </c>
      <c r="G1303" s="10">
        <v>31</v>
      </c>
      <c r="H1303" s="10">
        <v>7395</v>
      </c>
      <c r="I1303" s="10">
        <v>229245</v>
      </c>
      <c r="J1303" t="s">
        <v>51</v>
      </c>
      <c r="K1303" s="11">
        <v>648.20000000000005</v>
      </c>
      <c r="L1303" s="12">
        <v>353.66</v>
      </c>
    </row>
    <row r="1304" spans="1:12" x14ac:dyDescent="0.2">
      <c r="A1304" s="9">
        <v>46242</v>
      </c>
      <c r="B1304" t="s">
        <v>70</v>
      </c>
      <c r="C1304" t="s">
        <v>71</v>
      </c>
      <c r="D1304" t="s">
        <v>46</v>
      </c>
      <c r="E1304" t="s">
        <v>647</v>
      </c>
      <c r="F1304" t="s">
        <v>667</v>
      </c>
      <c r="G1304" s="10">
        <v>2</v>
      </c>
      <c r="H1304" s="10">
        <v>7379</v>
      </c>
      <c r="I1304" s="10">
        <v>14758</v>
      </c>
      <c r="J1304" t="s">
        <v>37</v>
      </c>
      <c r="K1304" s="11">
        <v>648.20000000000005</v>
      </c>
      <c r="L1304" s="12">
        <v>22.77</v>
      </c>
    </row>
    <row r="1305" spans="1:12" x14ac:dyDescent="0.2">
      <c r="A1305" s="9">
        <v>46242</v>
      </c>
      <c r="B1305" t="s">
        <v>73</v>
      </c>
      <c r="C1305" t="s">
        <v>74</v>
      </c>
      <c r="D1305" t="s">
        <v>75</v>
      </c>
      <c r="E1305" t="s">
        <v>653</v>
      </c>
      <c r="F1305" t="s">
        <v>654</v>
      </c>
      <c r="G1305" s="10">
        <v>14</v>
      </c>
      <c r="H1305" s="10">
        <v>28020</v>
      </c>
      <c r="I1305" s="10">
        <v>392280</v>
      </c>
      <c r="J1305" t="s">
        <v>42</v>
      </c>
      <c r="K1305" s="11">
        <v>3145.8</v>
      </c>
      <c r="L1305" s="12">
        <v>124.7</v>
      </c>
    </row>
    <row r="1306" spans="1:12" x14ac:dyDescent="0.2">
      <c r="A1306" s="9">
        <v>46242</v>
      </c>
      <c r="B1306" t="s">
        <v>73</v>
      </c>
      <c r="C1306" t="s">
        <v>74</v>
      </c>
      <c r="D1306" t="s">
        <v>75</v>
      </c>
      <c r="E1306" t="s">
        <v>647</v>
      </c>
      <c r="F1306" t="s">
        <v>668</v>
      </c>
      <c r="G1306" s="10">
        <v>8</v>
      </c>
      <c r="H1306" s="10">
        <v>120103</v>
      </c>
      <c r="I1306" s="10">
        <v>960824</v>
      </c>
      <c r="J1306" t="s">
        <v>42</v>
      </c>
      <c r="K1306" s="11">
        <v>3145.8</v>
      </c>
      <c r="L1306" s="12">
        <v>305.43</v>
      </c>
    </row>
    <row r="1307" spans="1:12" x14ac:dyDescent="0.2">
      <c r="A1307" s="9">
        <v>46242</v>
      </c>
      <c r="B1307" t="s">
        <v>73</v>
      </c>
      <c r="C1307" t="s">
        <v>74</v>
      </c>
      <c r="D1307" t="s">
        <v>75</v>
      </c>
      <c r="E1307" t="s">
        <v>647</v>
      </c>
      <c r="F1307" t="s">
        <v>648</v>
      </c>
      <c r="G1307" s="10">
        <v>93</v>
      </c>
      <c r="H1307" s="10">
        <v>81175</v>
      </c>
      <c r="I1307" s="10">
        <v>7549275</v>
      </c>
      <c r="J1307" t="s">
        <v>42</v>
      </c>
      <c r="K1307" s="11">
        <v>3145.8</v>
      </c>
      <c r="L1307" s="12">
        <v>2399.79</v>
      </c>
    </row>
    <row r="1308" spans="1:12" x14ac:dyDescent="0.2">
      <c r="A1308" s="9">
        <v>46242</v>
      </c>
      <c r="B1308" t="s">
        <v>77</v>
      </c>
      <c r="C1308" t="s">
        <v>78</v>
      </c>
      <c r="D1308" t="s">
        <v>50</v>
      </c>
      <c r="E1308" t="s">
        <v>647</v>
      </c>
      <c r="F1308" t="s">
        <v>668</v>
      </c>
      <c r="G1308" s="10">
        <v>21</v>
      </c>
      <c r="H1308" s="10">
        <v>26003</v>
      </c>
      <c r="I1308" s="10">
        <v>546063</v>
      </c>
      <c r="J1308" t="s">
        <v>51</v>
      </c>
      <c r="K1308" s="11">
        <v>648.20000000000005</v>
      </c>
      <c r="L1308" s="12">
        <v>842.43</v>
      </c>
    </row>
    <row r="1309" spans="1:12" x14ac:dyDescent="0.2">
      <c r="A1309" s="9">
        <v>46242</v>
      </c>
      <c r="B1309" t="s">
        <v>77</v>
      </c>
      <c r="C1309" t="s">
        <v>78</v>
      </c>
      <c r="D1309" t="s">
        <v>50</v>
      </c>
      <c r="E1309" t="s">
        <v>647</v>
      </c>
      <c r="F1309" t="s">
        <v>648</v>
      </c>
      <c r="G1309" s="10">
        <v>36</v>
      </c>
      <c r="H1309" s="10">
        <v>16103</v>
      </c>
      <c r="I1309" s="10">
        <v>579708</v>
      </c>
      <c r="J1309" t="s">
        <v>51</v>
      </c>
      <c r="K1309" s="11">
        <v>648.20000000000005</v>
      </c>
      <c r="L1309" s="12">
        <v>894.34</v>
      </c>
    </row>
    <row r="1310" spans="1:12" x14ac:dyDescent="0.2">
      <c r="A1310" s="9">
        <v>46242</v>
      </c>
      <c r="B1310" t="s">
        <v>77</v>
      </c>
      <c r="C1310" t="s">
        <v>78</v>
      </c>
      <c r="D1310" t="s">
        <v>50</v>
      </c>
      <c r="E1310" t="s">
        <v>647</v>
      </c>
      <c r="F1310" t="s">
        <v>667</v>
      </c>
      <c r="G1310" s="10">
        <v>24</v>
      </c>
      <c r="H1310" s="10">
        <v>7049</v>
      </c>
      <c r="I1310" s="10">
        <v>169176</v>
      </c>
      <c r="J1310" t="s">
        <v>51</v>
      </c>
      <c r="K1310" s="11">
        <v>648.20000000000005</v>
      </c>
      <c r="L1310" s="12">
        <v>260.99</v>
      </c>
    </row>
    <row r="1311" spans="1:12" x14ac:dyDescent="0.2">
      <c r="A1311" s="9">
        <v>46242</v>
      </c>
      <c r="B1311" t="s">
        <v>77</v>
      </c>
      <c r="C1311" t="s">
        <v>78</v>
      </c>
      <c r="D1311" t="s">
        <v>50</v>
      </c>
      <c r="E1311" t="s">
        <v>647</v>
      </c>
      <c r="F1311" t="s">
        <v>667</v>
      </c>
      <c r="G1311" s="10">
        <v>3</v>
      </c>
      <c r="H1311" s="10">
        <v>7282</v>
      </c>
      <c r="I1311" s="10">
        <v>21846</v>
      </c>
      <c r="J1311" t="s">
        <v>51</v>
      </c>
      <c r="K1311" s="11">
        <v>648.20000000000005</v>
      </c>
      <c r="L1311" s="12">
        <v>33.700000000000003</v>
      </c>
    </row>
    <row r="1312" spans="1:12" x14ac:dyDescent="0.2">
      <c r="A1312" s="9">
        <v>46242</v>
      </c>
      <c r="B1312" t="s">
        <v>80</v>
      </c>
      <c r="C1312" t="s">
        <v>81</v>
      </c>
      <c r="D1312" t="s">
        <v>46</v>
      </c>
      <c r="E1312" t="s">
        <v>653</v>
      </c>
      <c r="F1312" t="s">
        <v>658</v>
      </c>
      <c r="G1312" s="10">
        <v>7</v>
      </c>
      <c r="H1312" s="10">
        <v>2686</v>
      </c>
      <c r="I1312" s="10">
        <v>18802</v>
      </c>
      <c r="J1312" t="s">
        <v>37</v>
      </c>
      <c r="K1312" s="11">
        <v>648.20000000000005</v>
      </c>
      <c r="L1312" s="12">
        <v>29.01</v>
      </c>
    </row>
    <row r="1313" spans="1:12" x14ac:dyDescent="0.2">
      <c r="A1313" s="9">
        <v>46242</v>
      </c>
      <c r="B1313" t="s">
        <v>83</v>
      </c>
      <c r="C1313" t="s">
        <v>84</v>
      </c>
      <c r="D1313" t="s">
        <v>41</v>
      </c>
      <c r="E1313" t="s">
        <v>660</v>
      </c>
      <c r="F1313" t="s">
        <v>661</v>
      </c>
      <c r="G1313" s="10">
        <v>8</v>
      </c>
      <c r="H1313" s="10">
        <v>20326</v>
      </c>
      <c r="I1313" s="10">
        <v>162608</v>
      </c>
      <c r="J1313" t="s">
        <v>42</v>
      </c>
      <c r="K1313" s="11">
        <v>3145.8</v>
      </c>
      <c r="L1313" s="12">
        <v>51.69</v>
      </c>
    </row>
    <row r="1314" spans="1:12" x14ac:dyDescent="0.2">
      <c r="A1314" s="9">
        <v>46242</v>
      </c>
      <c r="B1314" t="s">
        <v>83</v>
      </c>
      <c r="C1314" t="s">
        <v>84</v>
      </c>
      <c r="D1314" t="s">
        <v>41</v>
      </c>
      <c r="E1314" t="s">
        <v>660</v>
      </c>
      <c r="F1314" t="s">
        <v>661</v>
      </c>
      <c r="G1314" s="10">
        <v>18</v>
      </c>
      <c r="H1314" s="10">
        <v>20895</v>
      </c>
      <c r="I1314" s="10">
        <v>376110</v>
      </c>
      <c r="J1314" t="s">
        <v>42</v>
      </c>
      <c r="K1314" s="11">
        <v>3145.8</v>
      </c>
      <c r="L1314" s="12">
        <v>119.56</v>
      </c>
    </row>
    <row r="1315" spans="1:12" x14ac:dyDescent="0.2">
      <c r="A1315" s="9">
        <v>46242</v>
      </c>
      <c r="B1315" t="s">
        <v>86</v>
      </c>
      <c r="C1315" t="s">
        <v>87</v>
      </c>
      <c r="D1315" t="s">
        <v>50</v>
      </c>
      <c r="E1315" t="s">
        <v>649</v>
      </c>
      <c r="F1315" t="s">
        <v>659</v>
      </c>
      <c r="G1315" s="10">
        <v>20</v>
      </c>
      <c r="H1315" s="10">
        <v>8561</v>
      </c>
      <c r="I1315" s="10">
        <v>171220</v>
      </c>
      <c r="J1315" t="s">
        <v>51</v>
      </c>
      <c r="K1315" s="11">
        <v>648.20000000000005</v>
      </c>
      <c r="L1315" s="12">
        <v>264.14999999999998</v>
      </c>
    </row>
    <row r="1316" spans="1:12" x14ac:dyDescent="0.2">
      <c r="A1316" s="9">
        <v>46242</v>
      </c>
      <c r="B1316" t="s">
        <v>89</v>
      </c>
      <c r="C1316" t="s">
        <v>90</v>
      </c>
      <c r="D1316" t="s">
        <v>68</v>
      </c>
      <c r="E1316" t="s">
        <v>647</v>
      </c>
      <c r="F1316" t="s">
        <v>648</v>
      </c>
      <c r="G1316" s="10">
        <v>74</v>
      </c>
      <c r="H1316" s="10">
        <v>16626</v>
      </c>
      <c r="I1316" s="10">
        <v>1230324</v>
      </c>
      <c r="J1316" t="s">
        <v>51</v>
      </c>
      <c r="K1316" s="11">
        <v>648.20000000000005</v>
      </c>
      <c r="L1316" s="12">
        <v>1898.06</v>
      </c>
    </row>
    <row r="1317" spans="1:12" x14ac:dyDescent="0.2">
      <c r="A1317" s="9">
        <v>46242</v>
      </c>
      <c r="B1317" t="s">
        <v>89</v>
      </c>
      <c r="C1317" t="s">
        <v>90</v>
      </c>
      <c r="D1317" t="s">
        <v>68</v>
      </c>
      <c r="E1317" t="s">
        <v>655</v>
      </c>
      <c r="F1317" t="s">
        <v>656</v>
      </c>
      <c r="G1317" s="10">
        <v>13</v>
      </c>
      <c r="H1317" s="10">
        <v>597</v>
      </c>
      <c r="I1317" s="10">
        <v>7761</v>
      </c>
      <c r="J1317" t="s">
        <v>51</v>
      </c>
      <c r="K1317" s="11">
        <v>648.20000000000005</v>
      </c>
      <c r="L1317" s="12">
        <v>11.97</v>
      </c>
    </row>
    <row r="1318" spans="1:12" x14ac:dyDescent="0.2">
      <c r="A1318" s="9">
        <v>46242</v>
      </c>
      <c r="B1318" t="s">
        <v>102</v>
      </c>
      <c r="C1318" t="s">
        <v>103</v>
      </c>
      <c r="D1318" t="s">
        <v>41</v>
      </c>
      <c r="E1318" t="s">
        <v>649</v>
      </c>
      <c r="F1318" t="s">
        <v>659</v>
      </c>
      <c r="G1318" s="10">
        <v>1</v>
      </c>
      <c r="H1318" s="10">
        <v>42781</v>
      </c>
      <c r="I1318" s="10">
        <v>42781</v>
      </c>
      <c r="J1318" t="s">
        <v>42</v>
      </c>
      <c r="K1318" s="11">
        <v>3145.8</v>
      </c>
      <c r="L1318" s="12">
        <v>13.6</v>
      </c>
    </row>
    <row r="1319" spans="1:12" x14ac:dyDescent="0.2">
      <c r="A1319" s="9">
        <v>46242</v>
      </c>
      <c r="B1319" t="s">
        <v>102</v>
      </c>
      <c r="C1319" t="s">
        <v>103</v>
      </c>
      <c r="D1319" t="s">
        <v>41</v>
      </c>
      <c r="E1319" t="s">
        <v>647</v>
      </c>
      <c r="F1319" t="s">
        <v>667</v>
      </c>
      <c r="G1319" s="10">
        <v>3</v>
      </c>
      <c r="H1319" s="10">
        <v>35608</v>
      </c>
      <c r="I1319" s="10">
        <v>106824</v>
      </c>
      <c r="J1319" t="s">
        <v>42</v>
      </c>
      <c r="K1319" s="11">
        <v>3145.8</v>
      </c>
      <c r="L1319" s="12">
        <v>33.96</v>
      </c>
    </row>
    <row r="1320" spans="1:12" x14ac:dyDescent="0.2">
      <c r="A1320" s="9">
        <v>46242</v>
      </c>
      <c r="B1320" t="s">
        <v>105</v>
      </c>
      <c r="C1320" t="s">
        <v>106</v>
      </c>
      <c r="D1320" t="s">
        <v>41</v>
      </c>
      <c r="E1320" t="s">
        <v>647</v>
      </c>
      <c r="F1320" t="s">
        <v>668</v>
      </c>
      <c r="G1320" s="10">
        <v>12</v>
      </c>
      <c r="H1320" s="10">
        <v>125627</v>
      </c>
      <c r="I1320" s="10">
        <v>1507524</v>
      </c>
      <c r="J1320" t="s">
        <v>42</v>
      </c>
      <c r="K1320" s="11">
        <v>3145.8</v>
      </c>
      <c r="L1320" s="12">
        <v>479.22</v>
      </c>
    </row>
    <row r="1321" spans="1:12" x14ac:dyDescent="0.2">
      <c r="A1321" s="9">
        <v>46242</v>
      </c>
      <c r="B1321" t="s">
        <v>115</v>
      </c>
      <c r="C1321" t="s">
        <v>116</v>
      </c>
      <c r="D1321" t="s">
        <v>41</v>
      </c>
      <c r="E1321" t="s">
        <v>653</v>
      </c>
      <c r="F1321" t="s">
        <v>666</v>
      </c>
      <c r="G1321" s="10">
        <v>11</v>
      </c>
      <c r="H1321" s="10">
        <v>7487</v>
      </c>
      <c r="I1321" s="10">
        <v>82357</v>
      </c>
      <c r="J1321" t="s">
        <v>42</v>
      </c>
      <c r="K1321" s="11">
        <v>3145.8</v>
      </c>
      <c r="L1321" s="12">
        <v>26.18</v>
      </c>
    </row>
    <row r="1322" spans="1:12" x14ac:dyDescent="0.2">
      <c r="A1322" s="9">
        <v>46242</v>
      </c>
      <c r="B1322" t="s">
        <v>115</v>
      </c>
      <c r="C1322" t="s">
        <v>116</v>
      </c>
      <c r="D1322" t="s">
        <v>41</v>
      </c>
      <c r="E1322" t="s">
        <v>651</v>
      </c>
      <c r="F1322" t="s">
        <v>664</v>
      </c>
      <c r="G1322" s="10">
        <v>41</v>
      </c>
      <c r="H1322" s="10">
        <v>56152</v>
      </c>
      <c r="I1322" s="10">
        <v>2302232</v>
      </c>
      <c r="J1322" t="s">
        <v>42</v>
      </c>
      <c r="K1322" s="11">
        <v>3145.8</v>
      </c>
      <c r="L1322" s="12">
        <v>731.84</v>
      </c>
    </row>
    <row r="1323" spans="1:12" x14ac:dyDescent="0.2">
      <c r="A1323" s="9">
        <v>46242</v>
      </c>
      <c r="B1323" t="s">
        <v>121</v>
      </c>
      <c r="C1323" t="s">
        <v>122</v>
      </c>
      <c r="D1323" t="s">
        <v>75</v>
      </c>
      <c r="E1323" t="s">
        <v>660</v>
      </c>
      <c r="F1323" t="s">
        <v>661</v>
      </c>
      <c r="G1323" s="10">
        <v>6</v>
      </c>
      <c r="H1323" s="10">
        <v>20957</v>
      </c>
      <c r="I1323" s="10">
        <v>125742</v>
      </c>
      <c r="J1323" t="s">
        <v>42</v>
      </c>
      <c r="K1323" s="11">
        <v>3145.8</v>
      </c>
      <c r="L1323" s="12">
        <v>39.97</v>
      </c>
    </row>
    <row r="1324" spans="1:12" x14ac:dyDescent="0.2">
      <c r="A1324" s="9">
        <v>46242</v>
      </c>
      <c r="B1324" t="s">
        <v>124</v>
      </c>
      <c r="C1324" t="s">
        <v>125</v>
      </c>
      <c r="D1324" t="s">
        <v>75</v>
      </c>
      <c r="E1324" t="s">
        <v>649</v>
      </c>
      <c r="F1324" t="s">
        <v>659</v>
      </c>
      <c r="G1324" s="10">
        <v>25</v>
      </c>
      <c r="H1324" s="10">
        <v>43443</v>
      </c>
      <c r="I1324" s="10">
        <v>1086075</v>
      </c>
      <c r="J1324" t="s">
        <v>42</v>
      </c>
      <c r="K1324" s="11">
        <v>3145.8</v>
      </c>
      <c r="L1324" s="12">
        <v>345.25</v>
      </c>
    </row>
    <row r="1325" spans="1:12" x14ac:dyDescent="0.2">
      <c r="A1325" s="9">
        <v>46242</v>
      </c>
      <c r="B1325" t="s">
        <v>124</v>
      </c>
      <c r="C1325" t="s">
        <v>125</v>
      </c>
      <c r="D1325" t="s">
        <v>75</v>
      </c>
      <c r="E1325" t="s">
        <v>647</v>
      </c>
      <c r="F1325" t="s">
        <v>648</v>
      </c>
      <c r="G1325" s="10">
        <v>3</v>
      </c>
      <c r="H1325" s="10">
        <v>78700</v>
      </c>
      <c r="I1325" s="10">
        <v>236100</v>
      </c>
      <c r="J1325" t="s">
        <v>42</v>
      </c>
      <c r="K1325" s="11">
        <v>3145.8</v>
      </c>
      <c r="L1325" s="12">
        <v>75.05</v>
      </c>
    </row>
    <row r="1326" spans="1:12" x14ac:dyDescent="0.2">
      <c r="A1326" s="9">
        <v>46242</v>
      </c>
      <c r="B1326" t="s">
        <v>127</v>
      </c>
      <c r="C1326" t="s">
        <v>128</v>
      </c>
      <c r="D1326" t="s">
        <v>41</v>
      </c>
      <c r="E1326" t="s">
        <v>655</v>
      </c>
      <c r="F1326" t="s">
        <v>656</v>
      </c>
      <c r="G1326" s="10">
        <v>1</v>
      </c>
      <c r="H1326" s="10">
        <v>2739</v>
      </c>
      <c r="I1326" s="10">
        <v>2739</v>
      </c>
      <c r="J1326" t="s">
        <v>42</v>
      </c>
      <c r="K1326" s="11">
        <v>3145.8</v>
      </c>
      <c r="L1326" s="12">
        <v>0.87</v>
      </c>
    </row>
    <row r="1327" spans="1:12" x14ac:dyDescent="0.2">
      <c r="A1327" s="9">
        <v>46242</v>
      </c>
      <c r="B1327" t="s">
        <v>136</v>
      </c>
      <c r="C1327" t="s">
        <v>137</v>
      </c>
      <c r="D1327" t="s">
        <v>41</v>
      </c>
      <c r="E1327" t="s">
        <v>649</v>
      </c>
      <c r="F1327" t="s">
        <v>663</v>
      </c>
      <c r="G1327" s="10">
        <v>23</v>
      </c>
      <c r="H1327" s="10">
        <v>9974</v>
      </c>
      <c r="I1327" s="10">
        <v>229402</v>
      </c>
      <c r="J1327" t="s">
        <v>42</v>
      </c>
      <c r="K1327" s="11">
        <v>3145.8</v>
      </c>
      <c r="L1327" s="12">
        <v>72.92</v>
      </c>
    </row>
    <row r="1328" spans="1:12" x14ac:dyDescent="0.2">
      <c r="A1328" s="9">
        <v>46242</v>
      </c>
      <c r="B1328" t="s">
        <v>136</v>
      </c>
      <c r="C1328" t="s">
        <v>137</v>
      </c>
      <c r="D1328" t="s">
        <v>41</v>
      </c>
      <c r="E1328" t="s">
        <v>647</v>
      </c>
      <c r="F1328" t="s">
        <v>667</v>
      </c>
      <c r="G1328" s="10">
        <v>18</v>
      </c>
      <c r="H1328" s="10">
        <v>35613</v>
      </c>
      <c r="I1328" s="10">
        <v>641034</v>
      </c>
      <c r="J1328" t="s">
        <v>42</v>
      </c>
      <c r="K1328" s="11">
        <v>3145.8</v>
      </c>
      <c r="L1328" s="12">
        <v>203.77</v>
      </c>
    </row>
    <row r="1329" spans="1:12" x14ac:dyDescent="0.2">
      <c r="A1329" s="9">
        <v>46242</v>
      </c>
      <c r="B1329" t="s">
        <v>142</v>
      </c>
      <c r="C1329" t="s">
        <v>143</v>
      </c>
      <c r="D1329" t="s">
        <v>75</v>
      </c>
      <c r="E1329" t="s">
        <v>660</v>
      </c>
      <c r="F1329" t="s">
        <v>661</v>
      </c>
      <c r="G1329" s="10">
        <v>21</v>
      </c>
      <c r="H1329" s="10">
        <v>20742</v>
      </c>
      <c r="I1329" s="10">
        <v>435582</v>
      </c>
      <c r="J1329" t="s">
        <v>42</v>
      </c>
      <c r="K1329" s="11">
        <v>3145.8</v>
      </c>
      <c r="L1329" s="12">
        <v>138.46</v>
      </c>
    </row>
    <row r="1330" spans="1:12" x14ac:dyDescent="0.2">
      <c r="A1330" s="9">
        <v>46242</v>
      </c>
      <c r="B1330" t="s">
        <v>142</v>
      </c>
      <c r="C1330" t="s">
        <v>143</v>
      </c>
      <c r="D1330" t="s">
        <v>75</v>
      </c>
      <c r="E1330" t="s">
        <v>660</v>
      </c>
      <c r="F1330" t="s">
        <v>661</v>
      </c>
      <c r="G1330" s="10">
        <v>16</v>
      </c>
      <c r="H1330" s="10">
        <v>19574</v>
      </c>
      <c r="I1330" s="10">
        <v>313184</v>
      </c>
      <c r="J1330" t="s">
        <v>42</v>
      </c>
      <c r="K1330" s="11">
        <v>3145.8</v>
      </c>
      <c r="L1330" s="12">
        <v>99.56</v>
      </c>
    </row>
    <row r="1331" spans="1:12" x14ac:dyDescent="0.2">
      <c r="A1331" s="9">
        <v>46242</v>
      </c>
      <c r="B1331" t="s">
        <v>149</v>
      </c>
      <c r="C1331" t="s">
        <v>150</v>
      </c>
      <c r="D1331" t="s">
        <v>50</v>
      </c>
      <c r="E1331" t="s">
        <v>651</v>
      </c>
      <c r="F1331" t="s">
        <v>664</v>
      </c>
      <c r="G1331" s="10">
        <v>7</v>
      </c>
      <c r="H1331" s="10">
        <v>11537</v>
      </c>
      <c r="I1331" s="10">
        <v>80759</v>
      </c>
      <c r="J1331" t="s">
        <v>51</v>
      </c>
      <c r="K1331" s="11">
        <v>648.20000000000005</v>
      </c>
      <c r="L1331" s="12">
        <v>124.59</v>
      </c>
    </row>
    <row r="1332" spans="1:12" x14ac:dyDescent="0.2">
      <c r="A1332" s="9">
        <v>46242</v>
      </c>
      <c r="B1332" t="s">
        <v>155</v>
      </c>
      <c r="C1332" t="s">
        <v>156</v>
      </c>
      <c r="D1332" t="s">
        <v>46</v>
      </c>
      <c r="E1332" t="s">
        <v>660</v>
      </c>
      <c r="F1332" t="s">
        <v>669</v>
      </c>
      <c r="G1332" s="10">
        <v>8</v>
      </c>
      <c r="H1332" s="10">
        <v>2601</v>
      </c>
      <c r="I1332" s="10">
        <v>20808</v>
      </c>
      <c r="J1332" t="s">
        <v>37</v>
      </c>
      <c r="K1332" s="11">
        <v>648.20000000000005</v>
      </c>
      <c r="L1332" s="12">
        <v>32.1</v>
      </c>
    </row>
    <row r="1333" spans="1:12" x14ac:dyDescent="0.2">
      <c r="A1333" s="9">
        <v>46242</v>
      </c>
      <c r="B1333" t="s">
        <v>158</v>
      </c>
      <c r="C1333" t="s">
        <v>159</v>
      </c>
      <c r="D1333" t="s">
        <v>41</v>
      </c>
      <c r="E1333" t="s">
        <v>651</v>
      </c>
      <c r="F1333" t="s">
        <v>652</v>
      </c>
      <c r="G1333" s="10">
        <v>28</v>
      </c>
      <c r="H1333" s="10">
        <v>46465</v>
      </c>
      <c r="I1333" s="10">
        <v>1301020</v>
      </c>
      <c r="J1333" t="s">
        <v>42</v>
      </c>
      <c r="K1333" s="11">
        <v>3145.8</v>
      </c>
      <c r="L1333" s="12">
        <v>413.57</v>
      </c>
    </row>
    <row r="1334" spans="1:12" x14ac:dyDescent="0.2">
      <c r="A1334" s="9">
        <v>46242</v>
      </c>
      <c r="B1334" t="s">
        <v>158</v>
      </c>
      <c r="C1334" t="s">
        <v>159</v>
      </c>
      <c r="D1334" t="s">
        <v>41</v>
      </c>
      <c r="E1334" t="s">
        <v>653</v>
      </c>
      <c r="F1334" t="s">
        <v>666</v>
      </c>
      <c r="G1334" s="10">
        <v>15</v>
      </c>
      <c r="H1334" s="10">
        <v>7292</v>
      </c>
      <c r="I1334" s="10">
        <v>109380</v>
      </c>
      <c r="J1334" t="s">
        <v>42</v>
      </c>
      <c r="K1334" s="11">
        <v>3145.8</v>
      </c>
      <c r="L1334" s="12">
        <v>34.770000000000003</v>
      </c>
    </row>
    <row r="1335" spans="1:12" x14ac:dyDescent="0.2">
      <c r="A1335" s="9">
        <v>46242</v>
      </c>
      <c r="B1335" t="s">
        <v>161</v>
      </c>
      <c r="C1335" t="s">
        <v>67</v>
      </c>
      <c r="D1335" t="s">
        <v>41</v>
      </c>
      <c r="E1335" t="s">
        <v>649</v>
      </c>
      <c r="F1335" t="s">
        <v>659</v>
      </c>
      <c r="G1335" s="10">
        <v>6</v>
      </c>
      <c r="H1335" s="10">
        <v>41923</v>
      </c>
      <c r="I1335" s="10">
        <v>251538</v>
      </c>
      <c r="J1335" t="s">
        <v>42</v>
      </c>
      <c r="K1335" s="11">
        <v>3145.8</v>
      </c>
      <c r="L1335" s="12">
        <v>79.959999999999994</v>
      </c>
    </row>
    <row r="1336" spans="1:12" x14ac:dyDescent="0.2">
      <c r="A1336" s="9">
        <v>46242</v>
      </c>
      <c r="B1336" t="s">
        <v>161</v>
      </c>
      <c r="C1336" t="s">
        <v>67</v>
      </c>
      <c r="D1336" t="s">
        <v>41</v>
      </c>
      <c r="E1336" t="s">
        <v>649</v>
      </c>
      <c r="F1336" t="s">
        <v>659</v>
      </c>
      <c r="G1336" s="10">
        <v>7</v>
      </c>
      <c r="H1336" s="10">
        <v>42887</v>
      </c>
      <c r="I1336" s="10">
        <v>300209</v>
      </c>
      <c r="J1336" t="s">
        <v>42</v>
      </c>
      <c r="K1336" s="11">
        <v>3145.8</v>
      </c>
      <c r="L1336" s="12">
        <v>95.43</v>
      </c>
    </row>
    <row r="1337" spans="1:12" x14ac:dyDescent="0.2">
      <c r="A1337" s="9">
        <v>46242</v>
      </c>
      <c r="B1337" t="s">
        <v>161</v>
      </c>
      <c r="C1337" t="s">
        <v>67</v>
      </c>
      <c r="D1337" t="s">
        <v>41</v>
      </c>
      <c r="E1337" t="s">
        <v>660</v>
      </c>
      <c r="F1337" t="s">
        <v>669</v>
      </c>
      <c r="G1337" s="10">
        <v>12</v>
      </c>
      <c r="H1337" s="10">
        <v>12844</v>
      </c>
      <c r="I1337" s="10">
        <v>154128</v>
      </c>
      <c r="J1337" t="s">
        <v>42</v>
      </c>
      <c r="K1337" s="11">
        <v>3145.8</v>
      </c>
      <c r="L1337" s="12">
        <v>48.99</v>
      </c>
    </row>
    <row r="1338" spans="1:12" x14ac:dyDescent="0.2">
      <c r="A1338" s="9">
        <v>46242</v>
      </c>
      <c r="B1338" t="s">
        <v>161</v>
      </c>
      <c r="C1338" t="s">
        <v>67</v>
      </c>
      <c r="D1338" t="s">
        <v>41</v>
      </c>
      <c r="E1338" t="s">
        <v>660</v>
      </c>
      <c r="F1338" t="s">
        <v>670</v>
      </c>
      <c r="G1338" s="10">
        <v>12</v>
      </c>
      <c r="H1338" s="10">
        <v>72008</v>
      </c>
      <c r="I1338" s="10">
        <v>864096</v>
      </c>
      <c r="J1338" t="s">
        <v>42</v>
      </c>
      <c r="K1338" s="11">
        <v>3145.8</v>
      </c>
      <c r="L1338" s="12">
        <v>274.68</v>
      </c>
    </row>
    <row r="1339" spans="1:12" x14ac:dyDescent="0.2">
      <c r="A1339" s="9">
        <v>46242</v>
      </c>
      <c r="B1339" t="s">
        <v>161</v>
      </c>
      <c r="C1339" t="s">
        <v>67</v>
      </c>
      <c r="D1339" t="s">
        <v>41</v>
      </c>
      <c r="E1339" t="s">
        <v>660</v>
      </c>
      <c r="F1339" t="s">
        <v>670</v>
      </c>
      <c r="G1339" s="10">
        <v>65</v>
      </c>
      <c r="H1339" s="10">
        <v>69577</v>
      </c>
      <c r="I1339" s="10">
        <v>4522505</v>
      </c>
      <c r="J1339" t="s">
        <v>42</v>
      </c>
      <c r="K1339" s="11">
        <v>3145.8</v>
      </c>
      <c r="L1339" s="12">
        <v>1437.63</v>
      </c>
    </row>
    <row r="1340" spans="1:12" x14ac:dyDescent="0.2">
      <c r="A1340" s="9">
        <v>46242</v>
      </c>
      <c r="B1340" t="s">
        <v>163</v>
      </c>
      <c r="C1340" t="s">
        <v>164</v>
      </c>
      <c r="D1340" t="s">
        <v>41</v>
      </c>
      <c r="E1340" t="s">
        <v>653</v>
      </c>
      <c r="F1340" t="s">
        <v>666</v>
      </c>
      <c r="G1340" s="10">
        <v>15</v>
      </c>
      <c r="H1340" s="10">
        <v>7576</v>
      </c>
      <c r="I1340" s="10">
        <v>113640</v>
      </c>
      <c r="J1340" t="s">
        <v>42</v>
      </c>
      <c r="K1340" s="11">
        <v>3145.8</v>
      </c>
      <c r="L1340" s="12">
        <v>36.119999999999997</v>
      </c>
    </row>
    <row r="1341" spans="1:12" x14ac:dyDescent="0.2">
      <c r="A1341" s="9">
        <v>46242</v>
      </c>
      <c r="B1341" t="s">
        <v>163</v>
      </c>
      <c r="C1341" t="s">
        <v>164</v>
      </c>
      <c r="D1341" t="s">
        <v>41</v>
      </c>
      <c r="E1341" t="s">
        <v>660</v>
      </c>
      <c r="F1341" t="s">
        <v>670</v>
      </c>
      <c r="G1341" s="10">
        <v>8</v>
      </c>
      <c r="H1341" s="10">
        <v>69750</v>
      </c>
      <c r="I1341" s="10">
        <v>558000</v>
      </c>
      <c r="J1341" t="s">
        <v>42</v>
      </c>
      <c r="K1341" s="11">
        <v>3145.8</v>
      </c>
      <c r="L1341" s="12">
        <v>177.38</v>
      </c>
    </row>
    <row r="1342" spans="1:12" x14ac:dyDescent="0.2">
      <c r="A1342" s="9">
        <v>46242</v>
      </c>
      <c r="B1342" t="s">
        <v>166</v>
      </c>
      <c r="C1342" t="s">
        <v>167</v>
      </c>
      <c r="D1342" t="s">
        <v>46</v>
      </c>
      <c r="E1342" t="s">
        <v>653</v>
      </c>
      <c r="F1342" t="s">
        <v>654</v>
      </c>
      <c r="G1342" s="10">
        <v>7</v>
      </c>
      <c r="H1342" s="10">
        <v>5763</v>
      </c>
      <c r="I1342" s="10">
        <v>40341</v>
      </c>
      <c r="J1342" t="s">
        <v>37</v>
      </c>
      <c r="K1342" s="11">
        <v>648.20000000000005</v>
      </c>
      <c r="L1342" s="12">
        <v>62.24</v>
      </c>
    </row>
    <row r="1343" spans="1:12" x14ac:dyDescent="0.2">
      <c r="A1343" s="9">
        <v>46242</v>
      </c>
      <c r="B1343" t="s">
        <v>169</v>
      </c>
      <c r="C1343" t="s">
        <v>170</v>
      </c>
      <c r="D1343" t="s">
        <v>41</v>
      </c>
      <c r="E1343" t="s">
        <v>649</v>
      </c>
      <c r="F1343" t="s">
        <v>663</v>
      </c>
      <c r="G1343" s="10">
        <v>126</v>
      </c>
      <c r="H1343" s="10">
        <v>10037</v>
      </c>
      <c r="I1343" s="10">
        <v>1264662</v>
      </c>
      <c r="J1343" t="s">
        <v>42</v>
      </c>
      <c r="K1343" s="11">
        <v>3145.8</v>
      </c>
      <c r="L1343" s="12">
        <v>402.02</v>
      </c>
    </row>
    <row r="1344" spans="1:12" x14ac:dyDescent="0.2">
      <c r="A1344" s="9">
        <v>46242</v>
      </c>
      <c r="B1344" t="s">
        <v>175</v>
      </c>
      <c r="C1344" t="s">
        <v>176</v>
      </c>
      <c r="D1344" t="s">
        <v>50</v>
      </c>
      <c r="E1344" t="s">
        <v>653</v>
      </c>
      <c r="F1344" t="s">
        <v>658</v>
      </c>
      <c r="G1344" s="10">
        <v>39</v>
      </c>
      <c r="H1344" s="10">
        <v>2699</v>
      </c>
      <c r="I1344" s="10">
        <v>105261</v>
      </c>
      <c r="J1344" t="s">
        <v>51</v>
      </c>
      <c r="K1344" s="11">
        <v>648.20000000000005</v>
      </c>
      <c r="L1344" s="12">
        <v>162.38999999999999</v>
      </c>
    </row>
    <row r="1345" spans="1:12" x14ac:dyDescent="0.2">
      <c r="A1345" s="9">
        <v>46242</v>
      </c>
      <c r="B1345" t="s">
        <v>175</v>
      </c>
      <c r="C1345" t="s">
        <v>176</v>
      </c>
      <c r="D1345" t="s">
        <v>50</v>
      </c>
      <c r="E1345" t="s">
        <v>655</v>
      </c>
      <c r="F1345" t="s">
        <v>656</v>
      </c>
      <c r="G1345" s="10">
        <v>8</v>
      </c>
      <c r="H1345" s="10">
        <v>572</v>
      </c>
      <c r="I1345" s="10">
        <v>4576</v>
      </c>
      <c r="J1345" t="s">
        <v>51</v>
      </c>
      <c r="K1345" s="11">
        <v>648.20000000000005</v>
      </c>
      <c r="L1345" s="12">
        <v>7.06</v>
      </c>
    </row>
    <row r="1346" spans="1:12" x14ac:dyDescent="0.2">
      <c r="A1346" s="9">
        <v>46242</v>
      </c>
      <c r="B1346" t="s">
        <v>181</v>
      </c>
      <c r="C1346" t="s">
        <v>182</v>
      </c>
      <c r="D1346" t="s">
        <v>41</v>
      </c>
      <c r="E1346" t="s">
        <v>649</v>
      </c>
      <c r="F1346" t="s">
        <v>663</v>
      </c>
      <c r="G1346" s="10">
        <v>15</v>
      </c>
      <c r="H1346" s="10">
        <v>10205</v>
      </c>
      <c r="I1346" s="10">
        <v>153075</v>
      </c>
      <c r="J1346" t="s">
        <v>42</v>
      </c>
      <c r="K1346" s="11">
        <v>3145.8</v>
      </c>
      <c r="L1346" s="12">
        <v>48.66</v>
      </c>
    </row>
    <row r="1347" spans="1:12" x14ac:dyDescent="0.2">
      <c r="A1347" s="9">
        <v>46242</v>
      </c>
      <c r="B1347" t="s">
        <v>181</v>
      </c>
      <c r="C1347" t="s">
        <v>182</v>
      </c>
      <c r="D1347" t="s">
        <v>41</v>
      </c>
      <c r="E1347" t="s">
        <v>660</v>
      </c>
      <c r="F1347" t="s">
        <v>661</v>
      </c>
      <c r="G1347" s="10">
        <v>4</v>
      </c>
      <c r="H1347" s="10">
        <v>19935</v>
      </c>
      <c r="I1347" s="10">
        <v>79740</v>
      </c>
      <c r="J1347" t="s">
        <v>42</v>
      </c>
      <c r="K1347" s="11">
        <v>3145.8</v>
      </c>
      <c r="L1347" s="12">
        <v>25.35</v>
      </c>
    </row>
    <row r="1348" spans="1:12" x14ac:dyDescent="0.2">
      <c r="A1348" s="9">
        <v>46242</v>
      </c>
      <c r="B1348" t="s">
        <v>184</v>
      </c>
      <c r="C1348" t="s">
        <v>185</v>
      </c>
      <c r="D1348" t="s">
        <v>41</v>
      </c>
      <c r="E1348" t="s">
        <v>653</v>
      </c>
      <c r="F1348" t="s">
        <v>666</v>
      </c>
      <c r="G1348" s="10">
        <v>15</v>
      </c>
      <c r="H1348" s="10">
        <v>7328</v>
      </c>
      <c r="I1348" s="10">
        <v>109920</v>
      </c>
      <c r="J1348" t="s">
        <v>42</v>
      </c>
      <c r="K1348" s="11">
        <v>3145.8</v>
      </c>
      <c r="L1348" s="12">
        <v>34.94</v>
      </c>
    </row>
    <row r="1349" spans="1:12" x14ac:dyDescent="0.2">
      <c r="A1349" s="9">
        <v>46242</v>
      </c>
      <c r="B1349" t="s">
        <v>190</v>
      </c>
      <c r="C1349" t="s">
        <v>191</v>
      </c>
      <c r="D1349" t="s">
        <v>68</v>
      </c>
      <c r="E1349" t="s">
        <v>660</v>
      </c>
      <c r="F1349" t="s">
        <v>669</v>
      </c>
      <c r="G1349" s="10">
        <v>20</v>
      </c>
      <c r="H1349" s="10">
        <v>2662</v>
      </c>
      <c r="I1349" s="10">
        <v>53240</v>
      </c>
      <c r="J1349" t="s">
        <v>51</v>
      </c>
      <c r="K1349" s="11">
        <v>648.20000000000005</v>
      </c>
      <c r="L1349" s="12">
        <v>82.14</v>
      </c>
    </row>
    <row r="1350" spans="1:12" x14ac:dyDescent="0.2">
      <c r="A1350" s="9">
        <v>46242</v>
      </c>
      <c r="B1350" t="s">
        <v>193</v>
      </c>
      <c r="C1350" t="s">
        <v>194</v>
      </c>
      <c r="D1350" t="s">
        <v>68</v>
      </c>
      <c r="E1350" t="s">
        <v>649</v>
      </c>
      <c r="F1350" t="s">
        <v>659</v>
      </c>
      <c r="G1350" s="10">
        <v>32</v>
      </c>
      <c r="H1350" s="10">
        <v>8830</v>
      </c>
      <c r="I1350" s="10">
        <v>282560</v>
      </c>
      <c r="J1350" t="s">
        <v>51</v>
      </c>
      <c r="K1350" s="11">
        <v>648.20000000000005</v>
      </c>
      <c r="L1350" s="12">
        <v>435.91</v>
      </c>
    </row>
    <row r="1351" spans="1:12" x14ac:dyDescent="0.2">
      <c r="A1351" s="9">
        <v>46242</v>
      </c>
      <c r="B1351" t="s">
        <v>196</v>
      </c>
      <c r="C1351" t="s">
        <v>197</v>
      </c>
      <c r="D1351" t="s">
        <v>46</v>
      </c>
      <c r="E1351" t="s">
        <v>647</v>
      </c>
      <c r="F1351" t="s">
        <v>667</v>
      </c>
      <c r="G1351" s="10">
        <v>10</v>
      </c>
      <c r="H1351" s="10">
        <v>7224</v>
      </c>
      <c r="I1351" s="10">
        <v>72240</v>
      </c>
      <c r="J1351" t="s">
        <v>37</v>
      </c>
      <c r="K1351" s="11">
        <v>648.20000000000005</v>
      </c>
      <c r="L1351" s="12">
        <v>111.45</v>
      </c>
    </row>
    <row r="1352" spans="1:12" x14ac:dyDescent="0.2">
      <c r="A1352" s="9">
        <v>46242</v>
      </c>
      <c r="B1352" t="s">
        <v>199</v>
      </c>
      <c r="C1352" t="s">
        <v>200</v>
      </c>
      <c r="D1352" t="s">
        <v>46</v>
      </c>
      <c r="E1352" t="s">
        <v>651</v>
      </c>
      <c r="F1352" t="s">
        <v>652</v>
      </c>
      <c r="G1352" s="10">
        <v>25</v>
      </c>
      <c r="H1352" s="10">
        <v>9685</v>
      </c>
      <c r="I1352" s="10">
        <v>242125</v>
      </c>
      <c r="J1352" t="s">
        <v>37</v>
      </c>
      <c r="K1352" s="11">
        <v>648.20000000000005</v>
      </c>
      <c r="L1352" s="12">
        <v>373.53</v>
      </c>
    </row>
    <row r="1353" spans="1:12" x14ac:dyDescent="0.2">
      <c r="A1353" s="9">
        <v>46242</v>
      </c>
      <c r="B1353" t="s">
        <v>199</v>
      </c>
      <c r="C1353" t="s">
        <v>200</v>
      </c>
      <c r="D1353" t="s">
        <v>46</v>
      </c>
      <c r="E1353" t="s">
        <v>649</v>
      </c>
      <c r="F1353" t="s">
        <v>650</v>
      </c>
      <c r="G1353" s="10">
        <v>42</v>
      </c>
      <c r="H1353" s="10">
        <v>18978</v>
      </c>
      <c r="I1353" s="10">
        <v>797076</v>
      </c>
      <c r="J1353" t="s">
        <v>37</v>
      </c>
      <c r="K1353" s="11">
        <v>648.20000000000005</v>
      </c>
      <c r="L1353" s="12">
        <v>1229.68</v>
      </c>
    </row>
    <row r="1354" spans="1:12" x14ac:dyDescent="0.2">
      <c r="A1354" s="9">
        <v>46242</v>
      </c>
      <c r="B1354" t="s">
        <v>199</v>
      </c>
      <c r="C1354" t="s">
        <v>200</v>
      </c>
      <c r="D1354" t="s">
        <v>46</v>
      </c>
      <c r="E1354" t="s">
        <v>649</v>
      </c>
      <c r="F1354" t="s">
        <v>659</v>
      </c>
      <c r="G1354" s="10">
        <v>49</v>
      </c>
      <c r="H1354" s="10">
        <v>8560</v>
      </c>
      <c r="I1354" s="10">
        <v>419440</v>
      </c>
      <c r="J1354" t="s">
        <v>37</v>
      </c>
      <c r="K1354" s="11">
        <v>648.20000000000005</v>
      </c>
      <c r="L1354" s="12">
        <v>647.08000000000004</v>
      </c>
    </row>
    <row r="1355" spans="1:12" x14ac:dyDescent="0.2">
      <c r="A1355" s="9">
        <v>46242</v>
      </c>
      <c r="B1355" t="s">
        <v>199</v>
      </c>
      <c r="C1355" t="s">
        <v>200</v>
      </c>
      <c r="D1355" t="s">
        <v>46</v>
      </c>
      <c r="E1355" t="s">
        <v>647</v>
      </c>
      <c r="F1355" t="s">
        <v>667</v>
      </c>
      <c r="G1355" s="10">
        <v>19</v>
      </c>
      <c r="H1355" s="10">
        <v>7457</v>
      </c>
      <c r="I1355" s="10">
        <v>141683</v>
      </c>
      <c r="J1355" t="s">
        <v>37</v>
      </c>
      <c r="K1355" s="11">
        <v>648.20000000000005</v>
      </c>
      <c r="L1355" s="12">
        <v>218.58</v>
      </c>
    </row>
    <row r="1356" spans="1:12" x14ac:dyDescent="0.2">
      <c r="A1356" s="9">
        <v>46242</v>
      </c>
      <c r="B1356" t="s">
        <v>205</v>
      </c>
      <c r="C1356" t="s">
        <v>206</v>
      </c>
      <c r="D1356" t="s">
        <v>50</v>
      </c>
      <c r="E1356" t="s">
        <v>653</v>
      </c>
      <c r="F1356" t="s">
        <v>658</v>
      </c>
      <c r="G1356" s="10">
        <v>1</v>
      </c>
      <c r="H1356" s="10">
        <v>2616</v>
      </c>
      <c r="I1356" s="10">
        <v>2616</v>
      </c>
      <c r="J1356" t="s">
        <v>51</v>
      </c>
      <c r="K1356" s="11">
        <v>648.20000000000005</v>
      </c>
      <c r="L1356" s="12">
        <v>4.04</v>
      </c>
    </row>
    <row r="1357" spans="1:12" x14ac:dyDescent="0.2">
      <c r="A1357" s="9">
        <v>46242</v>
      </c>
      <c r="B1357" t="s">
        <v>208</v>
      </c>
      <c r="C1357" t="s">
        <v>209</v>
      </c>
      <c r="D1357" t="s">
        <v>46</v>
      </c>
      <c r="E1357" t="s">
        <v>649</v>
      </c>
      <c r="F1357" t="s">
        <v>650</v>
      </c>
      <c r="G1357" s="10">
        <v>30</v>
      </c>
      <c r="H1357" s="10">
        <v>19610</v>
      </c>
      <c r="I1357" s="10">
        <v>588300</v>
      </c>
      <c r="J1357" t="s">
        <v>37</v>
      </c>
      <c r="K1357" s="11">
        <v>648.20000000000005</v>
      </c>
      <c r="L1357" s="12">
        <v>907.59</v>
      </c>
    </row>
    <row r="1358" spans="1:12" x14ac:dyDescent="0.2">
      <c r="A1358" s="9">
        <v>46242</v>
      </c>
      <c r="B1358" t="s">
        <v>211</v>
      </c>
      <c r="C1358" t="s">
        <v>212</v>
      </c>
      <c r="D1358" t="s">
        <v>46</v>
      </c>
      <c r="E1358" t="s">
        <v>647</v>
      </c>
      <c r="F1358" t="s">
        <v>648</v>
      </c>
      <c r="G1358" s="10">
        <v>8</v>
      </c>
      <c r="H1358" s="10">
        <v>16726</v>
      </c>
      <c r="I1358" s="10">
        <v>133808</v>
      </c>
      <c r="J1358" t="s">
        <v>37</v>
      </c>
      <c r="K1358" s="11">
        <v>648.20000000000005</v>
      </c>
      <c r="L1358" s="12">
        <v>206.43</v>
      </c>
    </row>
    <row r="1359" spans="1:12" x14ac:dyDescent="0.2">
      <c r="A1359" s="9">
        <v>46242</v>
      </c>
      <c r="B1359" t="s">
        <v>214</v>
      </c>
      <c r="C1359" t="s">
        <v>215</v>
      </c>
      <c r="D1359" t="s">
        <v>46</v>
      </c>
      <c r="E1359" t="s">
        <v>653</v>
      </c>
      <c r="F1359" t="s">
        <v>654</v>
      </c>
      <c r="G1359" s="10">
        <v>7</v>
      </c>
      <c r="H1359" s="10">
        <v>5470</v>
      </c>
      <c r="I1359" s="10">
        <v>38290</v>
      </c>
      <c r="J1359" t="s">
        <v>37</v>
      </c>
      <c r="K1359" s="11">
        <v>648.20000000000005</v>
      </c>
      <c r="L1359" s="12">
        <v>59.07</v>
      </c>
    </row>
    <row r="1360" spans="1:12" x14ac:dyDescent="0.2">
      <c r="A1360" s="9">
        <v>46242</v>
      </c>
      <c r="B1360" t="s">
        <v>214</v>
      </c>
      <c r="C1360" t="s">
        <v>215</v>
      </c>
      <c r="D1360" t="s">
        <v>46</v>
      </c>
      <c r="E1360" t="s">
        <v>647</v>
      </c>
      <c r="F1360" t="s">
        <v>668</v>
      </c>
      <c r="G1360" s="10">
        <v>24</v>
      </c>
      <c r="H1360" s="10">
        <v>24599</v>
      </c>
      <c r="I1360" s="10">
        <v>590376</v>
      </c>
      <c r="J1360" t="s">
        <v>37</v>
      </c>
      <c r="K1360" s="11">
        <v>648.20000000000005</v>
      </c>
      <c r="L1360" s="12">
        <v>910.79</v>
      </c>
    </row>
    <row r="1361" spans="1:12" x14ac:dyDescent="0.2">
      <c r="A1361" s="9">
        <v>46242</v>
      </c>
      <c r="B1361" t="s">
        <v>214</v>
      </c>
      <c r="C1361" t="s">
        <v>215</v>
      </c>
      <c r="D1361" t="s">
        <v>46</v>
      </c>
      <c r="E1361" t="s">
        <v>647</v>
      </c>
      <c r="F1361" t="s">
        <v>648</v>
      </c>
      <c r="G1361" s="10">
        <v>22</v>
      </c>
      <c r="H1361" s="10">
        <v>15856</v>
      </c>
      <c r="I1361" s="10">
        <v>348832</v>
      </c>
      <c r="J1361" t="s">
        <v>37</v>
      </c>
      <c r="K1361" s="11">
        <v>648.20000000000005</v>
      </c>
      <c r="L1361" s="12">
        <v>538.15</v>
      </c>
    </row>
    <row r="1362" spans="1:12" x14ac:dyDescent="0.2">
      <c r="A1362" s="9">
        <v>46242</v>
      </c>
      <c r="B1362" t="s">
        <v>220</v>
      </c>
      <c r="C1362" t="s">
        <v>221</v>
      </c>
      <c r="D1362" t="s">
        <v>46</v>
      </c>
      <c r="E1362" t="s">
        <v>649</v>
      </c>
      <c r="F1362" t="s">
        <v>650</v>
      </c>
      <c r="G1362" s="10">
        <v>8</v>
      </c>
      <c r="H1362" s="10">
        <v>19616</v>
      </c>
      <c r="I1362" s="10">
        <v>156928</v>
      </c>
      <c r="J1362" t="s">
        <v>37</v>
      </c>
      <c r="K1362" s="11">
        <v>648.20000000000005</v>
      </c>
      <c r="L1362" s="12">
        <v>242.1</v>
      </c>
    </row>
    <row r="1363" spans="1:12" x14ac:dyDescent="0.2">
      <c r="A1363" s="9">
        <v>46242</v>
      </c>
      <c r="B1363" t="s">
        <v>226</v>
      </c>
      <c r="C1363" t="s">
        <v>227</v>
      </c>
      <c r="D1363" t="s">
        <v>41</v>
      </c>
      <c r="E1363" t="s">
        <v>660</v>
      </c>
      <c r="F1363" t="s">
        <v>669</v>
      </c>
      <c r="G1363" s="10">
        <v>50</v>
      </c>
      <c r="H1363" s="10">
        <v>12174</v>
      </c>
      <c r="I1363" s="10">
        <v>608700</v>
      </c>
      <c r="J1363" t="s">
        <v>42</v>
      </c>
      <c r="K1363" s="11">
        <v>3145.8</v>
      </c>
      <c r="L1363" s="12">
        <v>193.5</v>
      </c>
    </row>
    <row r="1364" spans="1:12" x14ac:dyDescent="0.2">
      <c r="A1364" s="9">
        <v>46242</v>
      </c>
      <c r="B1364" t="s">
        <v>226</v>
      </c>
      <c r="C1364" t="s">
        <v>227</v>
      </c>
      <c r="D1364" t="s">
        <v>41</v>
      </c>
      <c r="E1364" t="s">
        <v>660</v>
      </c>
      <c r="F1364" t="s">
        <v>669</v>
      </c>
      <c r="G1364" s="10">
        <v>6</v>
      </c>
      <c r="H1364" s="10">
        <v>12348</v>
      </c>
      <c r="I1364" s="10">
        <v>74088</v>
      </c>
      <c r="J1364" t="s">
        <v>42</v>
      </c>
      <c r="K1364" s="11">
        <v>3145.8</v>
      </c>
      <c r="L1364" s="12">
        <v>23.55</v>
      </c>
    </row>
    <row r="1365" spans="1:12" x14ac:dyDescent="0.2">
      <c r="A1365" s="9">
        <v>46242</v>
      </c>
      <c r="B1365" t="s">
        <v>232</v>
      </c>
      <c r="C1365" t="s">
        <v>233</v>
      </c>
      <c r="D1365" t="s">
        <v>46</v>
      </c>
      <c r="E1365" t="s">
        <v>647</v>
      </c>
      <c r="F1365" t="s">
        <v>668</v>
      </c>
      <c r="G1365" s="10">
        <v>3</v>
      </c>
      <c r="H1365" s="10">
        <v>25700</v>
      </c>
      <c r="I1365" s="10">
        <v>77100</v>
      </c>
      <c r="J1365" t="s">
        <v>37</v>
      </c>
      <c r="K1365" s="11">
        <v>648.20000000000005</v>
      </c>
      <c r="L1365" s="12">
        <v>118.94</v>
      </c>
    </row>
    <row r="1366" spans="1:12" x14ac:dyDescent="0.2">
      <c r="A1366" s="9">
        <v>46242</v>
      </c>
      <c r="B1366" t="s">
        <v>235</v>
      </c>
      <c r="C1366" t="s">
        <v>236</v>
      </c>
      <c r="D1366" t="s">
        <v>50</v>
      </c>
      <c r="E1366" t="s">
        <v>649</v>
      </c>
      <c r="F1366" t="s">
        <v>659</v>
      </c>
      <c r="G1366" s="10">
        <v>15</v>
      </c>
      <c r="H1366" s="10">
        <v>8771</v>
      </c>
      <c r="I1366" s="10">
        <v>131565</v>
      </c>
      <c r="J1366" t="s">
        <v>51</v>
      </c>
      <c r="K1366" s="11">
        <v>648.20000000000005</v>
      </c>
      <c r="L1366" s="12">
        <v>202.97</v>
      </c>
    </row>
    <row r="1367" spans="1:12" x14ac:dyDescent="0.2">
      <c r="A1367" s="9">
        <v>46242</v>
      </c>
      <c r="B1367" t="s">
        <v>235</v>
      </c>
      <c r="C1367" t="s">
        <v>236</v>
      </c>
      <c r="D1367" t="s">
        <v>50</v>
      </c>
      <c r="E1367" t="s">
        <v>660</v>
      </c>
      <c r="F1367" t="s">
        <v>669</v>
      </c>
      <c r="G1367" s="10">
        <v>66</v>
      </c>
      <c r="H1367" s="10">
        <v>2657</v>
      </c>
      <c r="I1367" s="10">
        <v>175362</v>
      </c>
      <c r="J1367" t="s">
        <v>51</v>
      </c>
      <c r="K1367" s="11">
        <v>648.20000000000005</v>
      </c>
      <c r="L1367" s="12">
        <v>270.54000000000002</v>
      </c>
    </row>
    <row r="1368" spans="1:12" x14ac:dyDescent="0.2">
      <c r="A1368" s="9">
        <v>46242</v>
      </c>
      <c r="B1368" t="s">
        <v>235</v>
      </c>
      <c r="C1368" t="s">
        <v>236</v>
      </c>
      <c r="D1368" t="s">
        <v>50</v>
      </c>
      <c r="E1368" t="s">
        <v>647</v>
      </c>
      <c r="F1368" t="s">
        <v>648</v>
      </c>
      <c r="G1368" s="10">
        <v>41</v>
      </c>
      <c r="H1368" s="10">
        <v>16255</v>
      </c>
      <c r="I1368" s="10">
        <v>666455</v>
      </c>
      <c r="J1368" t="s">
        <v>51</v>
      </c>
      <c r="K1368" s="11">
        <v>648.20000000000005</v>
      </c>
      <c r="L1368" s="12">
        <v>1028.1600000000001</v>
      </c>
    </row>
    <row r="1369" spans="1:12" x14ac:dyDescent="0.2">
      <c r="A1369" s="9">
        <v>46242</v>
      </c>
      <c r="B1369" t="s">
        <v>235</v>
      </c>
      <c r="C1369" t="s">
        <v>236</v>
      </c>
      <c r="D1369" t="s">
        <v>50</v>
      </c>
      <c r="E1369" t="s">
        <v>651</v>
      </c>
      <c r="F1369" t="s">
        <v>657</v>
      </c>
      <c r="G1369" s="10">
        <v>23</v>
      </c>
      <c r="H1369" s="10">
        <v>6608</v>
      </c>
      <c r="I1369" s="10">
        <v>151984</v>
      </c>
      <c r="J1369" t="s">
        <v>51</v>
      </c>
      <c r="K1369" s="11">
        <v>648.20000000000005</v>
      </c>
      <c r="L1369" s="12">
        <v>234.47</v>
      </c>
    </row>
    <row r="1370" spans="1:12" x14ac:dyDescent="0.2">
      <c r="A1370" s="9">
        <v>46242</v>
      </c>
      <c r="B1370" t="s">
        <v>238</v>
      </c>
      <c r="C1370" t="s">
        <v>239</v>
      </c>
      <c r="D1370" t="s">
        <v>68</v>
      </c>
      <c r="E1370" t="s">
        <v>647</v>
      </c>
      <c r="F1370" t="s">
        <v>668</v>
      </c>
      <c r="G1370" s="10">
        <v>3</v>
      </c>
      <c r="H1370" s="10">
        <v>25478</v>
      </c>
      <c r="I1370" s="10">
        <v>76434</v>
      </c>
      <c r="J1370" t="s">
        <v>51</v>
      </c>
      <c r="K1370" s="11">
        <v>648.20000000000005</v>
      </c>
      <c r="L1370" s="12">
        <v>117.92</v>
      </c>
    </row>
    <row r="1371" spans="1:12" x14ac:dyDescent="0.2">
      <c r="A1371" s="9">
        <v>46242</v>
      </c>
      <c r="B1371" t="s">
        <v>238</v>
      </c>
      <c r="C1371" t="s">
        <v>239</v>
      </c>
      <c r="D1371" t="s">
        <v>68</v>
      </c>
      <c r="E1371" t="s">
        <v>647</v>
      </c>
      <c r="F1371" t="s">
        <v>648</v>
      </c>
      <c r="G1371" s="10">
        <v>10</v>
      </c>
      <c r="H1371" s="10">
        <v>15935</v>
      </c>
      <c r="I1371" s="10">
        <v>159350</v>
      </c>
      <c r="J1371" t="s">
        <v>51</v>
      </c>
      <c r="K1371" s="11">
        <v>648.20000000000005</v>
      </c>
      <c r="L1371" s="12">
        <v>245.83</v>
      </c>
    </row>
    <row r="1372" spans="1:12" x14ac:dyDescent="0.2">
      <c r="A1372" s="9">
        <v>46242</v>
      </c>
      <c r="B1372" t="s">
        <v>241</v>
      </c>
      <c r="C1372" t="s">
        <v>242</v>
      </c>
      <c r="D1372" t="s">
        <v>46</v>
      </c>
      <c r="E1372" t="s">
        <v>655</v>
      </c>
      <c r="F1372" t="s">
        <v>656</v>
      </c>
      <c r="G1372" s="10">
        <v>1</v>
      </c>
      <c r="H1372" s="10">
        <v>583</v>
      </c>
      <c r="I1372" s="10">
        <v>583</v>
      </c>
      <c r="J1372" t="s">
        <v>37</v>
      </c>
      <c r="K1372" s="11">
        <v>648.20000000000005</v>
      </c>
      <c r="L1372" s="12">
        <v>0.9</v>
      </c>
    </row>
    <row r="1373" spans="1:12" x14ac:dyDescent="0.2">
      <c r="A1373" s="9">
        <v>46242</v>
      </c>
      <c r="B1373" t="s">
        <v>244</v>
      </c>
      <c r="C1373" t="s">
        <v>245</v>
      </c>
      <c r="D1373" t="s">
        <v>75</v>
      </c>
      <c r="E1373" t="s">
        <v>649</v>
      </c>
      <c r="F1373" t="s">
        <v>663</v>
      </c>
      <c r="G1373" s="10">
        <v>13</v>
      </c>
      <c r="H1373" s="10">
        <v>9830</v>
      </c>
      <c r="I1373" s="10">
        <v>127790</v>
      </c>
      <c r="J1373" t="s">
        <v>42</v>
      </c>
      <c r="K1373" s="11">
        <v>3145.8</v>
      </c>
      <c r="L1373" s="12">
        <v>40.619999999999997</v>
      </c>
    </row>
    <row r="1374" spans="1:12" x14ac:dyDescent="0.2">
      <c r="A1374" s="9">
        <v>46242</v>
      </c>
      <c r="B1374" t="s">
        <v>247</v>
      </c>
      <c r="C1374" t="s">
        <v>248</v>
      </c>
      <c r="D1374" t="s">
        <v>75</v>
      </c>
      <c r="E1374" t="s">
        <v>649</v>
      </c>
      <c r="F1374" t="s">
        <v>650</v>
      </c>
      <c r="G1374" s="10">
        <v>8</v>
      </c>
      <c r="H1374" s="10">
        <v>96137</v>
      </c>
      <c r="I1374" s="10">
        <v>769096</v>
      </c>
      <c r="J1374" t="s">
        <v>42</v>
      </c>
      <c r="K1374" s="11">
        <v>3145.8</v>
      </c>
      <c r="L1374" s="12">
        <v>244.48</v>
      </c>
    </row>
    <row r="1375" spans="1:12" x14ac:dyDescent="0.2">
      <c r="A1375" s="9">
        <v>46242</v>
      </c>
      <c r="B1375" t="s">
        <v>250</v>
      </c>
      <c r="C1375" t="s">
        <v>251</v>
      </c>
      <c r="D1375" t="s">
        <v>46</v>
      </c>
      <c r="E1375" t="s">
        <v>653</v>
      </c>
      <c r="F1375" t="s">
        <v>658</v>
      </c>
      <c r="G1375" s="10">
        <v>4</v>
      </c>
      <c r="H1375" s="10">
        <v>2683</v>
      </c>
      <c r="I1375" s="10">
        <v>10732</v>
      </c>
      <c r="J1375" t="s">
        <v>37</v>
      </c>
      <c r="K1375" s="11">
        <v>648.20000000000005</v>
      </c>
      <c r="L1375" s="12">
        <v>16.559999999999999</v>
      </c>
    </row>
    <row r="1376" spans="1:12" x14ac:dyDescent="0.2">
      <c r="A1376" s="9">
        <v>46242</v>
      </c>
      <c r="B1376" t="s">
        <v>253</v>
      </c>
      <c r="C1376" t="s">
        <v>254</v>
      </c>
      <c r="D1376" t="s">
        <v>50</v>
      </c>
      <c r="E1376" t="s">
        <v>647</v>
      </c>
      <c r="F1376" t="s">
        <v>668</v>
      </c>
      <c r="G1376" s="10">
        <v>17</v>
      </c>
      <c r="H1376" s="10">
        <v>25521</v>
      </c>
      <c r="I1376" s="10">
        <v>433857</v>
      </c>
      <c r="J1376" t="s">
        <v>51</v>
      </c>
      <c r="K1376" s="11">
        <v>648.20000000000005</v>
      </c>
      <c r="L1376" s="12">
        <v>669.33</v>
      </c>
    </row>
    <row r="1377" spans="1:12" x14ac:dyDescent="0.2">
      <c r="A1377" s="9">
        <v>46242</v>
      </c>
      <c r="B1377" t="s">
        <v>267</v>
      </c>
      <c r="C1377" t="s">
        <v>268</v>
      </c>
      <c r="D1377" t="s">
        <v>46</v>
      </c>
      <c r="E1377" t="s">
        <v>653</v>
      </c>
      <c r="F1377" t="s">
        <v>666</v>
      </c>
      <c r="G1377" s="10">
        <v>21</v>
      </c>
      <c r="H1377" s="10">
        <v>1461</v>
      </c>
      <c r="I1377" s="10">
        <v>30681</v>
      </c>
      <c r="J1377" t="s">
        <v>37</v>
      </c>
      <c r="K1377" s="11">
        <v>648.20000000000005</v>
      </c>
      <c r="L1377" s="12">
        <v>47.33</v>
      </c>
    </row>
    <row r="1378" spans="1:12" x14ac:dyDescent="0.2">
      <c r="A1378" s="9">
        <v>46242</v>
      </c>
      <c r="B1378" t="s">
        <v>267</v>
      </c>
      <c r="C1378" t="s">
        <v>268</v>
      </c>
      <c r="D1378" t="s">
        <v>46</v>
      </c>
      <c r="E1378" t="s">
        <v>660</v>
      </c>
      <c r="F1378" t="s">
        <v>661</v>
      </c>
      <c r="G1378" s="10">
        <v>7</v>
      </c>
      <c r="H1378" s="10">
        <v>4327</v>
      </c>
      <c r="I1378" s="10">
        <v>30289</v>
      </c>
      <c r="J1378" t="s">
        <v>37</v>
      </c>
      <c r="K1378" s="11">
        <v>648.20000000000005</v>
      </c>
      <c r="L1378" s="12">
        <v>46.73</v>
      </c>
    </row>
    <row r="1379" spans="1:12" x14ac:dyDescent="0.2">
      <c r="A1379" s="9">
        <v>46242</v>
      </c>
      <c r="B1379" t="s">
        <v>279</v>
      </c>
      <c r="C1379" t="s">
        <v>280</v>
      </c>
      <c r="D1379" t="s">
        <v>68</v>
      </c>
      <c r="E1379" t="s">
        <v>647</v>
      </c>
      <c r="F1379" t="s">
        <v>667</v>
      </c>
      <c r="G1379" s="10">
        <v>41</v>
      </c>
      <c r="H1379" s="10">
        <v>7530</v>
      </c>
      <c r="I1379" s="10">
        <v>308730</v>
      </c>
      <c r="J1379" t="s">
        <v>51</v>
      </c>
      <c r="K1379" s="11">
        <v>648.20000000000005</v>
      </c>
      <c r="L1379" s="12">
        <v>476.29</v>
      </c>
    </row>
    <row r="1380" spans="1:12" x14ac:dyDescent="0.2">
      <c r="A1380" s="9">
        <v>46242</v>
      </c>
      <c r="B1380" t="s">
        <v>282</v>
      </c>
      <c r="C1380" t="s">
        <v>283</v>
      </c>
      <c r="D1380" t="s">
        <v>41</v>
      </c>
      <c r="E1380" t="s">
        <v>647</v>
      </c>
      <c r="F1380" t="s">
        <v>648</v>
      </c>
      <c r="G1380" s="10">
        <v>1</v>
      </c>
      <c r="H1380" s="10">
        <v>81538</v>
      </c>
      <c r="I1380" s="10">
        <v>81538</v>
      </c>
      <c r="J1380" t="s">
        <v>42</v>
      </c>
      <c r="K1380" s="11">
        <v>3145.8</v>
      </c>
      <c r="L1380" s="12">
        <v>25.92</v>
      </c>
    </row>
    <row r="1381" spans="1:12" x14ac:dyDescent="0.2">
      <c r="A1381" s="9">
        <v>46242</v>
      </c>
      <c r="B1381" t="s">
        <v>288</v>
      </c>
      <c r="C1381" t="s">
        <v>289</v>
      </c>
      <c r="D1381" t="s">
        <v>41</v>
      </c>
      <c r="E1381" t="s">
        <v>660</v>
      </c>
      <c r="F1381" t="s">
        <v>670</v>
      </c>
      <c r="G1381" s="10">
        <v>16</v>
      </c>
      <c r="H1381" s="10">
        <v>68145</v>
      </c>
      <c r="I1381" s="10">
        <v>1090320</v>
      </c>
      <c r="J1381" t="s">
        <v>42</v>
      </c>
      <c r="K1381" s="11">
        <v>3145.8</v>
      </c>
      <c r="L1381" s="12">
        <v>346.6</v>
      </c>
    </row>
    <row r="1382" spans="1:12" x14ac:dyDescent="0.2">
      <c r="A1382" s="9">
        <v>46242</v>
      </c>
      <c r="B1382" t="s">
        <v>291</v>
      </c>
      <c r="C1382" t="s">
        <v>292</v>
      </c>
      <c r="D1382" t="s">
        <v>68</v>
      </c>
      <c r="E1382" t="s">
        <v>651</v>
      </c>
      <c r="F1382" t="s">
        <v>652</v>
      </c>
      <c r="G1382" s="10">
        <v>34</v>
      </c>
      <c r="H1382" s="10">
        <v>9337</v>
      </c>
      <c r="I1382" s="10">
        <v>317458</v>
      </c>
      <c r="J1382" t="s">
        <v>51</v>
      </c>
      <c r="K1382" s="11">
        <v>648.20000000000005</v>
      </c>
      <c r="L1382" s="12">
        <v>489.75</v>
      </c>
    </row>
    <row r="1383" spans="1:12" x14ac:dyDescent="0.2">
      <c r="A1383" s="9">
        <v>46242</v>
      </c>
      <c r="B1383" t="s">
        <v>291</v>
      </c>
      <c r="C1383" t="s">
        <v>292</v>
      </c>
      <c r="D1383" t="s">
        <v>68</v>
      </c>
      <c r="E1383" t="s">
        <v>655</v>
      </c>
      <c r="F1383" t="s">
        <v>656</v>
      </c>
      <c r="G1383" s="10">
        <v>36</v>
      </c>
      <c r="H1383" s="10">
        <v>581</v>
      </c>
      <c r="I1383" s="10">
        <v>20916</v>
      </c>
      <c r="J1383" t="s">
        <v>51</v>
      </c>
      <c r="K1383" s="11">
        <v>648.20000000000005</v>
      </c>
      <c r="L1383" s="12">
        <v>32.270000000000003</v>
      </c>
    </row>
    <row r="1384" spans="1:12" x14ac:dyDescent="0.2">
      <c r="A1384" s="9">
        <v>46242</v>
      </c>
      <c r="B1384" t="s">
        <v>294</v>
      </c>
      <c r="C1384" t="s">
        <v>295</v>
      </c>
      <c r="D1384" t="s">
        <v>41</v>
      </c>
      <c r="E1384" t="s">
        <v>649</v>
      </c>
      <c r="F1384" t="s">
        <v>663</v>
      </c>
      <c r="G1384" s="10">
        <v>2</v>
      </c>
      <c r="H1384" s="10">
        <v>9962</v>
      </c>
      <c r="I1384" s="10">
        <v>19924</v>
      </c>
      <c r="J1384" t="s">
        <v>42</v>
      </c>
      <c r="K1384" s="11">
        <v>3145.8</v>
      </c>
      <c r="L1384" s="12">
        <v>6.33</v>
      </c>
    </row>
    <row r="1385" spans="1:12" x14ac:dyDescent="0.2">
      <c r="A1385" s="9">
        <v>46242</v>
      </c>
      <c r="B1385" t="s">
        <v>294</v>
      </c>
      <c r="C1385" t="s">
        <v>295</v>
      </c>
      <c r="D1385" t="s">
        <v>41</v>
      </c>
      <c r="E1385" t="s">
        <v>651</v>
      </c>
      <c r="F1385" t="s">
        <v>664</v>
      </c>
      <c r="G1385" s="10">
        <v>3</v>
      </c>
      <c r="H1385" s="10">
        <v>55721</v>
      </c>
      <c r="I1385" s="10">
        <v>167163</v>
      </c>
      <c r="J1385" t="s">
        <v>42</v>
      </c>
      <c r="K1385" s="11">
        <v>3145.8</v>
      </c>
      <c r="L1385" s="12">
        <v>53.14</v>
      </c>
    </row>
    <row r="1386" spans="1:12" x14ac:dyDescent="0.2">
      <c r="A1386" s="9">
        <v>46242</v>
      </c>
      <c r="B1386" t="s">
        <v>297</v>
      </c>
      <c r="C1386" t="s">
        <v>298</v>
      </c>
      <c r="D1386" t="s">
        <v>36</v>
      </c>
      <c r="E1386" t="s">
        <v>655</v>
      </c>
      <c r="F1386" t="s">
        <v>662</v>
      </c>
      <c r="G1386" s="10">
        <v>44</v>
      </c>
      <c r="H1386" s="10">
        <v>1133</v>
      </c>
      <c r="I1386" s="10">
        <v>49852</v>
      </c>
      <c r="J1386" t="s">
        <v>37</v>
      </c>
      <c r="K1386" s="11">
        <v>648.20000000000005</v>
      </c>
      <c r="L1386" s="12">
        <v>76.91</v>
      </c>
    </row>
    <row r="1387" spans="1:12" x14ac:dyDescent="0.2">
      <c r="A1387" s="9">
        <v>46242</v>
      </c>
      <c r="B1387" t="s">
        <v>309</v>
      </c>
      <c r="C1387" t="s">
        <v>310</v>
      </c>
      <c r="D1387" t="s">
        <v>41</v>
      </c>
      <c r="E1387" t="s">
        <v>653</v>
      </c>
      <c r="F1387" t="s">
        <v>654</v>
      </c>
      <c r="G1387" s="10">
        <v>23</v>
      </c>
      <c r="H1387" s="10">
        <v>28379</v>
      </c>
      <c r="I1387" s="10">
        <v>652717</v>
      </c>
      <c r="J1387" t="s">
        <v>42</v>
      </c>
      <c r="K1387" s="11">
        <v>3145.8</v>
      </c>
      <c r="L1387" s="12">
        <v>207.49</v>
      </c>
    </row>
    <row r="1388" spans="1:12" x14ac:dyDescent="0.2">
      <c r="A1388" s="9">
        <v>46242</v>
      </c>
      <c r="B1388" t="s">
        <v>309</v>
      </c>
      <c r="C1388" t="s">
        <v>310</v>
      </c>
      <c r="D1388" t="s">
        <v>41</v>
      </c>
      <c r="E1388" t="s">
        <v>647</v>
      </c>
      <c r="F1388" t="s">
        <v>667</v>
      </c>
      <c r="G1388" s="10">
        <v>7</v>
      </c>
      <c r="H1388" s="10">
        <v>35349</v>
      </c>
      <c r="I1388" s="10">
        <v>247443</v>
      </c>
      <c r="J1388" t="s">
        <v>42</v>
      </c>
      <c r="K1388" s="11">
        <v>3145.8</v>
      </c>
      <c r="L1388" s="12">
        <v>78.66</v>
      </c>
    </row>
    <row r="1389" spans="1:12" x14ac:dyDescent="0.2">
      <c r="A1389" s="9">
        <v>46242</v>
      </c>
      <c r="B1389" t="s">
        <v>312</v>
      </c>
      <c r="C1389" t="s">
        <v>313</v>
      </c>
      <c r="D1389" t="s">
        <v>41</v>
      </c>
      <c r="E1389" t="s">
        <v>649</v>
      </c>
      <c r="F1389" t="s">
        <v>650</v>
      </c>
      <c r="G1389" s="10">
        <v>88</v>
      </c>
      <c r="H1389" s="10">
        <v>92139</v>
      </c>
      <c r="I1389" s="10">
        <v>8108232</v>
      </c>
      <c r="J1389" t="s">
        <v>42</v>
      </c>
      <c r="K1389" s="11">
        <v>3145.8</v>
      </c>
      <c r="L1389" s="12">
        <v>2577.48</v>
      </c>
    </row>
    <row r="1390" spans="1:12" x14ac:dyDescent="0.2">
      <c r="A1390" s="9">
        <v>46242</v>
      </c>
      <c r="B1390" t="s">
        <v>318</v>
      </c>
      <c r="C1390" t="s">
        <v>319</v>
      </c>
      <c r="D1390" t="s">
        <v>41</v>
      </c>
      <c r="E1390" t="s">
        <v>653</v>
      </c>
      <c r="F1390" t="s">
        <v>666</v>
      </c>
      <c r="G1390" s="10">
        <v>4</v>
      </c>
      <c r="H1390" s="10">
        <v>7188</v>
      </c>
      <c r="I1390" s="10">
        <v>28752</v>
      </c>
      <c r="J1390" t="s">
        <v>42</v>
      </c>
      <c r="K1390" s="11">
        <v>3145.8</v>
      </c>
      <c r="L1390" s="12">
        <v>9.14</v>
      </c>
    </row>
    <row r="1391" spans="1:12" x14ac:dyDescent="0.2">
      <c r="A1391" s="9">
        <v>46242</v>
      </c>
      <c r="B1391" t="s">
        <v>318</v>
      </c>
      <c r="C1391" t="s">
        <v>319</v>
      </c>
      <c r="D1391" t="s">
        <v>41</v>
      </c>
      <c r="E1391" t="s">
        <v>660</v>
      </c>
      <c r="F1391" t="s">
        <v>661</v>
      </c>
      <c r="G1391" s="10">
        <v>9</v>
      </c>
      <c r="H1391" s="10">
        <v>19682</v>
      </c>
      <c r="I1391" s="10">
        <v>177138</v>
      </c>
      <c r="J1391" t="s">
        <v>42</v>
      </c>
      <c r="K1391" s="11">
        <v>3145.8</v>
      </c>
      <c r="L1391" s="12">
        <v>56.31</v>
      </c>
    </row>
    <row r="1392" spans="1:12" x14ac:dyDescent="0.2">
      <c r="A1392" s="9">
        <v>46242</v>
      </c>
      <c r="B1392" t="s">
        <v>321</v>
      </c>
      <c r="C1392" t="s">
        <v>322</v>
      </c>
      <c r="D1392" t="s">
        <v>41</v>
      </c>
      <c r="E1392" t="s">
        <v>655</v>
      </c>
      <c r="F1392" t="s">
        <v>662</v>
      </c>
      <c r="G1392" s="10">
        <v>12</v>
      </c>
      <c r="H1392" s="10">
        <v>5580</v>
      </c>
      <c r="I1392" s="10">
        <v>66960</v>
      </c>
      <c r="J1392" t="s">
        <v>42</v>
      </c>
      <c r="K1392" s="11">
        <v>3145.8</v>
      </c>
      <c r="L1392" s="12">
        <v>21.29</v>
      </c>
    </row>
    <row r="1393" spans="1:12" x14ac:dyDescent="0.2">
      <c r="A1393" s="9">
        <v>46242</v>
      </c>
      <c r="B1393" t="s">
        <v>324</v>
      </c>
      <c r="C1393" t="s">
        <v>325</v>
      </c>
      <c r="D1393" t="s">
        <v>46</v>
      </c>
      <c r="E1393" t="s">
        <v>653</v>
      </c>
      <c r="F1393" t="s">
        <v>658</v>
      </c>
      <c r="G1393" s="10">
        <v>12</v>
      </c>
      <c r="H1393" s="10">
        <v>2820</v>
      </c>
      <c r="I1393" s="10">
        <v>33840</v>
      </c>
      <c r="J1393" t="s">
        <v>37</v>
      </c>
      <c r="K1393" s="11">
        <v>648.20000000000005</v>
      </c>
      <c r="L1393" s="12">
        <v>52.21</v>
      </c>
    </row>
    <row r="1394" spans="1:12" x14ac:dyDescent="0.2">
      <c r="A1394" s="9">
        <v>46242</v>
      </c>
      <c r="B1394" t="s">
        <v>324</v>
      </c>
      <c r="C1394" t="s">
        <v>325</v>
      </c>
      <c r="D1394" t="s">
        <v>46</v>
      </c>
      <c r="E1394" t="s">
        <v>655</v>
      </c>
      <c r="F1394" t="s">
        <v>662</v>
      </c>
      <c r="G1394" s="10">
        <v>3</v>
      </c>
      <c r="H1394" s="10">
        <v>1166</v>
      </c>
      <c r="I1394" s="10">
        <v>3498</v>
      </c>
      <c r="J1394" t="s">
        <v>37</v>
      </c>
      <c r="K1394" s="11">
        <v>648.20000000000005</v>
      </c>
      <c r="L1394" s="12">
        <v>5.4</v>
      </c>
    </row>
    <row r="1395" spans="1:12" x14ac:dyDescent="0.2">
      <c r="A1395" s="9">
        <v>46242</v>
      </c>
      <c r="B1395" t="s">
        <v>324</v>
      </c>
      <c r="C1395" t="s">
        <v>325</v>
      </c>
      <c r="D1395" t="s">
        <v>46</v>
      </c>
      <c r="E1395" t="s">
        <v>647</v>
      </c>
      <c r="F1395" t="s">
        <v>648</v>
      </c>
      <c r="G1395" s="10">
        <v>21</v>
      </c>
      <c r="H1395" s="10">
        <v>16491</v>
      </c>
      <c r="I1395" s="10">
        <v>346311</v>
      </c>
      <c r="J1395" t="s">
        <v>37</v>
      </c>
      <c r="K1395" s="11">
        <v>648.20000000000005</v>
      </c>
      <c r="L1395" s="12">
        <v>534.27</v>
      </c>
    </row>
    <row r="1396" spans="1:12" x14ac:dyDescent="0.2">
      <c r="A1396" s="9">
        <v>46242</v>
      </c>
      <c r="B1396" t="s">
        <v>327</v>
      </c>
      <c r="C1396" t="s">
        <v>328</v>
      </c>
      <c r="D1396" t="s">
        <v>46</v>
      </c>
      <c r="E1396" t="s">
        <v>649</v>
      </c>
      <c r="F1396" t="s">
        <v>659</v>
      </c>
      <c r="G1396" s="10">
        <v>3</v>
      </c>
      <c r="H1396" s="10">
        <v>8984</v>
      </c>
      <c r="I1396" s="10">
        <v>26952</v>
      </c>
      <c r="J1396" t="s">
        <v>37</v>
      </c>
      <c r="K1396" s="11">
        <v>648.20000000000005</v>
      </c>
      <c r="L1396" s="12">
        <v>41.58</v>
      </c>
    </row>
    <row r="1397" spans="1:12" x14ac:dyDescent="0.2">
      <c r="A1397" s="9">
        <v>46242</v>
      </c>
      <c r="B1397" t="s">
        <v>330</v>
      </c>
      <c r="C1397" t="s">
        <v>331</v>
      </c>
      <c r="D1397" t="s">
        <v>68</v>
      </c>
      <c r="E1397" t="s">
        <v>653</v>
      </c>
      <c r="F1397" t="s">
        <v>654</v>
      </c>
      <c r="G1397" s="10">
        <v>14</v>
      </c>
      <c r="H1397" s="10">
        <v>5774</v>
      </c>
      <c r="I1397" s="10">
        <v>80836</v>
      </c>
      <c r="J1397" t="s">
        <v>51</v>
      </c>
      <c r="K1397" s="11">
        <v>648.20000000000005</v>
      </c>
      <c r="L1397" s="12">
        <v>124.71</v>
      </c>
    </row>
    <row r="1398" spans="1:12" x14ac:dyDescent="0.2">
      <c r="A1398" s="9">
        <v>46242</v>
      </c>
      <c r="B1398" t="s">
        <v>330</v>
      </c>
      <c r="C1398" t="s">
        <v>331</v>
      </c>
      <c r="D1398" t="s">
        <v>68</v>
      </c>
      <c r="E1398" t="s">
        <v>647</v>
      </c>
      <c r="F1398" t="s">
        <v>648</v>
      </c>
      <c r="G1398" s="10">
        <v>30</v>
      </c>
      <c r="H1398" s="10">
        <v>16674</v>
      </c>
      <c r="I1398" s="10">
        <v>500220</v>
      </c>
      <c r="J1398" t="s">
        <v>51</v>
      </c>
      <c r="K1398" s="11">
        <v>648.20000000000005</v>
      </c>
      <c r="L1398" s="12">
        <v>771.71</v>
      </c>
    </row>
    <row r="1399" spans="1:12" x14ac:dyDescent="0.2">
      <c r="A1399" s="9">
        <v>46242</v>
      </c>
      <c r="B1399" t="s">
        <v>330</v>
      </c>
      <c r="C1399" t="s">
        <v>331</v>
      </c>
      <c r="D1399" t="s">
        <v>68</v>
      </c>
      <c r="E1399" t="s">
        <v>655</v>
      </c>
      <c r="F1399" t="s">
        <v>656</v>
      </c>
      <c r="G1399" s="10">
        <v>40</v>
      </c>
      <c r="H1399" s="10">
        <v>578</v>
      </c>
      <c r="I1399" s="10">
        <v>23120</v>
      </c>
      <c r="J1399" t="s">
        <v>51</v>
      </c>
      <c r="K1399" s="11">
        <v>648.20000000000005</v>
      </c>
      <c r="L1399" s="12">
        <v>35.67</v>
      </c>
    </row>
    <row r="1400" spans="1:12" x14ac:dyDescent="0.2">
      <c r="A1400" s="9">
        <v>46242</v>
      </c>
      <c r="B1400" t="s">
        <v>336</v>
      </c>
      <c r="C1400" t="s">
        <v>337</v>
      </c>
      <c r="D1400" t="s">
        <v>68</v>
      </c>
      <c r="E1400" t="s">
        <v>653</v>
      </c>
      <c r="F1400" t="s">
        <v>666</v>
      </c>
      <c r="G1400" s="10">
        <v>14</v>
      </c>
      <c r="H1400" s="10">
        <v>1521</v>
      </c>
      <c r="I1400" s="10">
        <v>21294</v>
      </c>
      <c r="J1400" t="s">
        <v>51</v>
      </c>
      <c r="K1400" s="11">
        <v>648.20000000000005</v>
      </c>
      <c r="L1400" s="12">
        <v>32.85</v>
      </c>
    </row>
    <row r="1401" spans="1:12" x14ac:dyDescent="0.2">
      <c r="A1401" s="9">
        <v>46242</v>
      </c>
      <c r="B1401" t="s">
        <v>336</v>
      </c>
      <c r="C1401" t="s">
        <v>337</v>
      </c>
      <c r="D1401" t="s">
        <v>68</v>
      </c>
      <c r="E1401" t="s">
        <v>647</v>
      </c>
      <c r="F1401" t="s">
        <v>667</v>
      </c>
      <c r="G1401" s="10">
        <v>3</v>
      </c>
      <c r="H1401" s="10">
        <v>7258</v>
      </c>
      <c r="I1401" s="10">
        <v>21774</v>
      </c>
      <c r="J1401" t="s">
        <v>51</v>
      </c>
      <c r="K1401" s="11">
        <v>648.20000000000005</v>
      </c>
      <c r="L1401" s="12">
        <v>33.590000000000003</v>
      </c>
    </row>
    <row r="1402" spans="1:12" x14ac:dyDescent="0.2">
      <c r="A1402" s="9">
        <v>46242</v>
      </c>
      <c r="B1402" t="s">
        <v>342</v>
      </c>
      <c r="C1402" t="s">
        <v>343</v>
      </c>
      <c r="D1402" t="s">
        <v>41</v>
      </c>
      <c r="E1402" t="s">
        <v>653</v>
      </c>
      <c r="F1402" t="s">
        <v>654</v>
      </c>
      <c r="G1402" s="10">
        <v>7</v>
      </c>
      <c r="H1402" s="10">
        <v>28714</v>
      </c>
      <c r="I1402" s="10">
        <v>200998</v>
      </c>
      <c r="J1402" t="s">
        <v>42</v>
      </c>
      <c r="K1402" s="11">
        <v>3145.8</v>
      </c>
      <c r="L1402" s="12">
        <v>63.89</v>
      </c>
    </row>
    <row r="1403" spans="1:12" x14ac:dyDescent="0.2">
      <c r="A1403" s="9">
        <v>46242</v>
      </c>
      <c r="B1403" t="s">
        <v>342</v>
      </c>
      <c r="C1403" t="s">
        <v>343</v>
      </c>
      <c r="D1403" t="s">
        <v>41</v>
      </c>
      <c r="E1403" t="s">
        <v>647</v>
      </c>
      <c r="F1403" t="s">
        <v>668</v>
      </c>
      <c r="G1403" s="10">
        <v>61</v>
      </c>
      <c r="H1403" s="10">
        <v>119173</v>
      </c>
      <c r="I1403" s="10">
        <v>7269553</v>
      </c>
      <c r="J1403" t="s">
        <v>42</v>
      </c>
      <c r="K1403" s="11">
        <v>3145.8</v>
      </c>
      <c r="L1403" s="12">
        <v>2310.88</v>
      </c>
    </row>
    <row r="1404" spans="1:12" x14ac:dyDescent="0.2">
      <c r="A1404" s="9">
        <v>46242</v>
      </c>
      <c r="B1404" t="s">
        <v>348</v>
      </c>
      <c r="C1404" t="s">
        <v>349</v>
      </c>
      <c r="D1404" t="s">
        <v>36</v>
      </c>
      <c r="E1404" t="s">
        <v>653</v>
      </c>
      <c r="F1404" t="s">
        <v>658</v>
      </c>
      <c r="G1404" s="10">
        <v>39</v>
      </c>
      <c r="H1404" s="10">
        <v>2673</v>
      </c>
      <c r="I1404" s="10">
        <v>104247</v>
      </c>
      <c r="J1404" t="s">
        <v>37</v>
      </c>
      <c r="K1404" s="11">
        <v>648.20000000000005</v>
      </c>
      <c r="L1404" s="12">
        <v>160.83000000000001</v>
      </c>
    </row>
    <row r="1405" spans="1:12" x14ac:dyDescent="0.2">
      <c r="A1405" s="9">
        <v>46242</v>
      </c>
      <c r="B1405" t="s">
        <v>348</v>
      </c>
      <c r="C1405" t="s">
        <v>349</v>
      </c>
      <c r="D1405" t="s">
        <v>36</v>
      </c>
      <c r="E1405" t="s">
        <v>649</v>
      </c>
      <c r="F1405" t="s">
        <v>659</v>
      </c>
      <c r="G1405" s="10">
        <v>24</v>
      </c>
      <c r="H1405" s="10">
        <v>8858</v>
      </c>
      <c r="I1405" s="10">
        <v>212592</v>
      </c>
      <c r="J1405" t="s">
        <v>37</v>
      </c>
      <c r="K1405" s="11">
        <v>648.20000000000005</v>
      </c>
      <c r="L1405" s="12">
        <v>327.97</v>
      </c>
    </row>
    <row r="1406" spans="1:12" x14ac:dyDescent="0.2">
      <c r="A1406" s="9">
        <v>46242</v>
      </c>
      <c r="B1406" t="s">
        <v>348</v>
      </c>
      <c r="C1406" t="s">
        <v>349</v>
      </c>
      <c r="D1406" t="s">
        <v>36</v>
      </c>
      <c r="E1406" t="s">
        <v>655</v>
      </c>
      <c r="F1406" t="s">
        <v>662</v>
      </c>
      <c r="G1406" s="10">
        <v>13</v>
      </c>
      <c r="H1406" s="10">
        <v>1130</v>
      </c>
      <c r="I1406" s="10">
        <v>14690</v>
      </c>
      <c r="J1406" t="s">
        <v>37</v>
      </c>
      <c r="K1406" s="11">
        <v>648.20000000000005</v>
      </c>
      <c r="L1406" s="12">
        <v>22.66</v>
      </c>
    </row>
    <row r="1407" spans="1:12" x14ac:dyDescent="0.2">
      <c r="A1407" s="9">
        <v>46242</v>
      </c>
      <c r="B1407" t="s">
        <v>348</v>
      </c>
      <c r="C1407" t="s">
        <v>349</v>
      </c>
      <c r="D1407" t="s">
        <v>36</v>
      </c>
      <c r="E1407" t="s">
        <v>647</v>
      </c>
      <c r="F1407" t="s">
        <v>648</v>
      </c>
      <c r="G1407" s="10">
        <v>11</v>
      </c>
      <c r="H1407" s="10">
        <v>16751</v>
      </c>
      <c r="I1407" s="10">
        <v>184261</v>
      </c>
      <c r="J1407" t="s">
        <v>37</v>
      </c>
      <c r="K1407" s="11">
        <v>648.20000000000005</v>
      </c>
      <c r="L1407" s="12">
        <v>284.27</v>
      </c>
    </row>
    <row r="1408" spans="1:12" x14ac:dyDescent="0.2">
      <c r="A1408" s="9">
        <v>46242</v>
      </c>
      <c r="B1408" t="s">
        <v>348</v>
      </c>
      <c r="C1408" t="s">
        <v>349</v>
      </c>
      <c r="D1408" t="s">
        <v>36</v>
      </c>
      <c r="E1408" t="s">
        <v>647</v>
      </c>
      <c r="F1408" t="s">
        <v>667</v>
      </c>
      <c r="G1408" s="10">
        <v>16</v>
      </c>
      <c r="H1408" s="10">
        <v>7510</v>
      </c>
      <c r="I1408" s="10">
        <v>120160</v>
      </c>
      <c r="J1408" t="s">
        <v>37</v>
      </c>
      <c r="K1408" s="11">
        <v>648.20000000000005</v>
      </c>
      <c r="L1408" s="12">
        <v>185.37</v>
      </c>
    </row>
    <row r="1409" spans="1:12" x14ac:dyDescent="0.2">
      <c r="A1409" s="9">
        <v>46242</v>
      </c>
      <c r="B1409" t="s">
        <v>351</v>
      </c>
      <c r="C1409" t="s">
        <v>352</v>
      </c>
      <c r="D1409" t="s">
        <v>41</v>
      </c>
      <c r="E1409" t="s">
        <v>647</v>
      </c>
      <c r="F1409" t="s">
        <v>648</v>
      </c>
      <c r="G1409" s="10">
        <v>3</v>
      </c>
      <c r="H1409" s="10">
        <v>79310</v>
      </c>
      <c r="I1409" s="10">
        <v>237930</v>
      </c>
      <c r="J1409" t="s">
        <v>42</v>
      </c>
      <c r="K1409" s="11">
        <v>3145.8</v>
      </c>
      <c r="L1409" s="12">
        <v>75.63</v>
      </c>
    </row>
    <row r="1410" spans="1:12" x14ac:dyDescent="0.2">
      <c r="A1410" s="9">
        <v>46242</v>
      </c>
      <c r="B1410" t="s">
        <v>357</v>
      </c>
      <c r="C1410" t="s">
        <v>358</v>
      </c>
      <c r="D1410" t="s">
        <v>36</v>
      </c>
      <c r="E1410" t="s">
        <v>655</v>
      </c>
      <c r="F1410" t="s">
        <v>662</v>
      </c>
      <c r="G1410" s="10">
        <v>10</v>
      </c>
      <c r="H1410" s="10">
        <v>1124</v>
      </c>
      <c r="I1410" s="10">
        <v>11240</v>
      </c>
      <c r="J1410" t="s">
        <v>37</v>
      </c>
      <c r="K1410" s="11">
        <v>648.20000000000005</v>
      </c>
      <c r="L1410" s="12">
        <v>17.34</v>
      </c>
    </row>
    <row r="1411" spans="1:12" x14ac:dyDescent="0.2">
      <c r="A1411" s="9">
        <v>46242</v>
      </c>
      <c r="B1411" t="s">
        <v>357</v>
      </c>
      <c r="C1411" t="s">
        <v>358</v>
      </c>
      <c r="D1411" t="s">
        <v>36</v>
      </c>
      <c r="E1411" t="s">
        <v>660</v>
      </c>
      <c r="F1411" t="s">
        <v>661</v>
      </c>
      <c r="G1411" s="10">
        <v>15</v>
      </c>
      <c r="H1411" s="10">
        <v>4274</v>
      </c>
      <c r="I1411" s="10">
        <v>64110</v>
      </c>
      <c r="J1411" t="s">
        <v>37</v>
      </c>
      <c r="K1411" s="11">
        <v>648.20000000000005</v>
      </c>
      <c r="L1411" s="12">
        <v>98.9</v>
      </c>
    </row>
    <row r="1412" spans="1:12" x14ac:dyDescent="0.2">
      <c r="A1412" s="9">
        <v>46242</v>
      </c>
      <c r="B1412" t="s">
        <v>363</v>
      </c>
      <c r="C1412" t="s">
        <v>364</v>
      </c>
      <c r="D1412" t="s">
        <v>46</v>
      </c>
      <c r="E1412" t="s">
        <v>649</v>
      </c>
      <c r="F1412" t="s">
        <v>663</v>
      </c>
      <c r="G1412" s="10">
        <v>133</v>
      </c>
      <c r="H1412" s="10">
        <v>1971</v>
      </c>
      <c r="I1412" s="10">
        <v>262143</v>
      </c>
      <c r="J1412" t="s">
        <v>37</v>
      </c>
      <c r="K1412" s="11">
        <v>648.20000000000005</v>
      </c>
      <c r="L1412" s="12">
        <v>404.42</v>
      </c>
    </row>
    <row r="1413" spans="1:12" x14ac:dyDescent="0.2">
      <c r="A1413" s="9">
        <v>46242</v>
      </c>
      <c r="B1413" t="s">
        <v>363</v>
      </c>
      <c r="C1413" t="s">
        <v>364</v>
      </c>
      <c r="D1413" t="s">
        <v>46</v>
      </c>
      <c r="E1413" t="s">
        <v>660</v>
      </c>
      <c r="F1413" t="s">
        <v>670</v>
      </c>
      <c r="G1413" s="10">
        <v>46</v>
      </c>
      <c r="H1413" s="10">
        <v>14842</v>
      </c>
      <c r="I1413" s="10">
        <v>682732</v>
      </c>
      <c r="J1413" t="s">
        <v>37</v>
      </c>
      <c r="K1413" s="11">
        <v>648.20000000000005</v>
      </c>
      <c r="L1413" s="12">
        <v>1053.27</v>
      </c>
    </row>
    <row r="1414" spans="1:12" x14ac:dyDescent="0.2">
      <c r="A1414" s="9">
        <v>46242</v>
      </c>
      <c r="B1414" t="s">
        <v>363</v>
      </c>
      <c r="C1414" t="s">
        <v>364</v>
      </c>
      <c r="D1414" t="s">
        <v>46</v>
      </c>
      <c r="E1414" t="s">
        <v>660</v>
      </c>
      <c r="F1414" t="s">
        <v>661</v>
      </c>
      <c r="G1414" s="10">
        <v>62</v>
      </c>
      <c r="H1414" s="10">
        <v>4149</v>
      </c>
      <c r="I1414" s="10">
        <v>257238</v>
      </c>
      <c r="J1414" t="s">
        <v>37</v>
      </c>
      <c r="K1414" s="11">
        <v>648.20000000000005</v>
      </c>
      <c r="L1414" s="12">
        <v>396.85</v>
      </c>
    </row>
    <row r="1415" spans="1:12" x14ac:dyDescent="0.2">
      <c r="A1415" s="9">
        <v>46242</v>
      </c>
      <c r="B1415" t="s">
        <v>363</v>
      </c>
      <c r="C1415" t="s">
        <v>364</v>
      </c>
      <c r="D1415" t="s">
        <v>46</v>
      </c>
      <c r="E1415" t="s">
        <v>647</v>
      </c>
      <c r="F1415" t="s">
        <v>668</v>
      </c>
      <c r="G1415" s="10">
        <v>331</v>
      </c>
      <c r="H1415" s="10">
        <v>24751</v>
      </c>
      <c r="I1415" s="10">
        <v>8192581</v>
      </c>
      <c r="J1415" t="s">
        <v>37</v>
      </c>
      <c r="K1415" s="11">
        <v>648.20000000000005</v>
      </c>
      <c r="L1415" s="12">
        <v>12638.97</v>
      </c>
    </row>
    <row r="1416" spans="1:12" x14ac:dyDescent="0.2">
      <c r="A1416" s="9">
        <v>46242</v>
      </c>
      <c r="B1416" t="s">
        <v>363</v>
      </c>
      <c r="C1416" t="s">
        <v>364</v>
      </c>
      <c r="D1416" t="s">
        <v>46</v>
      </c>
      <c r="E1416" t="s">
        <v>651</v>
      </c>
      <c r="F1416" t="s">
        <v>664</v>
      </c>
      <c r="G1416" s="10">
        <v>99</v>
      </c>
      <c r="H1416" s="10">
        <v>11853</v>
      </c>
      <c r="I1416" s="10">
        <v>1173447</v>
      </c>
      <c r="J1416" t="s">
        <v>37</v>
      </c>
      <c r="K1416" s="11">
        <v>648.20000000000005</v>
      </c>
      <c r="L1416" s="12">
        <v>1810.32</v>
      </c>
    </row>
    <row r="1417" spans="1:12" x14ac:dyDescent="0.2">
      <c r="A1417" s="9">
        <v>46242</v>
      </c>
      <c r="B1417" t="s">
        <v>366</v>
      </c>
      <c r="C1417" t="s">
        <v>367</v>
      </c>
      <c r="D1417" t="s">
        <v>41</v>
      </c>
      <c r="E1417" t="s">
        <v>655</v>
      </c>
      <c r="F1417" t="s">
        <v>665</v>
      </c>
      <c r="G1417" s="10">
        <v>1</v>
      </c>
      <c r="H1417" s="10">
        <v>3440</v>
      </c>
      <c r="I1417" s="10">
        <v>3440</v>
      </c>
      <c r="J1417" t="s">
        <v>42</v>
      </c>
      <c r="K1417" s="11">
        <v>3145.8</v>
      </c>
      <c r="L1417" s="12">
        <v>1.0900000000000001</v>
      </c>
    </row>
    <row r="1418" spans="1:12" x14ac:dyDescent="0.2">
      <c r="A1418" s="9">
        <v>46242</v>
      </c>
      <c r="B1418" t="s">
        <v>369</v>
      </c>
      <c r="C1418" t="s">
        <v>370</v>
      </c>
      <c r="D1418" t="s">
        <v>36</v>
      </c>
      <c r="E1418" t="s">
        <v>660</v>
      </c>
      <c r="F1418" t="s">
        <v>669</v>
      </c>
      <c r="G1418" s="10">
        <v>4</v>
      </c>
      <c r="H1418" s="10">
        <v>2502</v>
      </c>
      <c r="I1418" s="10">
        <v>10008</v>
      </c>
      <c r="J1418" t="s">
        <v>37</v>
      </c>
      <c r="K1418" s="11">
        <v>648.20000000000005</v>
      </c>
      <c r="L1418" s="12">
        <v>15.44</v>
      </c>
    </row>
    <row r="1419" spans="1:12" x14ac:dyDescent="0.2">
      <c r="A1419" s="9">
        <v>46242</v>
      </c>
      <c r="B1419" t="s">
        <v>375</v>
      </c>
      <c r="C1419" t="s">
        <v>376</v>
      </c>
      <c r="D1419" t="s">
        <v>36</v>
      </c>
      <c r="E1419" t="s">
        <v>647</v>
      </c>
      <c r="F1419" t="s">
        <v>648</v>
      </c>
      <c r="G1419" s="10">
        <v>2</v>
      </c>
      <c r="H1419" s="10">
        <v>15964</v>
      </c>
      <c r="I1419" s="10">
        <v>31928</v>
      </c>
      <c r="J1419" t="s">
        <v>37</v>
      </c>
      <c r="K1419" s="11">
        <v>648.20000000000005</v>
      </c>
      <c r="L1419" s="12">
        <v>49.26</v>
      </c>
    </row>
    <row r="1420" spans="1:12" x14ac:dyDescent="0.2">
      <c r="A1420" s="9">
        <v>46242</v>
      </c>
      <c r="B1420" t="s">
        <v>378</v>
      </c>
      <c r="C1420" t="s">
        <v>379</v>
      </c>
      <c r="D1420" t="s">
        <v>50</v>
      </c>
      <c r="E1420" t="s">
        <v>651</v>
      </c>
      <c r="F1420" t="s">
        <v>664</v>
      </c>
      <c r="G1420" s="10">
        <v>5</v>
      </c>
      <c r="H1420" s="10">
        <v>11637</v>
      </c>
      <c r="I1420" s="10">
        <v>58185</v>
      </c>
      <c r="J1420" t="s">
        <v>51</v>
      </c>
      <c r="K1420" s="11">
        <v>648.20000000000005</v>
      </c>
      <c r="L1420" s="12">
        <v>89.76</v>
      </c>
    </row>
    <row r="1421" spans="1:12" x14ac:dyDescent="0.2">
      <c r="A1421" s="9">
        <v>46242</v>
      </c>
      <c r="B1421" t="s">
        <v>381</v>
      </c>
      <c r="C1421" t="s">
        <v>382</v>
      </c>
      <c r="D1421" t="s">
        <v>36</v>
      </c>
      <c r="E1421" t="s">
        <v>653</v>
      </c>
      <c r="F1421" t="s">
        <v>658</v>
      </c>
      <c r="G1421" s="10">
        <v>23</v>
      </c>
      <c r="H1421" s="10">
        <v>2636</v>
      </c>
      <c r="I1421" s="10">
        <v>60628</v>
      </c>
      <c r="J1421" t="s">
        <v>37</v>
      </c>
      <c r="K1421" s="11">
        <v>648.20000000000005</v>
      </c>
      <c r="L1421" s="12">
        <v>93.53</v>
      </c>
    </row>
    <row r="1422" spans="1:12" x14ac:dyDescent="0.2">
      <c r="A1422" s="9">
        <v>46242</v>
      </c>
      <c r="B1422" t="s">
        <v>381</v>
      </c>
      <c r="C1422" t="s">
        <v>382</v>
      </c>
      <c r="D1422" t="s">
        <v>36</v>
      </c>
      <c r="E1422" t="s">
        <v>660</v>
      </c>
      <c r="F1422" t="s">
        <v>661</v>
      </c>
      <c r="G1422" s="10">
        <v>23</v>
      </c>
      <c r="H1422" s="10">
        <v>4352</v>
      </c>
      <c r="I1422" s="10">
        <v>100096</v>
      </c>
      <c r="J1422" t="s">
        <v>37</v>
      </c>
      <c r="K1422" s="11">
        <v>648.20000000000005</v>
      </c>
      <c r="L1422" s="12">
        <v>154.41999999999999</v>
      </c>
    </row>
    <row r="1423" spans="1:12" x14ac:dyDescent="0.2">
      <c r="A1423" s="9">
        <v>46242</v>
      </c>
      <c r="B1423" t="s">
        <v>381</v>
      </c>
      <c r="C1423" t="s">
        <v>382</v>
      </c>
      <c r="D1423" t="s">
        <v>36</v>
      </c>
      <c r="E1423" t="s">
        <v>660</v>
      </c>
      <c r="F1423" t="s">
        <v>661</v>
      </c>
      <c r="G1423" s="10">
        <v>1</v>
      </c>
      <c r="H1423" s="10">
        <v>4024</v>
      </c>
      <c r="I1423" s="10">
        <v>4024</v>
      </c>
      <c r="J1423" t="s">
        <v>37</v>
      </c>
      <c r="K1423" s="11">
        <v>648.20000000000005</v>
      </c>
      <c r="L1423" s="12">
        <v>6.21</v>
      </c>
    </row>
    <row r="1424" spans="1:12" x14ac:dyDescent="0.2">
      <c r="A1424" s="9">
        <v>46242</v>
      </c>
      <c r="B1424" t="s">
        <v>381</v>
      </c>
      <c r="C1424" t="s">
        <v>382</v>
      </c>
      <c r="D1424" t="s">
        <v>36</v>
      </c>
      <c r="E1424" t="s">
        <v>647</v>
      </c>
      <c r="F1424" t="s">
        <v>668</v>
      </c>
      <c r="G1424" s="10">
        <v>4</v>
      </c>
      <c r="H1424" s="10">
        <v>25045</v>
      </c>
      <c r="I1424" s="10">
        <v>100180</v>
      </c>
      <c r="J1424" t="s">
        <v>37</v>
      </c>
      <c r="K1424" s="11">
        <v>648.20000000000005</v>
      </c>
      <c r="L1424" s="12">
        <v>154.55000000000001</v>
      </c>
    </row>
    <row r="1425" spans="1:12" x14ac:dyDescent="0.2">
      <c r="A1425" s="9">
        <v>46242</v>
      </c>
      <c r="B1425" t="s">
        <v>381</v>
      </c>
      <c r="C1425" t="s">
        <v>382</v>
      </c>
      <c r="D1425" t="s">
        <v>36</v>
      </c>
      <c r="E1425" t="s">
        <v>647</v>
      </c>
      <c r="F1425" t="s">
        <v>648</v>
      </c>
      <c r="G1425" s="10">
        <v>2</v>
      </c>
      <c r="H1425" s="10">
        <v>16620</v>
      </c>
      <c r="I1425" s="10">
        <v>33240</v>
      </c>
      <c r="J1425" t="s">
        <v>37</v>
      </c>
      <c r="K1425" s="11">
        <v>648.20000000000005</v>
      </c>
      <c r="L1425" s="12">
        <v>51.28</v>
      </c>
    </row>
    <row r="1426" spans="1:12" x14ac:dyDescent="0.2">
      <c r="A1426" s="9">
        <v>46242</v>
      </c>
      <c r="B1426" t="s">
        <v>381</v>
      </c>
      <c r="C1426" t="s">
        <v>382</v>
      </c>
      <c r="D1426" t="s">
        <v>36</v>
      </c>
      <c r="E1426" t="s">
        <v>647</v>
      </c>
      <c r="F1426" t="s">
        <v>667</v>
      </c>
      <c r="G1426" s="10">
        <v>23</v>
      </c>
      <c r="H1426" s="10">
        <v>7289</v>
      </c>
      <c r="I1426" s="10">
        <v>167647</v>
      </c>
      <c r="J1426" t="s">
        <v>37</v>
      </c>
      <c r="K1426" s="11">
        <v>648.20000000000005</v>
      </c>
      <c r="L1426" s="12">
        <v>258.63</v>
      </c>
    </row>
    <row r="1427" spans="1:12" x14ac:dyDescent="0.2">
      <c r="A1427" s="9">
        <v>46242</v>
      </c>
      <c r="B1427" t="s">
        <v>384</v>
      </c>
      <c r="C1427" t="s">
        <v>385</v>
      </c>
      <c r="D1427" t="s">
        <v>46</v>
      </c>
      <c r="E1427" t="s">
        <v>649</v>
      </c>
      <c r="F1427" t="s">
        <v>650</v>
      </c>
      <c r="G1427" s="10">
        <v>6</v>
      </c>
      <c r="H1427" s="10">
        <v>19031</v>
      </c>
      <c r="I1427" s="10">
        <v>114186</v>
      </c>
      <c r="J1427" t="s">
        <v>37</v>
      </c>
      <c r="K1427" s="11">
        <v>648.20000000000005</v>
      </c>
      <c r="L1427" s="12">
        <v>176.16</v>
      </c>
    </row>
    <row r="1428" spans="1:12" x14ac:dyDescent="0.2">
      <c r="A1428" s="9">
        <v>46242</v>
      </c>
      <c r="B1428" t="s">
        <v>384</v>
      </c>
      <c r="C1428" t="s">
        <v>385</v>
      </c>
      <c r="D1428" t="s">
        <v>46</v>
      </c>
      <c r="E1428" t="s">
        <v>649</v>
      </c>
      <c r="F1428" t="s">
        <v>659</v>
      </c>
      <c r="G1428" s="10">
        <v>27</v>
      </c>
      <c r="H1428" s="10">
        <v>9099</v>
      </c>
      <c r="I1428" s="10">
        <v>245673</v>
      </c>
      <c r="J1428" t="s">
        <v>37</v>
      </c>
      <c r="K1428" s="11">
        <v>648.20000000000005</v>
      </c>
      <c r="L1428" s="12">
        <v>379.01</v>
      </c>
    </row>
    <row r="1429" spans="1:12" x14ac:dyDescent="0.2">
      <c r="A1429" s="9">
        <v>46242</v>
      </c>
      <c r="B1429" t="s">
        <v>384</v>
      </c>
      <c r="C1429" t="s">
        <v>385</v>
      </c>
      <c r="D1429" t="s">
        <v>46</v>
      </c>
      <c r="E1429" t="s">
        <v>647</v>
      </c>
      <c r="F1429" t="s">
        <v>668</v>
      </c>
      <c r="G1429" s="10">
        <v>3</v>
      </c>
      <c r="H1429" s="10">
        <v>24394</v>
      </c>
      <c r="I1429" s="10">
        <v>73182</v>
      </c>
      <c r="J1429" t="s">
        <v>37</v>
      </c>
      <c r="K1429" s="11">
        <v>648.20000000000005</v>
      </c>
      <c r="L1429" s="12">
        <v>112.9</v>
      </c>
    </row>
    <row r="1430" spans="1:12" x14ac:dyDescent="0.2">
      <c r="A1430" s="9">
        <v>46242</v>
      </c>
      <c r="B1430" t="s">
        <v>390</v>
      </c>
      <c r="C1430" t="s">
        <v>391</v>
      </c>
      <c r="D1430" t="s">
        <v>46</v>
      </c>
      <c r="E1430" t="s">
        <v>647</v>
      </c>
      <c r="F1430" t="s">
        <v>667</v>
      </c>
      <c r="G1430" s="10">
        <v>28</v>
      </c>
      <c r="H1430" s="10">
        <v>7413</v>
      </c>
      <c r="I1430" s="10">
        <v>207564</v>
      </c>
      <c r="J1430" t="s">
        <v>37</v>
      </c>
      <c r="K1430" s="11">
        <v>648.20000000000005</v>
      </c>
      <c r="L1430" s="12">
        <v>320.22000000000003</v>
      </c>
    </row>
    <row r="1431" spans="1:12" x14ac:dyDescent="0.2">
      <c r="A1431" s="9">
        <v>46242</v>
      </c>
      <c r="B1431" t="s">
        <v>393</v>
      </c>
      <c r="C1431" t="s">
        <v>307</v>
      </c>
      <c r="D1431" t="s">
        <v>68</v>
      </c>
      <c r="E1431" t="s">
        <v>660</v>
      </c>
      <c r="F1431" t="s">
        <v>661</v>
      </c>
      <c r="G1431" s="10">
        <v>26</v>
      </c>
      <c r="H1431" s="10">
        <v>4339</v>
      </c>
      <c r="I1431" s="10">
        <v>112814</v>
      </c>
      <c r="J1431" t="s">
        <v>51</v>
      </c>
      <c r="K1431" s="11">
        <v>648.20000000000005</v>
      </c>
      <c r="L1431" s="12">
        <v>174.04</v>
      </c>
    </row>
    <row r="1432" spans="1:12" x14ac:dyDescent="0.2">
      <c r="A1432" s="9">
        <v>46242</v>
      </c>
      <c r="B1432" t="s">
        <v>393</v>
      </c>
      <c r="C1432" t="s">
        <v>307</v>
      </c>
      <c r="D1432" t="s">
        <v>68</v>
      </c>
      <c r="E1432" t="s">
        <v>660</v>
      </c>
      <c r="F1432" t="s">
        <v>661</v>
      </c>
      <c r="G1432" s="10">
        <v>630</v>
      </c>
      <c r="H1432" s="10">
        <v>4190</v>
      </c>
      <c r="I1432" s="10">
        <v>2639700</v>
      </c>
      <c r="J1432" t="s">
        <v>51</v>
      </c>
      <c r="K1432" s="11">
        <v>648.20000000000005</v>
      </c>
      <c r="L1432" s="12">
        <v>4072.35</v>
      </c>
    </row>
    <row r="1433" spans="1:12" x14ac:dyDescent="0.2">
      <c r="A1433" s="9">
        <v>46242</v>
      </c>
      <c r="B1433" t="s">
        <v>398</v>
      </c>
      <c r="C1433" t="s">
        <v>399</v>
      </c>
      <c r="D1433" t="s">
        <v>46</v>
      </c>
      <c r="E1433" t="s">
        <v>653</v>
      </c>
      <c r="F1433" t="s">
        <v>658</v>
      </c>
      <c r="G1433" s="10">
        <v>10</v>
      </c>
      <c r="H1433" s="10">
        <v>2789</v>
      </c>
      <c r="I1433" s="10">
        <v>27890</v>
      </c>
      <c r="J1433" t="s">
        <v>37</v>
      </c>
      <c r="K1433" s="11">
        <v>648.20000000000005</v>
      </c>
      <c r="L1433" s="12">
        <v>43.03</v>
      </c>
    </row>
    <row r="1434" spans="1:12" x14ac:dyDescent="0.2">
      <c r="A1434" s="9">
        <v>46242</v>
      </c>
      <c r="B1434" t="s">
        <v>398</v>
      </c>
      <c r="C1434" t="s">
        <v>399</v>
      </c>
      <c r="D1434" t="s">
        <v>46</v>
      </c>
      <c r="E1434" t="s">
        <v>647</v>
      </c>
      <c r="F1434" t="s">
        <v>648</v>
      </c>
      <c r="G1434" s="10">
        <v>23</v>
      </c>
      <c r="H1434" s="10">
        <v>16622</v>
      </c>
      <c r="I1434" s="10">
        <v>382306</v>
      </c>
      <c r="J1434" t="s">
        <v>37</v>
      </c>
      <c r="K1434" s="11">
        <v>648.20000000000005</v>
      </c>
      <c r="L1434" s="12">
        <v>589.79999999999995</v>
      </c>
    </row>
    <row r="1435" spans="1:12" x14ac:dyDescent="0.2">
      <c r="A1435" s="9">
        <v>46242</v>
      </c>
      <c r="B1435" t="s">
        <v>401</v>
      </c>
      <c r="C1435" t="s">
        <v>402</v>
      </c>
      <c r="D1435" t="s">
        <v>36</v>
      </c>
      <c r="E1435" t="s">
        <v>649</v>
      </c>
      <c r="F1435" t="s">
        <v>659</v>
      </c>
      <c r="G1435" s="10">
        <v>7</v>
      </c>
      <c r="H1435" s="10">
        <v>9003</v>
      </c>
      <c r="I1435" s="10">
        <v>63021</v>
      </c>
      <c r="J1435" t="s">
        <v>37</v>
      </c>
      <c r="K1435" s="11">
        <v>648.20000000000005</v>
      </c>
      <c r="L1435" s="12">
        <v>97.22</v>
      </c>
    </row>
    <row r="1436" spans="1:12" x14ac:dyDescent="0.2">
      <c r="A1436" s="9">
        <v>46242</v>
      </c>
      <c r="B1436" t="s">
        <v>401</v>
      </c>
      <c r="C1436" t="s">
        <v>402</v>
      </c>
      <c r="D1436" t="s">
        <v>36</v>
      </c>
      <c r="E1436" t="s">
        <v>660</v>
      </c>
      <c r="F1436" t="s">
        <v>669</v>
      </c>
      <c r="G1436" s="10">
        <v>16</v>
      </c>
      <c r="H1436" s="10">
        <v>2531</v>
      </c>
      <c r="I1436" s="10">
        <v>40496</v>
      </c>
      <c r="J1436" t="s">
        <v>37</v>
      </c>
      <c r="K1436" s="11">
        <v>648.20000000000005</v>
      </c>
      <c r="L1436" s="12">
        <v>62.47</v>
      </c>
    </row>
    <row r="1437" spans="1:12" x14ac:dyDescent="0.2">
      <c r="A1437" s="9">
        <v>46242</v>
      </c>
      <c r="B1437" t="s">
        <v>401</v>
      </c>
      <c r="C1437" t="s">
        <v>402</v>
      </c>
      <c r="D1437" t="s">
        <v>36</v>
      </c>
      <c r="E1437" t="s">
        <v>647</v>
      </c>
      <c r="F1437" t="s">
        <v>668</v>
      </c>
      <c r="G1437" s="10">
        <v>15</v>
      </c>
      <c r="H1437" s="10">
        <v>24625</v>
      </c>
      <c r="I1437" s="10">
        <v>369375</v>
      </c>
      <c r="J1437" t="s">
        <v>37</v>
      </c>
      <c r="K1437" s="11">
        <v>648.20000000000005</v>
      </c>
      <c r="L1437" s="12">
        <v>569.85</v>
      </c>
    </row>
    <row r="1438" spans="1:12" x14ac:dyDescent="0.2">
      <c r="A1438" s="9">
        <v>46242</v>
      </c>
      <c r="B1438" t="s">
        <v>401</v>
      </c>
      <c r="C1438" t="s">
        <v>402</v>
      </c>
      <c r="D1438" t="s">
        <v>36</v>
      </c>
      <c r="E1438" t="s">
        <v>647</v>
      </c>
      <c r="F1438" t="s">
        <v>667</v>
      </c>
      <c r="G1438" s="10">
        <v>14</v>
      </c>
      <c r="H1438" s="10">
        <v>7287</v>
      </c>
      <c r="I1438" s="10">
        <v>102018</v>
      </c>
      <c r="J1438" t="s">
        <v>37</v>
      </c>
      <c r="K1438" s="11">
        <v>648.20000000000005</v>
      </c>
      <c r="L1438" s="12">
        <v>157.38999999999999</v>
      </c>
    </row>
    <row r="1439" spans="1:12" x14ac:dyDescent="0.2">
      <c r="A1439" s="9">
        <v>46242</v>
      </c>
      <c r="B1439" t="s">
        <v>404</v>
      </c>
      <c r="C1439" t="s">
        <v>405</v>
      </c>
      <c r="D1439" t="s">
        <v>46</v>
      </c>
      <c r="E1439" t="s">
        <v>660</v>
      </c>
      <c r="F1439" t="s">
        <v>669</v>
      </c>
      <c r="G1439" s="10">
        <v>9</v>
      </c>
      <c r="H1439" s="10">
        <v>2491</v>
      </c>
      <c r="I1439" s="10">
        <v>22419</v>
      </c>
      <c r="J1439" t="s">
        <v>37</v>
      </c>
      <c r="K1439" s="11">
        <v>648.20000000000005</v>
      </c>
      <c r="L1439" s="12">
        <v>34.590000000000003</v>
      </c>
    </row>
    <row r="1440" spans="1:12" x14ac:dyDescent="0.2">
      <c r="A1440" s="9">
        <v>46242</v>
      </c>
      <c r="B1440" t="s">
        <v>404</v>
      </c>
      <c r="C1440" t="s">
        <v>405</v>
      </c>
      <c r="D1440" t="s">
        <v>46</v>
      </c>
      <c r="E1440" t="s">
        <v>647</v>
      </c>
      <c r="F1440" t="s">
        <v>667</v>
      </c>
      <c r="G1440" s="10">
        <v>26</v>
      </c>
      <c r="H1440" s="10">
        <v>7077</v>
      </c>
      <c r="I1440" s="10">
        <v>184002</v>
      </c>
      <c r="J1440" t="s">
        <v>37</v>
      </c>
      <c r="K1440" s="11">
        <v>648.20000000000005</v>
      </c>
      <c r="L1440" s="12">
        <v>283.87</v>
      </c>
    </row>
    <row r="1441" spans="1:12" x14ac:dyDescent="0.2">
      <c r="A1441" s="9">
        <v>46242</v>
      </c>
      <c r="B1441" t="s">
        <v>407</v>
      </c>
      <c r="C1441" t="s">
        <v>408</v>
      </c>
      <c r="D1441" t="s">
        <v>75</v>
      </c>
      <c r="E1441" t="s">
        <v>660</v>
      </c>
      <c r="F1441" t="s">
        <v>661</v>
      </c>
      <c r="G1441" s="10">
        <v>3</v>
      </c>
      <c r="H1441" s="10">
        <v>20100</v>
      </c>
      <c r="I1441" s="10">
        <v>60300</v>
      </c>
      <c r="J1441" t="s">
        <v>42</v>
      </c>
      <c r="K1441" s="11">
        <v>3145.8</v>
      </c>
      <c r="L1441" s="12">
        <v>19.170000000000002</v>
      </c>
    </row>
    <row r="1442" spans="1:12" x14ac:dyDescent="0.2">
      <c r="A1442" s="9">
        <v>46242</v>
      </c>
      <c r="B1442" t="s">
        <v>413</v>
      </c>
      <c r="C1442" t="s">
        <v>414</v>
      </c>
      <c r="D1442" t="s">
        <v>41</v>
      </c>
      <c r="E1442" t="s">
        <v>660</v>
      </c>
      <c r="F1442" t="s">
        <v>669</v>
      </c>
      <c r="G1442" s="10">
        <v>32</v>
      </c>
      <c r="H1442" s="10">
        <v>12390</v>
      </c>
      <c r="I1442" s="10">
        <v>396480</v>
      </c>
      <c r="J1442" t="s">
        <v>42</v>
      </c>
      <c r="K1442" s="11">
        <v>3145.8</v>
      </c>
      <c r="L1442" s="12">
        <v>126.03</v>
      </c>
    </row>
    <row r="1443" spans="1:12" x14ac:dyDescent="0.2">
      <c r="A1443" s="9">
        <v>46242</v>
      </c>
      <c r="B1443" t="s">
        <v>413</v>
      </c>
      <c r="C1443" t="s">
        <v>414</v>
      </c>
      <c r="D1443" t="s">
        <v>41</v>
      </c>
      <c r="E1443" t="s">
        <v>655</v>
      </c>
      <c r="F1443" t="s">
        <v>665</v>
      </c>
      <c r="G1443" s="10">
        <v>6</v>
      </c>
      <c r="H1443" s="10">
        <v>3461</v>
      </c>
      <c r="I1443" s="10">
        <v>20766</v>
      </c>
      <c r="J1443" t="s">
        <v>42</v>
      </c>
      <c r="K1443" s="11">
        <v>3145.8</v>
      </c>
      <c r="L1443" s="12">
        <v>6.6</v>
      </c>
    </row>
    <row r="1444" spans="1:12" x14ac:dyDescent="0.2">
      <c r="A1444" s="9">
        <v>46242</v>
      </c>
      <c r="B1444" t="s">
        <v>419</v>
      </c>
      <c r="C1444" t="s">
        <v>420</v>
      </c>
      <c r="D1444" t="s">
        <v>46</v>
      </c>
      <c r="E1444" t="s">
        <v>647</v>
      </c>
      <c r="F1444" t="s">
        <v>667</v>
      </c>
      <c r="G1444" s="10">
        <v>26</v>
      </c>
      <c r="H1444" s="10">
        <v>7235</v>
      </c>
      <c r="I1444" s="10">
        <v>188110</v>
      </c>
      <c r="J1444" t="s">
        <v>37</v>
      </c>
      <c r="K1444" s="11">
        <v>648.20000000000005</v>
      </c>
      <c r="L1444" s="12">
        <v>290.2</v>
      </c>
    </row>
    <row r="1445" spans="1:12" x14ac:dyDescent="0.2">
      <c r="A1445" s="9">
        <v>46242</v>
      </c>
      <c r="B1445" t="s">
        <v>422</v>
      </c>
      <c r="C1445" t="s">
        <v>423</v>
      </c>
      <c r="D1445" t="s">
        <v>68</v>
      </c>
      <c r="E1445" t="s">
        <v>649</v>
      </c>
      <c r="F1445" t="s">
        <v>663</v>
      </c>
      <c r="G1445" s="10">
        <v>4</v>
      </c>
      <c r="H1445" s="10">
        <v>1949</v>
      </c>
      <c r="I1445" s="10">
        <v>7796</v>
      </c>
      <c r="J1445" t="s">
        <v>51</v>
      </c>
      <c r="K1445" s="11">
        <v>648.20000000000005</v>
      </c>
      <c r="L1445" s="12">
        <v>12.03</v>
      </c>
    </row>
    <row r="1446" spans="1:12" x14ac:dyDescent="0.2">
      <c r="A1446" s="9">
        <v>46242</v>
      </c>
      <c r="B1446" t="s">
        <v>442</v>
      </c>
      <c r="C1446" t="s">
        <v>443</v>
      </c>
      <c r="D1446" t="s">
        <v>41</v>
      </c>
      <c r="E1446" t="s">
        <v>647</v>
      </c>
      <c r="F1446" t="s">
        <v>667</v>
      </c>
      <c r="G1446" s="10">
        <v>7</v>
      </c>
      <c r="H1446" s="10">
        <v>35579</v>
      </c>
      <c r="I1446" s="10">
        <v>249053</v>
      </c>
      <c r="J1446" t="s">
        <v>42</v>
      </c>
      <c r="K1446" s="11">
        <v>3145.8</v>
      </c>
      <c r="L1446" s="12">
        <v>79.17</v>
      </c>
    </row>
    <row r="1447" spans="1:12" x14ac:dyDescent="0.2">
      <c r="A1447" s="9">
        <v>46242</v>
      </c>
      <c r="B1447" t="s">
        <v>448</v>
      </c>
      <c r="C1447" t="s">
        <v>449</v>
      </c>
      <c r="D1447" t="s">
        <v>75</v>
      </c>
      <c r="E1447" t="s">
        <v>655</v>
      </c>
      <c r="F1447" t="s">
        <v>662</v>
      </c>
      <c r="G1447" s="10">
        <v>26</v>
      </c>
      <c r="H1447" s="10">
        <v>5414</v>
      </c>
      <c r="I1447" s="10">
        <v>140764</v>
      </c>
      <c r="J1447" t="s">
        <v>42</v>
      </c>
      <c r="K1447" s="11">
        <v>3145.8</v>
      </c>
      <c r="L1447" s="12">
        <v>44.75</v>
      </c>
    </row>
    <row r="1448" spans="1:12" x14ac:dyDescent="0.2">
      <c r="A1448" s="9">
        <v>46242</v>
      </c>
      <c r="B1448" t="s">
        <v>454</v>
      </c>
      <c r="C1448" t="s">
        <v>455</v>
      </c>
      <c r="D1448" t="s">
        <v>41</v>
      </c>
      <c r="E1448" t="s">
        <v>647</v>
      </c>
      <c r="F1448" t="s">
        <v>648</v>
      </c>
      <c r="G1448" s="10">
        <v>10</v>
      </c>
      <c r="H1448" s="10">
        <v>80023</v>
      </c>
      <c r="I1448" s="10">
        <v>800230</v>
      </c>
      <c r="J1448" t="s">
        <v>42</v>
      </c>
      <c r="K1448" s="11">
        <v>3145.8</v>
      </c>
      <c r="L1448" s="12">
        <v>254.38</v>
      </c>
    </row>
    <row r="1449" spans="1:12" x14ac:dyDescent="0.2">
      <c r="A1449" s="9">
        <v>46242</v>
      </c>
      <c r="B1449" t="s">
        <v>454</v>
      </c>
      <c r="C1449" t="s">
        <v>455</v>
      </c>
      <c r="D1449" t="s">
        <v>41</v>
      </c>
      <c r="E1449" t="s">
        <v>655</v>
      </c>
      <c r="F1449" t="s">
        <v>656</v>
      </c>
      <c r="G1449" s="10">
        <v>7</v>
      </c>
      <c r="H1449" s="10">
        <v>2706</v>
      </c>
      <c r="I1449" s="10">
        <v>18942</v>
      </c>
      <c r="J1449" t="s">
        <v>42</v>
      </c>
      <c r="K1449" s="11">
        <v>3145.8</v>
      </c>
      <c r="L1449" s="12">
        <v>6.02</v>
      </c>
    </row>
    <row r="1450" spans="1:12" x14ac:dyDescent="0.2">
      <c r="A1450" s="9">
        <v>46242</v>
      </c>
      <c r="B1450" t="s">
        <v>454</v>
      </c>
      <c r="C1450" t="s">
        <v>455</v>
      </c>
      <c r="D1450" t="s">
        <v>41</v>
      </c>
      <c r="E1450" t="s">
        <v>655</v>
      </c>
      <c r="F1450" t="s">
        <v>665</v>
      </c>
      <c r="G1450" s="10">
        <v>16</v>
      </c>
      <c r="H1450" s="10">
        <v>3446</v>
      </c>
      <c r="I1450" s="10">
        <v>55136</v>
      </c>
      <c r="J1450" t="s">
        <v>42</v>
      </c>
      <c r="K1450" s="11">
        <v>3145.8</v>
      </c>
      <c r="L1450" s="12">
        <v>17.53</v>
      </c>
    </row>
    <row r="1451" spans="1:12" x14ac:dyDescent="0.2">
      <c r="A1451" s="9">
        <v>46242</v>
      </c>
      <c r="B1451" t="s">
        <v>457</v>
      </c>
      <c r="C1451" t="s">
        <v>458</v>
      </c>
      <c r="D1451" t="s">
        <v>46</v>
      </c>
      <c r="E1451" t="s">
        <v>655</v>
      </c>
      <c r="F1451" t="s">
        <v>662</v>
      </c>
      <c r="G1451" s="10">
        <v>5</v>
      </c>
      <c r="H1451" s="10">
        <v>1083</v>
      </c>
      <c r="I1451" s="10">
        <v>5415</v>
      </c>
      <c r="J1451" t="s">
        <v>37</v>
      </c>
      <c r="K1451" s="11">
        <v>648.20000000000005</v>
      </c>
      <c r="L1451" s="12">
        <v>8.35</v>
      </c>
    </row>
    <row r="1452" spans="1:12" x14ac:dyDescent="0.2">
      <c r="A1452" s="9">
        <v>46242</v>
      </c>
      <c r="B1452" t="s">
        <v>460</v>
      </c>
      <c r="C1452" t="s">
        <v>461</v>
      </c>
      <c r="D1452" t="s">
        <v>75</v>
      </c>
      <c r="E1452" t="s">
        <v>651</v>
      </c>
      <c r="F1452" t="s">
        <v>657</v>
      </c>
      <c r="G1452" s="10">
        <v>46</v>
      </c>
      <c r="H1452" s="10">
        <v>31472</v>
      </c>
      <c r="I1452" s="10">
        <v>1447712</v>
      </c>
      <c r="J1452" t="s">
        <v>42</v>
      </c>
      <c r="K1452" s="11">
        <v>3145.8</v>
      </c>
      <c r="L1452" s="12">
        <v>460.2</v>
      </c>
    </row>
    <row r="1453" spans="1:12" x14ac:dyDescent="0.2">
      <c r="A1453" s="9">
        <v>46242</v>
      </c>
      <c r="B1453" t="s">
        <v>463</v>
      </c>
      <c r="C1453" t="s">
        <v>464</v>
      </c>
      <c r="D1453" t="s">
        <v>36</v>
      </c>
      <c r="E1453" t="s">
        <v>647</v>
      </c>
      <c r="F1453" t="s">
        <v>668</v>
      </c>
      <c r="G1453" s="10">
        <v>2</v>
      </c>
      <c r="H1453" s="10">
        <v>25628</v>
      </c>
      <c r="I1453" s="10">
        <v>51256</v>
      </c>
      <c r="J1453" t="s">
        <v>37</v>
      </c>
      <c r="K1453" s="11">
        <v>648.20000000000005</v>
      </c>
      <c r="L1453" s="12">
        <v>79.069999999999993</v>
      </c>
    </row>
    <row r="1454" spans="1:12" x14ac:dyDescent="0.2">
      <c r="A1454" s="9">
        <v>46242</v>
      </c>
      <c r="B1454" t="s">
        <v>466</v>
      </c>
      <c r="C1454" t="s">
        <v>467</v>
      </c>
      <c r="D1454" t="s">
        <v>50</v>
      </c>
      <c r="E1454" t="s">
        <v>653</v>
      </c>
      <c r="F1454" t="s">
        <v>658</v>
      </c>
      <c r="G1454" s="10">
        <v>12</v>
      </c>
      <c r="H1454" s="10">
        <v>2794</v>
      </c>
      <c r="I1454" s="10">
        <v>33528</v>
      </c>
      <c r="J1454" t="s">
        <v>51</v>
      </c>
      <c r="K1454" s="11">
        <v>648.20000000000005</v>
      </c>
      <c r="L1454" s="12">
        <v>51.72</v>
      </c>
    </row>
    <row r="1455" spans="1:12" x14ac:dyDescent="0.2">
      <c r="A1455" s="9">
        <v>46242</v>
      </c>
      <c r="B1455" t="s">
        <v>469</v>
      </c>
      <c r="C1455" t="s">
        <v>470</v>
      </c>
      <c r="D1455" t="s">
        <v>41</v>
      </c>
      <c r="E1455" t="s">
        <v>649</v>
      </c>
      <c r="F1455" t="s">
        <v>663</v>
      </c>
      <c r="G1455" s="10">
        <v>40</v>
      </c>
      <c r="H1455" s="10">
        <v>10158</v>
      </c>
      <c r="I1455" s="10">
        <v>406320</v>
      </c>
      <c r="J1455" t="s">
        <v>42</v>
      </c>
      <c r="K1455" s="11">
        <v>3145.8</v>
      </c>
      <c r="L1455" s="12">
        <v>129.16</v>
      </c>
    </row>
    <row r="1456" spans="1:12" x14ac:dyDescent="0.2">
      <c r="A1456" s="9">
        <v>46242</v>
      </c>
      <c r="B1456" t="s">
        <v>469</v>
      </c>
      <c r="C1456" t="s">
        <v>470</v>
      </c>
      <c r="D1456" t="s">
        <v>41</v>
      </c>
      <c r="E1456" t="s">
        <v>647</v>
      </c>
      <c r="F1456" t="s">
        <v>668</v>
      </c>
      <c r="G1456" s="10">
        <v>27</v>
      </c>
      <c r="H1456" s="10">
        <v>123772</v>
      </c>
      <c r="I1456" s="10">
        <v>3341844</v>
      </c>
      <c r="J1456" t="s">
        <v>42</v>
      </c>
      <c r="K1456" s="11">
        <v>3145.8</v>
      </c>
      <c r="L1456" s="12">
        <v>1062.32</v>
      </c>
    </row>
    <row r="1457" spans="1:12" x14ac:dyDescent="0.2">
      <c r="A1457" s="9">
        <v>46242</v>
      </c>
      <c r="B1457" t="s">
        <v>469</v>
      </c>
      <c r="C1457" t="s">
        <v>470</v>
      </c>
      <c r="D1457" t="s">
        <v>41</v>
      </c>
      <c r="E1457" t="s">
        <v>647</v>
      </c>
      <c r="F1457" t="s">
        <v>668</v>
      </c>
      <c r="G1457" s="10">
        <v>16</v>
      </c>
      <c r="H1457" s="10">
        <v>118274</v>
      </c>
      <c r="I1457" s="10">
        <v>1892384</v>
      </c>
      <c r="J1457" t="s">
        <v>42</v>
      </c>
      <c r="K1457" s="11">
        <v>3145.8</v>
      </c>
      <c r="L1457" s="12">
        <v>601.55999999999995</v>
      </c>
    </row>
    <row r="1458" spans="1:12" x14ac:dyDescent="0.2">
      <c r="A1458" s="9">
        <v>46242</v>
      </c>
      <c r="B1458" t="s">
        <v>475</v>
      </c>
      <c r="C1458" t="s">
        <v>476</v>
      </c>
      <c r="D1458" t="s">
        <v>75</v>
      </c>
      <c r="E1458" t="s">
        <v>649</v>
      </c>
      <c r="F1458" t="s">
        <v>659</v>
      </c>
      <c r="G1458" s="10">
        <v>30</v>
      </c>
      <c r="H1458" s="10">
        <v>41501</v>
      </c>
      <c r="I1458" s="10">
        <v>1245030</v>
      </c>
      <c r="J1458" t="s">
        <v>42</v>
      </c>
      <c r="K1458" s="11">
        <v>3145.8</v>
      </c>
      <c r="L1458" s="12">
        <v>395.78</v>
      </c>
    </row>
    <row r="1459" spans="1:12" x14ac:dyDescent="0.2">
      <c r="A1459" s="9">
        <v>46242</v>
      </c>
      <c r="B1459" t="s">
        <v>475</v>
      </c>
      <c r="C1459" t="s">
        <v>476</v>
      </c>
      <c r="D1459" t="s">
        <v>75</v>
      </c>
      <c r="E1459" t="s">
        <v>653</v>
      </c>
      <c r="F1459" t="s">
        <v>654</v>
      </c>
      <c r="G1459" s="10">
        <v>16</v>
      </c>
      <c r="H1459" s="10">
        <v>27104</v>
      </c>
      <c r="I1459" s="10">
        <v>433664</v>
      </c>
      <c r="J1459" t="s">
        <v>42</v>
      </c>
      <c r="K1459" s="11">
        <v>3145.8</v>
      </c>
      <c r="L1459" s="12">
        <v>137.85</v>
      </c>
    </row>
    <row r="1460" spans="1:12" x14ac:dyDescent="0.2">
      <c r="A1460" s="9">
        <v>46242</v>
      </c>
      <c r="B1460" t="s">
        <v>478</v>
      </c>
      <c r="C1460" t="s">
        <v>479</v>
      </c>
      <c r="D1460" t="s">
        <v>75</v>
      </c>
      <c r="E1460" t="s">
        <v>649</v>
      </c>
      <c r="F1460" t="s">
        <v>650</v>
      </c>
      <c r="G1460" s="10">
        <v>6</v>
      </c>
      <c r="H1460" s="10">
        <v>95116</v>
      </c>
      <c r="I1460" s="10">
        <v>570696</v>
      </c>
      <c r="J1460" t="s">
        <v>42</v>
      </c>
      <c r="K1460" s="11">
        <v>3145.8</v>
      </c>
      <c r="L1460" s="12">
        <v>181.42</v>
      </c>
    </row>
    <row r="1461" spans="1:12" x14ac:dyDescent="0.2">
      <c r="A1461" s="9">
        <v>46242</v>
      </c>
      <c r="B1461" t="s">
        <v>478</v>
      </c>
      <c r="C1461" t="s">
        <v>479</v>
      </c>
      <c r="D1461" t="s">
        <v>75</v>
      </c>
      <c r="E1461" t="s">
        <v>647</v>
      </c>
      <c r="F1461" t="s">
        <v>668</v>
      </c>
      <c r="G1461" s="10">
        <v>5</v>
      </c>
      <c r="H1461" s="10">
        <v>118120</v>
      </c>
      <c r="I1461" s="10">
        <v>590600</v>
      </c>
      <c r="J1461" t="s">
        <v>42</v>
      </c>
      <c r="K1461" s="11">
        <v>3145.8</v>
      </c>
      <c r="L1461" s="12">
        <v>187.74</v>
      </c>
    </row>
    <row r="1462" spans="1:12" x14ac:dyDescent="0.2">
      <c r="A1462" s="9">
        <v>46242</v>
      </c>
      <c r="B1462" t="s">
        <v>483</v>
      </c>
      <c r="C1462" t="s">
        <v>340</v>
      </c>
      <c r="D1462" t="s">
        <v>46</v>
      </c>
      <c r="E1462" t="s">
        <v>660</v>
      </c>
      <c r="F1462" t="s">
        <v>661</v>
      </c>
      <c r="G1462" s="10">
        <v>7</v>
      </c>
      <c r="H1462" s="10">
        <v>4184</v>
      </c>
      <c r="I1462" s="10">
        <v>29288</v>
      </c>
      <c r="J1462" t="s">
        <v>37</v>
      </c>
      <c r="K1462" s="11">
        <v>648.20000000000005</v>
      </c>
      <c r="L1462" s="12">
        <v>45.18</v>
      </c>
    </row>
    <row r="1463" spans="1:12" x14ac:dyDescent="0.2">
      <c r="A1463" s="9">
        <v>46242</v>
      </c>
      <c r="B1463" t="s">
        <v>485</v>
      </c>
      <c r="C1463" t="s">
        <v>486</v>
      </c>
      <c r="D1463" t="s">
        <v>41</v>
      </c>
      <c r="E1463" t="s">
        <v>647</v>
      </c>
      <c r="F1463" t="s">
        <v>668</v>
      </c>
      <c r="G1463" s="10">
        <v>11</v>
      </c>
      <c r="H1463" s="10">
        <v>125193</v>
      </c>
      <c r="I1463" s="10">
        <v>1377123</v>
      </c>
      <c r="J1463" t="s">
        <v>42</v>
      </c>
      <c r="K1463" s="11">
        <v>3145.8</v>
      </c>
      <c r="L1463" s="12">
        <v>437.77</v>
      </c>
    </row>
    <row r="1464" spans="1:12" x14ac:dyDescent="0.2">
      <c r="A1464" s="9">
        <v>46242</v>
      </c>
      <c r="B1464" t="s">
        <v>488</v>
      </c>
      <c r="C1464" t="s">
        <v>489</v>
      </c>
      <c r="D1464" t="s">
        <v>46</v>
      </c>
      <c r="E1464" t="s">
        <v>653</v>
      </c>
      <c r="F1464" t="s">
        <v>654</v>
      </c>
      <c r="G1464" s="10">
        <v>13</v>
      </c>
      <c r="H1464" s="10">
        <v>5576</v>
      </c>
      <c r="I1464" s="10">
        <v>72488</v>
      </c>
      <c r="J1464" t="s">
        <v>37</v>
      </c>
      <c r="K1464" s="11">
        <v>648.20000000000005</v>
      </c>
      <c r="L1464" s="12">
        <v>111.83</v>
      </c>
    </row>
    <row r="1465" spans="1:12" x14ac:dyDescent="0.2">
      <c r="A1465" s="9">
        <v>46242</v>
      </c>
      <c r="B1465" t="s">
        <v>491</v>
      </c>
      <c r="C1465" t="s">
        <v>125</v>
      </c>
      <c r="D1465" t="s">
        <v>75</v>
      </c>
      <c r="E1465" t="s">
        <v>660</v>
      </c>
      <c r="F1465" t="s">
        <v>669</v>
      </c>
      <c r="G1465" s="10">
        <v>13</v>
      </c>
      <c r="H1465" s="10">
        <v>12463</v>
      </c>
      <c r="I1465" s="10">
        <v>162019</v>
      </c>
      <c r="J1465" t="s">
        <v>42</v>
      </c>
      <c r="K1465" s="11">
        <v>3145.8</v>
      </c>
      <c r="L1465" s="12">
        <v>51.5</v>
      </c>
    </row>
    <row r="1466" spans="1:12" x14ac:dyDescent="0.2">
      <c r="A1466" s="9">
        <v>46242</v>
      </c>
      <c r="B1466" t="s">
        <v>496</v>
      </c>
      <c r="C1466" t="s">
        <v>497</v>
      </c>
      <c r="D1466" t="s">
        <v>41</v>
      </c>
      <c r="E1466" t="s">
        <v>649</v>
      </c>
      <c r="F1466" t="s">
        <v>659</v>
      </c>
      <c r="G1466" s="10">
        <v>24</v>
      </c>
      <c r="H1466" s="10">
        <v>42527</v>
      </c>
      <c r="I1466" s="10">
        <v>1020648</v>
      </c>
      <c r="J1466" t="s">
        <v>42</v>
      </c>
      <c r="K1466" s="11">
        <v>3145.8</v>
      </c>
      <c r="L1466" s="12">
        <v>324.45</v>
      </c>
    </row>
    <row r="1467" spans="1:12" x14ac:dyDescent="0.2">
      <c r="A1467" s="9">
        <v>46242</v>
      </c>
      <c r="B1467" t="s">
        <v>514</v>
      </c>
      <c r="C1467" t="s">
        <v>515</v>
      </c>
      <c r="D1467" t="s">
        <v>41</v>
      </c>
      <c r="E1467" t="s">
        <v>649</v>
      </c>
      <c r="F1467" t="s">
        <v>659</v>
      </c>
      <c r="G1467" s="10">
        <v>5</v>
      </c>
      <c r="H1467" s="10">
        <v>41651</v>
      </c>
      <c r="I1467" s="10">
        <v>208255</v>
      </c>
      <c r="J1467" t="s">
        <v>42</v>
      </c>
      <c r="K1467" s="11">
        <v>3145.8</v>
      </c>
      <c r="L1467" s="12">
        <v>66.2</v>
      </c>
    </row>
    <row r="1468" spans="1:12" x14ac:dyDescent="0.2">
      <c r="A1468" s="9">
        <v>46242</v>
      </c>
      <c r="B1468" t="s">
        <v>517</v>
      </c>
      <c r="C1468" t="s">
        <v>518</v>
      </c>
      <c r="D1468" t="s">
        <v>41</v>
      </c>
      <c r="E1468" t="s">
        <v>655</v>
      </c>
      <c r="F1468" t="s">
        <v>665</v>
      </c>
      <c r="G1468" s="10">
        <v>25</v>
      </c>
      <c r="H1468" s="10">
        <v>3325</v>
      </c>
      <c r="I1468" s="10">
        <v>83125</v>
      </c>
      <c r="J1468" t="s">
        <v>42</v>
      </c>
      <c r="K1468" s="11">
        <v>3145.8</v>
      </c>
      <c r="L1468" s="12">
        <v>26.42</v>
      </c>
    </row>
    <row r="1469" spans="1:12" x14ac:dyDescent="0.2">
      <c r="A1469" s="9">
        <v>46242</v>
      </c>
      <c r="B1469" t="s">
        <v>520</v>
      </c>
      <c r="C1469" t="s">
        <v>489</v>
      </c>
      <c r="D1469" t="s">
        <v>46</v>
      </c>
      <c r="E1469" t="s">
        <v>647</v>
      </c>
      <c r="F1469" t="s">
        <v>667</v>
      </c>
      <c r="G1469" s="10">
        <v>13</v>
      </c>
      <c r="H1469" s="10">
        <v>7534</v>
      </c>
      <c r="I1469" s="10">
        <v>97942</v>
      </c>
      <c r="J1469" t="s">
        <v>37</v>
      </c>
      <c r="K1469" s="11">
        <v>648.20000000000005</v>
      </c>
      <c r="L1469" s="12">
        <v>151.1</v>
      </c>
    </row>
    <row r="1470" spans="1:12" x14ac:dyDescent="0.2">
      <c r="A1470" s="9">
        <v>46242</v>
      </c>
      <c r="B1470" t="s">
        <v>525</v>
      </c>
      <c r="C1470" t="s">
        <v>526</v>
      </c>
      <c r="D1470" t="s">
        <v>46</v>
      </c>
      <c r="E1470" t="s">
        <v>653</v>
      </c>
      <c r="F1470" t="s">
        <v>658</v>
      </c>
      <c r="G1470" s="10">
        <v>7</v>
      </c>
      <c r="H1470" s="10">
        <v>2754</v>
      </c>
      <c r="I1470" s="10">
        <v>19278</v>
      </c>
      <c r="J1470" t="s">
        <v>37</v>
      </c>
      <c r="K1470" s="11">
        <v>648.20000000000005</v>
      </c>
      <c r="L1470" s="12">
        <v>29.74</v>
      </c>
    </row>
    <row r="1471" spans="1:12" x14ac:dyDescent="0.2">
      <c r="A1471" s="9">
        <v>46242</v>
      </c>
      <c r="B1471" t="s">
        <v>525</v>
      </c>
      <c r="C1471" t="s">
        <v>526</v>
      </c>
      <c r="D1471" t="s">
        <v>46</v>
      </c>
      <c r="E1471" t="s">
        <v>660</v>
      </c>
      <c r="F1471" t="s">
        <v>669</v>
      </c>
      <c r="G1471" s="10">
        <v>5</v>
      </c>
      <c r="H1471" s="10">
        <v>2513</v>
      </c>
      <c r="I1471" s="10">
        <v>12565</v>
      </c>
      <c r="J1471" t="s">
        <v>37</v>
      </c>
      <c r="K1471" s="11">
        <v>648.20000000000005</v>
      </c>
      <c r="L1471" s="12">
        <v>19.38</v>
      </c>
    </row>
    <row r="1472" spans="1:12" x14ac:dyDescent="0.2">
      <c r="A1472" s="9">
        <v>46242</v>
      </c>
      <c r="B1472" t="s">
        <v>525</v>
      </c>
      <c r="C1472" t="s">
        <v>526</v>
      </c>
      <c r="D1472" t="s">
        <v>46</v>
      </c>
      <c r="E1472" t="s">
        <v>655</v>
      </c>
      <c r="F1472" t="s">
        <v>656</v>
      </c>
      <c r="G1472" s="10">
        <v>18</v>
      </c>
      <c r="H1472" s="10">
        <v>562</v>
      </c>
      <c r="I1472" s="10">
        <v>10116</v>
      </c>
      <c r="J1472" t="s">
        <v>37</v>
      </c>
      <c r="K1472" s="11">
        <v>648.20000000000005</v>
      </c>
      <c r="L1472" s="12">
        <v>15.61</v>
      </c>
    </row>
    <row r="1473" spans="1:12" x14ac:dyDescent="0.2">
      <c r="A1473" s="9">
        <v>46242</v>
      </c>
      <c r="B1473" t="s">
        <v>525</v>
      </c>
      <c r="C1473" t="s">
        <v>526</v>
      </c>
      <c r="D1473" t="s">
        <v>46</v>
      </c>
      <c r="E1473" t="s">
        <v>651</v>
      </c>
      <c r="F1473" t="s">
        <v>657</v>
      </c>
      <c r="G1473" s="10">
        <v>6</v>
      </c>
      <c r="H1473" s="10">
        <v>6268</v>
      </c>
      <c r="I1473" s="10">
        <v>37608</v>
      </c>
      <c r="J1473" t="s">
        <v>37</v>
      </c>
      <c r="K1473" s="11">
        <v>648.20000000000005</v>
      </c>
      <c r="L1473" s="12">
        <v>58.02</v>
      </c>
    </row>
    <row r="1474" spans="1:12" x14ac:dyDescent="0.2">
      <c r="A1474" s="9">
        <v>46242</v>
      </c>
      <c r="B1474" t="s">
        <v>528</v>
      </c>
      <c r="C1474" t="s">
        <v>529</v>
      </c>
      <c r="D1474" t="s">
        <v>46</v>
      </c>
      <c r="E1474" t="s">
        <v>649</v>
      </c>
      <c r="F1474" t="s">
        <v>659</v>
      </c>
      <c r="G1474" s="10">
        <v>52</v>
      </c>
      <c r="H1474" s="10">
        <v>8863</v>
      </c>
      <c r="I1474" s="10">
        <v>460876</v>
      </c>
      <c r="J1474" t="s">
        <v>37</v>
      </c>
      <c r="K1474" s="11">
        <v>648.20000000000005</v>
      </c>
      <c r="L1474" s="12">
        <v>711.01</v>
      </c>
    </row>
    <row r="1475" spans="1:12" x14ac:dyDescent="0.2">
      <c r="A1475" s="9">
        <v>46242</v>
      </c>
      <c r="B1475" t="s">
        <v>528</v>
      </c>
      <c r="C1475" t="s">
        <v>529</v>
      </c>
      <c r="D1475" t="s">
        <v>46</v>
      </c>
      <c r="E1475" t="s">
        <v>655</v>
      </c>
      <c r="F1475" t="s">
        <v>662</v>
      </c>
      <c r="G1475" s="10">
        <v>82</v>
      </c>
      <c r="H1475" s="10">
        <v>1148</v>
      </c>
      <c r="I1475" s="10">
        <v>94136</v>
      </c>
      <c r="J1475" t="s">
        <v>37</v>
      </c>
      <c r="K1475" s="11">
        <v>648.20000000000005</v>
      </c>
      <c r="L1475" s="12">
        <v>145.22999999999999</v>
      </c>
    </row>
    <row r="1476" spans="1:12" x14ac:dyDescent="0.2">
      <c r="A1476" s="9">
        <v>46242</v>
      </c>
      <c r="B1476" t="s">
        <v>528</v>
      </c>
      <c r="C1476" t="s">
        <v>529</v>
      </c>
      <c r="D1476" t="s">
        <v>46</v>
      </c>
      <c r="E1476" t="s">
        <v>660</v>
      </c>
      <c r="F1476" t="s">
        <v>669</v>
      </c>
      <c r="G1476" s="10">
        <v>54</v>
      </c>
      <c r="H1476" s="10">
        <v>2617</v>
      </c>
      <c r="I1476" s="10">
        <v>141318</v>
      </c>
      <c r="J1476" t="s">
        <v>37</v>
      </c>
      <c r="K1476" s="11">
        <v>648.20000000000005</v>
      </c>
      <c r="L1476" s="12">
        <v>218.02</v>
      </c>
    </row>
    <row r="1477" spans="1:12" x14ac:dyDescent="0.2">
      <c r="A1477" s="9">
        <v>46242</v>
      </c>
      <c r="B1477" t="s">
        <v>528</v>
      </c>
      <c r="C1477" t="s">
        <v>529</v>
      </c>
      <c r="D1477" t="s">
        <v>46</v>
      </c>
      <c r="E1477" t="s">
        <v>660</v>
      </c>
      <c r="F1477" t="s">
        <v>670</v>
      </c>
      <c r="G1477" s="10">
        <v>45</v>
      </c>
      <c r="H1477" s="10">
        <v>14112</v>
      </c>
      <c r="I1477" s="10">
        <v>635040</v>
      </c>
      <c r="J1477" t="s">
        <v>37</v>
      </c>
      <c r="K1477" s="11">
        <v>648.20000000000005</v>
      </c>
      <c r="L1477" s="12">
        <v>979.7</v>
      </c>
    </row>
    <row r="1478" spans="1:12" x14ac:dyDescent="0.2">
      <c r="A1478" s="9">
        <v>46242</v>
      </c>
      <c r="B1478" t="s">
        <v>528</v>
      </c>
      <c r="C1478" t="s">
        <v>529</v>
      </c>
      <c r="D1478" t="s">
        <v>46</v>
      </c>
      <c r="E1478" t="s">
        <v>647</v>
      </c>
      <c r="F1478" t="s">
        <v>648</v>
      </c>
      <c r="G1478" s="10">
        <v>39</v>
      </c>
      <c r="H1478" s="10">
        <v>15926</v>
      </c>
      <c r="I1478" s="10">
        <v>621114</v>
      </c>
      <c r="J1478" t="s">
        <v>37</v>
      </c>
      <c r="K1478" s="11">
        <v>648.20000000000005</v>
      </c>
      <c r="L1478" s="12">
        <v>958.21</v>
      </c>
    </row>
    <row r="1479" spans="1:12" x14ac:dyDescent="0.2">
      <c r="A1479" s="9">
        <v>46242</v>
      </c>
      <c r="B1479" t="s">
        <v>531</v>
      </c>
      <c r="C1479" t="s">
        <v>532</v>
      </c>
      <c r="D1479" t="s">
        <v>50</v>
      </c>
      <c r="E1479" t="s">
        <v>660</v>
      </c>
      <c r="F1479" t="s">
        <v>669</v>
      </c>
      <c r="G1479" s="10">
        <v>22</v>
      </c>
      <c r="H1479" s="10">
        <v>2591</v>
      </c>
      <c r="I1479" s="10">
        <v>57002</v>
      </c>
      <c r="J1479" t="s">
        <v>51</v>
      </c>
      <c r="K1479" s="11">
        <v>648.20000000000005</v>
      </c>
      <c r="L1479" s="12">
        <v>87.94</v>
      </c>
    </row>
    <row r="1480" spans="1:12" x14ac:dyDescent="0.2">
      <c r="A1480" s="9">
        <v>46242</v>
      </c>
      <c r="B1480" t="s">
        <v>531</v>
      </c>
      <c r="C1480" t="s">
        <v>532</v>
      </c>
      <c r="D1480" t="s">
        <v>50</v>
      </c>
      <c r="E1480" t="s">
        <v>647</v>
      </c>
      <c r="F1480" t="s">
        <v>667</v>
      </c>
      <c r="G1480" s="10">
        <v>16</v>
      </c>
      <c r="H1480" s="10">
        <v>7351</v>
      </c>
      <c r="I1480" s="10">
        <v>117616</v>
      </c>
      <c r="J1480" t="s">
        <v>51</v>
      </c>
      <c r="K1480" s="11">
        <v>648.20000000000005</v>
      </c>
      <c r="L1480" s="12">
        <v>181.45</v>
      </c>
    </row>
    <row r="1481" spans="1:12" x14ac:dyDescent="0.2">
      <c r="A1481" s="9">
        <v>46242</v>
      </c>
      <c r="B1481" t="s">
        <v>534</v>
      </c>
      <c r="C1481" t="s">
        <v>535</v>
      </c>
      <c r="D1481" t="s">
        <v>36</v>
      </c>
      <c r="E1481" t="s">
        <v>660</v>
      </c>
      <c r="F1481" t="s">
        <v>669</v>
      </c>
      <c r="G1481" s="10">
        <v>11</v>
      </c>
      <c r="H1481" s="10">
        <v>2575</v>
      </c>
      <c r="I1481" s="10">
        <v>28325</v>
      </c>
      <c r="J1481" t="s">
        <v>37</v>
      </c>
      <c r="K1481" s="11">
        <v>648.20000000000005</v>
      </c>
      <c r="L1481" s="12">
        <v>43.7</v>
      </c>
    </row>
    <row r="1482" spans="1:12" x14ac:dyDescent="0.2">
      <c r="A1482" s="9">
        <v>46242</v>
      </c>
      <c r="B1482" t="s">
        <v>534</v>
      </c>
      <c r="C1482" t="s">
        <v>535</v>
      </c>
      <c r="D1482" t="s">
        <v>36</v>
      </c>
      <c r="E1482" t="s">
        <v>660</v>
      </c>
      <c r="F1482" t="s">
        <v>670</v>
      </c>
      <c r="G1482" s="10">
        <v>21</v>
      </c>
      <c r="H1482" s="10">
        <v>14740</v>
      </c>
      <c r="I1482" s="10">
        <v>309540</v>
      </c>
      <c r="J1482" t="s">
        <v>37</v>
      </c>
      <c r="K1482" s="11">
        <v>648.20000000000005</v>
      </c>
      <c r="L1482" s="12">
        <v>477.54</v>
      </c>
    </row>
    <row r="1483" spans="1:12" x14ac:dyDescent="0.2">
      <c r="A1483" s="9">
        <v>46242</v>
      </c>
      <c r="B1483" t="s">
        <v>534</v>
      </c>
      <c r="C1483" t="s">
        <v>535</v>
      </c>
      <c r="D1483" t="s">
        <v>36</v>
      </c>
      <c r="E1483" t="s">
        <v>660</v>
      </c>
      <c r="F1483" t="s">
        <v>661</v>
      </c>
      <c r="G1483" s="10">
        <v>3</v>
      </c>
      <c r="H1483" s="10">
        <v>4264</v>
      </c>
      <c r="I1483" s="10">
        <v>12792</v>
      </c>
      <c r="J1483" t="s">
        <v>37</v>
      </c>
      <c r="K1483" s="11">
        <v>648.20000000000005</v>
      </c>
      <c r="L1483" s="12">
        <v>19.73</v>
      </c>
    </row>
    <row r="1484" spans="1:12" x14ac:dyDescent="0.2">
      <c r="A1484" s="9">
        <v>46242</v>
      </c>
      <c r="B1484" t="s">
        <v>540</v>
      </c>
      <c r="C1484" t="s">
        <v>541</v>
      </c>
      <c r="D1484" t="s">
        <v>41</v>
      </c>
      <c r="E1484" t="s">
        <v>647</v>
      </c>
      <c r="F1484" t="s">
        <v>648</v>
      </c>
      <c r="G1484" s="10">
        <v>6</v>
      </c>
      <c r="H1484" s="10">
        <v>79387</v>
      </c>
      <c r="I1484" s="10">
        <v>476322</v>
      </c>
      <c r="J1484" t="s">
        <v>42</v>
      </c>
      <c r="K1484" s="11">
        <v>3145.8</v>
      </c>
      <c r="L1484" s="12">
        <v>151.41999999999999</v>
      </c>
    </row>
    <row r="1485" spans="1:12" x14ac:dyDescent="0.2">
      <c r="A1485" s="9">
        <v>46242</v>
      </c>
      <c r="B1485" t="s">
        <v>543</v>
      </c>
      <c r="C1485" t="s">
        <v>544</v>
      </c>
      <c r="D1485" t="s">
        <v>68</v>
      </c>
      <c r="E1485" t="s">
        <v>649</v>
      </c>
      <c r="F1485" t="s">
        <v>650</v>
      </c>
      <c r="G1485" s="10">
        <v>9</v>
      </c>
      <c r="H1485" s="10">
        <v>19930</v>
      </c>
      <c r="I1485" s="10">
        <v>179370</v>
      </c>
      <c r="J1485" t="s">
        <v>51</v>
      </c>
      <c r="K1485" s="11">
        <v>648.20000000000005</v>
      </c>
      <c r="L1485" s="12">
        <v>276.72000000000003</v>
      </c>
    </row>
    <row r="1486" spans="1:12" x14ac:dyDescent="0.2">
      <c r="A1486" s="9">
        <v>46242</v>
      </c>
      <c r="B1486" t="s">
        <v>543</v>
      </c>
      <c r="C1486" t="s">
        <v>544</v>
      </c>
      <c r="D1486" t="s">
        <v>68</v>
      </c>
      <c r="E1486" t="s">
        <v>655</v>
      </c>
      <c r="F1486" t="s">
        <v>662</v>
      </c>
      <c r="G1486" s="10">
        <v>10</v>
      </c>
      <c r="H1486" s="10">
        <v>1113</v>
      </c>
      <c r="I1486" s="10">
        <v>11130</v>
      </c>
      <c r="J1486" t="s">
        <v>51</v>
      </c>
      <c r="K1486" s="11">
        <v>648.20000000000005</v>
      </c>
      <c r="L1486" s="12">
        <v>17.170000000000002</v>
      </c>
    </row>
    <row r="1487" spans="1:12" x14ac:dyDescent="0.2">
      <c r="A1487" s="9">
        <v>46242</v>
      </c>
      <c r="B1487" t="s">
        <v>546</v>
      </c>
      <c r="C1487" t="s">
        <v>547</v>
      </c>
      <c r="D1487" t="s">
        <v>41</v>
      </c>
      <c r="E1487" t="s">
        <v>653</v>
      </c>
      <c r="F1487" t="s">
        <v>658</v>
      </c>
      <c r="G1487" s="10">
        <v>9</v>
      </c>
      <c r="H1487" s="10">
        <v>12706</v>
      </c>
      <c r="I1487" s="10">
        <v>114354</v>
      </c>
      <c r="J1487" t="s">
        <v>42</v>
      </c>
      <c r="K1487" s="11">
        <v>3145.8</v>
      </c>
      <c r="L1487" s="12">
        <v>36.35</v>
      </c>
    </row>
    <row r="1488" spans="1:12" x14ac:dyDescent="0.2">
      <c r="A1488" s="9">
        <v>46242</v>
      </c>
      <c r="B1488" t="s">
        <v>546</v>
      </c>
      <c r="C1488" t="s">
        <v>547</v>
      </c>
      <c r="D1488" t="s">
        <v>41</v>
      </c>
      <c r="E1488" t="s">
        <v>655</v>
      </c>
      <c r="F1488" t="s">
        <v>662</v>
      </c>
      <c r="G1488" s="10">
        <v>89</v>
      </c>
      <c r="H1488" s="10">
        <v>5663</v>
      </c>
      <c r="I1488" s="10">
        <v>504007</v>
      </c>
      <c r="J1488" t="s">
        <v>42</v>
      </c>
      <c r="K1488" s="11">
        <v>3145.8</v>
      </c>
      <c r="L1488" s="12">
        <v>160.22</v>
      </c>
    </row>
    <row r="1489" spans="1:12" x14ac:dyDescent="0.2">
      <c r="A1489" s="9">
        <v>46242</v>
      </c>
      <c r="B1489" t="s">
        <v>546</v>
      </c>
      <c r="C1489" t="s">
        <v>547</v>
      </c>
      <c r="D1489" t="s">
        <v>41</v>
      </c>
      <c r="E1489" t="s">
        <v>660</v>
      </c>
      <c r="F1489" t="s">
        <v>669</v>
      </c>
      <c r="G1489" s="10">
        <v>13</v>
      </c>
      <c r="H1489" s="10">
        <v>12652</v>
      </c>
      <c r="I1489" s="10">
        <v>164476</v>
      </c>
      <c r="J1489" t="s">
        <v>42</v>
      </c>
      <c r="K1489" s="11">
        <v>3145.8</v>
      </c>
      <c r="L1489" s="12">
        <v>52.28</v>
      </c>
    </row>
    <row r="1490" spans="1:12" x14ac:dyDescent="0.2">
      <c r="A1490" s="9">
        <v>46242</v>
      </c>
      <c r="B1490" t="s">
        <v>546</v>
      </c>
      <c r="C1490" t="s">
        <v>547</v>
      </c>
      <c r="D1490" t="s">
        <v>41</v>
      </c>
      <c r="E1490" t="s">
        <v>660</v>
      </c>
      <c r="F1490" t="s">
        <v>661</v>
      </c>
      <c r="G1490" s="10">
        <v>10</v>
      </c>
      <c r="H1490" s="10">
        <v>20732</v>
      </c>
      <c r="I1490" s="10">
        <v>207320</v>
      </c>
      <c r="J1490" t="s">
        <v>42</v>
      </c>
      <c r="K1490" s="11">
        <v>3145.8</v>
      </c>
      <c r="L1490" s="12">
        <v>65.900000000000006</v>
      </c>
    </row>
    <row r="1491" spans="1:12" x14ac:dyDescent="0.2">
      <c r="A1491" s="9">
        <v>46242</v>
      </c>
      <c r="B1491" t="s">
        <v>546</v>
      </c>
      <c r="C1491" t="s">
        <v>547</v>
      </c>
      <c r="D1491" t="s">
        <v>41</v>
      </c>
      <c r="E1491" t="s">
        <v>647</v>
      </c>
      <c r="F1491" t="s">
        <v>668</v>
      </c>
      <c r="G1491" s="10">
        <v>17</v>
      </c>
      <c r="H1491" s="10">
        <v>119259</v>
      </c>
      <c r="I1491" s="10">
        <v>2027403</v>
      </c>
      <c r="J1491" t="s">
        <v>42</v>
      </c>
      <c r="K1491" s="11">
        <v>3145.8</v>
      </c>
      <c r="L1491" s="12">
        <v>644.48</v>
      </c>
    </row>
    <row r="1492" spans="1:12" x14ac:dyDescent="0.2">
      <c r="A1492" s="9">
        <v>46242</v>
      </c>
      <c r="B1492" t="s">
        <v>549</v>
      </c>
      <c r="C1492" t="s">
        <v>550</v>
      </c>
      <c r="D1492" t="s">
        <v>41</v>
      </c>
      <c r="E1492" t="s">
        <v>660</v>
      </c>
      <c r="F1492" t="s">
        <v>670</v>
      </c>
      <c r="G1492" s="10">
        <v>8</v>
      </c>
      <c r="H1492" s="10">
        <v>68914</v>
      </c>
      <c r="I1492" s="10">
        <v>551312</v>
      </c>
      <c r="J1492" t="s">
        <v>42</v>
      </c>
      <c r="K1492" s="11">
        <v>3145.8</v>
      </c>
      <c r="L1492" s="12">
        <v>175.25</v>
      </c>
    </row>
    <row r="1493" spans="1:12" x14ac:dyDescent="0.2">
      <c r="A1493" s="9">
        <v>46242</v>
      </c>
      <c r="B1493" t="s">
        <v>549</v>
      </c>
      <c r="C1493" t="s">
        <v>550</v>
      </c>
      <c r="D1493" t="s">
        <v>41</v>
      </c>
      <c r="E1493" t="s">
        <v>660</v>
      </c>
      <c r="F1493" t="s">
        <v>670</v>
      </c>
      <c r="G1493" s="10">
        <v>20</v>
      </c>
      <c r="H1493" s="10">
        <v>72921</v>
      </c>
      <c r="I1493" s="10">
        <v>1458420</v>
      </c>
      <c r="J1493" t="s">
        <v>42</v>
      </c>
      <c r="K1493" s="11">
        <v>3145.8</v>
      </c>
      <c r="L1493" s="12">
        <v>463.61</v>
      </c>
    </row>
    <row r="1494" spans="1:12" x14ac:dyDescent="0.2">
      <c r="A1494" s="9">
        <v>46242</v>
      </c>
      <c r="B1494" t="s">
        <v>555</v>
      </c>
      <c r="C1494" t="s">
        <v>556</v>
      </c>
      <c r="D1494" t="s">
        <v>41</v>
      </c>
      <c r="E1494" t="s">
        <v>649</v>
      </c>
      <c r="F1494" t="s">
        <v>650</v>
      </c>
      <c r="G1494" s="10">
        <v>4</v>
      </c>
      <c r="H1494" s="10">
        <v>95570</v>
      </c>
      <c r="I1494" s="10">
        <v>382280</v>
      </c>
      <c r="J1494" t="s">
        <v>42</v>
      </c>
      <c r="K1494" s="11">
        <v>3145.8</v>
      </c>
      <c r="L1494" s="12">
        <v>121.52</v>
      </c>
    </row>
    <row r="1495" spans="1:12" x14ac:dyDescent="0.2">
      <c r="A1495" s="9">
        <v>46242</v>
      </c>
      <c r="B1495" t="s">
        <v>555</v>
      </c>
      <c r="C1495" t="s">
        <v>556</v>
      </c>
      <c r="D1495" t="s">
        <v>41</v>
      </c>
      <c r="E1495" t="s">
        <v>647</v>
      </c>
      <c r="F1495" t="s">
        <v>648</v>
      </c>
      <c r="G1495" s="10">
        <v>18</v>
      </c>
      <c r="H1495" s="10">
        <v>76079</v>
      </c>
      <c r="I1495" s="10">
        <v>1369422</v>
      </c>
      <c r="J1495" t="s">
        <v>42</v>
      </c>
      <c r="K1495" s="11">
        <v>3145.8</v>
      </c>
      <c r="L1495" s="12">
        <v>435.32</v>
      </c>
    </row>
    <row r="1496" spans="1:12" x14ac:dyDescent="0.2">
      <c r="A1496" s="9">
        <v>46242</v>
      </c>
      <c r="B1496" t="s">
        <v>558</v>
      </c>
      <c r="C1496" t="s">
        <v>559</v>
      </c>
      <c r="D1496" t="s">
        <v>75</v>
      </c>
      <c r="E1496" t="s">
        <v>647</v>
      </c>
      <c r="F1496" t="s">
        <v>648</v>
      </c>
      <c r="G1496" s="10">
        <v>4</v>
      </c>
      <c r="H1496" s="10">
        <v>78374</v>
      </c>
      <c r="I1496" s="10">
        <v>313496</v>
      </c>
      <c r="J1496" t="s">
        <v>42</v>
      </c>
      <c r="K1496" s="11">
        <v>3145.8</v>
      </c>
      <c r="L1496" s="12">
        <v>99.66</v>
      </c>
    </row>
    <row r="1497" spans="1:12" x14ac:dyDescent="0.2">
      <c r="A1497" s="9">
        <v>46242</v>
      </c>
      <c r="B1497" t="s">
        <v>561</v>
      </c>
      <c r="C1497" t="s">
        <v>562</v>
      </c>
      <c r="D1497" t="s">
        <v>46</v>
      </c>
      <c r="E1497" t="s">
        <v>651</v>
      </c>
      <c r="F1497" t="s">
        <v>652</v>
      </c>
      <c r="G1497" s="10">
        <v>62</v>
      </c>
      <c r="H1497" s="10">
        <v>9906</v>
      </c>
      <c r="I1497" s="10">
        <v>614172</v>
      </c>
      <c r="J1497" t="s">
        <v>37</v>
      </c>
      <c r="K1497" s="11">
        <v>648.20000000000005</v>
      </c>
      <c r="L1497" s="12">
        <v>947.5</v>
      </c>
    </row>
    <row r="1498" spans="1:12" x14ac:dyDescent="0.2">
      <c r="A1498" s="9">
        <v>46242</v>
      </c>
      <c r="B1498" t="s">
        <v>561</v>
      </c>
      <c r="C1498" t="s">
        <v>562</v>
      </c>
      <c r="D1498" t="s">
        <v>46</v>
      </c>
      <c r="E1498" t="s">
        <v>660</v>
      </c>
      <c r="F1498" t="s">
        <v>669</v>
      </c>
      <c r="G1498" s="10">
        <v>27</v>
      </c>
      <c r="H1498" s="10">
        <v>2606</v>
      </c>
      <c r="I1498" s="10">
        <v>70362</v>
      </c>
      <c r="J1498" t="s">
        <v>37</v>
      </c>
      <c r="K1498" s="11">
        <v>648.20000000000005</v>
      </c>
      <c r="L1498" s="12">
        <v>108.55</v>
      </c>
    </row>
    <row r="1499" spans="1:12" x14ac:dyDescent="0.2">
      <c r="A1499" s="9">
        <v>46242</v>
      </c>
      <c r="B1499" t="s">
        <v>561</v>
      </c>
      <c r="C1499" t="s">
        <v>562</v>
      </c>
      <c r="D1499" t="s">
        <v>46</v>
      </c>
      <c r="E1499" t="s">
        <v>660</v>
      </c>
      <c r="F1499" t="s">
        <v>661</v>
      </c>
      <c r="G1499" s="10">
        <v>12</v>
      </c>
      <c r="H1499" s="10">
        <v>4301</v>
      </c>
      <c r="I1499" s="10">
        <v>51612</v>
      </c>
      <c r="J1499" t="s">
        <v>37</v>
      </c>
      <c r="K1499" s="11">
        <v>648.20000000000005</v>
      </c>
      <c r="L1499" s="12">
        <v>79.62</v>
      </c>
    </row>
    <row r="1500" spans="1:12" x14ac:dyDescent="0.2">
      <c r="A1500" s="9">
        <v>46242</v>
      </c>
      <c r="B1500" t="s">
        <v>579</v>
      </c>
      <c r="C1500" t="s">
        <v>580</v>
      </c>
      <c r="D1500" t="s">
        <v>75</v>
      </c>
      <c r="E1500" t="s">
        <v>649</v>
      </c>
      <c r="F1500" t="s">
        <v>650</v>
      </c>
      <c r="G1500" s="10">
        <v>5</v>
      </c>
      <c r="H1500" s="10">
        <v>96524</v>
      </c>
      <c r="I1500" s="10">
        <v>482620</v>
      </c>
      <c r="J1500" t="s">
        <v>42</v>
      </c>
      <c r="K1500" s="11">
        <v>3145.8</v>
      </c>
      <c r="L1500" s="12">
        <v>153.41999999999999</v>
      </c>
    </row>
    <row r="1501" spans="1:12" x14ac:dyDescent="0.2">
      <c r="A1501" s="9">
        <v>46242</v>
      </c>
      <c r="B1501" t="s">
        <v>579</v>
      </c>
      <c r="C1501" t="s">
        <v>580</v>
      </c>
      <c r="D1501" t="s">
        <v>75</v>
      </c>
      <c r="E1501" t="s">
        <v>655</v>
      </c>
      <c r="F1501" t="s">
        <v>656</v>
      </c>
      <c r="G1501" s="10">
        <v>7</v>
      </c>
      <c r="H1501" s="10">
        <v>2745</v>
      </c>
      <c r="I1501" s="10">
        <v>19215</v>
      </c>
      <c r="J1501" t="s">
        <v>42</v>
      </c>
      <c r="K1501" s="11">
        <v>3145.8</v>
      </c>
      <c r="L1501" s="12">
        <v>6.11</v>
      </c>
    </row>
    <row r="1502" spans="1:12" x14ac:dyDescent="0.2">
      <c r="A1502" s="9">
        <v>46242</v>
      </c>
      <c r="B1502" t="s">
        <v>582</v>
      </c>
      <c r="C1502" t="s">
        <v>583</v>
      </c>
      <c r="D1502" t="s">
        <v>36</v>
      </c>
      <c r="E1502" t="s">
        <v>660</v>
      </c>
      <c r="F1502" t="s">
        <v>661</v>
      </c>
      <c r="G1502" s="10">
        <v>13</v>
      </c>
      <c r="H1502" s="10">
        <v>4169</v>
      </c>
      <c r="I1502" s="10">
        <v>54197</v>
      </c>
      <c r="J1502" t="s">
        <v>37</v>
      </c>
      <c r="K1502" s="11">
        <v>648.20000000000005</v>
      </c>
      <c r="L1502" s="12">
        <v>83.61</v>
      </c>
    </row>
    <row r="1503" spans="1:12" x14ac:dyDescent="0.2">
      <c r="A1503" s="9">
        <v>46242</v>
      </c>
      <c r="B1503" t="s">
        <v>590</v>
      </c>
      <c r="C1503" t="s">
        <v>591</v>
      </c>
      <c r="D1503" t="s">
        <v>41</v>
      </c>
      <c r="E1503" t="s">
        <v>660</v>
      </c>
      <c r="F1503" t="s">
        <v>669</v>
      </c>
      <c r="G1503" s="10">
        <v>26</v>
      </c>
      <c r="H1503" s="10">
        <v>13035</v>
      </c>
      <c r="I1503" s="10">
        <v>338910</v>
      </c>
      <c r="J1503" t="s">
        <v>42</v>
      </c>
      <c r="K1503" s="11">
        <v>3145.8</v>
      </c>
      <c r="L1503" s="12">
        <v>107.73</v>
      </c>
    </row>
    <row r="1504" spans="1:12" x14ac:dyDescent="0.2">
      <c r="A1504" s="9">
        <v>46242</v>
      </c>
      <c r="B1504" t="s">
        <v>599</v>
      </c>
      <c r="C1504" t="s">
        <v>600</v>
      </c>
      <c r="D1504" t="s">
        <v>75</v>
      </c>
      <c r="E1504" t="s">
        <v>660</v>
      </c>
      <c r="F1504" t="s">
        <v>661</v>
      </c>
      <c r="G1504" s="10">
        <v>107</v>
      </c>
      <c r="H1504" s="10">
        <v>20929</v>
      </c>
      <c r="I1504" s="10">
        <v>2239403</v>
      </c>
      <c r="J1504" t="s">
        <v>42</v>
      </c>
      <c r="K1504" s="11">
        <v>3145.8</v>
      </c>
      <c r="L1504" s="12">
        <v>711.87</v>
      </c>
    </row>
    <row r="1505" spans="1:12" x14ac:dyDescent="0.2">
      <c r="A1505" s="9">
        <v>46242</v>
      </c>
      <c r="B1505" t="s">
        <v>602</v>
      </c>
      <c r="C1505" t="s">
        <v>603</v>
      </c>
      <c r="D1505" t="s">
        <v>50</v>
      </c>
      <c r="E1505" t="s">
        <v>655</v>
      </c>
      <c r="F1505" t="s">
        <v>662</v>
      </c>
      <c r="G1505" s="10">
        <v>3</v>
      </c>
      <c r="H1505" s="10">
        <v>1106</v>
      </c>
      <c r="I1505" s="10">
        <v>3318</v>
      </c>
      <c r="J1505" t="s">
        <v>51</v>
      </c>
      <c r="K1505" s="11">
        <v>648.20000000000005</v>
      </c>
      <c r="L1505" s="12">
        <v>5.12</v>
      </c>
    </row>
    <row r="1506" spans="1:12" x14ac:dyDescent="0.2">
      <c r="A1506" s="9">
        <v>46242</v>
      </c>
      <c r="B1506" t="s">
        <v>605</v>
      </c>
      <c r="C1506" t="s">
        <v>606</v>
      </c>
      <c r="D1506" t="s">
        <v>68</v>
      </c>
      <c r="E1506" t="s">
        <v>651</v>
      </c>
      <c r="F1506" t="s">
        <v>664</v>
      </c>
      <c r="G1506" s="10">
        <v>15</v>
      </c>
      <c r="H1506" s="10">
        <v>12119</v>
      </c>
      <c r="I1506" s="10">
        <v>181785</v>
      </c>
      <c r="J1506" t="s">
        <v>51</v>
      </c>
      <c r="K1506" s="11">
        <v>648.20000000000005</v>
      </c>
      <c r="L1506" s="12">
        <v>280.45</v>
      </c>
    </row>
    <row r="1507" spans="1:12" x14ac:dyDescent="0.2">
      <c r="A1507" s="9">
        <v>46242</v>
      </c>
      <c r="B1507" t="s">
        <v>617</v>
      </c>
      <c r="C1507" t="s">
        <v>618</v>
      </c>
      <c r="D1507" t="s">
        <v>75</v>
      </c>
      <c r="E1507" t="s">
        <v>649</v>
      </c>
      <c r="F1507" t="s">
        <v>650</v>
      </c>
      <c r="G1507" s="10">
        <v>7</v>
      </c>
      <c r="H1507" s="10">
        <v>91224</v>
      </c>
      <c r="I1507" s="10">
        <v>638568</v>
      </c>
      <c r="J1507" t="s">
        <v>42</v>
      </c>
      <c r="K1507" s="11">
        <v>3145.8</v>
      </c>
      <c r="L1507" s="12">
        <v>202.99</v>
      </c>
    </row>
    <row r="1508" spans="1:12" x14ac:dyDescent="0.2">
      <c r="A1508" s="9">
        <v>46242</v>
      </c>
      <c r="B1508" t="s">
        <v>617</v>
      </c>
      <c r="C1508" t="s">
        <v>618</v>
      </c>
      <c r="D1508" t="s">
        <v>75</v>
      </c>
      <c r="E1508" t="s">
        <v>651</v>
      </c>
      <c r="F1508" t="s">
        <v>657</v>
      </c>
      <c r="G1508" s="10">
        <v>11</v>
      </c>
      <c r="H1508" s="10">
        <v>30330</v>
      </c>
      <c r="I1508" s="10">
        <v>333630</v>
      </c>
      <c r="J1508" t="s">
        <v>42</v>
      </c>
      <c r="K1508" s="11">
        <v>3145.8</v>
      </c>
      <c r="L1508" s="12">
        <v>106.06</v>
      </c>
    </row>
    <row r="1509" spans="1:12" x14ac:dyDescent="0.2">
      <c r="A1509" s="9">
        <v>46242</v>
      </c>
      <c r="B1509" t="s">
        <v>623</v>
      </c>
      <c r="C1509" t="s">
        <v>624</v>
      </c>
      <c r="D1509" t="s">
        <v>68</v>
      </c>
      <c r="E1509" t="s">
        <v>660</v>
      </c>
      <c r="F1509" t="s">
        <v>661</v>
      </c>
      <c r="G1509" s="10">
        <v>27</v>
      </c>
      <c r="H1509" s="10">
        <v>4162</v>
      </c>
      <c r="I1509" s="10">
        <v>112374</v>
      </c>
      <c r="J1509" t="s">
        <v>51</v>
      </c>
      <c r="K1509" s="11">
        <v>648.20000000000005</v>
      </c>
      <c r="L1509" s="12">
        <v>173.36</v>
      </c>
    </row>
    <row r="1510" spans="1:12" x14ac:dyDescent="0.2">
      <c r="A1510" s="9">
        <v>46242</v>
      </c>
      <c r="B1510" t="s">
        <v>626</v>
      </c>
      <c r="C1510" t="s">
        <v>627</v>
      </c>
      <c r="D1510" t="s">
        <v>50</v>
      </c>
      <c r="E1510" t="s">
        <v>649</v>
      </c>
      <c r="F1510" t="s">
        <v>663</v>
      </c>
      <c r="G1510" s="10">
        <v>6</v>
      </c>
      <c r="H1510" s="10">
        <v>1964</v>
      </c>
      <c r="I1510" s="10">
        <v>11784</v>
      </c>
      <c r="J1510" t="s">
        <v>51</v>
      </c>
      <c r="K1510" s="11">
        <v>648.20000000000005</v>
      </c>
      <c r="L1510" s="12">
        <v>18.18</v>
      </c>
    </row>
    <row r="1511" spans="1:12" x14ac:dyDescent="0.2">
      <c r="A1511" s="9">
        <v>46242</v>
      </c>
      <c r="B1511" t="s">
        <v>629</v>
      </c>
      <c r="C1511" t="s">
        <v>630</v>
      </c>
      <c r="D1511" t="s">
        <v>46</v>
      </c>
      <c r="E1511" t="s">
        <v>649</v>
      </c>
      <c r="F1511" t="s">
        <v>659</v>
      </c>
      <c r="G1511" s="10">
        <v>5</v>
      </c>
      <c r="H1511" s="10">
        <v>8716</v>
      </c>
      <c r="I1511" s="10">
        <v>43580</v>
      </c>
      <c r="J1511" t="s">
        <v>37</v>
      </c>
      <c r="K1511" s="11">
        <v>648.20000000000005</v>
      </c>
      <c r="L1511" s="12">
        <v>67.23</v>
      </c>
    </row>
    <row r="1512" spans="1:12" x14ac:dyDescent="0.2">
      <c r="A1512" s="9">
        <v>46242</v>
      </c>
      <c r="B1512" t="s">
        <v>629</v>
      </c>
      <c r="C1512" t="s">
        <v>630</v>
      </c>
      <c r="D1512" t="s">
        <v>46</v>
      </c>
      <c r="E1512" t="s">
        <v>660</v>
      </c>
      <c r="F1512" t="s">
        <v>661</v>
      </c>
      <c r="G1512" s="10">
        <v>10</v>
      </c>
      <c r="H1512" s="10">
        <v>4147</v>
      </c>
      <c r="I1512" s="10">
        <v>41470</v>
      </c>
      <c r="J1512" t="s">
        <v>37</v>
      </c>
      <c r="K1512" s="11">
        <v>648.20000000000005</v>
      </c>
      <c r="L1512" s="12">
        <v>63.98</v>
      </c>
    </row>
    <row r="1513" spans="1:12" x14ac:dyDescent="0.2">
      <c r="A1513" s="9">
        <v>46242</v>
      </c>
      <c r="B1513" t="s">
        <v>629</v>
      </c>
      <c r="C1513" t="s">
        <v>630</v>
      </c>
      <c r="D1513" t="s">
        <v>46</v>
      </c>
      <c r="E1513" t="s">
        <v>647</v>
      </c>
      <c r="F1513" t="s">
        <v>648</v>
      </c>
      <c r="G1513" s="10">
        <v>11</v>
      </c>
      <c r="H1513" s="10">
        <v>16599</v>
      </c>
      <c r="I1513" s="10">
        <v>182589</v>
      </c>
      <c r="J1513" t="s">
        <v>37</v>
      </c>
      <c r="K1513" s="11">
        <v>648.20000000000005</v>
      </c>
      <c r="L1513" s="12">
        <v>281.69</v>
      </c>
    </row>
    <row r="1514" spans="1:12" x14ac:dyDescent="0.2">
      <c r="A1514" s="9">
        <v>46242</v>
      </c>
      <c r="B1514" t="s">
        <v>632</v>
      </c>
      <c r="C1514" t="s">
        <v>633</v>
      </c>
      <c r="D1514" t="s">
        <v>68</v>
      </c>
      <c r="E1514" t="s">
        <v>649</v>
      </c>
      <c r="F1514" t="s">
        <v>650</v>
      </c>
      <c r="G1514" s="10">
        <v>1</v>
      </c>
      <c r="H1514" s="10">
        <v>19833</v>
      </c>
      <c r="I1514" s="10">
        <v>19833</v>
      </c>
      <c r="J1514" t="s">
        <v>51</v>
      </c>
      <c r="K1514" s="11">
        <v>648.20000000000005</v>
      </c>
      <c r="L1514" s="12">
        <v>30.6</v>
      </c>
    </row>
    <row r="1515" spans="1:12" x14ac:dyDescent="0.2">
      <c r="A1515" s="9">
        <v>46242</v>
      </c>
      <c r="B1515" t="s">
        <v>632</v>
      </c>
      <c r="C1515" t="s">
        <v>633</v>
      </c>
      <c r="D1515" t="s">
        <v>68</v>
      </c>
      <c r="E1515" t="s">
        <v>649</v>
      </c>
      <c r="F1515" t="s">
        <v>659</v>
      </c>
      <c r="G1515" s="10">
        <v>1</v>
      </c>
      <c r="H1515" s="10">
        <v>8795</v>
      </c>
      <c r="I1515" s="10">
        <v>8795</v>
      </c>
      <c r="J1515" t="s">
        <v>51</v>
      </c>
      <c r="K1515" s="11">
        <v>648.20000000000005</v>
      </c>
      <c r="L1515" s="12">
        <v>13.57</v>
      </c>
    </row>
    <row r="1516" spans="1:12" x14ac:dyDescent="0.2">
      <c r="A1516" s="9">
        <v>46242</v>
      </c>
      <c r="B1516" t="s">
        <v>632</v>
      </c>
      <c r="C1516" t="s">
        <v>633</v>
      </c>
      <c r="D1516" t="s">
        <v>68</v>
      </c>
      <c r="E1516" t="s">
        <v>660</v>
      </c>
      <c r="F1516" t="s">
        <v>661</v>
      </c>
      <c r="G1516" s="10">
        <v>7</v>
      </c>
      <c r="H1516" s="10">
        <v>4244</v>
      </c>
      <c r="I1516" s="10">
        <v>29708</v>
      </c>
      <c r="J1516" t="s">
        <v>51</v>
      </c>
      <c r="K1516" s="11">
        <v>648.20000000000005</v>
      </c>
      <c r="L1516" s="12">
        <v>45.83</v>
      </c>
    </row>
    <row r="1517" spans="1:12" x14ac:dyDescent="0.2">
      <c r="A1517" s="9">
        <v>46242</v>
      </c>
      <c r="B1517" t="s">
        <v>635</v>
      </c>
      <c r="C1517" t="s">
        <v>636</v>
      </c>
      <c r="D1517" t="s">
        <v>41</v>
      </c>
      <c r="E1517" t="s">
        <v>660</v>
      </c>
      <c r="F1517" t="s">
        <v>670</v>
      </c>
      <c r="G1517" s="10">
        <v>36</v>
      </c>
      <c r="H1517" s="10">
        <v>67452</v>
      </c>
      <c r="I1517" s="10">
        <v>2428272</v>
      </c>
      <c r="J1517" t="s">
        <v>42</v>
      </c>
      <c r="K1517" s="11">
        <v>3145.8</v>
      </c>
      <c r="L1517" s="12">
        <v>771.91</v>
      </c>
    </row>
    <row r="1518" spans="1:12" x14ac:dyDescent="0.2">
      <c r="A1518" s="9">
        <v>46244</v>
      </c>
      <c r="B1518" t="s">
        <v>39</v>
      </c>
      <c r="C1518" t="s">
        <v>40</v>
      </c>
      <c r="D1518" t="s">
        <v>41</v>
      </c>
      <c r="E1518" t="s">
        <v>651</v>
      </c>
      <c r="F1518" t="s">
        <v>657</v>
      </c>
      <c r="G1518" s="10">
        <v>2</v>
      </c>
      <c r="H1518" s="10">
        <v>30728</v>
      </c>
      <c r="I1518" s="10">
        <v>61456</v>
      </c>
      <c r="J1518" t="s">
        <v>42</v>
      </c>
      <c r="K1518" s="11">
        <v>3145.8</v>
      </c>
      <c r="L1518" s="12">
        <v>19.54</v>
      </c>
    </row>
    <row r="1519" spans="1:12" x14ac:dyDescent="0.2">
      <c r="A1519" s="9">
        <v>46244</v>
      </c>
      <c r="B1519" t="s">
        <v>44</v>
      </c>
      <c r="C1519" t="s">
        <v>45</v>
      </c>
      <c r="D1519" t="s">
        <v>46</v>
      </c>
      <c r="E1519" t="s">
        <v>653</v>
      </c>
      <c r="F1519" t="s">
        <v>654</v>
      </c>
      <c r="G1519" s="10">
        <v>17</v>
      </c>
      <c r="H1519" s="10">
        <v>5807</v>
      </c>
      <c r="I1519" s="10">
        <v>98719</v>
      </c>
      <c r="J1519" t="s">
        <v>37</v>
      </c>
      <c r="K1519" s="11">
        <v>648.20000000000005</v>
      </c>
      <c r="L1519" s="12">
        <v>152.30000000000001</v>
      </c>
    </row>
    <row r="1520" spans="1:12" x14ac:dyDescent="0.2">
      <c r="A1520" s="9">
        <v>46244</v>
      </c>
      <c r="B1520" t="s">
        <v>53</v>
      </c>
      <c r="C1520" t="s">
        <v>54</v>
      </c>
      <c r="D1520" t="s">
        <v>41</v>
      </c>
      <c r="E1520" t="s">
        <v>660</v>
      </c>
      <c r="F1520" t="s">
        <v>670</v>
      </c>
      <c r="G1520" s="10">
        <v>3</v>
      </c>
      <c r="H1520" s="10">
        <v>71725</v>
      </c>
      <c r="I1520" s="10">
        <v>215175</v>
      </c>
      <c r="J1520" t="s">
        <v>42</v>
      </c>
      <c r="K1520" s="11">
        <v>3145.8</v>
      </c>
      <c r="L1520" s="12">
        <v>68.400000000000006</v>
      </c>
    </row>
    <row r="1521" spans="1:12" x14ac:dyDescent="0.2">
      <c r="A1521" s="9">
        <v>46244</v>
      </c>
      <c r="B1521" t="s">
        <v>56</v>
      </c>
      <c r="C1521" t="s">
        <v>57</v>
      </c>
      <c r="D1521" t="s">
        <v>46</v>
      </c>
      <c r="E1521" t="s">
        <v>660</v>
      </c>
      <c r="F1521" t="s">
        <v>669</v>
      </c>
      <c r="G1521" s="10">
        <v>7</v>
      </c>
      <c r="H1521" s="10">
        <v>2681</v>
      </c>
      <c r="I1521" s="10">
        <v>18767</v>
      </c>
      <c r="J1521" t="s">
        <v>37</v>
      </c>
      <c r="K1521" s="11">
        <v>648.20000000000005</v>
      </c>
      <c r="L1521" s="12">
        <v>28.95</v>
      </c>
    </row>
    <row r="1522" spans="1:12" x14ac:dyDescent="0.2">
      <c r="A1522" s="9">
        <v>46244</v>
      </c>
      <c r="B1522" t="s">
        <v>56</v>
      </c>
      <c r="C1522" t="s">
        <v>57</v>
      </c>
      <c r="D1522" t="s">
        <v>46</v>
      </c>
      <c r="E1522" t="s">
        <v>647</v>
      </c>
      <c r="F1522" t="s">
        <v>648</v>
      </c>
      <c r="G1522" s="10">
        <v>1</v>
      </c>
      <c r="H1522" s="10">
        <v>15608</v>
      </c>
      <c r="I1522" s="10">
        <v>15608</v>
      </c>
      <c r="J1522" t="s">
        <v>37</v>
      </c>
      <c r="K1522" s="11">
        <v>648.20000000000005</v>
      </c>
      <c r="L1522" s="12">
        <v>24.08</v>
      </c>
    </row>
    <row r="1523" spans="1:12" x14ac:dyDescent="0.2">
      <c r="A1523" s="9">
        <v>46244</v>
      </c>
      <c r="B1523" t="s">
        <v>60</v>
      </c>
      <c r="C1523" t="s">
        <v>61</v>
      </c>
      <c r="D1523" t="s">
        <v>41</v>
      </c>
      <c r="E1523" t="s">
        <v>651</v>
      </c>
      <c r="F1523" t="s">
        <v>652</v>
      </c>
      <c r="G1523" s="10">
        <v>10</v>
      </c>
      <c r="H1523" s="10">
        <v>45916</v>
      </c>
      <c r="I1523" s="10">
        <v>459160</v>
      </c>
      <c r="J1523" t="s">
        <v>42</v>
      </c>
      <c r="K1523" s="11">
        <v>3145.8</v>
      </c>
      <c r="L1523" s="12">
        <v>145.96</v>
      </c>
    </row>
    <row r="1524" spans="1:12" x14ac:dyDescent="0.2">
      <c r="A1524" s="9">
        <v>46244</v>
      </c>
      <c r="B1524" t="s">
        <v>60</v>
      </c>
      <c r="C1524" t="s">
        <v>61</v>
      </c>
      <c r="D1524" t="s">
        <v>41</v>
      </c>
      <c r="E1524" t="s">
        <v>653</v>
      </c>
      <c r="F1524" t="s">
        <v>654</v>
      </c>
      <c r="G1524" s="10">
        <v>10</v>
      </c>
      <c r="H1524" s="10">
        <v>28242</v>
      </c>
      <c r="I1524" s="10">
        <v>282420</v>
      </c>
      <c r="J1524" t="s">
        <v>42</v>
      </c>
      <c r="K1524" s="11">
        <v>3145.8</v>
      </c>
      <c r="L1524" s="12">
        <v>89.78</v>
      </c>
    </row>
    <row r="1525" spans="1:12" x14ac:dyDescent="0.2">
      <c r="A1525" s="9">
        <v>46244</v>
      </c>
      <c r="B1525" t="s">
        <v>60</v>
      </c>
      <c r="C1525" t="s">
        <v>61</v>
      </c>
      <c r="D1525" t="s">
        <v>41</v>
      </c>
      <c r="E1525" t="s">
        <v>647</v>
      </c>
      <c r="F1525" t="s">
        <v>667</v>
      </c>
      <c r="G1525" s="10">
        <v>3</v>
      </c>
      <c r="H1525" s="10">
        <v>36045</v>
      </c>
      <c r="I1525" s="10">
        <v>108135</v>
      </c>
      <c r="J1525" t="s">
        <v>42</v>
      </c>
      <c r="K1525" s="11">
        <v>3145.8</v>
      </c>
      <c r="L1525" s="12">
        <v>34.369999999999997</v>
      </c>
    </row>
    <row r="1526" spans="1:12" x14ac:dyDescent="0.2">
      <c r="A1526" s="9">
        <v>46244</v>
      </c>
      <c r="B1526" t="s">
        <v>63</v>
      </c>
      <c r="C1526" t="s">
        <v>64</v>
      </c>
      <c r="D1526" t="s">
        <v>50</v>
      </c>
      <c r="E1526" t="s">
        <v>655</v>
      </c>
      <c r="F1526" t="s">
        <v>665</v>
      </c>
      <c r="G1526" s="10">
        <v>17</v>
      </c>
      <c r="H1526" s="10">
        <v>690</v>
      </c>
      <c r="I1526" s="10">
        <v>11730</v>
      </c>
      <c r="J1526" t="s">
        <v>51</v>
      </c>
      <c r="K1526" s="11">
        <v>648.20000000000005</v>
      </c>
      <c r="L1526" s="12">
        <v>18.100000000000001</v>
      </c>
    </row>
    <row r="1527" spans="1:12" x14ac:dyDescent="0.2">
      <c r="A1527" s="9">
        <v>46244</v>
      </c>
      <c r="B1527" t="s">
        <v>80</v>
      </c>
      <c r="C1527" t="s">
        <v>81</v>
      </c>
      <c r="D1527" t="s">
        <v>46</v>
      </c>
      <c r="E1527" t="s">
        <v>651</v>
      </c>
      <c r="F1527" t="s">
        <v>664</v>
      </c>
      <c r="G1527" s="10">
        <v>6</v>
      </c>
      <c r="H1527" s="10">
        <v>12207</v>
      </c>
      <c r="I1527" s="10">
        <v>73242</v>
      </c>
      <c r="J1527" t="s">
        <v>37</v>
      </c>
      <c r="K1527" s="11">
        <v>648.20000000000005</v>
      </c>
      <c r="L1527" s="12">
        <v>112.99</v>
      </c>
    </row>
    <row r="1528" spans="1:12" x14ac:dyDescent="0.2">
      <c r="A1528" s="9">
        <v>46244</v>
      </c>
      <c r="B1528" t="s">
        <v>86</v>
      </c>
      <c r="C1528" t="s">
        <v>87</v>
      </c>
      <c r="D1528" t="s">
        <v>50</v>
      </c>
      <c r="E1528" t="s">
        <v>647</v>
      </c>
      <c r="F1528" t="s">
        <v>667</v>
      </c>
      <c r="G1528" s="10">
        <v>3</v>
      </c>
      <c r="H1528" s="10">
        <v>7477</v>
      </c>
      <c r="I1528" s="10">
        <v>22431</v>
      </c>
      <c r="J1528" t="s">
        <v>51</v>
      </c>
      <c r="K1528" s="11">
        <v>648.20000000000005</v>
      </c>
      <c r="L1528" s="12">
        <v>34.61</v>
      </c>
    </row>
    <row r="1529" spans="1:12" x14ac:dyDescent="0.2">
      <c r="A1529" s="9">
        <v>46244</v>
      </c>
      <c r="B1529" t="s">
        <v>96</v>
      </c>
      <c r="C1529" t="s">
        <v>97</v>
      </c>
      <c r="D1529" t="s">
        <v>41</v>
      </c>
      <c r="E1529" t="s">
        <v>651</v>
      </c>
      <c r="F1529" t="s">
        <v>652</v>
      </c>
      <c r="G1529" s="10">
        <v>5</v>
      </c>
      <c r="H1529" s="10">
        <v>46792</v>
      </c>
      <c r="I1529" s="10">
        <v>233960</v>
      </c>
      <c r="J1529" t="s">
        <v>42</v>
      </c>
      <c r="K1529" s="11">
        <v>3145.8</v>
      </c>
      <c r="L1529" s="12">
        <v>74.37</v>
      </c>
    </row>
    <row r="1530" spans="1:12" x14ac:dyDescent="0.2">
      <c r="A1530" s="9">
        <v>46244</v>
      </c>
      <c r="B1530" t="s">
        <v>96</v>
      </c>
      <c r="C1530" t="s">
        <v>97</v>
      </c>
      <c r="D1530" t="s">
        <v>41</v>
      </c>
      <c r="E1530" t="s">
        <v>655</v>
      </c>
      <c r="F1530" t="s">
        <v>665</v>
      </c>
      <c r="G1530" s="10">
        <v>14</v>
      </c>
      <c r="H1530" s="10">
        <v>3214</v>
      </c>
      <c r="I1530" s="10">
        <v>44996</v>
      </c>
      <c r="J1530" t="s">
        <v>42</v>
      </c>
      <c r="K1530" s="11">
        <v>3145.8</v>
      </c>
      <c r="L1530" s="12">
        <v>14.3</v>
      </c>
    </row>
    <row r="1531" spans="1:12" x14ac:dyDescent="0.2">
      <c r="A1531" s="9">
        <v>46244</v>
      </c>
      <c r="B1531" t="s">
        <v>108</v>
      </c>
      <c r="C1531" t="s">
        <v>109</v>
      </c>
      <c r="D1531" t="s">
        <v>36</v>
      </c>
      <c r="E1531" t="s">
        <v>655</v>
      </c>
      <c r="F1531" t="s">
        <v>656</v>
      </c>
      <c r="G1531" s="10">
        <v>10</v>
      </c>
      <c r="H1531" s="10">
        <v>567</v>
      </c>
      <c r="I1531" s="10">
        <v>5670</v>
      </c>
      <c r="J1531" t="s">
        <v>37</v>
      </c>
      <c r="K1531" s="11">
        <v>648.20000000000005</v>
      </c>
      <c r="L1531" s="12">
        <v>8.75</v>
      </c>
    </row>
    <row r="1532" spans="1:12" x14ac:dyDescent="0.2">
      <c r="A1532" s="9">
        <v>46244</v>
      </c>
      <c r="B1532" t="s">
        <v>111</v>
      </c>
      <c r="C1532" t="s">
        <v>112</v>
      </c>
      <c r="D1532" t="s">
        <v>41</v>
      </c>
      <c r="E1532" t="s">
        <v>660</v>
      </c>
      <c r="F1532" t="s">
        <v>670</v>
      </c>
      <c r="G1532" s="10">
        <v>14</v>
      </c>
      <c r="H1532" s="10">
        <v>69046</v>
      </c>
      <c r="I1532" s="10">
        <v>966644</v>
      </c>
      <c r="J1532" t="s">
        <v>42</v>
      </c>
      <c r="K1532" s="11">
        <v>3145.8</v>
      </c>
      <c r="L1532" s="12">
        <v>307.27999999999997</v>
      </c>
    </row>
    <row r="1533" spans="1:12" x14ac:dyDescent="0.2">
      <c r="A1533" s="9">
        <v>46244</v>
      </c>
      <c r="B1533" t="s">
        <v>115</v>
      </c>
      <c r="C1533" t="s">
        <v>116</v>
      </c>
      <c r="D1533" t="s">
        <v>41</v>
      </c>
      <c r="E1533" t="s">
        <v>653</v>
      </c>
      <c r="F1533" t="s">
        <v>658</v>
      </c>
      <c r="G1533" s="10">
        <v>18</v>
      </c>
      <c r="H1533" s="10">
        <v>13486</v>
      </c>
      <c r="I1533" s="10">
        <v>242748</v>
      </c>
      <c r="J1533" t="s">
        <v>42</v>
      </c>
      <c r="K1533" s="11">
        <v>3145.8</v>
      </c>
      <c r="L1533" s="12">
        <v>77.17</v>
      </c>
    </row>
    <row r="1534" spans="1:12" x14ac:dyDescent="0.2">
      <c r="A1534" s="9">
        <v>46244</v>
      </c>
      <c r="B1534" t="s">
        <v>115</v>
      </c>
      <c r="C1534" t="s">
        <v>116</v>
      </c>
      <c r="D1534" t="s">
        <v>41</v>
      </c>
      <c r="E1534" t="s">
        <v>649</v>
      </c>
      <c r="F1534" t="s">
        <v>659</v>
      </c>
      <c r="G1534" s="10">
        <v>16</v>
      </c>
      <c r="H1534" s="10">
        <v>41768</v>
      </c>
      <c r="I1534" s="10">
        <v>668288</v>
      </c>
      <c r="J1534" t="s">
        <v>42</v>
      </c>
      <c r="K1534" s="11">
        <v>3145.8</v>
      </c>
      <c r="L1534" s="12">
        <v>212.44</v>
      </c>
    </row>
    <row r="1535" spans="1:12" x14ac:dyDescent="0.2">
      <c r="A1535" s="9">
        <v>46244</v>
      </c>
      <c r="B1535" t="s">
        <v>115</v>
      </c>
      <c r="C1535" t="s">
        <v>116</v>
      </c>
      <c r="D1535" t="s">
        <v>41</v>
      </c>
      <c r="E1535" t="s">
        <v>655</v>
      </c>
      <c r="F1535" t="s">
        <v>662</v>
      </c>
      <c r="G1535" s="10">
        <v>8</v>
      </c>
      <c r="H1535" s="10">
        <v>5288</v>
      </c>
      <c r="I1535" s="10">
        <v>42304</v>
      </c>
      <c r="J1535" t="s">
        <v>42</v>
      </c>
      <c r="K1535" s="11">
        <v>3145.8</v>
      </c>
      <c r="L1535" s="12">
        <v>13.45</v>
      </c>
    </row>
    <row r="1536" spans="1:12" x14ac:dyDescent="0.2">
      <c r="A1536" s="9">
        <v>46244</v>
      </c>
      <c r="B1536" t="s">
        <v>115</v>
      </c>
      <c r="C1536" t="s">
        <v>116</v>
      </c>
      <c r="D1536" t="s">
        <v>41</v>
      </c>
      <c r="E1536" t="s">
        <v>647</v>
      </c>
      <c r="F1536" t="s">
        <v>668</v>
      </c>
      <c r="G1536" s="10">
        <v>30</v>
      </c>
      <c r="H1536" s="10">
        <v>123065</v>
      </c>
      <c r="I1536" s="10">
        <v>3691950</v>
      </c>
      <c r="J1536" t="s">
        <v>42</v>
      </c>
      <c r="K1536" s="11">
        <v>3145.8</v>
      </c>
      <c r="L1536" s="12">
        <v>1173.6099999999999</v>
      </c>
    </row>
    <row r="1537" spans="1:12" x14ac:dyDescent="0.2">
      <c r="A1537" s="9">
        <v>46244</v>
      </c>
      <c r="B1537" t="s">
        <v>115</v>
      </c>
      <c r="C1537" t="s">
        <v>116</v>
      </c>
      <c r="D1537" t="s">
        <v>41</v>
      </c>
      <c r="E1537" t="s">
        <v>655</v>
      </c>
      <c r="F1537" t="s">
        <v>665</v>
      </c>
      <c r="G1537" s="10">
        <v>6</v>
      </c>
      <c r="H1537" s="10">
        <v>3464</v>
      </c>
      <c r="I1537" s="10">
        <v>20784</v>
      </c>
      <c r="J1537" t="s">
        <v>42</v>
      </c>
      <c r="K1537" s="11">
        <v>3145.8</v>
      </c>
      <c r="L1537" s="12">
        <v>6.61</v>
      </c>
    </row>
    <row r="1538" spans="1:12" x14ac:dyDescent="0.2">
      <c r="A1538" s="9">
        <v>46244</v>
      </c>
      <c r="B1538" t="s">
        <v>118</v>
      </c>
      <c r="C1538" t="s">
        <v>119</v>
      </c>
      <c r="D1538" t="s">
        <v>36</v>
      </c>
      <c r="E1538" t="s">
        <v>647</v>
      </c>
      <c r="F1538" t="s">
        <v>668</v>
      </c>
      <c r="G1538" s="10">
        <v>8</v>
      </c>
      <c r="H1538" s="10">
        <v>26055</v>
      </c>
      <c r="I1538" s="10">
        <v>208440</v>
      </c>
      <c r="J1538" t="s">
        <v>37</v>
      </c>
      <c r="K1538" s="11">
        <v>648.20000000000005</v>
      </c>
      <c r="L1538" s="12">
        <v>321.57</v>
      </c>
    </row>
    <row r="1539" spans="1:12" x14ac:dyDescent="0.2">
      <c r="A1539" s="9">
        <v>46244</v>
      </c>
      <c r="B1539" t="s">
        <v>124</v>
      </c>
      <c r="C1539" t="s">
        <v>125</v>
      </c>
      <c r="D1539" t="s">
        <v>75</v>
      </c>
      <c r="E1539" t="s">
        <v>653</v>
      </c>
      <c r="F1539" t="s">
        <v>666</v>
      </c>
      <c r="G1539" s="10">
        <v>11</v>
      </c>
      <c r="H1539" s="10">
        <v>7461</v>
      </c>
      <c r="I1539" s="10">
        <v>82071</v>
      </c>
      <c r="J1539" t="s">
        <v>42</v>
      </c>
      <c r="K1539" s="11">
        <v>3145.8</v>
      </c>
      <c r="L1539" s="12">
        <v>26.09</v>
      </c>
    </row>
    <row r="1540" spans="1:12" x14ac:dyDescent="0.2">
      <c r="A1540" s="9">
        <v>46244</v>
      </c>
      <c r="B1540" t="s">
        <v>127</v>
      </c>
      <c r="C1540" t="s">
        <v>128</v>
      </c>
      <c r="D1540" t="s">
        <v>41</v>
      </c>
      <c r="E1540" t="s">
        <v>655</v>
      </c>
      <c r="F1540" t="s">
        <v>662</v>
      </c>
      <c r="G1540" s="10">
        <v>2</v>
      </c>
      <c r="H1540" s="10">
        <v>5419</v>
      </c>
      <c r="I1540" s="10">
        <v>10838</v>
      </c>
      <c r="J1540" t="s">
        <v>42</v>
      </c>
      <c r="K1540" s="11">
        <v>3145.8</v>
      </c>
      <c r="L1540" s="12">
        <v>3.45</v>
      </c>
    </row>
    <row r="1541" spans="1:12" x14ac:dyDescent="0.2">
      <c r="A1541" s="9">
        <v>46244</v>
      </c>
      <c r="B1541" t="s">
        <v>130</v>
      </c>
      <c r="C1541" t="s">
        <v>131</v>
      </c>
      <c r="D1541" t="s">
        <v>46</v>
      </c>
      <c r="E1541" t="s">
        <v>655</v>
      </c>
      <c r="F1541" t="s">
        <v>662</v>
      </c>
      <c r="G1541" s="10">
        <v>7</v>
      </c>
      <c r="H1541" s="10">
        <v>1093</v>
      </c>
      <c r="I1541" s="10">
        <v>7651</v>
      </c>
      <c r="J1541" t="s">
        <v>37</v>
      </c>
      <c r="K1541" s="11">
        <v>648.20000000000005</v>
      </c>
      <c r="L1541" s="12">
        <v>11.8</v>
      </c>
    </row>
    <row r="1542" spans="1:12" x14ac:dyDescent="0.2">
      <c r="A1542" s="9">
        <v>46244</v>
      </c>
      <c r="B1542" t="s">
        <v>130</v>
      </c>
      <c r="C1542" t="s">
        <v>131</v>
      </c>
      <c r="D1542" t="s">
        <v>46</v>
      </c>
      <c r="E1542" t="s">
        <v>647</v>
      </c>
      <c r="F1542" t="s">
        <v>648</v>
      </c>
      <c r="G1542" s="10">
        <v>1</v>
      </c>
      <c r="H1542" s="10">
        <v>15781</v>
      </c>
      <c r="I1542" s="10">
        <v>15781</v>
      </c>
      <c r="J1542" t="s">
        <v>37</v>
      </c>
      <c r="K1542" s="11">
        <v>648.20000000000005</v>
      </c>
      <c r="L1542" s="12">
        <v>24.35</v>
      </c>
    </row>
    <row r="1543" spans="1:12" x14ac:dyDescent="0.2">
      <c r="A1543" s="9">
        <v>46244</v>
      </c>
      <c r="B1543" t="s">
        <v>136</v>
      </c>
      <c r="C1543" t="s">
        <v>137</v>
      </c>
      <c r="D1543" t="s">
        <v>41</v>
      </c>
      <c r="E1543" t="s">
        <v>655</v>
      </c>
      <c r="F1543" t="s">
        <v>662</v>
      </c>
      <c r="G1543" s="10">
        <v>7</v>
      </c>
      <c r="H1543" s="10">
        <v>5387</v>
      </c>
      <c r="I1543" s="10">
        <v>37709</v>
      </c>
      <c r="J1543" t="s">
        <v>42</v>
      </c>
      <c r="K1543" s="11">
        <v>3145.8</v>
      </c>
      <c r="L1543" s="12">
        <v>11.99</v>
      </c>
    </row>
    <row r="1544" spans="1:12" x14ac:dyDescent="0.2">
      <c r="A1544" s="9">
        <v>46244</v>
      </c>
      <c r="B1544" t="s">
        <v>142</v>
      </c>
      <c r="C1544" t="s">
        <v>143</v>
      </c>
      <c r="D1544" t="s">
        <v>75</v>
      </c>
      <c r="E1544" t="s">
        <v>651</v>
      </c>
      <c r="F1544" t="s">
        <v>652</v>
      </c>
      <c r="G1544" s="10">
        <v>21</v>
      </c>
      <c r="H1544" s="10">
        <v>44844</v>
      </c>
      <c r="I1544" s="10">
        <v>941724</v>
      </c>
      <c r="J1544" t="s">
        <v>42</v>
      </c>
      <c r="K1544" s="11">
        <v>3145.8</v>
      </c>
      <c r="L1544" s="12">
        <v>299.36</v>
      </c>
    </row>
    <row r="1545" spans="1:12" x14ac:dyDescent="0.2">
      <c r="A1545" s="9">
        <v>46244</v>
      </c>
      <c r="B1545" t="s">
        <v>142</v>
      </c>
      <c r="C1545" t="s">
        <v>143</v>
      </c>
      <c r="D1545" t="s">
        <v>75</v>
      </c>
      <c r="E1545" t="s">
        <v>655</v>
      </c>
      <c r="F1545" t="s">
        <v>662</v>
      </c>
      <c r="G1545" s="10">
        <v>19</v>
      </c>
      <c r="H1545" s="10">
        <v>5562</v>
      </c>
      <c r="I1545" s="10">
        <v>105678</v>
      </c>
      <c r="J1545" t="s">
        <v>42</v>
      </c>
      <c r="K1545" s="11">
        <v>3145.8</v>
      </c>
      <c r="L1545" s="12">
        <v>33.590000000000003</v>
      </c>
    </row>
    <row r="1546" spans="1:12" x14ac:dyDescent="0.2">
      <c r="A1546" s="9">
        <v>46244</v>
      </c>
      <c r="B1546" t="s">
        <v>142</v>
      </c>
      <c r="C1546" t="s">
        <v>143</v>
      </c>
      <c r="D1546" t="s">
        <v>75</v>
      </c>
      <c r="E1546" t="s">
        <v>647</v>
      </c>
      <c r="F1546" t="s">
        <v>648</v>
      </c>
      <c r="G1546" s="10">
        <v>55</v>
      </c>
      <c r="H1546" s="10">
        <v>81808</v>
      </c>
      <c r="I1546" s="10">
        <v>4499440</v>
      </c>
      <c r="J1546" t="s">
        <v>42</v>
      </c>
      <c r="K1546" s="11">
        <v>3145.8</v>
      </c>
      <c r="L1546" s="12">
        <v>1430.3</v>
      </c>
    </row>
    <row r="1547" spans="1:12" x14ac:dyDescent="0.2">
      <c r="A1547" s="9">
        <v>46244</v>
      </c>
      <c r="B1547" t="s">
        <v>145</v>
      </c>
      <c r="C1547" t="s">
        <v>146</v>
      </c>
      <c r="D1547" t="s">
        <v>68</v>
      </c>
      <c r="E1547" t="s">
        <v>660</v>
      </c>
      <c r="F1547" t="s">
        <v>670</v>
      </c>
      <c r="G1547" s="10">
        <v>1</v>
      </c>
      <c r="H1547" s="10">
        <v>14723</v>
      </c>
      <c r="I1547" s="10">
        <v>14723</v>
      </c>
      <c r="J1547" t="s">
        <v>51</v>
      </c>
      <c r="K1547" s="11">
        <v>648.20000000000005</v>
      </c>
      <c r="L1547" s="12">
        <v>22.71</v>
      </c>
    </row>
    <row r="1548" spans="1:12" x14ac:dyDescent="0.2">
      <c r="A1548" s="9">
        <v>46244</v>
      </c>
      <c r="B1548" t="s">
        <v>145</v>
      </c>
      <c r="C1548" t="s">
        <v>146</v>
      </c>
      <c r="D1548" t="s">
        <v>68</v>
      </c>
      <c r="E1548" t="s">
        <v>660</v>
      </c>
      <c r="F1548" t="s">
        <v>670</v>
      </c>
      <c r="G1548" s="10">
        <v>2</v>
      </c>
      <c r="H1548" s="10">
        <v>13946</v>
      </c>
      <c r="I1548" s="10">
        <v>27892</v>
      </c>
      <c r="J1548" t="s">
        <v>51</v>
      </c>
      <c r="K1548" s="11">
        <v>648.20000000000005</v>
      </c>
      <c r="L1548" s="12">
        <v>43.03</v>
      </c>
    </row>
    <row r="1549" spans="1:12" x14ac:dyDescent="0.2">
      <c r="A1549" s="9">
        <v>46244</v>
      </c>
      <c r="B1549" t="s">
        <v>149</v>
      </c>
      <c r="C1549" t="s">
        <v>150</v>
      </c>
      <c r="D1549" t="s">
        <v>50</v>
      </c>
      <c r="E1549" t="s">
        <v>655</v>
      </c>
      <c r="F1549" t="s">
        <v>662</v>
      </c>
      <c r="G1549" s="10">
        <v>2</v>
      </c>
      <c r="H1549" s="10">
        <v>1103</v>
      </c>
      <c r="I1549" s="10">
        <v>2206</v>
      </c>
      <c r="J1549" t="s">
        <v>51</v>
      </c>
      <c r="K1549" s="11">
        <v>648.20000000000005</v>
      </c>
      <c r="L1549" s="12">
        <v>3.4</v>
      </c>
    </row>
    <row r="1550" spans="1:12" x14ac:dyDescent="0.2">
      <c r="A1550" s="9">
        <v>46244</v>
      </c>
      <c r="B1550" t="s">
        <v>149</v>
      </c>
      <c r="C1550" t="s">
        <v>150</v>
      </c>
      <c r="D1550" t="s">
        <v>50</v>
      </c>
      <c r="E1550" t="s">
        <v>655</v>
      </c>
      <c r="F1550" t="s">
        <v>665</v>
      </c>
      <c r="G1550" s="10">
        <v>9</v>
      </c>
      <c r="H1550" s="10">
        <v>686</v>
      </c>
      <c r="I1550" s="10">
        <v>6174</v>
      </c>
      <c r="J1550" t="s">
        <v>51</v>
      </c>
      <c r="K1550" s="11">
        <v>648.20000000000005</v>
      </c>
      <c r="L1550" s="12">
        <v>9.52</v>
      </c>
    </row>
    <row r="1551" spans="1:12" x14ac:dyDescent="0.2">
      <c r="A1551" s="9">
        <v>46244</v>
      </c>
      <c r="B1551" t="s">
        <v>152</v>
      </c>
      <c r="C1551" t="s">
        <v>153</v>
      </c>
      <c r="D1551" t="s">
        <v>75</v>
      </c>
      <c r="E1551" t="s">
        <v>651</v>
      </c>
      <c r="F1551" t="s">
        <v>657</v>
      </c>
      <c r="G1551" s="10">
        <v>6</v>
      </c>
      <c r="H1551" s="10">
        <v>31543</v>
      </c>
      <c r="I1551" s="10">
        <v>189258</v>
      </c>
      <c r="J1551" t="s">
        <v>42</v>
      </c>
      <c r="K1551" s="11">
        <v>3145.8</v>
      </c>
      <c r="L1551" s="12">
        <v>60.16</v>
      </c>
    </row>
    <row r="1552" spans="1:12" x14ac:dyDescent="0.2">
      <c r="A1552" s="9">
        <v>46244</v>
      </c>
      <c r="B1552" t="s">
        <v>155</v>
      </c>
      <c r="C1552" t="s">
        <v>156</v>
      </c>
      <c r="D1552" t="s">
        <v>46</v>
      </c>
      <c r="E1552" t="s">
        <v>649</v>
      </c>
      <c r="F1552" t="s">
        <v>659</v>
      </c>
      <c r="G1552" s="10">
        <v>13</v>
      </c>
      <c r="H1552" s="10">
        <v>8996</v>
      </c>
      <c r="I1552" s="10">
        <v>116948</v>
      </c>
      <c r="J1552" t="s">
        <v>37</v>
      </c>
      <c r="K1552" s="11">
        <v>648.20000000000005</v>
      </c>
      <c r="L1552" s="12">
        <v>180.42</v>
      </c>
    </row>
    <row r="1553" spans="1:12" x14ac:dyDescent="0.2">
      <c r="A1553" s="9">
        <v>46244</v>
      </c>
      <c r="B1553" t="s">
        <v>158</v>
      </c>
      <c r="C1553" t="s">
        <v>159</v>
      </c>
      <c r="D1553" t="s">
        <v>41</v>
      </c>
      <c r="E1553" t="s">
        <v>653</v>
      </c>
      <c r="F1553" t="s">
        <v>666</v>
      </c>
      <c r="G1553" s="10">
        <v>33</v>
      </c>
      <c r="H1553" s="10">
        <v>7446</v>
      </c>
      <c r="I1553" s="10">
        <v>245718</v>
      </c>
      <c r="J1553" t="s">
        <v>42</v>
      </c>
      <c r="K1553" s="11">
        <v>3145.8</v>
      </c>
      <c r="L1553" s="12">
        <v>78.11</v>
      </c>
    </row>
    <row r="1554" spans="1:12" x14ac:dyDescent="0.2">
      <c r="A1554" s="9">
        <v>46244</v>
      </c>
      <c r="B1554" t="s">
        <v>158</v>
      </c>
      <c r="C1554" t="s">
        <v>159</v>
      </c>
      <c r="D1554" t="s">
        <v>41</v>
      </c>
      <c r="E1554" t="s">
        <v>660</v>
      </c>
      <c r="F1554" t="s">
        <v>670</v>
      </c>
      <c r="G1554" s="10">
        <v>57</v>
      </c>
      <c r="H1554" s="10">
        <v>69228</v>
      </c>
      <c r="I1554" s="10">
        <v>3945996</v>
      </c>
      <c r="J1554" t="s">
        <v>42</v>
      </c>
      <c r="K1554" s="11">
        <v>3145.8</v>
      </c>
      <c r="L1554" s="12">
        <v>1254.3699999999999</v>
      </c>
    </row>
    <row r="1555" spans="1:12" x14ac:dyDescent="0.2">
      <c r="A1555" s="9">
        <v>46244</v>
      </c>
      <c r="B1555" t="s">
        <v>161</v>
      </c>
      <c r="C1555" t="s">
        <v>67</v>
      </c>
      <c r="D1555" t="s">
        <v>41</v>
      </c>
      <c r="E1555" t="s">
        <v>653</v>
      </c>
      <c r="F1555" t="s">
        <v>654</v>
      </c>
      <c r="G1555" s="10">
        <v>15</v>
      </c>
      <c r="H1555" s="10">
        <v>27601</v>
      </c>
      <c r="I1555" s="10">
        <v>414015</v>
      </c>
      <c r="J1555" t="s">
        <v>42</v>
      </c>
      <c r="K1555" s="11">
        <v>3145.8</v>
      </c>
      <c r="L1555" s="12">
        <v>131.61000000000001</v>
      </c>
    </row>
    <row r="1556" spans="1:12" x14ac:dyDescent="0.2">
      <c r="A1556" s="9">
        <v>46244</v>
      </c>
      <c r="B1556" t="s">
        <v>161</v>
      </c>
      <c r="C1556" t="s">
        <v>67</v>
      </c>
      <c r="D1556" t="s">
        <v>41</v>
      </c>
      <c r="E1556" t="s">
        <v>647</v>
      </c>
      <c r="F1556" t="s">
        <v>668</v>
      </c>
      <c r="G1556" s="10">
        <v>80</v>
      </c>
      <c r="H1556" s="10">
        <v>124349</v>
      </c>
      <c r="I1556" s="10">
        <v>9947920</v>
      </c>
      <c r="J1556" t="s">
        <v>42</v>
      </c>
      <c r="K1556" s="11">
        <v>3145.8</v>
      </c>
      <c r="L1556" s="12">
        <v>3162.29</v>
      </c>
    </row>
    <row r="1557" spans="1:12" x14ac:dyDescent="0.2">
      <c r="A1557" s="9">
        <v>46244</v>
      </c>
      <c r="B1557" t="s">
        <v>163</v>
      </c>
      <c r="C1557" t="s">
        <v>164</v>
      </c>
      <c r="D1557" t="s">
        <v>41</v>
      </c>
      <c r="E1557" t="s">
        <v>649</v>
      </c>
      <c r="F1557" t="s">
        <v>650</v>
      </c>
      <c r="G1557" s="10">
        <v>5</v>
      </c>
      <c r="H1557" s="10">
        <v>94321</v>
      </c>
      <c r="I1557" s="10">
        <v>471605</v>
      </c>
      <c r="J1557" t="s">
        <v>42</v>
      </c>
      <c r="K1557" s="11">
        <v>3145.8</v>
      </c>
      <c r="L1557" s="12">
        <v>149.91999999999999</v>
      </c>
    </row>
    <row r="1558" spans="1:12" x14ac:dyDescent="0.2">
      <c r="A1558" s="9">
        <v>46244</v>
      </c>
      <c r="B1558" t="s">
        <v>163</v>
      </c>
      <c r="C1558" t="s">
        <v>164</v>
      </c>
      <c r="D1558" t="s">
        <v>41</v>
      </c>
      <c r="E1558" t="s">
        <v>649</v>
      </c>
      <c r="F1558" t="s">
        <v>659</v>
      </c>
      <c r="G1558" s="10">
        <v>3</v>
      </c>
      <c r="H1558" s="10">
        <v>44255</v>
      </c>
      <c r="I1558" s="10">
        <v>132765</v>
      </c>
      <c r="J1558" t="s">
        <v>42</v>
      </c>
      <c r="K1558" s="11">
        <v>3145.8</v>
      </c>
      <c r="L1558" s="12">
        <v>42.2</v>
      </c>
    </row>
    <row r="1559" spans="1:12" x14ac:dyDescent="0.2">
      <c r="A1559" s="9">
        <v>46244</v>
      </c>
      <c r="B1559" t="s">
        <v>163</v>
      </c>
      <c r="C1559" t="s">
        <v>164</v>
      </c>
      <c r="D1559" t="s">
        <v>41</v>
      </c>
      <c r="E1559" t="s">
        <v>660</v>
      </c>
      <c r="F1559" t="s">
        <v>661</v>
      </c>
      <c r="G1559" s="10">
        <v>23</v>
      </c>
      <c r="H1559" s="10">
        <v>20065</v>
      </c>
      <c r="I1559" s="10">
        <v>461495</v>
      </c>
      <c r="J1559" t="s">
        <v>42</v>
      </c>
      <c r="K1559" s="11">
        <v>3145.8</v>
      </c>
      <c r="L1559" s="12">
        <v>146.69999999999999</v>
      </c>
    </row>
    <row r="1560" spans="1:12" x14ac:dyDescent="0.2">
      <c r="A1560" s="9">
        <v>46244</v>
      </c>
      <c r="B1560" t="s">
        <v>166</v>
      </c>
      <c r="C1560" t="s">
        <v>167</v>
      </c>
      <c r="D1560" t="s">
        <v>46</v>
      </c>
      <c r="E1560" t="s">
        <v>647</v>
      </c>
      <c r="F1560" t="s">
        <v>668</v>
      </c>
      <c r="G1560" s="10">
        <v>8</v>
      </c>
      <c r="H1560" s="10">
        <v>25123</v>
      </c>
      <c r="I1560" s="10">
        <v>200984</v>
      </c>
      <c r="J1560" t="s">
        <v>37</v>
      </c>
      <c r="K1560" s="11">
        <v>648.20000000000005</v>
      </c>
      <c r="L1560" s="12">
        <v>310.06</v>
      </c>
    </row>
    <row r="1561" spans="1:12" x14ac:dyDescent="0.2">
      <c r="A1561" s="9">
        <v>46244</v>
      </c>
      <c r="B1561" t="s">
        <v>169</v>
      </c>
      <c r="C1561" t="s">
        <v>170</v>
      </c>
      <c r="D1561" t="s">
        <v>41</v>
      </c>
      <c r="E1561" t="s">
        <v>653</v>
      </c>
      <c r="F1561" t="s">
        <v>666</v>
      </c>
      <c r="G1561" s="10">
        <v>10</v>
      </c>
      <c r="H1561" s="10">
        <v>7413</v>
      </c>
      <c r="I1561" s="10">
        <v>74130</v>
      </c>
      <c r="J1561" t="s">
        <v>42</v>
      </c>
      <c r="K1561" s="11">
        <v>3145.8</v>
      </c>
      <c r="L1561" s="12">
        <v>23.56</v>
      </c>
    </row>
    <row r="1562" spans="1:12" x14ac:dyDescent="0.2">
      <c r="A1562" s="9">
        <v>46244</v>
      </c>
      <c r="B1562" t="s">
        <v>169</v>
      </c>
      <c r="C1562" t="s">
        <v>170</v>
      </c>
      <c r="D1562" t="s">
        <v>41</v>
      </c>
      <c r="E1562" t="s">
        <v>655</v>
      </c>
      <c r="F1562" t="s">
        <v>665</v>
      </c>
      <c r="G1562" s="10">
        <v>2</v>
      </c>
      <c r="H1562" s="10">
        <v>3366</v>
      </c>
      <c r="I1562" s="10">
        <v>6732</v>
      </c>
      <c r="J1562" t="s">
        <v>42</v>
      </c>
      <c r="K1562" s="11">
        <v>3145.8</v>
      </c>
      <c r="L1562" s="12">
        <v>2.14</v>
      </c>
    </row>
    <row r="1563" spans="1:12" x14ac:dyDescent="0.2">
      <c r="A1563" s="9">
        <v>46244</v>
      </c>
      <c r="B1563" t="s">
        <v>172</v>
      </c>
      <c r="C1563" t="s">
        <v>173</v>
      </c>
      <c r="D1563" t="s">
        <v>41</v>
      </c>
      <c r="E1563" t="s">
        <v>653</v>
      </c>
      <c r="F1563" t="s">
        <v>654</v>
      </c>
      <c r="G1563" s="10">
        <v>19</v>
      </c>
      <c r="H1563" s="10">
        <v>28272</v>
      </c>
      <c r="I1563" s="10">
        <v>537168</v>
      </c>
      <c r="J1563" t="s">
        <v>42</v>
      </c>
      <c r="K1563" s="11">
        <v>3145.8</v>
      </c>
      <c r="L1563" s="12">
        <v>170.76</v>
      </c>
    </row>
    <row r="1564" spans="1:12" x14ac:dyDescent="0.2">
      <c r="A1564" s="9">
        <v>46244</v>
      </c>
      <c r="B1564" t="s">
        <v>178</v>
      </c>
      <c r="C1564" t="s">
        <v>179</v>
      </c>
      <c r="D1564" t="s">
        <v>50</v>
      </c>
      <c r="E1564" t="s">
        <v>647</v>
      </c>
      <c r="F1564" t="s">
        <v>667</v>
      </c>
      <c r="G1564" s="10">
        <v>1</v>
      </c>
      <c r="H1564" s="10">
        <v>7524</v>
      </c>
      <c r="I1564" s="10">
        <v>7524</v>
      </c>
      <c r="J1564" t="s">
        <v>51</v>
      </c>
      <c r="K1564" s="11">
        <v>648.20000000000005</v>
      </c>
      <c r="L1564" s="12">
        <v>11.61</v>
      </c>
    </row>
    <row r="1565" spans="1:12" x14ac:dyDescent="0.2">
      <c r="A1565" s="9">
        <v>46244</v>
      </c>
      <c r="B1565" t="s">
        <v>184</v>
      </c>
      <c r="C1565" t="s">
        <v>185</v>
      </c>
      <c r="D1565" t="s">
        <v>41</v>
      </c>
      <c r="E1565" t="s">
        <v>655</v>
      </c>
      <c r="F1565" t="s">
        <v>662</v>
      </c>
      <c r="G1565" s="10">
        <v>31</v>
      </c>
      <c r="H1565" s="10">
        <v>5390</v>
      </c>
      <c r="I1565" s="10">
        <v>167090</v>
      </c>
      <c r="J1565" t="s">
        <v>42</v>
      </c>
      <c r="K1565" s="11">
        <v>3145.8</v>
      </c>
      <c r="L1565" s="12">
        <v>53.12</v>
      </c>
    </row>
    <row r="1566" spans="1:12" x14ac:dyDescent="0.2">
      <c r="A1566" s="9">
        <v>46244</v>
      </c>
      <c r="B1566" t="s">
        <v>184</v>
      </c>
      <c r="C1566" t="s">
        <v>185</v>
      </c>
      <c r="D1566" t="s">
        <v>41</v>
      </c>
      <c r="E1566" t="s">
        <v>647</v>
      </c>
      <c r="F1566" t="s">
        <v>648</v>
      </c>
      <c r="G1566" s="10">
        <v>9</v>
      </c>
      <c r="H1566" s="10">
        <v>80105</v>
      </c>
      <c r="I1566" s="10">
        <v>720945</v>
      </c>
      <c r="J1566" t="s">
        <v>42</v>
      </c>
      <c r="K1566" s="11">
        <v>3145.8</v>
      </c>
      <c r="L1566" s="12">
        <v>229.18</v>
      </c>
    </row>
    <row r="1567" spans="1:12" x14ac:dyDescent="0.2">
      <c r="A1567" s="9">
        <v>46244</v>
      </c>
      <c r="B1567" t="s">
        <v>193</v>
      </c>
      <c r="C1567" t="s">
        <v>194</v>
      </c>
      <c r="D1567" t="s">
        <v>68</v>
      </c>
      <c r="E1567" t="s">
        <v>660</v>
      </c>
      <c r="F1567" t="s">
        <v>669</v>
      </c>
      <c r="G1567" s="10">
        <v>11</v>
      </c>
      <c r="H1567" s="10">
        <v>2546</v>
      </c>
      <c r="I1567" s="10">
        <v>28006</v>
      </c>
      <c r="J1567" t="s">
        <v>51</v>
      </c>
      <c r="K1567" s="11">
        <v>648.20000000000005</v>
      </c>
      <c r="L1567" s="12">
        <v>43.21</v>
      </c>
    </row>
    <row r="1568" spans="1:12" x14ac:dyDescent="0.2">
      <c r="A1568" s="9">
        <v>46244</v>
      </c>
      <c r="B1568" t="s">
        <v>193</v>
      </c>
      <c r="C1568" t="s">
        <v>194</v>
      </c>
      <c r="D1568" t="s">
        <v>68</v>
      </c>
      <c r="E1568" t="s">
        <v>647</v>
      </c>
      <c r="F1568" t="s">
        <v>667</v>
      </c>
      <c r="G1568" s="10">
        <v>2</v>
      </c>
      <c r="H1568" s="10">
        <v>7071</v>
      </c>
      <c r="I1568" s="10">
        <v>14142</v>
      </c>
      <c r="J1568" t="s">
        <v>51</v>
      </c>
      <c r="K1568" s="11">
        <v>648.20000000000005</v>
      </c>
      <c r="L1568" s="12">
        <v>21.82</v>
      </c>
    </row>
    <row r="1569" spans="1:12" x14ac:dyDescent="0.2">
      <c r="A1569" s="9">
        <v>46244</v>
      </c>
      <c r="B1569" t="s">
        <v>196</v>
      </c>
      <c r="C1569" t="s">
        <v>197</v>
      </c>
      <c r="D1569" t="s">
        <v>46</v>
      </c>
      <c r="E1569" t="s">
        <v>653</v>
      </c>
      <c r="F1569" t="s">
        <v>654</v>
      </c>
      <c r="G1569" s="10">
        <v>2</v>
      </c>
      <c r="H1569" s="10">
        <v>5745</v>
      </c>
      <c r="I1569" s="10">
        <v>11490</v>
      </c>
      <c r="J1569" t="s">
        <v>37</v>
      </c>
      <c r="K1569" s="11">
        <v>648.20000000000005</v>
      </c>
      <c r="L1569" s="12">
        <v>17.73</v>
      </c>
    </row>
    <row r="1570" spans="1:12" x14ac:dyDescent="0.2">
      <c r="A1570" s="9">
        <v>46244</v>
      </c>
      <c r="B1570" t="s">
        <v>196</v>
      </c>
      <c r="C1570" t="s">
        <v>197</v>
      </c>
      <c r="D1570" t="s">
        <v>46</v>
      </c>
      <c r="E1570" t="s">
        <v>655</v>
      </c>
      <c r="F1570" t="s">
        <v>656</v>
      </c>
      <c r="G1570" s="10">
        <v>25</v>
      </c>
      <c r="H1570" s="10">
        <v>562</v>
      </c>
      <c r="I1570" s="10">
        <v>14050</v>
      </c>
      <c r="J1570" t="s">
        <v>37</v>
      </c>
      <c r="K1570" s="11">
        <v>648.20000000000005</v>
      </c>
      <c r="L1570" s="12">
        <v>21.68</v>
      </c>
    </row>
    <row r="1571" spans="1:12" x14ac:dyDescent="0.2">
      <c r="A1571" s="9">
        <v>46244</v>
      </c>
      <c r="B1571" t="s">
        <v>199</v>
      </c>
      <c r="C1571" t="s">
        <v>200</v>
      </c>
      <c r="D1571" t="s">
        <v>46</v>
      </c>
      <c r="E1571" t="s">
        <v>660</v>
      </c>
      <c r="F1571" t="s">
        <v>670</v>
      </c>
      <c r="G1571" s="10">
        <v>59</v>
      </c>
      <c r="H1571" s="10">
        <v>14613</v>
      </c>
      <c r="I1571" s="10">
        <v>862167</v>
      </c>
      <c r="J1571" t="s">
        <v>37</v>
      </c>
      <c r="K1571" s="11">
        <v>648.20000000000005</v>
      </c>
      <c r="L1571" s="12">
        <v>1330.09</v>
      </c>
    </row>
    <row r="1572" spans="1:12" x14ac:dyDescent="0.2">
      <c r="A1572" s="9">
        <v>46244</v>
      </c>
      <c r="B1572" t="s">
        <v>199</v>
      </c>
      <c r="C1572" t="s">
        <v>200</v>
      </c>
      <c r="D1572" t="s">
        <v>46</v>
      </c>
      <c r="E1572" t="s">
        <v>651</v>
      </c>
      <c r="F1572" t="s">
        <v>664</v>
      </c>
      <c r="G1572" s="10">
        <v>88</v>
      </c>
      <c r="H1572" s="10">
        <v>11798</v>
      </c>
      <c r="I1572" s="10">
        <v>1038224</v>
      </c>
      <c r="J1572" t="s">
        <v>37</v>
      </c>
      <c r="K1572" s="11">
        <v>648.20000000000005</v>
      </c>
      <c r="L1572" s="12">
        <v>1601.7</v>
      </c>
    </row>
    <row r="1573" spans="1:12" x14ac:dyDescent="0.2">
      <c r="A1573" s="9">
        <v>46244</v>
      </c>
      <c r="B1573" t="s">
        <v>205</v>
      </c>
      <c r="C1573" t="s">
        <v>206</v>
      </c>
      <c r="D1573" t="s">
        <v>50</v>
      </c>
      <c r="E1573" t="s">
        <v>653</v>
      </c>
      <c r="F1573" t="s">
        <v>654</v>
      </c>
      <c r="G1573" s="10">
        <v>4</v>
      </c>
      <c r="H1573" s="10">
        <v>5898</v>
      </c>
      <c r="I1573" s="10">
        <v>23592</v>
      </c>
      <c r="J1573" t="s">
        <v>51</v>
      </c>
      <c r="K1573" s="11">
        <v>648.20000000000005</v>
      </c>
      <c r="L1573" s="12">
        <v>36.4</v>
      </c>
    </row>
    <row r="1574" spans="1:12" x14ac:dyDescent="0.2">
      <c r="A1574" s="9">
        <v>46244</v>
      </c>
      <c r="B1574" t="s">
        <v>205</v>
      </c>
      <c r="C1574" t="s">
        <v>206</v>
      </c>
      <c r="D1574" t="s">
        <v>50</v>
      </c>
      <c r="E1574" t="s">
        <v>647</v>
      </c>
      <c r="F1574" t="s">
        <v>667</v>
      </c>
      <c r="G1574" s="10">
        <v>23</v>
      </c>
      <c r="H1574" s="10">
        <v>7567</v>
      </c>
      <c r="I1574" s="10">
        <v>174041</v>
      </c>
      <c r="J1574" t="s">
        <v>51</v>
      </c>
      <c r="K1574" s="11">
        <v>648.20000000000005</v>
      </c>
      <c r="L1574" s="12">
        <v>268.5</v>
      </c>
    </row>
    <row r="1575" spans="1:12" x14ac:dyDescent="0.2">
      <c r="A1575" s="9">
        <v>46244</v>
      </c>
      <c r="B1575" t="s">
        <v>208</v>
      </c>
      <c r="C1575" t="s">
        <v>209</v>
      </c>
      <c r="D1575" t="s">
        <v>46</v>
      </c>
      <c r="E1575" t="s">
        <v>660</v>
      </c>
      <c r="F1575" t="s">
        <v>670</v>
      </c>
      <c r="G1575" s="10">
        <v>10</v>
      </c>
      <c r="H1575" s="10">
        <v>13974</v>
      </c>
      <c r="I1575" s="10">
        <v>139740</v>
      </c>
      <c r="J1575" t="s">
        <v>37</v>
      </c>
      <c r="K1575" s="11">
        <v>648.20000000000005</v>
      </c>
      <c r="L1575" s="12">
        <v>215.58</v>
      </c>
    </row>
    <row r="1576" spans="1:12" x14ac:dyDescent="0.2">
      <c r="A1576" s="9">
        <v>46244</v>
      </c>
      <c r="B1576" t="s">
        <v>214</v>
      </c>
      <c r="C1576" t="s">
        <v>215</v>
      </c>
      <c r="D1576" t="s">
        <v>46</v>
      </c>
      <c r="E1576" t="s">
        <v>660</v>
      </c>
      <c r="F1576" t="s">
        <v>661</v>
      </c>
      <c r="G1576" s="10">
        <v>11</v>
      </c>
      <c r="H1576" s="10">
        <v>4314</v>
      </c>
      <c r="I1576" s="10">
        <v>47454</v>
      </c>
      <c r="J1576" t="s">
        <v>37</v>
      </c>
      <c r="K1576" s="11">
        <v>648.20000000000005</v>
      </c>
      <c r="L1576" s="12">
        <v>73.209999999999994</v>
      </c>
    </row>
    <row r="1577" spans="1:12" x14ac:dyDescent="0.2">
      <c r="A1577" s="9">
        <v>46244</v>
      </c>
      <c r="B1577" t="s">
        <v>220</v>
      </c>
      <c r="C1577" t="s">
        <v>221</v>
      </c>
      <c r="D1577" t="s">
        <v>46</v>
      </c>
      <c r="E1577" t="s">
        <v>649</v>
      </c>
      <c r="F1577" t="s">
        <v>650</v>
      </c>
      <c r="G1577" s="10">
        <v>5</v>
      </c>
      <c r="H1577" s="10">
        <v>18709</v>
      </c>
      <c r="I1577" s="10">
        <v>93545</v>
      </c>
      <c r="J1577" t="s">
        <v>37</v>
      </c>
      <c r="K1577" s="11">
        <v>648.20000000000005</v>
      </c>
      <c r="L1577" s="12">
        <v>144.32</v>
      </c>
    </row>
    <row r="1578" spans="1:12" x14ac:dyDescent="0.2">
      <c r="A1578" s="9">
        <v>46244</v>
      </c>
      <c r="B1578" t="s">
        <v>220</v>
      </c>
      <c r="C1578" t="s">
        <v>221</v>
      </c>
      <c r="D1578" t="s">
        <v>46</v>
      </c>
      <c r="E1578" t="s">
        <v>660</v>
      </c>
      <c r="F1578" t="s">
        <v>661</v>
      </c>
      <c r="G1578" s="10">
        <v>14</v>
      </c>
      <c r="H1578" s="10">
        <v>4091</v>
      </c>
      <c r="I1578" s="10">
        <v>57274</v>
      </c>
      <c r="J1578" t="s">
        <v>37</v>
      </c>
      <c r="K1578" s="11">
        <v>648.20000000000005</v>
      </c>
      <c r="L1578" s="12">
        <v>88.36</v>
      </c>
    </row>
    <row r="1579" spans="1:12" x14ac:dyDescent="0.2">
      <c r="A1579" s="9">
        <v>46244</v>
      </c>
      <c r="B1579" t="s">
        <v>226</v>
      </c>
      <c r="C1579" t="s">
        <v>227</v>
      </c>
      <c r="D1579" t="s">
        <v>41</v>
      </c>
      <c r="E1579" t="s">
        <v>649</v>
      </c>
      <c r="F1579" t="s">
        <v>650</v>
      </c>
      <c r="G1579" s="10">
        <v>46</v>
      </c>
      <c r="H1579" s="10">
        <v>96648</v>
      </c>
      <c r="I1579" s="10">
        <v>4445808</v>
      </c>
      <c r="J1579" t="s">
        <v>42</v>
      </c>
      <c r="K1579" s="11">
        <v>3145.8</v>
      </c>
      <c r="L1579" s="12">
        <v>1413.25</v>
      </c>
    </row>
    <row r="1580" spans="1:12" x14ac:dyDescent="0.2">
      <c r="A1580" s="9">
        <v>46244</v>
      </c>
      <c r="B1580" t="s">
        <v>226</v>
      </c>
      <c r="C1580" t="s">
        <v>227</v>
      </c>
      <c r="D1580" t="s">
        <v>41</v>
      </c>
      <c r="E1580" t="s">
        <v>647</v>
      </c>
      <c r="F1580" t="s">
        <v>668</v>
      </c>
      <c r="G1580" s="10">
        <v>30</v>
      </c>
      <c r="H1580" s="10">
        <v>125065</v>
      </c>
      <c r="I1580" s="10">
        <v>3751950</v>
      </c>
      <c r="J1580" t="s">
        <v>42</v>
      </c>
      <c r="K1580" s="11">
        <v>3145.8</v>
      </c>
      <c r="L1580" s="12">
        <v>1192.69</v>
      </c>
    </row>
    <row r="1581" spans="1:12" x14ac:dyDescent="0.2">
      <c r="A1581" s="9">
        <v>46244</v>
      </c>
      <c r="B1581" t="s">
        <v>229</v>
      </c>
      <c r="C1581" t="s">
        <v>230</v>
      </c>
      <c r="D1581" t="s">
        <v>36</v>
      </c>
      <c r="E1581" t="s">
        <v>649</v>
      </c>
      <c r="F1581" t="s">
        <v>659</v>
      </c>
      <c r="G1581" s="10">
        <v>7</v>
      </c>
      <c r="H1581" s="10">
        <v>8637</v>
      </c>
      <c r="I1581" s="10">
        <v>60459</v>
      </c>
      <c r="J1581" t="s">
        <v>37</v>
      </c>
      <c r="K1581" s="11">
        <v>648.20000000000005</v>
      </c>
      <c r="L1581" s="12">
        <v>93.27</v>
      </c>
    </row>
    <row r="1582" spans="1:12" x14ac:dyDescent="0.2">
      <c r="A1582" s="9">
        <v>46244</v>
      </c>
      <c r="B1582" t="s">
        <v>229</v>
      </c>
      <c r="C1582" t="s">
        <v>230</v>
      </c>
      <c r="D1582" t="s">
        <v>36</v>
      </c>
      <c r="E1582" t="s">
        <v>655</v>
      </c>
      <c r="F1582" t="s">
        <v>665</v>
      </c>
      <c r="G1582" s="10">
        <v>19</v>
      </c>
      <c r="H1582" s="10">
        <v>667</v>
      </c>
      <c r="I1582" s="10">
        <v>12673</v>
      </c>
      <c r="J1582" t="s">
        <v>37</v>
      </c>
      <c r="K1582" s="11">
        <v>648.20000000000005</v>
      </c>
      <c r="L1582" s="12">
        <v>19.55</v>
      </c>
    </row>
    <row r="1583" spans="1:12" x14ac:dyDescent="0.2">
      <c r="A1583" s="9">
        <v>46244</v>
      </c>
      <c r="B1583" t="s">
        <v>235</v>
      </c>
      <c r="C1583" t="s">
        <v>236</v>
      </c>
      <c r="D1583" t="s">
        <v>50</v>
      </c>
      <c r="E1583" t="s">
        <v>649</v>
      </c>
      <c r="F1583" t="s">
        <v>650</v>
      </c>
      <c r="G1583" s="10">
        <v>11</v>
      </c>
      <c r="H1583" s="10">
        <v>18562</v>
      </c>
      <c r="I1583" s="10">
        <v>204182</v>
      </c>
      <c r="J1583" t="s">
        <v>51</v>
      </c>
      <c r="K1583" s="11">
        <v>648.20000000000005</v>
      </c>
      <c r="L1583" s="12">
        <v>315</v>
      </c>
    </row>
    <row r="1584" spans="1:12" x14ac:dyDescent="0.2">
      <c r="A1584" s="9">
        <v>46244</v>
      </c>
      <c r="B1584" t="s">
        <v>235</v>
      </c>
      <c r="C1584" t="s">
        <v>236</v>
      </c>
      <c r="D1584" t="s">
        <v>50</v>
      </c>
      <c r="E1584" t="s">
        <v>660</v>
      </c>
      <c r="F1584" t="s">
        <v>661</v>
      </c>
      <c r="G1584" s="10">
        <v>9</v>
      </c>
      <c r="H1584" s="10">
        <v>4295</v>
      </c>
      <c r="I1584" s="10">
        <v>38655</v>
      </c>
      <c r="J1584" t="s">
        <v>51</v>
      </c>
      <c r="K1584" s="11">
        <v>648.20000000000005</v>
      </c>
      <c r="L1584" s="12">
        <v>59.63</v>
      </c>
    </row>
    <row r="1585" spans="1:12" x14ac:dyDescent="0.2">
      <c r="A1585" s="9">
        <v>46244</v>
      </c>
      <c r="B1585" t="s">
        <v>238</v>
      </c>
      <c r="C1585" t="s">
        <v>239</v>
      </c>
      <c r="D1585" t="s">
        <v>68</v>
      </c>
      <c r="E1585" t="s">
        <v>655</v>
      </c>
      <c r="F1585" t="s">
        <v>662</v>
      </c>
      <c r="G1585" s="10">
        <v>35</v>
      </c>
      <c r="H1585" s="10">
        <v>1093</v>
      </c>
      <c r="I1585" s="10">
        <v>38255</v>
      </c>
      <c r="J1585" t="s">
        <v>51</v>
      </c>
      <c r="K1585" s="11">
        <v>648.20000000000005</v>
      </c>
      <c r="L1585" s="12">
        <v>59.02</v>
      </c>
    </row>
    <row r="1586" spans="1:12" x14ac:dyDescent="0.2">
      <c r="A1586" s="9">
        <v>46244</v>
      </c>
      <c r="B1586" t="s">
        <v>238</v>
      </c>
      <c r="C1586" t="s">
        <v>239</v>
      </c>
      <c r="D1586" t="s">
        <v>68</v>
      </c>
      <c r="E1586" t="s">
        <v>653</v>
      </c>
      <c r="F1586" t="s">
        <v>654</v>
      </c>
      <c r="G1586" s="10">
        <v>3</v>
      </c>
      <c r="H1586" s="10">
        <v>5580</v>
      </c>
      <c r="I1586" s="10">
        <v>16740</v>
      </c>
      <c r="J1586" t="s">
        <v>51</v>
      </c>
      <c r="K1586" s="11">
        <v>648.20000000000005</v>
      </c>
      <c r="L1586" s="12">
        <v>25.83</v>
      </c>
    </row>
    <row r="1587" spans="1:12" x14ac:dyDescent="0.2">
      <c r="A1587" s="9">
        <v>46244</v>
      </c>
      <c r="B1587" t="s">
        <v>238</v>
      </c>
      <c r="C1587" t="s">
        <v>239</v>
      </c>
      <c r="D1587" t="s">
        <v>68</v>
      </c>
      <c r="E1587" t="s">
        <v>647</v>
      </c>
      <c r="F1587" t="s">
        <v>667</v>
      </c>
      <c r="G1587" s="10">
        <v>39</v>
      </c>
      <c r="H1587" s="10">
        <v>7607</v>
      </c>
      <c r="I1587" s="10">
        <v>296673</v>
      </c>
      <c r="J1587" t="s">
        <v>51</v>
      </c>
      <c r="K1587" s="11">
        <v>648.20000000000005</v>
      </c>
      <c r="L1587" s="12">
        <v>457.69</v>
      </c>
    </row>
    <row r="1588" spans="1:12" x14ac:dyDescent="0.2">
      <c r="A1588" s="9">
        <v>46244</v>
      </c>
      <c r="B1588" t="s">
        <v>241</v>
      </c>
      <c r="C1588" t="s">
        <v>242</v>
      </c>
      <c r="D1588" t="s">
        <v>46</v>
      </c>
      <c r="E1588" t="s">
        <v>647</v>
      </c>
      <c r="F1588" t="s">
        <v>648</v>
      </c>
      <c r="G1588" s="10">
        <v>4</v>
      </c>
      <c r="H1588" s="10">
        <v>16457</v>
      </c>
      <c r="I1588" s="10">
        <v>65828</v>
      </c>
      <c r="J1588" t="s">
        <v>37</v>
      </c>
      <c r="K1588" s="11">
        <v>648.20000000000005</v>
      </c>
      <c r="L1588" s="12">
        <v>101.56</v>
      </c>
    </row>
    <row r="1589" spans="1:12" x14ac:dyDescent="0.2">
      <c r="A1589" s="9">
        <v>46244</v>
      </c>
      <c r="B1589" t="s">
        <v>250</v>
      </c>
      <c r="C1589" t="s">
        <v>251</v>
      </c>
      <c r="D1589" t="s">
        <v>46</v>
      </c>
      <c r="E1589" t="s">
        <v>649</v>
      </c>
      <c r="F1589" t="s">
        <v>650</v>
      </c>
      <c r="G1589" s="10">
        <v>13</v>
      </c>
      <c r="H1589" s="10">
        <v>19980</v>
      </c>
      <c r="I1589" s="10">
        <v>259740</v>
      </c>
      <c r="J1589" t="s">
        <v>37</v>
      </c>
      <c r="K1589" s="11">
        <v>648.20000000000005</v>
      </c>
      <c r="L1589" s="12">
        <v>400.71</v>
      </c>
    </row>
    <row r="1590" spans="1:12" x14ac:dyDescent="0.2">
      <c r="A1590" s="9">
        <v>46244</v>
      </c>
      <c r="B1590" t="s">
        <v>253</v>
      </c>
      <c r="C1590" t="s">
        <v>254</v>
      </c>
      <c r="D1590" t="s">
        <v>50</v>
      </c>
      <c r="E1590" t="s">
        <v>647</v>
      </c>
      <c r="F1590" t="s">
        <v>667</v>
      </c>
      <c r="G1590" s="10">
        <v>12</v>
      </c>
      <c r="H1590" s="10">
        <v>7414</v>
      </c>
      <c r="I1590" s="10">
        <v>88968</v>
      </c>
      <c r="J1590" t="s">
        <v>51</v>
      </c>
      <c r="K1590" s="11">
        <v>648.20000000000005</v>
      </c>
      <c r="L1590" s="12">
        <v>137.25</v>
      </c>
    </row>
    <row r="1591" spans="1:12" x14ac:dyDescent="0.2">
      <c r="A1591" s="9">
        <v>46244</v>
      </c>
      <c r="B1591" t="s">
        <v>253</v>
      </c>
      <c r="C1591" t="s">
        <v>254</v>
      </c>
      <c r="D1591" t="s">
        <v>50</v>
      </c>
      <c r="E1591" t="s">
        <v>647</v>
      </c>
      <c r="F1591" t="s">
        <v>667</v>
      </c>
      <c r="G1591" s="10">
        <v>10</v>
      </c>
      <c r="H1591" s="10">
        <v>7373</v>
      </c>
      <c r="I1591" s="10">
        <v>73730</v>
      </c>
      <c r="J1591" t="s">
        <v>51</v>
      </c>
      <c r="K1591" s="11">
        <v>648.20000000000005</v>
      </c>
      <c r="L1591" s="12">
        <v>113.75</v>
      </c>
    </row>
    <row r="1592" spans="1:12" x14ac:dyDescent="0.2">
      <c r="A1592" s="9">
        <v>46244</v>
      </c>
      <c r="B1592" t="s">
        <v>256</v>
      </c>
      <c r="C1592" t="s">
        <v>182</v>
      </c>
      <c r="D1592" t="s">
        <v>50</v>
      </c>
      <c r="E1592" t="s">
        <v>660</v>
      </c>
      <c r="F1592" t="s">
        <v>669</v>
      </c>
      <c r="G1592" s="10">
        <v>2</v>
      </c>
      <c r="H1592" s="10">
        <v>2668</v>
      </c>
      <c r="I1592" s="10">
        <v>5336</v>
      </c>
      <c r="J1592" t="s">
        <v>51</v>
      </c>
      <c r="K1592" s="11">
        <v>648.20000000000005</v>
      </c>
      <c r="L1592" s="12">
        <v>8.23</v>
      </c>
    </row>
    <row r="1593" spans="1:12" x14ac:dyDescent="0.2">
      <c r="A1593" s="9">
        <v>46244</v>
      </c>
      <c r="B1593" t="s">
        <v>256</v>
      </c>
      <c r="C1593" t="s">
        <v>182</v>
      </c>
      <c r="D1593" t="s">
        <v>50</v>
      </c>
      <c r="E1593" t="s">
        <v>660</v>
      </c>
      <c r="F1593" t="s">
        <v>661</v>
      </c>
      <c r="G1593" s="10">
        <v>9</v>
      </c>
      <c r="H1593" s="10">
        <v>4103</v>
      </c>
      <c r="I1593" s="10">
        <v>36927</v>
      </c>
      <c r="J1593" t="s">
        <v>51</v>
      </c>
      <c r="K1593" s="11">
        <v>648.20000000000005</v>
      </c>
      <c r="L1593" s="12">
        <v>56.97</v>
      </c>
    </row>
    <row r="1594" spans="1:12" x14ac:dyDescent="0.2">
      <c r="A1594" s="9">
        <v>46244</v>
      </c>
      <c r="B1594" t="s">
        <v>256</v>
      </c>
      <c r="C1594" t="s">
        <v>182</v>
      </c>
      <c r="D1594" t="s">
        <v>50</v>
      </c>
      <c r="E1594" t="s">
        <v>647</v>
      </c>
      <c r="F1594" t="s">
        <v>668</v>
      </c>
      <c r="G1594" s="10">
        <v>2</v>
      </c>
      <c r="H1594" s="10">
        <v>25645</v>
      </c>
      <c r="I1594" s="10">
        <v>51290</v>
      </c>
      <c r="J1594" t="s">
        <v>51</v>
      </c>
      <c r="K1594" s="11">
        <v>648.20000000000005</v>
      </c>
      <c r="L1594" s="12">
        <v>79.13</v>
      </c>
    </row>
    <row r="1595" spans="1:12" x14ac:dyDescent="0.2">
      <c r="A1595" s="9">
        <v>46244</v>
      </c>
      <c r="B1595" t="s">
        <v>258</v>
      </c>
      <c r="C1595" t="s">
        <v>259</v>
      </c>
      <c r="D1595" t="s">
        <v>50</v>
      </c>
      <c r="E1595" t="s">
        <v>653</v>
      </c>
      <c r="F1595" t="s">
        <v>658</v>
      </c>
      <c r="G1595" s="10">
        <v>2</v>
      </c>
      <c r="H1595" s="10">
        <v>2627</v>
      </c>
      <c r="I1595" s="10">
        <v>5254</v>
      </c>
      <c r="J1595" t="s">
        <v>51</v>
      </c>
      <c r="K1595" s="11">
        <v>648.20000000000005</v>
      </c>
      <c r="L1595" s="12">
        <v>8.11</v>
      </c>
    </row>
    <row r="1596" spans="1:12" x14ac:dyDescent="0.2">
      <c r="A1596" s="9">
        <v>46244</v>
      </c>
      <c r="B1596" t="s">
        <v>261</v>
      </c>
      <c r="C1596" t="s">
        <v>262</v>
      </c>
      <c r="D1596" t="s">
        <v>41</v>
      </c>
      <c r="E1596" t="s">
        <v>649</v>
      </c>
      <c r="F1596" t="s">
        <v>650</v>
      </c>
      <c r="G1596" s="10">
        <v>19</v>
      </c>
      <c r="H1596" s="10">
        <v>95262</v>
      </c>
      <c r="I1596" s="10">
        <v>1809978</v>
      </c>
      <c r="J1596" t="s">
        <v>42</v>
      </c>
      <c r="K1596" s="11">
        <v>3145.8</v>
      </c>
      <c r="L1596" s="12">
        <v>575.36</v>
      </c>
    </row>
    <row r="1597" spans="1:12" x14ac:dyDescent="0.2">
      <c r="A1597" s="9">
        <v>46244</v>
      </c>
      <c r="B1597" t="s">
        <v>264</v>
      </c>
      <c r="C1597" t="s">
        <v>265</v>
      </c>
      <c r="D1597" t="s">
        <v>41</v>
      </c>
      <c r="E1597" t="s">
        <v>649</v>
      </c>
      <c r="F1597" t="s">
        <v>663</v>
      </c>
      <c r="G1597" s="10">
        <v>3</v>
      </c>
      <c r="H1597" s="10">
        <v>9952</v>
      </c>
      <c r="I1597" s="10">
        <v>29856</v>
      </c>
      <c r="J1597" t="s">
        <v>42</v>
      </c>
      <c r="K1597" s="11">
        <v>3145.8</v>
      </c>
      <c r="L1597" s="12">
        <v>9.49</v>
      </c>
    </row>
    <row r="1598" spans="1:12" x14ac:dyDescent="0.2">
      <c r="A1598" s="9">
        <v>46244</v>
      </c>
      <c r="B1598" t="s">
        <v>267</v>
      </c>
      <c r="C1598" t="s">
        <v>268</v>
      </c>
      <c r="D1598" t="s">
        <v>46</v>
      </c>
      <c r="E1598" t="s">
        <v>651</v>
      </c>
      <c r="F1598" t="s">
        <v>652</v>
      </c>
      <c r="G1598" s="10">
        <v>6</v>
      </c>
      <c r="H1598" s="10">
        <v>9894</v>
      </c>
      <c r="I1598" s="10">
        <v>59364</v>
      </c>
      <c r="J1598" t="s">
        <v>37</v>
      </c>
      <c r="K1598" s="11">
        <v>648.20000000000005</v>
      </c>
      <c r="L1598" s="12">
        <v>91.58</v>
      </c>
    </row>
    <row r="1599" spans="1:12" x14ac:dyDescent="0.2">
      <c r="A1599" s="9">
        <v>46244</v>
      </c>
      <c r="B1599" t="s">
        <v>270</v>
      </c>
      <c r="C1599" t="s">
        <v>271</v>
      </c>
      <c r="D1599" t="s">
        <v>75</v>
      </c>
      <c r="E1599" t="s">
        <v>655</v>
      </c>
      <c r="F1599" t="s">
        <v>656</v>
      </c>
      <c r="G1599" s="10">
        <v>9</v>
      </c>
      <c r="H1599" s="10">
        <v>2688</v>
      </c>
      <c r="I1599" s="10">
        <v>24192</v>
      </c>
      <c r="J1599" t="s">
        <v>42</v>
      </c>
      <c r="K1599" s="11">
        <v>3145.8</v>
      </c>
      <c r="L1599" s="12">
        <v>7.69</v>
      </c>
    </row>
    <row r="1600" spans="1:12" x14ac:dyDescent="0.2">
      <c r="A1600" s="9">
        <v>46244</v>
      </c>
      <c r="B1600" t="s">
        <v>279</v>
      </c>
      <c r="C1600" t="s">
        <v>280</v>
      </c>
      <c r="D1600" t="s">
        <v>68</v>
      </c>
      <c r="E1600" t="s">
        <v>653</v>
      </c>
      <c r="F1600" t="s">
        <v>658</v>
      </c>
      <c r="G1600" s="10">
        <v>10</v>
      </c>
      <c r="H1600" s="10">
        <v>2813</v>
      </c>
      <c r="I1600" s="10">
        <v>28130</v>
      </c>
      <c r="J1600" t="s">
        <v>51</v>
      </c>
      <c r="K1600" s="11">
        <v>648.20000000000005</v>
      </c>
      <c r="L1600" s="12">
        <v>43.4</v>
      </c>
    </row>
    <row r="1601" spans="1:12" x14ac:dyDescent="0.2">
      <c r="A1601" s="9">
        <v>46244</v>
      </c>
      <c r="B1601" t="s">
        <v>279</v>
      </c>
      <c r="C1601" t="s">
        <v>280</v>
      </c>
      <c r="D1601" t="s">
        <v>68</v>
      </c>
      <c r="E1601" t="s">
        <v>649</v>
      </c>
      <c r="F1601" t="s">
        <v>663</v>
      </c>
      <c r="G1601" s="10">
        <v>19</v>
      </c>
      <c r="H1601" s="10">
        <v>1992</v>
      </c>
      <c r="I1601" s="10">
        <v>37848</v>
      </c>
      <c r="J1601" t="s">
        <v>51</v>
      </c>
      <c r="K1601" s="11">
        <v>648.20000000000005</v>
      </c>
      <c r="L1601" s="12">
        <v>58.39</v>
      </c>
    </row>
    <row r="1602" spans="1:12" x14ac:dyDescent="0.2">
      <c r="A1602" s="9">
        <v>46244</v>
      </c>
      <c r="B1602" t="s">
        <v>279</v>
      </c>
      <c r="C1602" t="s">
        <v>280</v>
      </c>
      <c r="D1602" t="s">
        <v>68</v>
      </c>
      <c r="E1602" t="s">
        <v>653</v>
      </c>
      <c r="F1602" t="s">
        <v>654</v>
      </c>
      <c r="G1602" s="10">
        <v>8</v>
      </c>
      <c r="H1602" s="10">
        <v>5918</v>
      </c>
      <c r="I1602" s="10">
        <v>47344</v>
      </c>
      <c r="J1602" t="s">
        <v>51</v>
      </c>
      <c r="K1602" s="11">
        <v>648.20000000000005</v>
      </c>
      <c r="L1602" s="12">
        <v>73.040000000000006</v>
      </c>
    </row>
    <row r="1603" spans="1:12" x14ac:dyDescent="0.2">
      <c r="A1603" s="9">
        <v>46244</v>
      </c>
      <c r="B1603" t="s">
        <v>288</v>
      </c>
      <c r="C1603" t="s">
        <v>289</v>
      </c>
      <c r="D1603" t="s">
        <v>41</v>
      </c>
      <c r="E1603" t="s">
        <v>647</v>
      </c>
      <c r="F1603" t="s">
        <v>668</v>
      </c>
      <c r="G1603" s="10">
        <v>19</v>
      </c>
      <c r="H1603" s="10">
        <v>118357</v>
      </c>
      <c r="I1603" s="10">
        <v>2248783</v>
      </c>
      <c r="J1603" t="s">
        <v>42</v>
      </c>
      <c r="K1603" s="11">
        <v>3145.8</v>
      </c>
      <c r="L1603" s="12">
        <v>714.85</v>
      </c>
    </row>
    <row r="1604" spans="1:12" x14ac:dyDescent="0.2">
      <c r="A1604" s="9">
        <v>46244</v>
      </c>
      <c r="B1604" t="s">
        <v>294</v>
      </c>
      <c r="C1604" t="s">
        <v>295</v>
      </c>
      <c r="D1604" t="s">
        <v>41</v>
      </c>
      <c r="E1604" t="s">
        <v>660</v>
      </c>
      <c r="F1604" t="s">
        <v>669</v>
      </c>
      <c r="G1604" s="10">
        <v>3</v>
      </c>
      <c r="H1604" s="10">
        <v>12725</v>
      </c>
      <c r="I1604" s="10">
        <v>38175</v>
      </c>
      <c r="J1604" t="s">
        <v>42</v>
      </c>
      <c r="K1604" s="11">
        <v>3145.8</v>
      </c>
      <c r="L1604" s="12">
        <v>12.14</v>
      </c>
    </row>
    <row r="1605" spans="1:12" x14ac:dyDescent="0.2">
      <c r="A1605" s="9">
        <v>46244</v>
      </c>
      <c r="B1605" t="s">
        <v>297</v>
      </c>
      <c r="C1605" t="s">
        <v>298</v>
      </c>
      <c r="D1605" t="s">
        <v>36</v>
      </c>
      <c r="E1605" t="s">
        <v>647</v>
      </c>
      <c r="F1605" t="s">
        <v>667</v>
      </c>
      <c r="G1605" s="10">
        <v>7</v>
      </c>
      <c r="H1605" s="10">
        <v>7277</v>
      </c>
      <c r="I1605" s="10">
        <v>50939</v>
      </c>
      <c r="J1605" t="s">
        <v>37</v>
      </c>
      <c r="K1605" s="11">
        <v>648.20000000000005</v>
      </c>
      <c r="L1605" s="12">
        <v>78.59</v>
      </c>
    </row>
    <row r="1606" spans="1:12" x14ac:dyDescent="0.2">
      <c r="A1606" s="9">
        <v>46244</v>
      </c>
      <c r="B1606" t="s">
        <v>300</v>
      </c>
      <c r="C1606" t="s">
        <v>301</v>
      </c>
      <c r="D1606" t="s">
        <v>41</v>
      </c>
      <c r="E1606" t="s">
        <v>660</v>
      </c>
      <c r="F1606" t="s">
        <v>669</v>
      </c>
      <c r="G1606" s="10">
        <v>18</v>
      </c>
      <c r="H1606" s="10">
        <v>12402</v>
      </c>
      <c r="I1606" s="10">
        <v>223236</v>
      </c>
      <c r="J1606" t="s">
        <v>42</v>
      </c>
      <c r="K1606" s="11">
        <v>3145.8</v>
      </c>
      <c r="L1606" s="12">
        <v>70.959999999999994</v>
      </c>
    </row>
    <row r="1607" spans="1:12" x14ac:dyDescent="0.2">
      <c r="A1607" s="9">
        <v>46244</v>
      </c>
      <c r="B1607" t="s">
        <v>300</v>
      </c>
      <c r="C1607" t="s">
        <v>301</v>
      </c>
      <c r="D1607" t="s">
        <v>41</v>
      </c>
      <c r="E1607" t="s">
        <v>647</v>
      </c>
      <c r="F1607" t="s">
        <v>648</v>
      </c>
      <c r="G1607" s="10">
        <v>9</v>
      </c>
      <c r="H1607" s="10">
        <v>76608</v>
      </c>
      <c r="I1607" s="10">
        <v>689472</v>
      </c>
      <c r="J1607" t="s">
        <v>42</v>
      </c>
      <c r="K1607" s="11">
        <v>3145.8</v>
      </c>
      <c r="L1607" s="12">
        <v>219.17</v>
      </c>
    </row>
    <row r="1608" spans="1:12" x14ac:dyDescent="0.2">
      <c r="A1608" s="9">
        <v>46244</v>
      </c>
      <c r="B1608" t="s">
        <v>300</v>
      </c>
      <c r="C1608" t="s">
        <v>301</v>
      </c>
      <c r="D1608" t="s">
        <v>41</v>
      </c>
      <c r="E1608" t="s">
        <v>655</v>
      </c>
      <c r="F1608" t="s">
        <v>665</v>
      </c>
      <c r="G1608" s="10">
        <v>33</v>
      </c>
      <c r="H1608" s="10">
        <v>3252</v>
      </c>
      <c r="I1608" s="10">
        <v>107316</v>
      </c>
      <c r="J1608" t="s">
        <v>42</v>
      </c>
      <c r="K1608" s="11">
        <v>3145.8</v>
      </c>
      <c r="L1608" s="12">
        <v>34.11</v>
      </c>
    </row>
    <row r="1609" spans="1:12" x14ac:dyDescent="0.2">
      <c r="A1609" s="9">
        <v>46244</v>
      </c>
      <c r="B1609" t="s">
        <v>303</v>
      </c>
      <c r="C1609" t="s">
        <v>304</v>
      </c>
      <c r="D1609" t="s">
        <v>36</v>
      </c>
      <c r="E1609" t="s">
        <v>647</v>
      </c>
      <c r="F1609" t="s">
        <v>648</v>
      </c>
      <c r="G1609" s="10">
        <v>10</v>
      </c>
      <c r="H1609" s="10">
        <v>16563</v>
      </c>
      <c r="I1609" s="10">
        <v>165630</v>
      </c>
      <c r="J1609" t="s">
        <v>37</v>
      </c>
      <c r="K1609" s="11">
        <v>648.20000000000005</v>
      </c>
      <c r="L1609" s="12">
        <v>255.52</v>
      </c>
    </row>
    <row r="1610" spans="1:12" x14ac:dyDescent="0.2">
      <c r="A1610" s="9">
        <v>46244</v>
      </c>
      <c r="B1610" t="s">
        <v>306</v>
      </c>
      <c r="C1610" t="s">
        <v>307</v>
      </c>
      <c r="D1610" t="s">
        <v>36</v>
      </c>
      <c r="E1610" t="s">
        <v>647</v>
      </c>
      <c r="F1610" t="s">
        <v>667</v>
      </c>
      <c r="G1610" s="10">
        <v>3</v>
      </c>
      <c r="H1610" s="10">
        <v>7231</v>
      </c>
      <c r="I1610" s="10">
        <v>21693</v>
      </c>
      <c r="J1610" t="s">
        <v>37</v>
      </c>
      <c r="K1610" s="11">
        <v>648.20000000000005</v>
      </c>
      <c r="L1610" s="12">
        <v>33.47</v>
      </c>
    </row>
    <row r="1611" spans="1:12" x14ac:dyDescent="0.2">
      <c r="A1611" s="9">
        <v>46244</v>
      </c>
      <c r="B1611" t="s">
        <v>309</v>
      </c>
      <c r="C1611" t="s">
        <v>310</v>
      </c>
      <c r="D1611" t="s">
        <v>41</v>
      </c>
      <c r="E1611" t="s">
        <v>660</v>
      </c>
      <c r="F1611" t="s">
        <v>669</v>
      </c>
      <c r="G1611" s="10">
        <v>62</v>
      </c>
      <c r="H1611" s="10">
        <v>13029</v>
      </c>
      <c r="I1611" s="10">
        <v>807798</v>
      </c>
      <c r="J1611" t="s">
        <v>42</v>
      </c>
      <c r="K1611" s="11">
        <v>3145.8</v>
      </c>
      <c r="L1611" s="12">
        <v>256.79000000000002</v>
      </c>
    </row>
    <row r="1612" spans="1:12" x14ac:dyDescent="0.2">
      <c r="A1612" s="9">
        <v>46244</v>
      </c>
      <c r="B1612" t="s">
        <v>312</v>
      </c>
      <c r="C1612" t="s">
        <v>313</v>
      </c>
      <c r="D1612" t="s">
        <v>41</v>
      </c>
      <c r="E1612" t="s">
        <v>655</v>
      </c>
      <c r="F1612" t="s">
        <v>662</v>
      </c>
      <c r="G1612" s="10">
        <v>4</v>
      </c>
      <c r="H1612" s="10">
        <v>5596</v>
      </c>
      <c r="I1612" s="10">
        <v>22384</v>
      </c>
      <c r="J1612" t="s">
        <v>42</v>
      </c>
      <c r="K1612" s="11">
        <v>3145.8</v>
      </c>
      <c r="L1612" s="12">
        <v>7.12</v>
      </c>
    </row>
    <row r="1613" spans="1:12" x14ac:dyDescent="0.2">
      <c r="A1613" s="9">
        <v>46244</v>
      </c>
      <c r="B1613" t="s">
        <v>312</v>
      </c>
      <c r="C1613" t="s">
        <v>313</v>
      </c>
      <c r="D1613" t="s">
        <v>41</v>
      </c>
      <c r="E1613" t="s">
        <v>651</v>
      </c>
      <c r="F1613" t="s">
        <v>664</v>
      </c>
      <c r="G1613" s="10">
        <v>3</v>
      </c>
      <c r="H1613" s="10">
        <v>60113</v>
      </c>
      <c r="I1613" s="10">
        <v>180339</v>
      </c>
      <c r="J1613" t="s">
        <v>42</v>
      </c>
      <c r="K1613" s="11">
        <v>3145.8</v>
      </c>
      <c r="L1613" s="12">
        <v>57.33</v>
      </c>
    </row>
    <row r="1614" spans="1:12" x14ac:dyDescent="0.2">
      <c r="A1614" s="9">
        <v>46244</v>
      </c>
      <c r="B1614" t="s">
        <v>315</v>
      </c>
      <c r="C1614" t="s">
        <v>316</v>
      </c>
      <c r="D1614" t="s">
        <v>46</v>
      </c>
      <c r="E1614" t="s">
        <v>649</v>
      </c>
      <c r="F1614" t="s">
        <v>659</v>
      </c>
      <c r="G1614" s="10">
        <v>2</v>
      </c>
      <c r="H1614" s="10">
        <v>8974</v>
      </c>
      <c r="I1614" s="10">
        <v>17948</v>
      </c>
      <c r="J1614" t="s">
        <v>37</v>
      </c>
      <c r="K1614" s="11">
        <v>648.20000000000005</v>
      </c>
      <c r="L1614" s="12">
        <v>27.69</v>
      </c>
    </row>
    <row r="1615" spans="1:12" x14ac:dyDescent="0.2">
      <c r="A1615" s="9">
        <v>46244</v>
      </c>
      <c r="B1615" t="s">
        <v>318</v>
      </c>
      <c r="C1615" t="s">
        <v>319</v>
      </c>
      <c r="D1615" t="s">
        <v>41</v>
      </c>
      <c r="E1615" t="s">
        <v>653</v>
      </c>
      <c r="F1615" t="s">
        <v>654</v>
      </c>
      <c r="G1615" s="10">
        <v>35</v>
      </c>
      <c r="H1615" s="10">
        <v>26615</v>
      </c>
      <c r="I1615" s="10">
        <v>931525</v>
      </c>
      <c r="J1615" t="s">
        <v>42</v>
      </c>
      <c r="K1615" s="11">
        <v>3145.8</v>
      </c>
      <c r="L1615" s="12">
        <v>296.12</v>
      </c>
    </row>
    <row r="1616" spans="1:12" x14ac:dyDescent="0.2">
      <c r="A1616" s="9">
        <v>46244</v>
      </c>
      <c r="B1616" t="s">
        <v>318</v>
      </c>
      <c r="C1616" t="s">
        <v>319</v>
      </c>
      <c r="D1616" t="s">
        <v>41</v>
      </c>
      <c r="E1616" t="s">
        <v>651</v>
      </c>
      <c r="F1616" t="s">
        <v>664</v>
      </c>
      <c r="G1616" s="10">
        <v>11</v>
      </c>
      <c r="H1616" s="10">
        <v>58555</v>
      </c>
      <c r="I1616" s="10">
        <v>644105</v>
      </c>
      <c r="J1616" t="s">
        <v>42</v>
      </c>
      <c r="K1616" s="11">
        <v>3145.8</v>
      </c>
      <c r="L1616" s="12">
        <v>204.75</v>
      </c>
    </row>
    <row r="1617" spans="1:12" x14ac:dyDescent="0.2">
      <c r="A1617" s="9">
        <v>46244</v>
      </c>
      <c r="B1617" t="s">
        <v>321</v>
      </c>
      <c r="C1617" t="s">
        <v>322</v>
      </c>
      <c r="D1617" t="s">
        <v>41</v>
      </c>
      <c r="E1617" t="s">
        <v>647</v>
      </c>
      <c r="F1617" t="s">
        <v>648</v>
      </c>
      <c r="G1617" s="10">
        <v>8</v>
      </c>
      <c r="H1617" s="10">
        <v>81839</v>
      </c>
      <c r="I1617" s="10">
        <v>654712</v>
      </c>
      <c r="J1617" t="s">
        <v>42</v>
      </c>
      <c r="K1617" s="11">
        <v>3145.8</v>
      </c>
      <c r="L1617" s="12">
        <v>208.12</v>
      </c>
    </row>
    <row r="1618" spans="1:12" x14ac:dyDescent="0.2">
      <c r="A1618" s="9">
        <v>46244</v>
      </c>
      <c r="B1618" t="s">
        <v>327</v>
      </c>
      <c r="C1618" t="s">
        <v>328</v>
      </c>
      <c r="D1618" t="s">
        <v>46</v>
      </c>
      <c r="E1618" t="s">
        <v>653</v>
      </c>
      <c r="F1618" t="s">
        <v>666</v>
      </c>
      <c r="G1618" s="10">
        <v>9</v>
      </c>
      <c r="H1618" s="10">
        <v>1530</v>
      </c>
      <c r="I1618" s="10">
        <v>13770</v>
      </c>
      <c r="J1618" t="s">
        <v>37</v>
      </c>
      <c r="K1618" s="11">
        <v>648.20000000000005</v>
      </c>
      <c r="L1618" s="12">
        <v>21.24</v>
      </c>
    </row>
    <row r="1619" spans="1:12" x14ac:dyDescent="0.2">
      <c r="A1619" s="9">
        <v>46244</v>
      </c>
      <c r="B1619" t="s">
        <v>333</v>
      </c>
      <c r="C1619" t="s">
        <v>334</v>
      </c>
      <c r="D1619" t="s">
        <v>68</v>
      </c>
      <c r="E1619" t="s">
        <v>649</v>
      </c>
      <c r="F1619" t="s">
        <v>663</v>
      </c>
      <c r="G1619" s="10">
        <v>9</v>
      </c>
      <c r="H1619" s="10">
        <v>1982</v>
      </c>
      <c r="I1619" s="10">
        <v>17838</v>
      </c>
      <c r="J1619" t="s">
        <v>51</v>
      </c>
      <c r="K1619" s="11">
        <v>648.20000000000005</v>
      </c>
      <c r="L1619" s="12">
        <v>27.52</v>
      </c>
    </row>
    <row r="1620" spans="1:12" x14ac:dyDescent="0.2">
      <c r="A1620" s="9">
        <v>46244</v>
      </c>
      <c r="B1620" t="s">
        <v>336</v>
      </c>
      <c r="C1620" t="s">
        <v>337</v>
      </c>
      <c r="D1620" t="s">
        <v>68</v>
      </c>
      <c r="E1620" t="s">
        <v>651</v>
      </c>
      <c r="F1620" t="s">
        <v>652</v>
      </c>
      <c r="G1620" s="10">
        <v>6</v>
      </c>
      <c r="H1620" s="10">
        <v>9810</v>
      </c>
      <c r="I1620" s="10">
        <v>58860</v>
      </c>
      <c r="J1620" t="s">
        <v>51</v>
      </c>
      <c r="K1620" s="11">
        <v>648.20000000000005</v>
      </c>
      <c r="L1620" s="12">
        <v>90.81</v>
      </c>
    </row>
    <row r="1621" spans="1:12" x14ac:dyDescent="0.2">
      <c r="A1621" s="9">
        <v>46244</v>
      </c>
      <c r="B1621" t="s">
        <v>336</v>
      </c>
      <c r="C1621" t="s">
        <v>337</v>
      </c>
      <c r="D1621" t="s">
        <v>68</v>
      </c>
      <c r="E1621" t="s">
        <v>647</v>
      </c>
      <c r="F1621" t="s">
        <v>648</v>
      </c>
      <c r="G1621" s="10">
        <v>1</v>
      </c>
      <c r="H1621" s="10">
        <v>16012</v>
      </c>
      <c r="I1621" s="10">
        <v>16012</v>
      </c>
      <c r="J1621" t="s">
        <v>51</v>
      </c>
      <c r="K1621" s="11">
        <v>648.20000000000005</v>
      </c>
      <c r="L1621" s="12">
        <v>24.7</v>
      </c>
    </row>
    <row r="1622" spans="1:12" x14ac:dyDescent="0.2">
      <c r="A1622" s="9">
        <v>46244</v>
      </c>
      <c r="B1622" t="s">
        <v>342</v>
      </c>
      <c r="C1622" t="s">
        <v>343</v>
      </c>
      <c r="D1622" t="s">
        <v>41</v>
      </c>
      <c r="E1622" t="s">
        <v>647</v>
      </c>
      <c r="F1622" t="s">
        <v>648</v>
      </c>
      <c r="G1622" s="10">
        <v>10</v>
      </c>
      <c r="H1622" s="10">
        <v>75781</v>
      </c>
      <c r="I1622" s="10">
        <v>757810</v>
      </c>
      <c r="J1622" t="s">
        <v>42</v>
      </c>
      <c r="K1622" s="11">
        <v>3145.8</v>
      </c>
      <c r="L1622" s="12">
        <v>240.9</v>
      </c>
    </row>
    <row r="1623" spans="1:12" x14ac:dyDescent="0.2">
      <c r="A1623" s="9">
        <v>46244</v>
      </c>
      <c r="B1623" t="s">
        <v>342</v>
      </c>
      <c r="C1623" t="s">
        <v>343</v>
      </c>
      <c r="D1623" t="s">
        <v>41</v>
      </c>
      <c r="E1623" t="s">
        <v>647</v>
      </c>
      <c r="F1623" t="s">
        <v>667</v>
      </c>
      <c r="G1623" s="10">
        <v>6</v>
      </c>
      <c r="H1623" s="10">
        <v>36845</v>
      </c>
      <c r="I1623" s="10">
        <v>221070</v>
      </c>
      <c r="J1623" t="s">
        <v>42</v>
      </c>
      <c r="K1623" s="11">
        <v>3145.8</v>
      </c>
      <c r="L1623" s="12">
        <v>70.27</v>
      </c>
    </row>
    <row r="1624" spans="1:12" x14ac:dyDescent="0.2">
      <c r="A1624" s="9">
        <v>46244</v>
      </c>
      <c r="B1624" t="s">
        <v>348</v>
      </c>
      <c r="C1624" t="s">
        <v>349</v>
      </c>
      <c r="D1624" t="s">
        <v>36</v>
      </c>
      <c r="E1624" t="s">
        <v>649</v>
      </c>
      <c r="F1624" t="s">
        <v>663</v>
      </c>
      <c r="G1624" s="10">
        <v>38</v>
      </c>
      <c r="H1624" s="10">
        <v>1969</v>
      </c>
      <c r="I1624" s="10">
        <v>74822</v>
      </c>
      <c r="J1624" t="s">
        <v>37</v>
      </c>
      <c r="K1624" s="11">
        <v>648.20000000000005</v>
      </c>
      <c r="L1624" s="12">
        <v>115.43</v>
      </c>
    </row>
    <row r="1625" spans="1:12" x14ac:dyDescent="0.2">
      <c r="A1625" s="9">
        <v>46244</v>
      </c>
      <c r="B1625" t="s">
        <v>348</v>
      </c>
      <c r="C1625" t="s">
        <v>349</v>
      </c>
      <c r="D1625" t="s">
        <v>36</v>
      </c>
      <c r="E1625" t="s">
        <v>660</v>
      </c>
      <c r="F1625" t="s">
        <v>661</v>
      </c>
      <c r="G1625" s="10">
        <v>29</v>
      </c>
      <c r="H1625" s="10">
        <v>4318</v>
      </c>
      <c r="I1625" s="10">
        <v>125222</v>
      </c>
      <c r="J1625" t="s">
        <v>37</v>
      </c>
      <c r="K1625" s="11">
        <v>648.20000000000005</v>
      </c>
      <c r="L1625" s="12">
        <v>193.18</v>
      </c>
    </row>
    <row r="1626" spans="1:12" x14ac:dyDescent="0.2">
      <c r="A1626" s="9">
        <v>46244</v>
      </c>
      <c r="B1626" t="s">
        <v>348</v>
      </c>
      <c r="C1626" t="s">
        <v>349</v>
      </c>
      <c r="D1626" t="s">
        <v>36</v>
      </c>
      <c r="E1626" t="s">
        <v>655</v>
      </c>
      <c r="F1626" t="s">
        <v>656</v>
      </c>
      <c r="G1626" s="10">
        <v>41</v>
      </c>
      <c r="H1626" s="10">
        <v>579</v>
      </c>
      <c r="I1626" s="10">
        <v>23739</v>
      </c>
      <c r="J1626" t="s">
        <v>37</v>
      </c>
      <c r="K1626" s="11">
        <v>648.20000000000005</v>
      </c>
      <c r="L1626" s="12">
        <v>36.619999999999997</v>
      </c>
    </row>
    <row r="1627" spans="1:12" x14ac:dyDescent="0.2">
      <c r="A1627" s="9">
        <v>46244</v>
      </c>
      <c r="B1627" t="s">
        <v>348</v>
      </c>
      <c r="C1627" t="s">
        <v>349</v>
      </c>
      <c r="D1627" t="s">
        <v>36</v>
      </c>
      <c r="E1627" t="s">
        <v>655</v>
      </c>
      <c r="F1627" t="s">
        <v>665</v>
      </c>
      <c r="G1627" s="10">
        <v>3</v>
      </c>
      <c r="H1627" s="10">
        <v>680</v>
      </c>
      <c r="I1627" s="10">
        <v>2040</v>
      </c>
      <c r="J1627" t="s">
        <v>37</v>
      </c>
      <c r="K1627" s="11">
        <v>648.20000000000005</v>
      </c>
      <c r="L1627" s="12">
        <v>3.15</v>
      </c>
    </row>
    <row r="1628" spans="1:12" x14ac:dyDescent="0.2">
      <c r="A1628" s="9">
        <v>46244</v>
      </c>
      <c r="B1628" t="s">
        <v>357</v>
      </c>
      <c r="C1628" t="s">
        <v>358</v>
      </c>
      <c r="D1628" t="s">
        <v>36</v>
      </c>
      <c r="E1628" t="s">
        <v>651</v>
      </c>
      <c r="F1628" t="s">
        <v>652</v>
      </c>
      <c r="G1628" s="10">
        <v>36</v>
      </c>
      <c r="H1628" s="10">
        <v>9747</v>
      </c>
      <c r="I1628" s="10">
        <v>350892</v>
      </c>
      <c r="J1628" t="s">
        <v>37</v>
      </c>
      <c r="K1628" s="11">
        <v>648.20000000000005</v>
      </c>
      <c r="L1628" s="12">
        <v>541.33000000000004</v>
      </c>
    </row>
    <row r="1629" spans="1:12" x14ac:dyDescent="0.2">
      <c r="A1629" s="9">
        <v>46244</v>
      </c>
      <c r="B1629" t="s">
        <v>357</v>
      </c>
      <c r="C1629" t="s">
        <v>358</v>
      </c>
      <c r="D1629" t="s">
        <v>36</v>
      </c>
      <c r="E1629" t="s">
        <v>649</v>
      </c>
      <c r="F1629" t="s">
        <v>650</v>
      </c>
      <c r="G1629" s="10">
        <v>61</v>
      </c>
      <c r="H1629" s="10">
        <v>19618</v>
      </c>
      <c r="I1629" s="10">
        <v>1196698</v>
      </c>
      <c r="J1629" t="s">
        <v>37</v>
      </c>
      <c r="K1629" s="11">
        <v>648.20000000000005</v>
      </c>
      <c r="L1629" s="12">
        <v>1846.19</v>
      </c>
    </row>
    <row r="1630" spans="1:12" x14ac:dyDescent="0.2">
      <c r="A1630" s="9">
        <v>46244</v>
      </c>
      <c r="B1630" t="s">
        <v>357</v>
      </c>
      <c r="C1630" t="s">
        <v>358</v>
      </c>
      <c r="D1630" t="s">
        <v>36</v>
      </c>
      <c r="E1630" t="s">
        <v>660</v>
      </c>
      <c r="F1630" t="s">
        <v>669</v>
      </c>
      <c r="G1630" s="10">
        <v>12</v>
      </c>
      <c r="H1630" s="10">
        <v>2508</v>
      </c>
      <c r="I1630" s="10">
        <v>30096</v>
      </c>
      <c r="J1630" t="s">
        <v>37</v>
      </c>
      <c r="K1630" s="11">
        <v>648.20000000000005</v>
      </c>
      <c r="L1630" s="12">
        <v>46.43</v>
      </c>
    </row>
    <row r="1631" spans="1:12" x14ac:dyDescent="0.2">
      <c r="A1631" s="9">
        <v>46244</v>
      </c>
      <c r="B1631" t="s">
        <v>357</v>
      </c>
      <c r="C1631" t="s">
        <v>358</v>
      </c>
      <c r="D1631" t="s">
        <v>36</v>
      </c>
      <c r="E1631" t="s">
        <v>647</v>
      </c>
      <c r="F1631" t="s">
        <v>668</v>
      </c>
      <c r="G1631" s="10">
        <v>16</v>
      </c>
      <c r="H1631" s="10">
        <v>25374</v>
      </c>
      <c r="I1631" s="10">
        <v>405984</v>
      </c>
      <c r="J1631" t="s">
        <v>37</v>
      </c>
      <c r="K1631" s="11">
        <v>648.20000000000005</v>
      </c>
      <c r="L1631" s="12">
        <v>626.33000000000004</v>
      </c>
    </row>
    <row r="1632" spans="1:12" x14ac:dyDescent="0.2">
      <c r="A1632" s="9">
        <v>46244</v>
      </c>
      <c r="B1632" t="s">
        <v>363</v>
      </c>
      <c r="C1632" t="s">
        <v>364</v>
      </c>
      <c r="D1632" t="s">
        <v>46</v>
      </c>
      <c r="E1632" t="s">
        <v>651</v>
      </c>
      <c r="F1632" t="s">
        <v>652</v>
      </c>
      <c r="G1632" s="10">
        <v>63</v>
      </c>
      <c r="H1632" s="10">
        <v>9670</v>
      </c>
      <c r="I1632" s="10">
        <v>609210</v>
      </c>
      <c r="J1632" t="s">
        <v>37</v>
      </c>
      <c r="K1632" s="11">
        <v>648.20000000000005</v>
      </c>
      <c r="L1632" s="12">
        <v>939.85</v>
      </c>
    </row>
    <row r="1633" spans="1:12" x14ac:dyDescent="0.2">
      <c r="A1633" s="9">
        <v>46244</v>
      </c>
      <c r="B1633" t="s">
        <v>363</v>
      </c>
      <c r="C1633" t="s">
        <v>364</v>
      </c>
      <c r="D1633" t="s">
        <v>46</v>
      </c>
      <c r="E1633" t="s">
        <v>649</v>
      </c>
      <c r="F1633" t="s">
        <v>663</v>
      </c>
      <c r="G1633" s="10">
        <v>81</v>
      </c>
      <c r="H1633" s="10">
        <v>2070</v>
      </c>
      <c r="I1633" s="10">
        <v>167670</v>
      </c>
      <c r="J1633" t="s">
        <v>37</v>
      </c>
      <c r="K1633" s="11">
        <v>648.20000000000005</v>
      </c>
      <c r="L1633" s="12">
        <v>258.67</v>
      </c>
    </row>
    <row r="1634" spans="1:12" x14ac:dyDescent="0.2">
      <c r="A1634" s="9">
        <v>46244</v>
      </c>
      <c r="B1634" t="s">
        <v>363</v>
      </c>
      <c r="C1634" t="s">
        <v>364</v>
      </c>
      <c r="D1634" t="s">
        <v>46</v>
      </c>
      <c r="E1634" t="s">
        <v>660</v>
      </c>
      <c r="F1634" t="s">
        <v>661</v>
      </c>
      <c r="G1634" s="10">
        <v>94</v>
      </c>
      <c r="H1634" s="10">
        <v>4301</v>
      </c>
      <c r="I1634" s="10">
        <v>404294</v>
      </c>
      <c r="J1634" t="s">
        <v>37</v>
      </c>
      <c r="K1634" s="11">
        <v>648.20000000000005</v>
      </c>
      <c r="L1634" s="12">
        <v>623.72</v>
      </c>
    </row>
    <row r="1635" spans="1:12" x14ac:dyDescent="0.2">
      <c r="A1635" s="9">
        <v>46244</v>
      </c>
      <c r="B1635" t="s">
        <v>363</v>
      </c>
      <c r="C1635" t="s">
        <v>364</v>
      </c>
      <c r="D1635" t="s">
        <v>46</v>
      </c>
      <c r="E1635" t="s">
        <v>653</v>
      </c>
      <c r="F1635" t="s">
        <v>654</v>
      </c>
      <c r="G1635" s="10">
        <v>59</v>
      </c>
      <c r="H1635" s="10">
        <v>5704</v>
      </c>
      <c r="I1635" s="10">
        <v>336536</v>
      </c>
      <c r="J1635" t="s">
        <v>37</v>
      </c>
      <c r="K1635" s="11">
        <v>648.20000000000005</v>
      </c>
      <c r="L1635" s="12">
        <v>519.19000000000005</v>
      </c>
    </row>
    <row r="1636" spans="1:12" x14ac:dyDescent="0.2">
      <c r="A1636" s="9">
        <v>46244</v>
      </c>
      <c r="B1636" t="s">
        <v>363</v>
      </c>
      <c r="C1636" t="s">
        <v>364</v>
      </c>
      <c r="D1636" t="s">
        <v>46</v>
      </c>
      <c r="E1636" t="s">
        <v>655</v>
      </c>
      <c r="F1636" t="s">
        <v>656</v>
      </c>
      <c r="G1636" s="10">
        <v>227</v>
      </c>
      <c r="H1636" s="10">
        <v>579</v>
      </c>
      <c r="I1636" s="10">
        <v>131433</v>
      </c>
      <c r="J1636" t="s">
        <v>37</v>
      </c>
      <c r="K1636" s="11">
        <v>648.20000000000005</v>
      </c>
      <c r="L1636" s="12">
        <v>202.77</v>
      </c>
    </row>
    <row r="1637" spans="1:12" x14ac:dyDescent="0.2">
      <c r="A1637" s="9">
        <v>46244</v>
      </c>
      <c r="B1637" t="s">
        <v>363</v>
      </c>
      <c r="C1637" t="s">
        <v>364</v>
      </c>
      <c r="D1637" t="s">
        <v>46</v>
      </c>
      <c r="E1637" t="s">
        <v>655</v>
      </c>
      <c r="F1637" t="s">
        <v>665</v>
      </c>
      <c r="G1637" s="10">
        <v>41</v>
      </c>
      <c r="H1637" s="10">
        <v>675</v>
      </c>
      <c r="I1637" s="10">
        <v>27675</v>
      </c>
      <c r="J1637" t="s">
        <v>37</v>
      </c>
      <c r="K1637" s="11">
        <v>648.20000000000005</v>
      </c>
      <c r="L1637" s="12">
        <v>42.7</v>
      </c>
    </row>
    <row r="1638" spans="1:12" x14ac:dyDescent="0.2">
      <c r="A1638" s="9">
        <v>46244</v>
      </c>
      <c r="B1638" t="s">
        <v>366</v>
      </c>
      <c r="C1638" t="s">
        <v>367</v>
      </c>
      <c r="D1638" t="s">
        <v>41</v>
      </c>
      <c r="E1638" t="s">
        <v>649</v>
      </c>
      <c r="F1638" t="s">
        <v>659</v>
      </c>
      <c r="G1638" s="10">
        <v>7</v>
      </c>
      <c r="H1638" s="10">
        <v>43721</v>
      </c>
      <c r="I1638" s="10">
        <v>306047</v>
      </c>
      <c r="J1638" t="s">
        <v>42</v>
      </c>
      <c r="K1638" s="11">
        <v>3145.8</v>
      </c>
      <c r="L1638" s="12">
        <v>97.29</v>
      </c>
    </row>
    <row r="1639" spans="1:12" x14ac:dyDescent="0.2">
      <c r="A1639" s="9">
        <v>46244</v>
      </c>
      <c r="B1639" t="s">
        <v>369</v>
      </c>
      <c r="C1639" t="s">
        <v>370</v>
      </c>
      <c r="D1639" t="s">
        <v>36</v>
      </c>
      <c r="E1639" t="s">
        <v>647</v>
      </c>
      <c r="F1639" t="s">
        <v>667</v>
      </c>
      <c r="G1639" s="10">
        <v>9</v>
      </c>
      <c r="H1639" s="10">
        <v>7492</v>
      </c>
      <c r="I1639" s="10">
        <v>67428</v>
      </c>
      <c r="J1639" t="s">
        <v>37</v>
      </c>
      <c r="K1639" s="11">
        <v>648.20000000000005</v>
      </c>
      <c r="L1639" s="12">
        <v>104.02</v>
      </c>
    </row>
    <row r="1640" spans="1:12" x14ac:dyDescent="0.2">
      <c r="A1640" s="9">
        <v>46244</v>
      </c>
      <c r="B1640" t="s">
        <v>372</v>
      </c>
      <c r="C1640" t="s">
        <v>373</v>
      </c>
      <c r="D1640" t="s">
        <v>75</v>
      </c>
      <c r="E1640" t="s">
        <v>660</v>
      </c>
      <c r="F1640" t="s">
        <v>669</v>
      </c>
      <c r="G1640" s="10">
        <v>45</v>
      </c>
      <c r="H1640" s="10">
        <v>12897</v>
      </c>
      <c r="I1640" s="10">
        <v>580365</v>
      </c>
      <c r="J1640" t="s">
        <v>42</v>
      </c>
      <c r="K1640" s="11">
        <v>3145.8</v>
      </c>
      <c r="L1640" s="12">
        <v>184.49</v>
      </c>
    </row>
    <row r="1641" spans="1:12" x14ac:dyDescent="0.2">
      <c r="A1641" s="9">
        <v>46244</v>
      </c>
      <c r="B1641" t="s">
        <v>375</v>
      </c>
      <c r="C1641" t="s">
        <v>376</v>
      </c>
      <c r="D1641" t="s">
        <v>36</v>
      </c>
      <c r="E1641" t="s">
        <v>649</v>
      </c>
      <c r="F1641" t="s">
        <v>663</v>
      </c>
      <c r="G1641" s="10">
        <v>24</v>
      </c>
      <c r="H1641" s="10">
        <v>2006</v>
      </c>
      <c r="I1641" s="10">
        <v>48144</v>
      </c>
      <c r="J1641" t="s">
        <v>37</v>
      </c>
      <c r="K1641" s="11">
        <v>648.20000000000005</v>
      </c>
      <c r="L1641" s="12">
        <v>74.27</v>
      </c>
    </row>
    <row r="1642" spans="1:12" x14ac:dyDescent="0.2">
      <c r="A1642" s="9">
        <v>46244</v>
      </c>
      <c r="B1642" t="s">
        <v>378</v>
      </c>
      <c r="C1642" t="s">
        <v>379</v>
      </c>
      <c r="D1642" t="s">
        <v>50</v>
      </c>
      <c r="E1642" t="s">
        <v>649</v>
      </c>
      <c r="F1642" t="s">
        <v>663</v>
      </c>
      <c r="G1642" s="10">
        <v>6</v>
      </c>
      <c r="H1642" s="10">
        <v>2054</v>
      </c>
      <c r="I1642" s="10">
        <v>12324</v>
      </c>
      <c r="J1642" t="s">
        <v>51</v>
      </c>
      <c r="K1642" s="11">
        <v>648.20000000000005</v>
      </c>
      <c r="L1642" s="12">
        <v>19.010000000000002</v>
      </c>
    </row>
    <row r="1643" spans="1:12" x14ac:dyDescent="0.2">
      <c r="A1643" s="9">
        <v>46244</v>
      </c>
      <c r="B1643" t="s">
        <v>381</v>
      </c>
      <c r="C1643" t="s">
        <v>382</v>
      </c>
      <c r="D1643" t="s">
        <v>36</v>
      </c>
      <c r="E1643" t="s">
        <v>649</v>
      </c>
      <c r="F1643" t="s">
        <v>663</v>
      </c>
      <c r="G1643" s="10">
        <v>6</v>
      </c>
      <c r="H1643" s="10">
        <v>2013</v>
      </c>
      <c r="I1643" s="10">
        <v>12078</v>
      </c>
      <c r="J1643" t="s">
        <v>37</v>
      </c>
      <c r="K1643" s="11">
        <v>648.20000000000005</v>
      </c>
      <c r="L1643" s="12">
        <v>18.63</v>
      </c>
    </row>
    <row r="1644" spans="1:12" x14ac:dyDescent="0.2">
      <c r="A1644" s="9">
        <v>46244</v>
      </c>
      <c r="B1644" t="s">
        <v>384</v>
      </c>
      <c r="C1644" t="s">
        <v>385</v>
      </c>
      <c r="D1644" t="s">
        <v>46</v>
      </c>
      <c r="E1644" t="s">
        <v>660</v>
      </c>
      <c r="F1644" t="s">
        <v>669</v>
      </c>
      <c r="G1644" s="10">
        <v>12</v>
      </c>
      <c r="H1644" s="10">
        <v>2512</v>
      </c>
      <c r="I1644" s="10">
        <v>30144</v>
      </c>
      <c r="J1644" t="s">
        <v>37</v>
      </c>
      <c r="K1644" s="11">
        <v>648.20000000000005</v>
      </c>
      <c r="L1644" s="12">
        <v>46.5</v>
      </c>
    </row>
    <row r="1645" spans="1:12" x14ac:dyDescent="0.2">
      <c r="A1645" s="9">
        <v>46244</v>
      </c>
      <c r="B1645" t="s">
        <v>384</v>
      </c>
      <c r="C1645" t="s">
        <v>385</v>
      </c>
      <c r="D1645" t="s">
        <v>46</v>
      </c>
      <c r="E1645" t="s">
        <v>647</v>
      </c>
      <c r="F1645" t="s">
        <v>667</v>
      </c>
      <c r="G1645" s="10">
        <v>4</v>
      </c>
      <c r="H1645" s="10">
        <v>7308</v>
      </c>
      <c r="I1645" s="10">
        <v>29232</v>
      </c>
      <c r="J1645" t="s">
        <v>37</v>
      </c>
      <c r="K1645" s="11">
        <v>648.20000000000005</v>
      </c>
      <c r="L1645" s="12">
        <v>45.1</v>
      </c>
    </row>
    <row r="1646" spans="1:12" x14ac:dyDescent="0.2">
      <c r="A1646" s="9">
        <v>46244</v>
      </c>
      <c r="B1646" t="s">
        <v>387</v>
      </c>
      <c r="C1646" t="s">
        <v>388</v>
      </c>
      <c r="D1646" t="s">
        <v>50</v>
      </c>
      <c r="E1646" t="s">
        <v>655</v>
      </c>
      <c r="F1646" t="s">
        <v>662</v>
      </c>
      <c r="G1646" s="10">
        <v>26</v>
      </c>
      <c r="H1646" s="10">
        <v>1145</v>
      </c>
      <c r="I1646" s="10">
        <v>29770</v>
      </c>
      <c r="J1646" t="s">
        <v>51</v>
      </c>
      <c r="K1646" s="11">
        <v>648.20000000000005</v>
      </c>
      <c r="L1646" s="12">
        <v>45.93</v>
      </c>
    </row>
    <row r="1647" spans="1:12" x14ac:dyDescent="0.2">
      <c r="A1647" s="9">
        <v>46244</v>
      </c>
      <c r="B1647" t="s">
        <v>393</v>
      </c>
      <c r="C1647" t="s">
        <v>307</v>
      </c>
      <c r="D1647" t="s">
        <v>68</v>
      </c>
      <c r="E1647" t="s">
        <v>653</v>
      </c>
      <c r="F1647" t="s">
        <v>658</v>
      </c>
      <c r="G1647" s="10">
        <v>28</v>
      </c>
      <c r="H1647" s="10">
        <v>2739</v>
      </c>
      <c r="I1647" s="10">
        <v>76692</v>
      </c>
      <c r="J1647" t="s">
        <v>51</v>
      </c>
      <c r="K1647" s="11">
        <v>648.20000000000005</v>
      </c>
      <c r="L1647" s="12">
        <v>118.32</v>
      </c>
    </row>
    <row r="1648" spans="1:12" x14ac:dyDescent="0.2">
      <c r="A1648" s="9">
        <v>46244</v>
      </c>
      <c r="B1648" t="s">
        <v>393</v>
      </c>
      <c r="C1648" t="s">
        <v>307</v>
      </c>
      <c r="D1648" t="s">
        <v>68</v>
      </c>
      <c r="E1648" t="s">
        <v>649</v>
      </c>
      <c r="F1648" t="s">
        <v>663</v>
      </c>
      <c r="G1648" s="10">
        <v>62</v>
      </c>
      <c r="H1648" s="10">
        <v>2066</v>
      </c>
      <c r="I1648" s="10">
        <v>128092</v>
      </c>
      <c r="J1648" t="s">
        <v>51</v>
      </c>
      <c r="K1648" s="11">
        <v>648.20000000000005</v>
      </c>
      <c r="L1648" s="12">
        <v>197.61</v>
      </c>
    </row>
    <row r="1649" spans="1:12" x14ac:dyDescent="0.2">
      <c r="A1649" s="9">
        <v>46244</v>
      </c>
      <c r="B1649" t="s">
        <v>393</v>
      </c>
      <c r="C1649" t="s">
        <v>307</v>
      </c>
      <c r="D1649" t="s">
        <v>68</v>
      </c>
      <c r="E1649" t="s">
        <v>647</v>
      </c>
      <c r="F1649" t="s">
        <v>667</v>
      </c>
      <c r="G1649" s="10">
        <v>77</v>
      </c>
      <c r="H1649" s="10">
        <v>7579</v>
      </c>
      <c r="I1649" s="10">
        <v>583583</v>
      </c>
      <c r="J1649" t="s">
        <v>51</v>
      </c>
      <c r="K1649" s="11">
        <v>648.20000000000005</v>
      </c>
      <c r="L1649" s="12">
        <v>900.31</v>
      </c>
    </row>
    <row r="1650" spans="1:12" x14ac:dyDescent="0.2">
      <c r="A1650" s="9">
        <v>46244</v>
      </c>
      <c r="B1650" t="s">
        <v>398</v>
      </c>
      <c r="C1650" t="s">
        <v>399</v>
      </c>
      <c r="D1650" t="s">
        <v>46</v>
      </c>
      <c r="E1650" t="s">
        <v>660</v>
      </c>
      <c r="F1650" t="s">
        <v>670</v>
      </c>
      <c r="G1650" s="10">
        <v>29</v>
      </c>
      <c r="H1650" s="10">
        <v>14425</v>
      </c>
      <c r="I1650" s="10">
        <v>418325</v>
      </c>
      <c r="J1650" t="s">
        <v>37</v>
      </c>
      <c r="K1650" s="11">
        <v>648.20000000000005</v>
      </c>
      <c r="L1650" s="12">
        <v>645.36</v>
      </c>
    </row>
    <row r="1651" spans="1:12" x14ac:dyDescent="0.2">
      <c r="A1651" s="9">
        <v>46244</v>
      </c>
      <c r="B1651" t="s">
        <v>398</v>
      </c>
      <c r="C1651" t="s">
        <v>399</v>
      </c>
      <c r="D1651" t="s">
        <v>46</v>
      </c>
      <c r="E1651" t="s">
        <v>660</v>
      </c>
      <c r="F1651" t="s">
        <v>661</v>
      </c>
      <c r="G1651" s="10">
        <v>14</v>
      </c>
      <c r="H1651" s="10">
        <v>4224</v>
      </c>
      <c r="I1651" s="10">
        <v>59136</v>
      </c>
      <c r="J1651" t="s">
        <v>37</v>
      </c>
      <c r="K1651" s="11">
        <v>648.20000000000005</v>
      </c>
      <c r="L1651" s="12">
        <v>91.23</v>
      </c>
    </row>
    <row r="1652" spans="1:12" x14ac:dyDescent="0.2">
      <c r="A1652" s="9">
        <v>46244</v>
      </c>
      <c r="B1652" t="s">
        <v>398</v>
      </c>
      <c r="C1652" t="s">
        <v>399</v>
      </c>
      <c r="D1652" t="s">
        <v>46</v>
      </c>
      <c r="E1652" t="s">
        <v>647</v>
      </c>
      <c r="F1652" t="s">
        <v>668</v>
      </c>
      <c r="G1652" s="10">
        <v>35</v>
      </c>
      <c r="H1652" s="10">
        <v>25070</v>
      </c>
      <c r="I1652" s="10">
        <v>877450</v>
      </c>
      <c r="J1652" t="s">
        <v>37</v>
      </c>
      <c r="K1652" s="11">
        <v>648.20000000000005</v>
      </c>
      <c r="L1652" s="12">
        <v>1353.67</v>
      </c>
    </row>
    <row r="1653" spans="1:12" x14ac:dyDescent="0.2">
      <c r="A1653" s="9">
        <v>46244</v>
      </c>
      <c r="B1653" t="s">
        <v>398</v>
      </c>
      <c r="C1653" t="s">
        <v>399</v>
      </c>
      <c r="D1653" t="s">
        <v>46</v>
      </c>
      <c r="E1653" t="s">
        <v>647</v>
      </c>
      <c r="F1653" t="s">
        <v>648</v>
      </c>
      <c r="G1653" s="10">
        <v>16</v>
      </c>
      <c r="H1653" s="10">
        <v>15851</v>
      </c>
      <c r="I1653" s="10">
        <v>253616</v>
      </c>
      <c r="J1653" t="s">
        <v>37</v>
      </c>
      <c r="K1653" s="11">
        <v>648.20000000000005</v>
      </c>
      <c r="L1653" s="12">
        <v>391.26</v>
      </c>
    </row>
    <row r="1654" spans="1:12" x14ac:dyDescent="0.2">
      <c r="A1654" s="9">
        <v>46244</v>
      </c>
      <c r="B1654" t="s">
        <v>404</v>
      </c>
      <c r="C1654" t="s">
        <v>405</v>
      </c>
      <c r="D1654" t="s">
        <v>46</v>
      </c>
      <c r="E1654" t="s">
        <v>649</v>
      </c>
      <c r="F1654" t="s">
        <v>659</v>
      </c>
      <c r="G1654" s="10">
        <v>38</v>
      </c>
      <c r="H1654" s="10">
        <v>8730</v>
      </c>
      <c r="I1654" s="10">
        <v>331740</v>
      </c>
      <c r="J1654" t="s">
        <v>37</v>
      </c>
      <c r="K1654" s="11">
        <v>648.20000000000005</v>
      </c>
      <c r="L1654" s="12">
        <v>511.79</v>
      </c>
    </row>
    <row r="1655" spans="1:12" x14ac:dyDescent="0.2">
      <c r="A1655" s="9">
        <v>46244</v>
      </c>
      <c r="B1655" t="s">
        <v>404</v>
      </c>
      <c r="C1655" t="s">
        <v>405</v>
      </c>
      <c r="D1655" t="s">
        <v>46</v>
      </c>
      <c r="E1655" t="s">
        <v>647</v>
      </c>
      <c r="F1655" t="s">
        <v>667</v>
      </c>
      <c r="G1655" s="10">
        <v>15</v>
      </c>
      <c r="H1655" s="10">
        <v>7261</v>
      </c>
      <c r="I1655" s="10">
        <v>108915</v>
      </c>
      <c r="J1655" t="s">
        <v>37</v>
      </c>
      <c r="K1655" s="11">
        <v>648.20000000000005</v>
      </c>
      <c r="L1655" s="12">
        <v>168.03</v>
      </c>
    </row>
    <row r="1656" spans="1:12" x14ac:dyDescent="0.2">
      <c r="A1656" s="9">
        <v>46244</v>
      </c>
      <c r="B1656" t="s">
        <v>419</v>
      </c>
      <c r="C1656" t="s">
        <v>420</v>
      </c>
      <c r="D1656" t="s">
        <v>46</v>
      </c>
      <c r="E1656" t="s">
        <v>647</v>
      </c>
      <c r="F1656" t="s">
        <v>648</v>
      </c>
      <c r="G1656" s="10">
        <v>34</v>
      </c>
      <c r="H1656" s="10">
        <v>15976</v>
      </c>
      <c r="I1656" s="10">
        <v>543184</v>
      </c>
      <c r="J1656" t="s">
        <v>37</v>
      </c>
      <c r="K1656" s="11">
        <v>648.20000000000005</v>
      </c>
      <c r="L1656" s="12">
        <v>837.99</v>
      </c>
    </row>
    <row r="1657" spans="1:12" x14ac:dyDescent="0.2">
      <c r="A1657" s="9">
        <v>46244</v>
      </c>
      <c r="B1657" t="s">
        <v>419</v>
      </c>
      <c r="C1657" t="s">
        <v>420</v>
      </c>
      <c r="D1657" t="s">
        <v>46</v>
      </c>
      <c r="E1657" t="s">
        <v>655</v>
      </c>
      <c r="F1657" t="s">
        <v>656</v>
      </c>
      <c r="G1657" s="10">
        <v>1</v>
      </c>
      <c r="H1657" s="10">
        <v>560</v>
      </c>
      <c r="I1657" s="10">
        <v>560</v>
      </c>
      <c r="J1657" t="s">
        <v>37</v>
      </c>
      <c r="K1657" s="11">
        <v>648.20000000000005</v>
      </c>
      <c r="L1657" s="12">
        <v>0.86</v>
      </c>
    </row>
    <row r="1658" spans="1:12" x14ac:dyDescent="0.2">
      <c r="A1658" s="9">
        <v>46244</v>
      </c>
      <c r="B1658" t="s">
        <v>422</v>
      </c>
      <c r="C1658" t="s">
        <v>423</v>
      </c>
      <c r="D1658" t="s">
        <v>68</v>
      </c>
      <c r="E1658" t="s">
        <v>660</v>
      </c>
      <c r="F1658" t="s">
        <v>670</v>
      </c>
      <c r="G1658" s="10">
        <v>3</v>
      </c>
      <c r="H1658" s="10">
        <v>14117</v>
      </c>
      <c r="I1658" s="10">
        <v>42351</v>
      </c>
      <c r="J1658" t="s">
        <v>51</v>
      </c>
      <c r="K1658" s="11">
        <v>648.20000000000005</v>
      </c>
      <c r="L1658" s="12">
        <v>65.34</v>
      </c>
    </row>
    <row r="1659" spans="1:12" x14ac:dyDescent="0.2">
      <c r="A1659" s="9">
        <v>46244</v>
      </c>
      <c r="B1659" t="s">
        <v>425</v>
      </c>
      <c r="C1659" t="s">
        <v>426</v>
      </c>
      <c r="D1659" t="s">
        <v>50</v>
      </c>
      <c r="E1659" t="s">
        <v>647</v>
      </c>
      <c r="F1659" t="s">
        <v>648</v>
      </c>
      <c r="G1659" s="10">
        <v>1</v>
      </c>
      <c r="H1659" s="10">
        <v>16618</v>
      </c>
      <c r="I1659" s="10">
        <v>16618</v>
      </c>
      <c r="J1659" t="s">
        <v>51</v>
      </c>
      <c r="K1659" s="11">
        <v>648.20000000000005</v>
      </c>
      <c r="L1659" s="12">
        <v>25.64</v>
      </c>
    </row>
    <row r="1660" spans="1:12" x14ac:dyDescent="0.2">
      <c r="A1660" s="9">
        <v>46244</v>
      </c>
      <c r="B1660" t="s">
        <v>434</v>
      </c>
      <c r="C1660" t="s">
        <v>176</v>
      </c>
      <c r="D1660" t="s">
        <v>46</v>
      </c>
      <c r="E1660" t="s">
        <v>660</v>
      </c>
      <c r="F1660" t="s">
        <v>661</v>
      </c>
      <c r="G1660" s="10">
        <v>52</v>
      </c>
      <c r="H1660" s="10">
        <v>4026</v>
      </c>
      <c r="I1660" s="10">
        <v>209352</v>
      </c>
      <c r="J1660" t="s">
        <v>37</v>
      </c>
      <c r="K1660" s="11">
        <v>648.20000000000005</v>
      </c>
      <c r="L1660" s="12">
        <v>322.97000000000003</v>
      </c>
    </row>
    <row r="1661" spans="1:12" x14ac:dyDescent="0.2">
      <c r="A1661" s="9">
        <v>46244</v>
      </c>
      <c r="B1661" t="s">
        <v>434</v>
      </c>
      <c r="C1661" t="s">
        <v>176</v>
      </c>
      <c r="D1661" t="s">
        <v>46</v>
      </c>
      <c r="E1661" t="s">
        <v>660</v>
      </c>
      <c r="F1661" t="s">
        <v>661</v>
      </c>
      <c r="G1661" s="10">
        <v>35</v>
      </c>
      <c r="H1661" s="10">
        <v>4040</v>
      </c>
      <c r="I1661" s="10">
        <v>141400</v>
      </c>
      <c r="J1661" t="s">
        <v>37</v>
      </c>
      <c r="K1661" s="11">
        <v>648.20000000000005</v>
      </c>
      <c r="L1661" s="12">
        <v>218.14</v>
      </c>
    </row>
    <row r="1662" spans="1:12" x14ac:dyDescent="0.2">
      <c r="A1662" s="9">
        <v>46244</v>
      </c>
      <c r="B1662" t="s">
        <v>436</v>
      </c>
      <c r="C1662" t="s">
        <v>437</v>
      </c>
      <c r="D1662" t="s">
        <v>50</v>
      </c>
      <c r="E1662" t="s">
        <v>653</v>
      </c>
      <c r="F1662" t="s">
        <v>658</v>
      </c>
      <c r="G1662" s="10">
        <v>25</v>
      </c>
      <c r="H1662" s="10">
        <v>2775</v>
      </c>
      <c r="I1662" s="10">
        <v>69375</v>
      </c>
      <c r="J1662" t="s">
        <v>51</v>
      </c>
      <c r="K1662" s="11">
        <v>648.20000000000005</v>
      </c>
      <c r="L1662" s="12">
        <v>107.03</v>
      </c>
    </row>
    <row r="1663" spans="1:12" x14ac:dyDescent="0.2">
      <c r="A1663" s="9">
        <v>46244</v>
      </c>
      <c r="B1663" t="s">
        <v>436</v>
      </c>
      <c r="C1663" t="s">
        <v>437</v>
      </c>
      <c r="D1663" t="s">
        <v>50</v>
      </c>
      <c r="E1663" t="s">
        <v>647</v>
      </c>
      <c r="F1663" t="s">
        <v>668</v>
      </c>
      <c r="G1663" s="10">
        <v>21</v>
      </c>
      <c r="H1663" s="10">
        <v>24574</v>
      </c>
      <c r="I1663" s="10">
        <v>516054</v>
      </c>
      <c r="J1663" t="s">
        <v>51</v>
      </c>
      <c r="K1663" s="11">
        <v>648.20000000000005</v>
      </c>
      <c r="L1663" s="12">
        <v>796.13</v>
      </c>
    </row>
    <row r="1664" spans="1:12" x14ac:dyDescent="0.2">
      <c r="A1664" s="9">
        <v>46244</v>
      </c>
      <c r="B1664" t="s">
        <v>439</v>
      </c>
      <c r="C1664" t="s">
        <v>440</v>
      </c>
      <c r="D1664" t="s">
        <v>50</v>
      </c>
      <c r="E1664" t="s">
        <v>647</v>
      </c>
      <c r="F1664" t="s">
        <v>667</v>
      </c>
      <c r="G1664" s="10">
        <v>16</v>
      </c>
      <c r="H1664" s="10">
        <v>7195</v>
      </c>
      <c r="I1664" s="10">
        <v>115120</v>
      </c>
      <c r="J1664" t="s">
        <v>51</v>
      </c>
      <c r="K1664" s="11">
        <v>648.20000000000005</v>
      </c>
      <c r="L1664" s="12">
        <v>177.6</v>
      </c>
    </row>
    <row r="1665" spans="1:12" x14ac:dyDescent="0.2">
      <c r="A1665" s="9">
        <v>46244</v>
      </c>
      <c r="B1665" t="s">
        <v>439</v>
      </c>
      <c r="C1665" t="s">
        <v>440</v>
      </c>
      <c r="D1665" t="s">
        <v>50</v>
      </c>
      <c r="E1665" t="s">
        <v>655</v>
      </c>
      <c r="F1665" t="s">
        <v>656</v>
      </c>
      <c r="G1665" s="10">
        <v>14</v>
      </c>
      <c r="H1665" s="10">
        <v>576</v>
      </c>
      <c r="I1665" s="10">
        <v>8064</v>
      </c>
      <c r="J1665" t="s">
        <v>51</v>
      </c>
      <c r="K1665" s="11">
        <v>648.20000000000005</v>
      </c>
      <c r="L1665" s="12">
        <v>12.44</v>
      </c>
    </row>
    <row r="1666" spans="1:12" x14ac:dyDescent="0.2">
      <c r="A1666" s="9">
        <v>46244</v>
      </c>
      <c r="B1666" t="s">
        <v>442</v>
      </c>
      <c r="C1666" t="s">
        <v>443</v>
      </c>
      <c r="D1666" t="s">
        <v>41</v>
      </c>
      <c r="E1666" t="s">
        <v>647</v>
      </c>
      <c r="F1666" t="s">
        <v>648</v>
      </c>
      <c r="G1666" s="10">
        <v>3</v>
      </c>
      <c r="H1666" s="10">
        <v>77587</v>
      </c>
      <c r="I1666" s="10">
        <v>232761</v>
      </c>
      <c r="J1666" t="s">
        <v>42</v>
      </c>
      <c r="K1666" s="11">
        <v>3145.8</v>
      </c>
      <c r="L1666" s="12">
        <v>73.989999999999995</v>
      </c>
    </row>
    <row r="1667" spans="1:12" x14ac:dyDescent="0.2">
      <c r="A1667" s="9">
        <v>46244</v>
      </c>
      <c r="B1667" t="s">
        <v>442</v>
      </c>
      <c r="C1667" t="s">
        <v>443</v>
      </c>
      <c r="D1667" t="s">
        <v>41</v>
      </c>
      <c r="E1667" t="s">
        <v>647</v>
      </c>
      <c r="F1667" t="s">
        <v>667</v>
      </c>
      <c r="G1667" s="10">
        <v>7</v>
      </c>
      <c r="H1667" s="10">
        <v>35550</v>
      </c>
      <c r="I1667" s="10">
        <v>248850</v>
      </c>
      <c r="J1667" t="s">
        <v>42</v>
      </c>
      <c r="K1667" s="11">
        <v>3145.8</v>
      </c>
      <c r="L1667" s="12">
        <v>79.11</v>
      </c>
    </row>
    <row r="1668" spans="1:12" x14ac:dyDescent="0.2">
      <c r="A1668" s="9">
        <v>46244</v>
      </c>
      <c r="B1668" t="s">
        <v>445</v>
      </c>
      <c r="C1668" t="s">
        <v>446</v>
      </c>
      <c r="D1668" t="s">
        <v>68</v>
      </c>
      <c r="E1668" t="s">
        <v>649</v>
      </c>
      <c r="F1668" t="s">
        <v>663</v>
      </c>
      <c r="G1668" s="10">
        <v>26</v>
      </c>
      <c r="H1668" s="10">
        <v>2013</v>
      </c>
      <c r="I1668" s="10">
        <v>52338</v>
      </c>
      <c r="J1668" t="s">
        <v>51</v>
      </c>
      <c r="K1668" s="11">
        <v>648.20000000000005</v>
      </c>
      <c r="L1668" s="12">
        <v>80.739999999999995</v>
      </c>
    </row>
    <row r="1669" spans="1:12" x14ac:dyDescent="0.2">
      <c r="A1669" s="9">
        <v>46244</v>
      </c>
      <c r="B1669" t="s">
        <v>448</v>
      </c>
      <c r="C1669" t="s">
        <v>449</v>
      </c>
      <c r="D1669" t="s">
        <v>75</v>
      </c>
      <c r="E1669" t="s">
        <v>649</v>
      </c>
      <c r="F1669" t="s">
        <v>659</v>
      </c>
      <c r="G1669" s="10">
        <v>15</v>
      </c>
      <c r="H1669" s="10">
        <v>44907</v>
      </c>
      <c r="I1669" s="10">
        <v>673605</v>
      </c>
      <c r="J1669" t="s">
        <v>42</v>
      </c>
      <c r="K1669" s="11">
        <v>3145.8</v>
      </c>
      <c r="L1669" s="12">
        <v>214.13</v>
      </c>
    </row>
    <row r="1670" spans="1:12" x14ac:dyDescent="0.2">
      <c r="A1670" s="9">
        <v>46244</v>
      </c>
      <c r="B1670" t="s">
        <v>451</v>
      </c>
      <c r="C1670" t="s">
        <v>452</v>
      </c>
      <c r="D1670" t="s">
        <v>68</v>
      </c>
      <c r="E1670" t="s">
        <v>649</v>
      </c>
      <c r="F1670" t="s">
        <v>650</v>
      </c>
      <c r="G1670" s="10">
        <v>13</v>
      </c>
      <c r="H1670" s="10">
        <v>18994</v>
      </c>
      <c r="I1670" s="10">
        <v>246922</v>
      </c>
      <c r="J1670" t="s">
        <v>51</v>
      </c>
      <c r="K1670" s="11">
        <v>648.20000000000005</v>
      </c>
      <c r="L1670" s="12">
        <v>380.93</v>
      </c>
    </row>
    <row r="1671" spans="1:12" x14ac:dyDescent="0.2">
      <c r="A1671" s="9">
        <v>46244</v>
      </c>
      <c r="B1671" t="s">
        <v>454</v>
      </c>
      <c r="C1671" t="s">
        <v>455</v>
      </c>
      <c r="D1671" t="s">
        <v>41</v>
      </c>
      <c r="E1671" t="s">
        <v>660</v>
      </c>
      <c r="F1671" t="s">
        <v>670</v>
      </c>
      <c r="G1671" s="10">
        <v>29</v>
      </c>
      <c r="H1671" s="10">
        <v>72128</v>
      </c>
      <c r="I1671" s="10">
        <v>2091712</v>
      </c>
      <c r="J1671" t="s">
        <v>42</v>
      </c>
      <c r="K1671" s="11">
        <v>3145.8</v>
      </c>
      <c r="L1671" s="12">
        <v>664.92</v>
      </c>
    </row>
    <row r="1672" spans="1:12" x14ac:dyDescent="0.2">
      <c r="A1672" s="9">
        <v>46244</v>
      </c>
      <c r="B1672" t="s">
        <v>457</v>
      </c>
      <c r="C1672" t="s">
        <v>458</v>
      </c>
      <c r="D1672" t="s">
        <v>46</v>
      </c>
      <c r="E1672" t="s">
        <v>653</v>
      </c>
      <c r="F1672" t="s">
        <v>654</v>
      </c>
      <c r="G1672" s="10">
        <v>34</v>
      </c>
      <c r="H1672" s="10">
        <v>5878</v>
      </c>
      <c r="I1672" s="10">
        <v>199852</v>
      </c>
      <c r="J1672" t="s">
        <v>37</v>
      </c>
      <c r="K1672" s="11">
        <v>648.20000000000005</v>
      </c>
      <c r="L1672" s="12">
        <v>308.32</v>
      </c>
    </row>
    <row r="1673" spans="1:12" x14ac:dyDescent="0.2">
      <c r="A1673" s="9">
        <v>46244</v>
      </c>
      <c r="B1673" t="s">
        <v>457</v>
      </c>
      <c r="C1673" t="s">
        <v>458</v>
      </c>
      <c r="D1673" t="s">
        <v>46</v>
      </c>
      <c r="E1673" t="s">
        <v>647</v>
      </c>
      <c r="F1673" t="s">
        <v>648</v>
      </c>
      <c r="G1673" s="10">
        <v>13</v>
      </c>
      <c r="H1673" s="10">
        <v>16273</v>
      </c>
      <c r="I1673" s="10">
        <v>211549</v>
      </c>
      <c r="J1673" t="s">
        <v>37</v>
      </c>
      <c r="K1673" s="11">
        <v>648.20000000000005</v>
      </c>
      <c r="L1673" s="12">
        <v>326.36</v>
      </c>
    </row>
    <row r="1674" spans="1:12" x14ac:dyDescent="0.2">
      <c r="A1674" s="9">
        <v>46244</v>
      </c>
      <c r="B1674" t="s">
        <v>463</v>
      </c>
      <c r="C1674" t="s">
        <v>464</v>
      </c>
      <c r="D1674" t="s">
        <v>36</v>
      </c>
      <c r="E1674" t="s">
        <v>649</v>
      </c>
      <c r="F1674" t="s">
        <v>663</v>
      </c>
      <c r="G1674" s="10">
        <v>15</v>
      </c>
      <c r="H1674" s="10">
        <v>2010</v>
      </c>
      <c r="I1674" s="10">
        <v>30150</v>
      </c>
      <c r="J1674" t="s">
        <v>37</v>
      </c>
      <c r="K1674" s="11">
        <v>648.20000000000005</v>
      </c>
      <c r="L1674" s="12">
        <v>46.51</v>
      </c>
    </row>
    <row r="1675" spans="1:12" x14ac:dyDescent="0.2">
      <c r="A1675" s="9">
        <v>46244</v>
      </c>
      <c r="B1675" t="s">
        <v>469</v>
      </c>
      <c r="C1675" t="s">
        <v>470</v>
      </c>
      <c r="D1675" t="s">
        <v>41</v>
      </c>
      <c r="E1675" t="s">
        <v>655</v>
      </c>
      <c r="F1675" t="s">
        <v>662</v>
      </c>
      <c r="G1675" s="10">
        <v>10</v>
      </c>
      <c r="H1675" s="10">
        <v>5655</v>
      </c>
      <c r="I1675" s="10">
        <v>56550</v>
      </c>
      <c r="J1675" t="s">
        <v>42</v>
      </c>
      <c r="K1675" s="11">
        <v>3145.8</v>
      </c>
      <c r="L1675" s="12">
        <v>17.98</v>
      </c>
    </row>
    <row r="1676" spans="1:12" x14ac:dyDescent="0.2">
      <c r="A1676" s="9">
        <v>46244</v>
      </c>
      <c r="B1676" t="s">
        <v>469</v>
      </c>
      <c r="C1676" t="s">
        <v>470</v>
      </c>
      <c r="D1676" t="s">
        <v>41</v>
      </c>
      <c r="E1676" t="s">
        <v>660</v>
      </c>
      <c r="F1676" t="s">
        <v>669</v>
      </c>
      <c r="G1676" s="10">
        <v>8</v>
      </c>
      <c r="H1676" s="10">
        <v>12783</v>
      </c>
      <c r="I1676" s="10">
        <v>102264</v>
      </c>
      <c r="J1676" t="s">
        <v>42</v>
      </c>
      <c r="K1676" s="11">
        <v>3145.8</v>
      </c>
      <c r="L1676" s="12">
        <v>32.51</v>
      </c>
    </row>
    <row r="1677" spans="1:12" x14ac:dyDescent="0.2">
      <c r="A1677" s="9">
        <v>46244</v>
      </c>
      <c r="B1677" t="s">
        <v>469</v>
      </c>
      <c r="C1677" t="s">
        <v>470</v>
      </c>
      <c r="D1677" t="s">
        <v>41</v>
      </c>
      <c r="E1677" t="s">
        <v>655</v>
      </c>
      <c r="F1677" t="s">
        <v>656</v>
      </c>
      <c r="G1677" s="10">
        <v>11</v>
      </c>
      <c r="H1677" s="10">
        <v>2880</v>
      </c>
      <c r="I1677" s="10">
        <v>31680</v>
      </c>
      <c r="J1677" t="s">
        <v>42</v>
      </c>
      <c r="K1677" s="11">
        <v>3145.8</v>
      </c>
      <c r="L1677" s="12">
        <v>10.07</v>
      </c>
    </row>
    <row r="1678" spans="1:12" x14ac:dyDescent="0.2">
      <c r="A1678" s="9">
        <v>46244</v>
      </c>
      <c r="B1678" t="s">
        <v>472</v>
      </c>
      <c r="C1678" t="s">
        <v>473</v>
      </c>
      <c r="D1678" t="s">
        <v>68</v>
      </c>
      <c r="E1678" t="s">
        <v>651</v>
      </c>
      <c r="F1678" t="s">
        <v>652</v>
      </c>
      <c r="G1678" s="10">
        <v>10</v>
      </c>
      <c r="H1678" s="10">
        <v>9462</v>
      </c>
      <c r="I1678" s="10">
        <v>94620</v>
      </c>
      <c r="J1678" t="s">
        <v>51</v>
      </c>
      <c r="K1678" s="11">
        <v>648.20000000000005</v>
      </c>
      <c r="L1678" s="12">
        <v>145.97</v>
      </c>
    </row>
    <row r="1679" spans="1:12" x14ac:dyDescent="0.2">
      <c r="A1679" s="9">
        <v>46244</v>
      </c>
      <c r="B1679" t="s">
        <v>472</v>
      </c>
      <c r="C1679" t="s">
        <v>473</v>
      </c>
      <c r="D1679" t="s">
        <v>68</v>
      </c>
      <c r="E1679" t="s">
        <v>653</v>
      </c>
      <c r="F1679" t="s">
        <v>654</v>
      </c>
      <c r="G1679" s="10">
        <v>4</v>
      </c>
      <c r="H1679" s="10">
        <v>5882</v>
      </c>
      <c r="I1679" s="10">
        <v>23528</v>
      </c>
      <c r="J1679" t="s">
        <v>51</v>
      </c>
      <c r="K1679" s="11">
        <v>648.20000000000005</v>
      </c>
      <c r="L1679" s="12">
        <v>36.299999999999997</v>
      </c>
    </row>
    <row r="1680" spans="1:12" x14ac:dyDescent="0.2">
      <c r="A1680" s="9">
        <v>46244</v>
      </c>
      <c r="B1680" t="s">
        <v>472</v>
      </c>
      <c r="C1680" t="s">
        <v>473</v>
      </c>
      <c r="D1680" t="s">
        <v>68</v>
      </c>
      <c r="E1680" t="s">
        <v>647</v>
      </c>
      <c r="F1680" t="s">
        <v>668</v>
      </c>
      <c r="G1680" s="10">
        <v>20</v>
      </c>
      <c r="H1680" s="10">
        <v>24634</v>
      </c>
      <c r="I1680" s="10">
        <v>492680</v>
      </c>
      <c r="J1680" t="s">
        <v>51</v>
      </c>
      <c r="K1680" s="11">
        <v>648.20000000000005</v>
      </c>
      <c r="L1680" s="12">
        <v>760.07</v>
      </c>
    </row>
    <row r="1681" spans="1:12" x14ac:dyDescent="0.2">
      <c r="A1681" s="9">
        <v>46244</v>
      </c>
      <c r="B1681" t="s">
        <v>475</v>
      </c>
      <c r="C1681" t="s">
        <v>476</v>
      </c>
      <c r="D1681" t="s">
        <v>75</v>
      </c>
      <c r="E1681" t="s">
        <v>660</v>
      </c>
      <c r="F1681" t="s">
        <v>669</v>
      </c>
      <c r="G1681" s="10">
        <v>67</v>
      </c>
      <c r="H1681" s="10">
        <v>12778</v>
      </c>
      <c r="I1681" s="10">
        <v>856126</v>
      </c>
      <c r="J1681" t="s">
        <v>42</v>
      </c>
      <c r="K1681" s="11">
        <v>3145.8</v>
      </c>
      <c r="L1681" s="12">
        <v>272.14999999999998</v>
      </c>
    </row>
    <row r="1682" spans="1:12" x14ac:dyDescent="0.2">
      <c r="A1682" s="9">
        <v>46244</v>
      </c>
      <c r="B1682" t="s">
        <v>475</v>
      </c>
      <c r="C1682" t="s">
        <v>476</v>
      </c>
      <c r="D1682" t="s">
        <v>75</v>
      </c>
      <c r="E1682" t="s">
        <v>660</v>
      </c>
      <c r="F1682" t="s">
        <v>670</v>
      </c>
      <c r="G1682" s="10">
        <v>37</v>
      </c>
      <c r="H1682" s="10">
        <v>70555</v>
      </c>
      <c r="I1682" s="10">
        <v>2610535</v>
      </c>
      <c r="J1682" t="s">
        <v>42</v>
      </c>
      <c r="K1682" s="11">
        <v>3145.8</v>
      </c>
      <c r="L1682" s="12">
        <v>829.85</v>
      </c>
    </row>
    <row r="1683" spans="1:12" x14ac:dyDescent="0.2">
      <c r="A1683" s="9">
        <v>46244</v>
      </c>
      <c r="B1683" t="s">
        <v>475</v>
      </c>
      <c r="C1683" t="s">
        <v>476</v>
      </c>
      <c r="D1683" t="s">
        <v>75</v>
      </c>
      <c r="E1683" t="s">
        <v>647</v>
      </c>
      <c r="F1683" t="s">
        <v>668</v>
      </c>
      <c r="G1683" s="10">
        <v>18</v>
      </c>
      <c r="H1683" s="10">
        <v>120369</v>
      </c>
      <c r="I1683" s="10">
        <v>2166642</v>
      </c>
      <c r="J1683" t="s">
        <v>42</v>
      </c>
      <c r="K1683" s="11">
        <v>3145.8</v>
      </c>
      <c r="L1683" s="12">
        <v>688.74</v>
      </c>
    </row>
    <row r="1684" spans="1:12" x14ac:dyDescent="0.2">
      <c r="A1684" s="9">
        <v>46244</v>
      </c>
      <c r="B1684" t="s">
        <v>481</v>
      </c>
      <c r="C1684" t="s">
        <v>78</v>
      </c>
      <c r="D1684" t="s">
        <v>41</v>
      </c>
      <c r="E1684" t="s">
        <v>647</v>
      </c>
      <c r="F1684" t="s">
        <v>668</v>
      </c>
      <c r="G1684" s="10">
        <v>15</v>
      </c>
      <c r="H1684" s="10">
        <v>117735</v>
      </c>
      <c r="I1684" s="10">
        <v>1766025</v>
      </c>
      <c r="J1684" t="s">
        <v>42</v>
      </c>
      <c r="K1684" s="11">
        <v>3145.8</v>
      </c>
      <c r="L1684" s="12">
        <v>561.39</v>
      </c>
    </row>
    <row r="1685" spans="1:12" x14ac:dyDescent="0.2">
      <c r="A1685" s="9">
        <v>46244</v>
      </c>
      <c r="B1685" t="s">
        <v>483</v>
      </c>
      <c r="C1685" t="s">
        <v>340</v>
      </c>
      <c r="D1685" t="s">
        <v>46</v>
      </c>
      <c r="E1685" t="s">
        <v>660</v>
      </c>
      <c r="F1685" t="s">
        <v>661</v>
      </c>
      <c r="G1685" s="10">
        <v>36</v>
      </c>
      <c r="H1685" s="10">
        <v>4264</v>
      </c>
      <c r="I1685" s="10">
        <v>153504</v>
      </c>
      <c r="J1685" t="s">
        <v>37</v>
      </c>
      <c r="K1685" s="11">
        <v>648.20000000000005</v>
      </c>
      <c r="L1685" s="12">
        <v>236.82</v>
      </c>
    </row>
    <row r="1686" spans="1:12" x14ac:dyDescent="0.2">
      <c r="A1686" s="9">
        <v>46244</v>
      </c>
      <c r="B1686" t="s">
        <v>483</v>
      </c>
      <c r="C1686" t="s">
        <v>340</v>
      </c>
      <c r="D1686" t="s">
        <v>46</v>
      </c>
      <c r="E1686" t="s">
        <v>647</v>
      </c>
      <c r="F1686" t="s">
        <v>648</v>
      </c>
      <c r="G1686" s="10">
        <v>19</v>
      </c>
      <c r="H1686" s="10">
        <v>16433</v>
      </c>
      <c r="I1686" s="10">
        <v>312227</v>
      </c>
      <c r="J1686" t="s">
        <v>37</v>
      </c>
      <c r="K1686" s="11">
        <v>648.20000000000005</v>
      </c>
      <c r="L1686" s="12">
        <v>481.68</v>
      </c>
    </row>
    <row r="1687" spans="1:12" x14ac:dyDescent="0.2">
      <c r="A1687" s="9">
        <v>46244</v>
      </c>
      <c r="B1687" t="s">
        <v>483</v>
      </c>
      <c r="C1687" t="s">
        <v>340</v>
      </c>
      <c r="D1687" t="s">
        <v>46</v>
      </c>
      <c r="E1687" t="s">
        <v>647</v>
      </c>
      <c r="F1687" t="s">
        <v>667</v>
      </c>
      <c r="G1687" s="10">
        <v>16</v>
      </c>
      <c r="H1687" s="10">
        <v>7588</v>
      </c>
      <c r="I1687" s="10">
        <v>121408</v>
      </c>
      <c r="J1687" t="s">
        <v>37</v>
      </c>
      <c r="K1687" s="11">
        <v>648.20000000000005</v>
      </c>
      <c r="L1687" s="12">
        <v>187.3</v>
      </c>
    </row>
    <row r="1688" spans="1:12" x14ac:dyDescent="0.2">
      <c r="A1688" s="9">
        <v>46244</v>
      </c>
      <c r="B1688" t="s">
        <v>485</v>
      </c>
      <c r="C1688" t="s">
        <v>486</v>
      </c>
      <c r="D1688" t="s">
        <v>41</v>
      </c>
      <c r="E1688" t="s">
        <v>649</v>
      </c>
      <c r="F1688" t="s">
        <v>650</v>
      </c>
      <c r="G1688" s="10">
        <v>8</v>
      </c>
      <c r="H1688" s="10">
        <v>94914</v>
      </c>
      <c r="I1688" s="10">
        <v>759312</v>
      </c>
      <c r="J1688" t="s">
        <v>42</v>
      </c>
      <c r="K1688" s="11">
        <v>3145.8</v>
      </c>
      <c r="L1688" s="12">
        <v>241.37</v>
      </c>
    </row>
    <row r="1689" spans="1:12" x14ac:dyDescent="0.2">
      <c r="A1689" s="9">
        <v>46244</v>
      </c>
      <c r="B1689" t="s">
        <v>485</v>
      </c>
      <c r="C1689" t="s">
        <v>486</v>
      </c>
      <c r="D1689" t="s">
        <v>41</v>
      </c>
      <c r="E1689" t="s">
        <v>649</v>
      </c>
      <c r="F1689" t="s">
        <v>659</v>
      </c>
      <c r="G1689" s="10">
        <v>5</v>
      </c>
      <c r="H1689" s="10">
        <v>42573</v>
      </c>
      <c r="I1689" s="10">
        <v>212865</v>
      </c>
      <c r="J1689" t="s">
        <v>42</v>
      </c>
      <c r="K1689" s="11">
        <v>3145.8</v>
      </c>
      <c r="L1689" s="12">
        <v>67.67</v>
      </c>
    </row>
    <row r="1690" spans="1:12" x14ac:dyDescent="0.2">
      <c r="A1690" s="9">
        <v>46244</v>
      </c>
      <c r="B1690" t="s">
        <v>499</v>
      </c>
      <c r="C1690" t="s">
        <v>500</v>
      </c>
      <c r="D1690" t="s">
        <v>41</v>
      </c>
      <c r="E1690" t="s">
        <v>653</v>
      </c>
      <c r="F1690" t="s">
        <v>654</v>
      </c>
      <c r="G1690" s="10">
        <v>5</v>
      </c>
      <c r="H1690" s="10">
        <v>27845</v>
      </c>
      <c r="I1690" s="10">
        <v>139225</v>
      </c>
      <c r="J1690" t="s">
        <v>42</v>
      </c>
      <c r="K1690" s="11">
        <v>3145.8</v>
      </c>
      <c r="L1690" s="12">
        <v>44.26</v>
      </c>
    </row>
    <row r="1691" spans="1:12" x14ac:dyDescent="0.2">
      <c r="A1691" s="9">
        <v>46244</v>
      </c>
      <c r="B1691" t="s">
        <v>499</v>
      </c>
      <c r="C1691" t="s">
        <v>500</v>
      </c>
      <c r="D1691" t="s">
        <v>41</v>
      </c>
      <c r="E1691" t="s">
        <v>655</v>
      </c>
      <c r="F1691" t="s">
        <v>656</v>
      </c>
      <c r="G1691" s="10">
        <v>26</v>
      </c>
      <c r="H1691" s="10">
        <v>2799</v>
      </c>
      <c r="I1691" s="10">
        <v>72774</v>
      </c>
      <c r="J1691" t="s">
        <v>42</v>
      </c>
      <c r="K1691" s="11">
        <v>3145.8</v>
      </c>
      <c r="L1691" s="12">
        <v>23.13</v>
      </c>
    </row>
    <row r="1692" spans="1:12" x14ac:dyDescent="0.2">
      <c r="A1692" s="9">
        <v>46244</v>
      </c>
      <c r="B1692" t="s">
        <v>505</v>
      </c>
      <c r="C1692" t="s">
        <v>506</v>
      </c>
      <c r="D1692" t="s">
        <v>36</v>
      </c>
      <c r="E1692" t="s">
        <v>649</v>
      </c>
      <c r="F1692" t="s">
        <v>663</v>
      </c>
      <c r="G1692" s="10">
        <v>29</v>
      </c>
      <c r="H1692" s="10">
        <v>1997</v>
      </c>
      <c r="I1692" s="10">
        <v>57913</v>
      </c>
      <c r="J1692" t="s">
        <v>37</v>
      </c>
      <c r="K1692" s="11">
        <v>648.20000000000005</v>
      </c>
      <c r="L1692" s="12">
        <v>89.34</v>
      </c>
    </row>
    <row r="1693" spans="1:12" x14ac:dyDescent="0.2">
      <c r="A1693" s="9">
        <v>46244</v>
      </c>
      <c r="B1693" t="s">
        <v>505</v>
      </c>
      <c r="C1693" t="s">
        <v>506</v>
      </c>
      <c r="D1693" t="s">
        <v>36</v>
      </c>
      <c r="E1693" t="s">
        <v>649</v>
      </c>
      <c r="F1693" t="s">
        <v>663</v>
      </c>
      <c r="G1693" s="10">
        <v>30</v>
      </c>
      <c r="H1693" s="10">
        <v>2103</v>
      </c>
      <c r="I1693" s="10">
        <v>63090</v>
      </c>
      <c r="J1693" t="s">
        <v>37</v>
      </c>
      <c r="K1693" s="11">
        <v>648.20000000000005</v>
      </c>
      <c r="L1693" s="12">
        <v>97.33</v>
      </c>
    </row>
    <row r="1694" spans="1:12" x14ac:dyDescent="0.2">
      <c r="A1694" s="9">
        <v>46244</v>
      </c>
      <c r="B1694" t="s">
        <v>508</v>
      </c>
      <c r="C1694" t="s">
        <v>509</v>
      </c>
      <c r="D1694" t="s">
        <v>68</v>
      </c>
      <c r="E1694" t="s">
        <v>655</v>
      </c>
      <c r="F1694" t="s">
        <v>662</v>
      </c>
      <c r="G1694" s="10">
        <v>3</v>
      </c>
      <c r="H1694" s="10">
        <v>1159</v>
      </c>
      <c r="I1694" s="10">
        <v>3477</v>
      </c>
      <c r="J1694" t="s">
        <v>51</v>
      </c>
      <c r="K1694" s="11">
        <v>648.20000000000005</v>
      </c>
      <c r="L1694" s="12">
        <v>5.36</v>
      </c>
    </row>
    <row r="1695" spans="1:12" x14ac:dyDescent="0.2">
      <c r="A1695" s="9">
        <v>46244</v>
      </c>
      <c r="B1695" t="s">
        <v>508</v>
      </c>
      <c r="C1695" t="s">
        <v>509</v>
      </c>
      <c r="D1695" t="s">
        <v>68</v>
      </c>
      <c r="E1695" t="s">
        <v>660</v>
      </c>
      <c r="F1695" t="s">
        <v>670</v>
      </c>
      <c r="G1695" s="10">
        <v>1</v>
      </c>
      <c r="H1695" s="10">
        <v>14324</v>
      </c>
      <c r="I1695" s="10">
        <v>14324</v>
      </c>
      <c r="J1695" t="s">
        <v>51</v>
      </c>
      <c r="K1695" s="11">
        <v>648.20000000000005</v>
      </c>
      <c r="L1695" s="12">
        <v>22.1</v>
      </c>
    </row>
    <row r="1696" spans="1:12" x14ac:dyDescent="0.2">
      <c r="A1696" s="9">
        <v>46244</v>
      </c>
      <c r="B1696" t="s">
        <v>514</v>
      </c>
      <c r="C1696" t="s">
        <v>515</v>
      </c>
      <c r="D1696" t="s">
        <v>41</v>
      </c>
      <c r="E1696" t="s">
        <v>653</v>
      </c>
      <c r="F1696" t="s">
        <v>654</v>
      </c>
      <c r="G1696" s="10">
        <v>21</v>
      </c>
      <c r="H1696" s="10">
        <v>28195</v>
      </c>
      <c r="I1696" s="10">
        <v>592095</v>
      </c>
      <c r="J1696" t="s">
        <v>42</v>
      </c>
      <c r="K1696" s="11">
        <v>3145.8</v>
      </c>
      <c r="L1696" s="12">
        <v>188.22</v>
      </c>
    </row>
    <row r="1697" spans="1:12" x14ac:dyDescent="0.2">
      <c r="A1697" s="9">
        <v>46244</v>
      </c>
      <c r="B1697" t="s">
        <v>514</v>
      </c>
      <c r="C1697" t="s">
        <v>515</v>
      </c>
      <c r="D1697" t="s">
        <v>41</v>
      </c>
      <c r="E1697" t="s">
        <v>647</v>
      </c>
      <c r="F1697" t="s">
        <v>667</v>
      </c>
      <c r="G1697" s="10">
        <v>21</v>
      </c>
      <c r="H1697" s="10">
        <v>34766</v>
      </c>
      <c r="I1697" s="10">
        <v>730086</v>
      </c>
      <c r="J1697" t="s">
        <v>42</v>
      </c>
      <c r="K1697" s="11">
        <v>3145.8</v>
      </c>
      <c r="L1697" s="12">
        <v>232.08</v>
      </c>
    </row>
    <row r="1698" spans="1:12" x14ac:dyDescent="0.2">
      <c r="A1698" s="9">
        <v>46244</v>
      </c>
      <c r="B1698" t="s">
        <v>514</v>
      </c>
      <c r="C1698" t="s">
        <v>515</v>
      </c>
      <c r="D1698" t="s">
        <v>41</v>
      </c>
      <c r="E1698" t="s">
        <v>651</v>
      </c>
      <c r="F1698" t="s">
        <v>657</v>
      </c>
      <c r="G1698" s="10">
        <v>1</v>
      </c>
      <c r="H1698" s="10">
        <v>32333</v>
      </c>
      <c r="I1698" s="10">
        <v>32333</v>
      </c>
      <c r="J1698" t="s">
        <v>42</v>
      </c>
      <c r="K1698" s="11">
        <v>3145.8</v>
      </c>
      <c r="L1698" s="12">
        <v>10.28</v>
      </c>
    </row>
    <row r="1699" spans="1:12" x14ac:dyDescent="0.2">
      <c r="A1699" s="9">
        <v>46244</v>
      </c>
      <c r="B1699" t="s">
        <v>517</v>
      </c>
      <c r="C1699" t="s">
        <v>518</v>
      </c>
      <c r="D1699" t="s">
        <v>41</v>
      </c>
      <c r="E1699" t="s">
        <v>647</v>
      </c>
      <c r="F1699" t="s">
        <v>648</v>
      </c>
      <c r="G1699" s="10">
        <v>56</v>
      </c>
      <c r="H1699" s="10">
        <v>78245</v>
      </c>
      <c r="I1699" s="10">
        <v>4381720</v>
      </c>
      <c r="J1699" t="s">
        <v>42</v>
      </c>
      <c r="K1699" s="11">
        <v>3145.8</v>
      </c>
      <c r="L1699" s="12">
        <v>1392.88</v>
      </c>
    </row>
    <row r="1700" spans="1:12" x14ac:dyDescent="0.2">
      <c r="A1700" s="9">
        <v>46244</v>
      </c>
      <c r="B1700" t="s">
        <v>520</v>
      </c>
      <c r="C1700" t="s">
        <v>489</v>
      </c>
      <c r="D1700" t="s">
        <v>46</v>
      </c>
      <c r="E1700" t="s">
        <v>660</v>
      </c>
      <c r="F1700" t="s">
        <v>669</v>
      </c>
      <c r="G1700" s="10">
        <v>27</v>
      </c>
      <c r="H1700" s="10">
        <v>2499</v>
      </c>
      <c r="I1700" s="10">
        <v>67473</v>
      </c>
      <c r="J1700" t="s">
        <v>37</v>
      </c>
      <c r="K1700" s="11">
        <v>648.20000000000005</v>
      </c>
      <c r="L1700" s="12">
        <v>104.09</v>
      </c>
    </row>
    <row r="1701" spans="1:12" x14ac:dyDescent="0.2">
      <c r="A1701" s="9">
        <v>46244</v>
      </c>
      <c r="B1701" t="s">
        <v>522</v>
      </c>
      <c r="C1701" t="s">
        <v>523</v>
      </c>
      <c r="D1701" t="s">
        <v>50</v>
      </c>
      <c r="E1701" t="s">
        <v>649</v>
      </c>
      <c r="F1701" t="s">
        <v>650</v>
      </c>
      <c r="G1701" s="10">
        <v>34</v>
      </c>
      <c r="H1701" s="10">
        <v>19621</v>
      </c>
      <c r="I1701" s="10">
        <v>667114</v>
      </c>
      <c r="J1701" t="s">
        <v>51</v>
      </c>
      <c r="K1701" s="11">
        <v>648.20000000000005</v>
      </c>
      <c r="L1701" s="12">
        <v>1029.18</v>
      </c>
    </row>
    <row r="1702" spans="1:12" x14ac:dyDescent="0.2">
      <c r="A1702" s="9">
        <v>46244</v>
      </c>
      <c r="B1702" t="s">
        <v>525</v>
      </c>
      <c r="C1702" t="s">
        <v>526</v>
      </c>
      <c r="D1702" t="s">
        <v>46</v>
      </c>
      <c r="E1702" t="s">
        <v>660</v>
      </c>
      <c r="F1702" t="s">
        <v>670</v>
      </c>
      <c r="G1702" s="10">
        <v>20</v>
      </c>
      <c r="H1702" s="10">
        <v>14622</v>
      </c>
      <c r="I1702" s="10">
        <v>292440</v>
      </c>
      <c r="J1702" t="s">
        <v>37</v>
      </c>
      <c r="K1702" s="11">
        <v>648.20000000000005</v>
      </c>
      <c r="L1702" s="12">
        <v>451.16</v>
      </c>
    </row>
    <row r="1703" spans="1:12" x14ac:dyDescent="0.2">
      <c r="A1703" s="9">
        <v>46244</v>
      </c>
      <c r="B1703" t="s">
        <v>525</v>
      </c>
      <c r="C1703" t="s">
        <v>526</v>
      </c>
      <c r="D1703" t="s">
        <v>46</v>
      </c>
      <c r="E1703" t="s">
        <v>655</v>
      </c>
      <c r="F1703" t="s">
        <v>656</v>
      </c>
      <c r="G1703" s="10">
        <v>8</v>
      </c>
      <c r="H1703" s="10">
        <v>574</v>
      </c>
      <c r="I1703" s="10">
        <v>4592</v>
      </c>
      <c r="J1703" t="s">
        <v>37</v>
      </c>
      <c r="K1703" s="11">
        <v>648.20000000000005</v>
      </c>
      <c r="L1703" s="12">
        <v>7.08</v>
      </c>
    </row>
    <row r="1704" spans="1:12" x14ac:dyDescent="0.2">
      <c r="A1704" s="9">
        <v>46244</v>
      </c>
      <c r="B1704" t="s">
        <v>528</v>
      </c>
      <c r="C1704" t="s">
        <v>529</v>
      </c>
      <c r="D1704" t="s">
        <v>46</v>
      </c>
      <c r="E1704" t="s">
        <v>653</v>
      </c>
      <c r="F1704" t="s">
        <v>658</v>
      </c>
      <c r="G1704" s="10">
        <v>49</v>
      </c>
      <c r="H1704" s="10">
        <v>2690</v>
      </c>
      <c r="I1704" s="10">
        <v>131810</v>
      </c>
      <c r="J1704" t="s">
        <v>37</v>
      </c>
      <c r="K1704" s="11">
        <v>648.20000000000005</v>
      </c>
      <c r="L1704" s="12">
        <v>203.35</v>
      </c>
    </row>
    <row r="1705" spans="1:12" x14ac:dyDescent="0.2">
      <c r="A1705" s="9">
        <v>46244</v>
      </c>
      <c r="B1705" t="s">
        <v>528</v>
      </c>
      <c r="C1705" t="s">
        <v>529</v>
      </c>
      <c r="D1705" t="s">
        <v>46</v>
      </c>
      <c r="E1705" t="s">
        <v>655</v>
      </c>
      <c r="F1705" t="s">
        <v>662</v>
      </c>
      <c r="G1705" s="10">
        <v>58</v>
      </c>
      <c r="H1705" s="10">
        <v>1093</v>
      </c>
      <c r="I1705" s="10">
        <v>63394</v>
      </c>
      <c r="J1705" t="s">
        <v>37</v>
      </c>
      <c r="K1705" s="11">
        <v>648.20000000000005</v>
      </c>
      <c r="L1705" s="12">
        <v>97.8</v>
      </c>
    </row>
    <row r="1706" spans="1:12" x14ac:dyDescent="0.2">
      <c r="A1706" s="9">
        <v>46244</v>
      </c>
      <c r="B1706" t="s">
        <v>528</v>
      </c>
      <c r="C1706" t="s">
        <v>529</v>
      </c>
      <c r="D1706" t="s">
        <v>46</v>
      </c>
      <c r="E1706" t="s">
        <v>653</v>
      </c>
      <c r="F1706" t="s">
        <v>654</v>
      </c>
      <c r="G1706" s="10">
        <v>44</v>
      </c>
      <c r="H1706" s="10">
        <v>5716</v>
      </c>
      <c r="I1706" s="10">
        <v>251504</v>
      </c>
      <c r="J1706" t="s">
        <v>37</v>
      </c>
      <c r="K1706" s="11">
        <v>648.20000000000005</v>
      </c>
      <c r="L1706" s="12">
        <v>388</v>
      </c>
    </row>
    <row r="1707" spans="1:12" x14ac:dyDescent="0.2">
      <c r="A1707" s="9">
        <v>46244</v>
      </c>
      <c r="B1707" t="s">
        <v>528</v>
      </c>
      <c r="C1707" t="s">
        <v>529</v>
      </c>
      <c r="D1707" t="s">
        <v>46</v>
      </c>
      <c r="E1707" t="s">
        <v>647</v>
      </c>
      <c r="F1707" t="s">
        <v>668</v>
      </c>
      <c r="G1707" s="10">
        <v>112</v>
      </c>
      <c r="H1707" s="10">
        <v>24598</v>
      </c>
      <c r="I1707" s="10">
        <v>2754976</v>
      </c>
      <c r="J1707" t="s">
        <v>37</v>
      </c>
      <c r="K1707" s="11">
        <v>648.20000000000005</v>
      </c>
      <c r="L1707" s="12">
        <v>4250.1899999999996</v>
      </c>
    </row>
    <row r="1708" spans="1:12" x14ac:dyDescent="0.2">
      <c r="A1708" s="9">
        <v>46244</v>
      </c>
      <c r="B1708" t="s">
        <v>528</v>
      </c>
      <c r="C1708" t="s">
        <v>529</v>
      </c>
      <c r="D1708" t="s">
        <v>46</v>
      </c>
      <c r="E1708" t="s">
        <v>647</v>
      </c>
      <c r="F1708" t="s">
        <v>648</v>
      </c>
      <c r="G1708" s="10">
        <v>104</v>
      </c>
      <c r="H1708" s="10">
        <v>16218</v>
      </c>
      <c r="I1708" s="10">
        <v>1686672</v>
      </c>
      <c r="J1708" t="s">
        <v>37</v>
      </c>
      <c r="K1708" s="11">
        <v>648.20000000000005</v>
      </c>
      <c r="L1708" s="12">
        <v>2602.09</v>
      </c>
    </row>
    <row r="1709" spans="1:12" x14ac:dyDescent="0.2">
      <c r="A1709" s="9">
        <v>46244</v>
      </c>
      <c r="B1709" t="s">
        <v>531</v>
      </c>
      <c r="C1709" t="s">
        <v>532</v>
      </c>
      <c r="D1709" t="s">
        <v>50</v>
      </c>
      <c r="E1709" t="s">
        <v>647</v>
      </c>
      <c r="F1709" t="s">
        <v>668</v>
      </c>
      <c r="G1709" s="10">
        <v>30</v>
      </c>
      <c r="H1709" s="10">
        <v>25658</v>
      </c>
      <c r="I1709" s="10">
        <v>769740</v>
      </c>
      <c r="J1709" t="s">
        <v>51</v>
      </c>
      <c r="K1709" s="11">
        <v>648.20000000000005</v>
      </c>
      <c r="L1709" s="12">
        <v>1187.5</v>
      </c>
    </row>
    <row r="1710" spans="1:12" x14ac:dyDescent="0.2">
      <c r="A1710" s="9">
        <v>46244</v>
      </c>
      <c r="B1710" t="s">
        <v>534</v>
      </c>
      <c r="C1710" t="s">
        <v>535</v>
      </c>
      <c r="D1710" t="s">
        <v>36</v>
      </c>
      <c r="E1710" t="s">
        <v>649</v>
      </c>
      <c r="F1710" t="s">
        <v>659</v>
      </c>
      <c r="G1710" s="10">
        <v>13</v>
      </c>
      <c r="H1710" s="10">
        <v>9055</v>
      </c>
      <c r="I1710" s="10">
        <v>117715</v>
      </c>
      <c r="J1710" t="s">
        <v>37</v>
      </c>
      <c r="K1710" s="11">
        <v>648.20000000000005</v>
      </c>
      <c r="L1710" s="12">
        <v>181.6</v>
      </c>
    </row>
    <row r="1711" spans="1:12" x14ac:dyDescent="0.2">
      <c r="A1711" s="9">
        <v>46244</v>
      </c>
      <c r="B1711" t="s">
        <v>537</v>
      </c>
      <c r="C1711" t="s">
        <v>538</v>
      </c>
      <c r="D1711" t="s">
        <v>68</v>
      </c>
      <c r="E1711" t="s">
        <v>660</v>
      </c>
      <c r="F1711" t="s">
        <v>661</v>
      </c>
      <c r="G1711" s="10">
        <v>94</v>
      </c>
      <c r="H1711" s="10">
        <v>4071</v>
      </c>
      <c r="I1711" s="10">
        <v>382674</v>
      </c>
      <c r="J1711" t="s">
        <v>51</v>
      </c>
      <c r="K1711" s="11">
        <v>648.20000000000005</v>
      </c>
      <c r="L1711" s="12">
        <v>590.36</v>
      </c>
    </row>
    <row r="1712" spans="1:12" x14ac:dyDescent="0.2">
      <c r="A1712" s="9">
        <v>46244</v>
      </c>
      <c r="B1712" t="s">
        <v>540</v>
      </c>
      <c r="C1712" t="s">
        <v>541</v>
      </c>
      <c r="D1712" t="s">
        <v>41</v>
      </c>
      <c r="E1712" t="s">
        <v>649</v>
      </c>
      <c r="F1712" t="s">
        <v>650</v>
      </c>
      <c r="G1712" s="10">
        <v>22</v>
      </c>
      <c r="H1712" s="10">
        <v>91894</v>
      </c>
      <c r="I1712" s="10">
        <v>2021668</v>
      </c>
      <c r="J1712" t="s">
        <v>42</v>
      </c>
      <c r="K1712" s="11">
        <v>3145.8</v>
      </c>
      <c r="L1712" s="12">
        <v>642.66</v>
      </c>
    </row>
    <row r="1713" spans="1:12" x14ac:dyDescent="0.2">
      <c r="A1713" s="9">
        <v>46244</v>
      </c>
      <c r="B1713" t="s">
        <v>540</v>
      </c>
      <c r="C1713" t="s">
        <v>541</v>
      </c>
      <c r="D1713" t="s">
        <v>41</v>
      </c>
      <c r="E1713" t="s">
        <v>647</v>
      </c>
      <c r="F1713" t="s">
        <v>667</v>
      </c>
      <c r="G1713" s="10">
        <v>1</v>
      </c>
      <c r="H1713" s="10">
        <v>36393</v>
      </c>
      <c r="I1713" s="10">
        <v>36393</v>
      </c>
      <c r="J1713" t="s">
        <v>42</v>
      </c>
      <c r="K1713" s="11">
        <v>3145.8</v>
      </c>
      <c r="L1713" s="12">
        <v>11.57</v>
      </c>
    </row>
    <row r="1714" spans="1:12" x14ac:dyDescent="0.2">
      <c r="A1714" s="9">
        <v>46244</v>
      </c>
      <c r="B1714" t="s">
        <v>543</v>
      </c>
      <c r="C1714" t="s">
        <v>544</v>
      </c>
      <c r="D1714" t="s">
        <v>68</v>
      </c>
      <c r="E1714" t="s">
        <v>653</v>
      </c>
      <c r="F1714" t="s">
        <v>654</v>
      </c>
      <c r="G1714" s="10">
        <v>2</v>
      </c>
      <c r="H1714" s="10">
        <v>5606</v>
      </c>
      <c r="I1714" s="10">
        <v>11212</v>
      </c>
      <c r="J1714" t="s">
        <v>51</v>
      </c>
      <c r="K1714" s="11">
        <v>648.20000000000005</v>
      </c>
      <c r="L1714" s="12">
        <v>17.3</v>
      </c>
    </row>
    <row r="1715" spans="1:12" x14ac:dyDescent="0.2">
      <c r="A1715" s="9">
        <v>46244</v>
      </c>
      <c r="B1715" t="s">
        <v>543</v>
      </c>
      <c r="C1715" t="s">
        <v>544</v>
      </c>
      <c r="D1715" t="s">
        <v>68</v>
      </c>
      <c r="E1715" t="s">
        <v>647</v>
      </c>
      <c r="F1715" t="s">
        <v>648</v>
      </c>
      <c r="G1715" s="10">
        <v>53</v>
      </c>
      <c r="H1715" s="10">
        <v>16537</v>
      </c>
      <c r="I1715" s="10">
        <v>876461</v>
      </c>
      <c r="J1715" t="s">
        <v>51</v>
      </c>
      <c r="K1715" s="11">
        <v>648.20000000000005</v>
      </c>
      <c r="L1715" s="12">
        <v>1352.15</v>
      </c>
    </row>
    <row r="1716" spans="1:12" x14ac:dyDescent="0.2">
      <c r="A1716" s="9">
        <v>46244</v>
      </c>
      <c r="B1716" t="s">
        <v>546</v>
      </c>
      <c r="C1716" t="s">
        <v>547</v>
      </c>
      <c r="D1716" t="s">
        <v>41</v>
      </c>
      <c r="E1716" t="s">
        <v>660</v>
      </c>
      <c r="F1716" t="s">
        <v>661</v>
      </c>
      <c r="G1716" s="10">
        <v>3</v>
      </c>
      <c r="H1716" s="10">
        <v>20261</v>
      </c>
      <c r="I1716" s="10">
        <v>60783</v>
      </c>
      <c r="J1716" t="s">
        <v>42</v>
      </c>
      <c r="K1716" s="11">
        <v>3145.8</v>
      </c>
      <c r="L1716" s="12">
        <v>19.32</v>
      </c>
    </row>
    <row r="1717" spans="1:12" x14ac:dyDescent="0.2">
      <c r="A1717" s="9">
        <v>46244</v>
      </c>
      <c r="B1717" t="s">
        <v>549</v>
      </c>
      <c r="C1717" t="s">
        <v>550</v>
      </c>
      <c r="D1717" t="s">
        <v>41</v>
      </c>
      <c r="E1717" t="s">
        <v>649</v>
      </c>
      <c r="F1717" t="s">
        <v>659</v>
      </c>
      <c r="G1717" s="10">
        <v>7</v>
      </c>
      <c r="H1717" s="10">
        <v>42499</v>
      </c>
      <c r="I1717" s="10">
        <v>297493</v>
      </c>
      <c r="J1717" t="s">
        <v>42</v>
      </c>
      <c r="K1717" s="11">
        <v>3145.8</v>
      </c>
      <c r="L1717" s="12">
        <v>94.57</v>
      </c>
    </row>
    <row r="1718" spans="1:12" x14ac:dyDescent="0.2">
      <c r="A1718" s="9">
        <v>46244</v>
      </c>
      <c r="B1718" t="s">
        <v>549</v>
      </c>
      <c r="C1718" t="s">
        <v>550</v>
      </c>
      <c r="D1718" t="s">
        <v>41</v>
      </c>
      <c r="E1718" t="s">
        <v>647</v>
      </c>
      <c r="F1718" t="s">
        <v>648</v>
      </c>
      <c r="G1718" s="10">
        <v>8</v>
      </c>
      <c r="H1718" s="10">
        <v>80187</v>
      </c>
      <c r="I1718" s="10">
        <v>641496</v>
      </c>
      <c r="J1718" t="s">
        <v>42</v>
      </c>
      <c r="K1718" s="11">
        <v>3145.8</v>
      </c>
      <c r="L1718" s="12">
        <v>203.92</v>
      </c>
    </row>
    <row r="1719" spans="1:12" x14ac:dyDescent="0.2">
      <c r="A1719" s="9">
        <v>46244</v>
      </c>
      <c r="B1719" t="s">
        <v>549</v>
      </c>
      <c r="C1719" t="s">
        <v>550</v>
      </c>
      <c r="D1719" t="s">
        <v>41</v>
      </c>
      <c r="E1719" t="s">
        <v>655</v>
      </c>
      <c r="F1719" t="s">
        <v>656</v>
      </c>
      <c r="G1719" s="10">
        <v>8</v>
      </c>
      <c r="H1719" s="10">
        <v>2812</v>
      </c>
      <c r="I1719" s="10">
        <v>22496</v>
      </c>
      <c r="J1719" t="s">
        <v>42</v>
      </c>
      <c r="K1719" s="11">
        <v>3145.8</v>
      </c>
      <c r="L1719" s="12">
        <v>7.15</v>
      </c>
    </row>
    <row r="1720" spans="1:12" x14ac:dyDescent="0.2">
      <c r="A1720" s="9">
        <v>46244</v>
      </c>
      <c r="B1720" t="s">
        <v>552</v>
      </c>
      <c r="C1720" t="s">
        <v>553</v>
      </c>
      <c r="D1720" t="s">
        <v>41</v>
      </c>
      <c r="E1720" t="s">
        <v>660</v>
      </c>
      <c r="F1720" t="s">
        <v>670</v>
      </c>
      <c r="G1720" s="10">
        <v>33</v>
      </c>
      <c r="H1720" s="10">
        <v>70608</v>
      </c>
      <c r="I1720" s="10">
        <v>2330064</v>
      </c>
      <c r="J1720" t="s">
        <v>42</v>
      </c>
      <c r="K1720" s="11">
        <v>3145.8</v>
      </c>
      <c r="L1720" s="12">
        <v>740.69</v>
      </c>
    </row>
    <row r="1721" spans="1:12" x14ac:dyDescent="0.2">
      <c r="A1721" s="9">
        <v>46244</v>
      </c>
      <c r="B1721" t="s">
        <v>555</v>
      </c>
      <c r="C1721" t="s">
        <v>556</v>
      </c>
      <c r="D1721" t="s">
        <v>41</v>
      </c>
      <c r="E1721" t="s">
        <v>649</v>
      </c>
      <c r="F1721" t="s">
        <v>659</v>
      </c>
      <c r="G1721" s="10">
        <v>4</v>
      </c>
      <c r="H1721" s="10">
        <v>41521</v>
      </c>
      <c r="I1721" s="10">
        <v>166084</v>
      </c>
      <c r="J1721" t="s">
        <v>42</v>
      </c>
      <c r="K1721" s="11">
        <v>3145.8</v>
      </c>
      <c r="L1721" s="12">
        <v>52.8</v>
      </c>
    </row>
    <row r="1722" spans="1:12" x14ac:dyDescent="0.2">
      <c r="A1722" s="9">
        <v>46244</v>
      </c>
      <c r="B1722" t="s">
        <v>555</v>
      </c>
      <c r="C1722" t="s">
        <v>556</v>
      </c>
      <c r="D1722" t="s">
        <v>41</v>
      </c>
      <c r="E1722" t="s">
        <v>647</v>
      </c>
      <c r="F1722" t="s">
        <v>668</v>
      </c>
      <c r="G1722" s="10">
        <v>1</v>
      </c>
      <c r="H1722" s="10">
        <v>124390</v>
      </c>
      <c r="I1722" s="10">
        <v>124390</v>
      </c>
      <c r="J1722" t="s">
        <v>42</v>
      </c>
      <c r="K1722" s="11">
        <v>3145.8</v>
      </c>
      <c r="L1722" s="12">
        <v>39.54</v>
      </c>
    </row>
    <row r="1723" spans="1:12" x14ac:dyDescent="0.2">
      <c r="A1723" s="9">
        <v>46244</v>
      </c>
      <c r="B1723" t="s">
        <v>564</v>
      </c>
      <c r="C1723" t="s">
        <v>565</v>
      </c>
      <c r="D1723" t="s">
        <v>41</v>
      </c>
      <c r="E1723" t="s">
        <v>660</v>
      </c>
      <c r="F1723" t="s">
        <v>661</v>
      </c>
      <c r="G1723" s="10">
        <v>25</v>
      </c>
      <c r="H1723" s="10">
        <v>19854</v>
      </c>
      <c r="I1723" s="10">
        <v>496350</v>
      </c>
      <c r="J1723" t="s">
        <v>42</v>
      </c>
      <c r="K1723" s="11">
        <v>3145.8</v>
      </c>
      <c r="L1723" s="12">
        <v>157.78</v>
      </c>
    </row>
    <row r="1724" spans="1:12" x14ac:dyDescent="0.2">
      <c r="A1724" s="9">
        <v>46244</v>
      </c>
      <c r="B1724" t="s">
        <v>567</v>
      </c>
      <c r="C1724" t="s">
        <v>568</v>
      </c>
      <c r="D1724" t="s">
        <v>41</v>
      </c>
      <c r="E1724" t="s">
        <v>649</v>
      </c>
      <c r="F1724" t="s">
        <v>663</v>
      </c>
      <c r="G1724" s="10">
        <v>58</v>
      </c>
      <c r="H1724" s="10">
        <v>10202</v>
      </c>
      <c r="I1724" s="10">
        <v>591716</v>
      </c>
      <c r="J1724" t="s">
        <v>42</v>
      </c>
      <c r="K1724" s="11">
        <v>3145.8</v>
      </c>
      <c r="L1724" s="12">
        <v>188.1</v>
      </c>
    </row>
    <row r="1725" spans="1:12" x14ac:dyDescent="0.2">
      <c r="A1725" s="9">
        <v>46244</v>
      </c>
      <c r="B1725" t="s">
        <v>567</v>
      </c>
      <c r="C1725" t="s">
        <v>568</v>
      </c>
      <c r="D1725" t="s">
        <v>41</v>
      </c>
      <c r="E1725" t="s">
        <v>647</v>
      </c>
      <c r="F1725" t="s">
        <v>648</v>
      </c>
      <c r="G1725" s="10">
        <v>24</v>
      </c>
      <c r="H1725" s="10">
        <v>79938</v>
      </c>
      <c r="I1725" s="10">
        <v>1918512</v>
      </c>
      <c r="J1725" t="s">
        <v>42</v>
      </c>
      <c r="K1725" s="11">
        <v>3145.8</v>
      </c>
      <c r="L1725" s="12">
        <v>609.86</v>
      </c>
    </row>
    <row r="1726" spans="1:12" x14ac:dyDescent="0.2">
      <c r="A1726" s="9">
        <v>46244</v>
      </c>
      <c r="B1726" t="s">
        <v>567</v>
      </c>
      <c r="C1726" t="s">
        <v>568</v>
      </c>
      <c r="D1726" t="s">
        <v>41</v>
      </c>
      <c r="E1726" t="s">
        <v>647</v>
      </c>
      <c r="F1726" t="s">
        <v>667</v>
      </c>
      <c r="G1726" s="10">
        <v>17</v>
      </c>
      <c r="H1726" s="10">
        <v>34416</v>
      </c>
      <c r="I1726" s="10">
        <v>585072</v>
      </c>
      <c r="J1726" t="s">
        <v>42</v>
      </c>
      <c r="K1726" s="11">
        <v>3145.8</v>
      </c>
      <c r="L1726" s="12">
        <v>185.99</v>
      </c>
    </row>
    <row r="1727" spans="1:12" x14ac:dyDescent="0.2">
      <c r="A1727" s="9">
        <v>46244</v>
      </c>
      <c r="B1727" t="s">
        <v>567</v>
      </c>
      <c r="C1727" t="s">
        <v>568</v>
      </c>
      <c r="D1727" t="s">
        <v>41</v>
      </c>
      <c r="E1727" t="s">
        <v>651</v>
      </c>
      <c r="F1727" t="s">
        <v>657</v>
      </c>
      <c r="G1727" s="10">
        <v>22</v>
      </c>
      <c r="H1727" s="10">
        <v>30645</v>
      </c>
      <c r="I1727" s="10">
        <v>674190</v>
      </c>
      <c r="J1727" t="s">
        <v>42</v>
      </c>
      <c r="K1727" s="11">
        <v>3145.8</v>
      </c>
      <c r="L1727" s="12">
        <v>214.31</v>
      </c>
    </row>
    <row r="1728" spans="1:12" x14ac:dyDescent="0.2">
      <c r="A1728" s="9">
        <v>46244</v>
      </c>
      <c r="B1728" t="s">
        <v>573</v>
      </c>
      <c r="C1728" t="s">
        <v>574</v>
      </c>
      <c r="D1728" t="s">
        <v>41</v>
      </c>
      <c r="E1728" t="s">
        <v>647</v>
      </c>
      <c r="F1728" t="s">
        <v>668</v>
      </c>
      <c r="G1728" s="10">
        <v>1</v>
      </c>
      <c r="H1728" s="10">
        <v>124772</v>
      </c>
      <c r="I1728" s="10">
        <v>124772</v>
      </c>
      <c r="J1728" t="s">
        <v>42</v>
      </c>
      <c r="K1728" s="11">
        <v>3145.8</v>
      </c>
      <c r="L1728" s="12">
        <v>39.659999999999997</v>
      </c>
    </row>
    <row r="1729" spans="1:12" x14ac:dyDescent="0.2">
      <c r="A1729" s="9">
        <v>46244</v>
      </c>
      <c r="B1729" t="s">
        <v>582</v>
      </c>
      <c r="C1729" t="s">
        <v>583</v>
      </c>
      <c r="D1729" t="s">
        <v>36</v>
      </c>
      <c r="E1729" t="s">
        <v>655</v>
      </c>
      <c r="F1729" t="s">
        <v>662</v>
      </c>
      <c r="G1729" s="10">
        <v>8</v>
      </c>
      <c r="H1729" s="10">
        <v>1109</v>
      </c>
      <c r="I1729" s="10">
        <v>8872</v>
      </c>
      <c r="J1729" t="s">
        <v>37</v>
      </c>
      <c r="K1729" s="11">
        <v>648.20000000000005</v>
      </c>
      <c r="L1729" s="12">
        <v>13.69</v>
      </c>
    </row>
    <row r="1730" spans="1:12" x14ac:dyDescent="0.2">
      <c r="A1730" s="9">
        <v>46244</v>
      </c>
      <c r="B1730" t="s">
        <v>582</v>
      </c>
      <c r="C1730" t="s">
        <v>583</v>
      </c>
      <c r="D1730" t="s">
        <v>36</v>
      </c>
      <c r="E1730" t="s">
        <v>660</v>
      </c>
      <c r="F1730" t="s">
        <v>669</v>
      </c>
      <c r="G1730" s="10">
        <v>7</v>
      </c>
      <c r="H1730" s="10">
        <v>2527</v>
      </c>
      <c r="I1730" s="10">
        <v>17689</v>
      </c>
      <c r="J1730" t="s">
        <v>37</v>
      </c>
      <c r="K1730" s="11">
        <v>648.20000000000005</v>
      </c>
      <c r="L1730" s="12">
        <v>27.29</v>
      </c>
    </row>
    <row r="1731" spans="1:12" x14ac:dyDescent="0.2">
      <c r="A1731" s="9">
        <v>46244</v>
      </c>
      <c r="B1731" t="s">
        <v>582</v>
      </c>
      <c r="C1731" t="s">
        <v>583</v>
      </c>
      <c r="D1731" t="s">
        <v>36</v>
      </c>
      <c r="E1731" t="s">
        <v>647</v>
      </c>
      <c r="F1731" t="s">
        <v>668</v>
      </c>
      <c r="G1731" s="10">
        <v>46</v>
      </c>
      <c r="H1731" s="10">
        <v>25898</v>
      </c>
      <c r="I1731" s="10">
        <v>1191308</v>
      </c>
      <c r="J1731" t="s">
        <v>37</v>
      </c>
      <c r="K1731" s="11">
        <v>648.20000000000005</v>
      </c>
      <c r="L1731" s="12">
        <v>1837.87</v>
      </c>
    </row>
    <row r="1732" spans="1:12" x14ac:dyDescent="0.2">
      <c r="A1732" s="9">
        <v>46244</v>
      </c>
      <c r="B1732" t="s">
        <v>593</v>
      </c>
      <c r="C1732" t="s">
        <v>594</v>
      </c>
      <c r="D1732" t="s">
        <v>50</v>
      </c>
      <c r="E1732" t="s">
        <v>647</v>
      </c>
      <c r="F1732" t="s">
        <v>667</v>
      </c>
      <c r="G1732" s="10">
        <v>1</v>
      </c>
      <c r="H1732" s="10">
        <v>7411</v>
      </c>
      <c r="I1732" s="10">
        <v>7411</v>
      </c>
      <c r="J1732" t="s">
        <v>51</v>
      </c>
      <c r="K1732" s="11">
        <v>648.20000000000005</v>
      </c>
      <c r="L1732" s="12">
        <v>11.43</v>
      </c>
    </row>
    <row r="1733" spans="1:12" x14ac:dyDescent="0.2">
      <c r="A1733" s="9">
        <v>46244</v>
      </c>
      <c r="B1733" t="s">
        <v>599</v>
      </c>
      <c r="C1733" t="s">
        <v>600</v>
      </c>
      <c r="D1733" t="s">
        <v>75</v>
      </c>
      <c r="E1733" t="s">
        <v>647</v>
      </c>
      <c r="F1733" t="s">
        <v>648</v>
      </c>
      <c r="G1733" s="10">
        <v>24</v>
      </c>
      <c r="H1733" s="10">
        <v>76431</v>
      </c>
      <c r="I1733" s="10">
        <v>1834344</v>
      </c>
      <c r="J1733" t="s">
        <v>42</v>
      </c>
      <c r="K1733" s="11">
        <v>3145.8</v>
      </c>
      <c r="L1733" s="12">
        <v>583.11</v>
      </c>
    </row>
    <row r="1734" spans="1:12" x14ac:dyDescent="0.2">
      <c r="A1734" s="9">
        <v>46244</v>
      </c>
      <c r="B1734" t="s">
        <v>599</v>
      </c>
      <c r="C1734" t="s">
        <v>600</v>
      </c>
      <c r="D1734" t="s">
        <v>75</v>
      </c>
      <c r="E1734" t="s">
        <v>651</v>
      </c>
      <c r="F1734" t="s">
        <v>657</v>
      </c>
      <c r="G1734" s="10">
        <v>5</v>
      </c>
      <c r="H1734" s="10">
        <v>30920</v>
      </c>
      <c r="I1734" s="10">
        <v>154600</v>
      </c>
      <c r="J1734" t="s">
        <v>42</v>
      </c>
      <c r="K1734" s="11">
        <v>3145.8</v>
      </c>
      <c r="L1734" s="12">
        <v>49.14</v>
      </c>
    </row>
    <row r="1735" spans="1:12" x14ac:dyDescent="0.2">
      <c r="A1735" s="9">
        <v>46244</v>
      </c>
      <c r="B1735" t="s">
        <v>605</v>
      </c>
      <c r="C1735" t="s">
        <v>606</v>
      </c>
      <c r="D1735" t="s">
        <v>68</v>
      </c>
      <c r="E1735" t="s">
        <v>653</v>
      </c>
      <c r="F1735" t="s">
        <v>658</v>
      </c>
      <c r="G1735" s="10">
        <v>6</v>
      </c>
      <c r="H1735" s="10">
        <v>2624</v>
      </c>
      <c r="I1735" s="10">
        <v>15744</v>
      </c>
      <c r="J1735" t="s">
        <v>51</v>
      </c>
      <c r="K1735" s="11">
        <v>648.20000000000005</v>
      </c>
      <c r="L1735" s="12">
        <v>24.29</v>
      </c>
    </row>
    <row r="1736" spans="1:12" x14ac:dyDescent="0.2">
      <c r="A1736" s="9">
        <v>46244</v>
      </c>
      <c r="B1736" t="s">
        <v>605</v>
      </c>
      <c r="C1736" t="s">
        <v>606</v>
      </c>
      <c r="D1736" t="s">
        <v>68</v>
      </c>
      <c r="E1736" t="s">
        <v>655</v>
      </c>
      <c r="F1736" t="s">
        <v>665</v>
      </c>
      <c r="G1736" s="10">
        <v>7</v>
      </c>
      <c r="H1736" s="10">
        <v>676</v>
      </c>
      <c r="I1736" s="10">
        <v>4732</v>
      </c>
      <c r="J1736" t="s">
        <v>51</v>
      </c>
      <c r="K1736" s="11">
        <v>648.20000000000005</v>
      </c>
      <c r="L1736" s="12">
        <v>7.3</v>
      </c>
    </row>
    <row r="1737" spans="1:12" x14ac:dyDescent="0.2">
      <c r="A1737" s="9">
        <v>46244</v>
      </c>
      <c r="B1737" t="s">
        <v>608</v>
      </c>
      <c r="C1737" t="s">
        <v>609</v>
      </c>
      <c r="D1737" t="s">
        <v>75</v>
      </c>
      <c r="E1737" t="s">
        <v>647</v>
      </c>
      <c r="F1737" t="s">
        <v>667</v>
      </c>
      <c r="G1737" s="10">
        <v>2</v>
      </c>
      <c r="H1737" s="10">
        <v>34886</v>
      </c>
      <c r="I1737" s="10">
        <v>69772</v>
      </c>
      <c r="J1737" t="s">
        <v>42</v>
      </c>
      <c r="K1737" s="11">
        <v>3145.8</v>
      </c>
      <c r="L1737" s="12">
        <v>22.18</v>
      </c>
    </row>
    <row r="1738" spans="1:12" x14ac:dyDescent="0.2">
      <c r="A1738" s="9">
        <v>46244</v>
      </c>
      <c r="B1738" t="s">
        <v>608</v>
      </c>
      <c r="C1738" t="s">
        <v>609</v>
      </c>
      <c r="D1738" t="s">
        <v>75</v>
      </c>
      <c r="E1738" t="s">
        <v>647</v>
      </c>
      <c r="F1738" t="s">
        <v>667</v>
      </c>
      <c r="G1738" s="10">
        <v>7</v>
      </c>
      <c r="H1738" s="10">
        <v>36231</v>
      </c>
      <c r="I1738" s="10">
        <v>253617</v>
      </c>
      <c r="J1738" t="s">
        <v>42</v>
      </c>
      <c r="K1738" s="11">
        <v>3145.8</v>
      </c>
      <c r="L1738" s="12">
        <v>80.62</v>
      </c>
    </row>
    <row r="1739" spans="1:12" x14ac:dyDescent="0.2">
      <c r="A1739" s="9">
        <v>46244</v>
      </c>
      <c r="B1739" t="s">
        <v>617</v>
      </c>
      <c r="C1739" t="s">
        <v>618</v>
      </c>
      <c r="D1739" t="s">
        <v>75</v>
      </c>
      <c r="E1739" t="s">
        <v>649</v>
      </c>
      <c r="F1739" t="s">
        <v>663</v>
      </c>
      <c r="G1739" s="10">
        <v>4</v>
      </c>
      <c r="H1739" s="10">
        <v>9956</v>
      </c>
      <c r="I1739" s="10">
        <v>39824</v>
      </c>
      <c r="J1739" t="s">
        <v>42</v>
      </c>
      <c r="K1739" s="11">
        <v>3145.8</v>
      </c>
      <c r="L1739" s="12">
        <v>12.66</v>
      </c>
    </row>
    <row r="1740" spans="1:12" x14ac:dyDescent="0.2">
      <c r="A1740" s="9">
        <v>46244</v>
      </c>
      <c r="B1740" t="s">
        <v>617</v>
      </c>
      <c r="C1740" t="s">
        <v>618</v>
      </c>
      <c r="D1740" t="s">
        <v>75</v>
      </c>
      <c r="E1740" t="s">
        <v>660</v>
      </c>
      <c r="F1740" t="s">
        <v>670</v>
      </c>
      <c r="G1740" s="10">
        <v>3</v>
      </c>
      <c r="H1740" s="10">
        <v>71054</v>
      </c>
      <c r="I1740" s="10">
        <v>213162</v>
      </c>
      <c r="J1740" t="s">
        <v>42</v>
      </c>
      <c r="K1740" s="11">
        <v>3145.8</v>
      </c>
      <c r="L1740" s="12">
        <v>67.760000000000005</v>
      </c>
    </row>
    <row r="1741" spans="1:12" x14ac:dyDescent="0.2">
      <c r="A1741" s="9">
        <v>46244</v>
      </c>
      <c r="B1741" t="s">
        <v>620</v>
      </c>
      <c r="C1741" t="s">
        <v>621</v>
      </c>
      <c r="D1741" t="s">
        <v>50</v>
      </c>
      <c r="E1741" t="s">
        <v>647</v>
      </c>
      <c r="F1741" t="s">
        <v>668</v>
      </c>
      <c r="G1741" s="10">
        <v>22</v>
      </c>
      <c r="H1741" s="10">
        <v>25888</v>
      </c>
      <c r="I1741" s="10">
        <v>569536</v>
      </c>
      <c r="J1741" t="s">
        <v>51</v>
      </c>
      <c r="K1741" s="11">
        <v>648.20000000000005</v>
      </c>
      <c r="L1741" s="12">
        <v>878.64</v>
      </c>
    </row>
    <row r="1742" spans="1:12" x14ac:dyDescent="0.2">
      <c r="A1742" s="9">
        <v>46244</v>
      </c>
      <c r="B1742" t="s">
        <v>620</v>
      </c>
      <c r="C1742" t="s">
        <v>621</v>
      </c>
      <c r="D1742" t="s">
        <v>50</v>
      </c>
      <c r="E1742" t="s">
        <v>647</v>
      </c>
      <c r="F1742" t="s">
        <v>648</v>
      </c>
      <c r="G1742" s="10">
        <v>22</v>
      </c>
      <c r="H1742" s="10">
        <v>15780</v>
      </c>
      <c r="I1742" s="10">
        <v>347160</v>
      </c>
      <c r="J1742" t="s">
        <v>51</v>
      </c>
      <c r="K1742" s="11">
        <v>648.20000000000005</v>
      </c>
      <c r="L1742" s="12">
        <v>535.58000000000004</v>
      </c>
    </row>
    <row r="1743" spans="1:12" x14ac:dyDescent="0.2">
      <c r="A1743" s="9">
        <v>46244</v>
      </c>
      <c r="B1743" t="s">
        <v>626</v>
      </c>
      <c r="C1743" t="s">
        <v>627</v>
      </c>
      <c r="D1743" t="s">
        <v>50</v>
      </c>
      <c r="E1743" t="s">
        <v>649</v>
      </c>
      <c r="F1743" t="s">
        <v>663</v>
      </c>
      <c r="G1743" s="10">
        <v>2</v>
      </c>
      <c r="H1743" s="10">
        <v>2013</v>
      </c>
      <c r="I1743" s="10">
        <v>4026</v>
      </c>
      <c r="J1743" t="s">
        <v>51</v>
      </c>
      <c r="K1743" s="11">
        <v>648.20000000000005</v>
      </c>
      <c r="L1743" s="12">
        <v>6.21</v>
      </c>
    </row>
    <row r="1744" spans="1:12" x14ac:dyDescent="0.2">
      <c r="A1744" s="9">
        <v>46244</v>
      </c>
      <c r="B1744" t="s">
        <v>626</v>
      </c>
      <c r="C1744" t="s">
        <v>627</v>
      </c>
      <c r="D1744" t="s">
        <v>50</v>
      </c>
      <c r="E1744" t="s">
        <v>660</v>
      </c>
      <c r="F1744" t="s">
        <v>661</v>
      </c>
      <c r="G1744" s="10">
        <v>3</v>
      </c>
      <c r="H1744" s="10">
        <v>4127</v>
      </c>
      <c r="I1744" s="10">
        <v>12381</v>
      </c>
      <c r="J1744" t="s">
        <v>51</v>
      </c>
      <c r="K1744" s="11">
        <v>648.20000000000005</v>
      </c>
      <c r="L1744" s="12">
        <v>19.100000000000001</v>
      </c>
    </row>
    <row r="1745" spans="1:12" x14ac:dyDescent="0.2">
      <c r="A1745" s="9">
        <v>46244</v>
      </c>
      <c r="B1745" t="s">
        <v>629</v>
      </c>
      <c r="C1745" t="s">
        <v>630</v>
      </c>
      <c r="D1745" t="s">
        <v>46</v>
      </c>
      <c r="E1745" t="s">
        <v>653</v>
      </c>
      <c r="F1745" t="s">
        <v>658</v>
      </c>
      <c r="G1745" s="10">
        <v>12</v>
      </c>
      <c r="H1745" s="10">
        <v>2649</v>
      </c>
      <c r="I1745" s="10">
        <v>31788</v>
      </c>
      <c r="J1745" t="s">
        <v>37</v>
      </c>
      <c r="K1745" s="11">
        <v>648.20000000000005</v>
      </c>
      <c r="L1745" s="12">
        <v>49.04</v>
      </c>
    </row>
    <row r="1746" spans="1:12" x14ac:dyDescent="0.2">
      <c r="A1746" s="9">
        <v>46244</v>
      </c>
      <c r="B1746" t="s">
        <v>629</v>
      </c>
      <c r="C1746" t="s">
        <v>630</v>
      </c>
      <c r="D1746" t="s">
        <v>46</v>
      </c>
      <c r="E1746" t="s">
        <v>651</v>
      </c>
      <c r="F1746" t="s">
        <v>652</v>
      </c>
      <c r="G1746" s="10">
        <v>8</v>
      </c>
      <c r="H1746" s="10">
        <v>9768</v>
      </c>
      <c r="I1746" s="10">
        <v>78144</v>
      </c>
      <c r="J1746" t="s">
        <v>37</v>
      </c>
      <c r="K1746" s="11">
        <v>648.20000000000005</v>
      </c>
      <c r="L1746" s="12">
        <v>120.56</v>
      </c>
    </row>
    <row r="1747" spans="1:12" x14ac:dyDescent="0.2">
      <c r="A1747" s="9">
        <v>46244</v>
      </c>
      <c r="B1747" t="s">
        <v>629</v>
      </c>
      <c r="C1747" t="s">
        <v>630</v>
      </c>
      <c r="D1747" t="s">
        <v>46</v>
      </c>
      <c r="E1747" t="s">
        <v>647</v>
      </c>
      <c r="F1747" t="s">
        <v>648</v>
      </c>
      <c r="G1747" s="10">
        <v>16</v>
      </c>
      <c r="H1747" s="10">
        <v>16815</v>
      </c>
      <c r="I1747" s="10">
        <v>269040</v>
      </c>
      <c r="J1747" t="s">
        <v>37</v>
      </c>
      <c r="K1747" s="11">
        <v>648.20000000000005</v>
      </c>
      <c r="L1747" s="12">
        <v>415.06</v>
      </c>
    </row>
    <row r="1748" spans="1:12" x14ac:dyDescent="0.2">
      <c r="A1748" s="9">
        <v>46244</v>
      </c>
      <c r="B1748" t="s">
        <v>629</v>
      </c>
      <c r="C1748" t="s">
        <v>630</v>
      </c>
      <c r="D1748" t="s">
        <v>46</v>
      </c>
      <c r="E1748" t="s">
        <v>651</v>
      </c>
      <c r="F1748" t="s">
        <v>664</v>
      </c>
      <c r="G1748" s="10">
        <v>8</v>
      </c>
      <c r="H1748" s="10">
        <v>12095</v>
      </c>
      <c r="I1748" s="10">
        <v>96760</v>
      </c>
      <c r="J1748" t="s">
        <v>37</v>
      </c>
      <c r="K1748" s="11">
        <v>648.20000000000005</v>
      </c>
      <c r="L1748" s="12">
        <v>149.27000000000001</v>
      </c>
    </row>
    <row r="1749" spans="1:12" x14ac:dyDescent="0.2">
      <c r="A1749" s="9">
        <v>46244</v>
      </c>
      <c r="B1749" t="s">
        <v>632</v>
      </c>
      <c r="C1749" t="s">
        <v>633</v>
      </c>
      <c r="D1749" t="s">
        <v>68</v>
      </c>
      <c r="E1749" t="s">
        <v>653</v>
      </c>
      <c r="F1749" t="s">
        <v>666</v>
      </c>
      <c r="G1749" s="10">
        <v>2</v>
      </c>
      <c r="H1749" s="10">
        <v>1473</v>
      </c>
      <c r="I1749" s="10">
        <v>2946</v>
      </c>
      <c r="J1749" t="s">
        <v>51</v>
      </c>
      <c r="K1749" s="11">
        <v>648.20000000000005</v>
      </c>
      <c r="L1749" s="12">
        <v>4.54</v>
      </c>
    </row>
    <row r="1750" spans="1:12" x14ac:dyDescent="0.2">
      <c r="A1750" s="9">
        <v>46244</v>
      </c>
      <c r="B1750" t="s">
        <v>635</v>
      </c>
      <c r="C1750" t="s">
        <v>636</v>
      </c>
      <c r="D1750" t="s">
        <v>41</v>
      </c>
      <c r="E1750" t="s">
        <v>649</v>
      </c>
      <c r="F1750" t="s">
        <v>659</v>
      </c>
      <c r="G1750" s="10">
        <v>27</v>
      </c>
      <c r="H1750" s="10">
        <v>44123</v>
      </c>
      <c r="I1750" s="10">
        <v>1191321</v>
      </c>
      <c r="J1750" t="s">
        <v>42</v>
      </c>
      <c r="K1750" s="11">
        <v>3145.8</v>
      </c>
      <c r="L1750" s="12">
        <v>378.7</v>
      </c>
    </row>
    <row r="1751" spans="1:12" x14ac:dyDescent="0.2">
      <c r="A1751" s="9">
        <v>46245</v>
      </c>
      <c r="B1751" t="s">
        <v>34</v>
      </c>
      <c r="C1751" t="s">
        <v>35</v>
      </c>
      <c r="D1751" t="s">
        <v>36</v>
      </c>
      <c r="E1751" t="s">
        <v>653</v>
      </c>
      <c r="F1751" t="s">
        <v>658</v>
      </c>
      <c r="G1751" s="10">
        <v>19</v>
      </c>
      <c r="H1751" s="10">
        <v>2760</v>
      </c>
      <c r="I1751" s="10">
        <v>52440</v>
      </c>
      <c r="J1751" t="s">
        <v>37</v>
      </c>
      <c r="K1751" s="11">
        <v>648.20000000000005</v>
      </c>
      <c r="L1751" s="12">
        <v>80.900000000000006</v>
      </c>
    </row>
    <row r="1752" spans="1:12" x14ac:dyDescent="0.2">
      <c r="A1752" s="9">
        <v>46245</v>
      </c>
      <c r="B1752" t="s">
        <v>34</v>
      </c>
      <c r="C1752" t="s">
        <v>35</v>
      </c>
      <c r="D1752" t="s">
        <v>36</v>
      </c>
      <c r="E1752" t="s">
        <v>649</v>
      </c>
      <c r="F1752" t="s">
        <v>659</v>
      </c>
      <c r="G1752" s="10">
        <v>53</v>
      </c>
      <c r="H1752" s="10">
        <v>9118</v>
      </c>
      <c r="I1752" s="10">
        <v>483254</v>
      </c>
      <c r="J1752" t="s">
        <v>37</v>
      </c>
      <c r="K1752" s="11">
        <v>648.20000000000005</v>
      </c>
      <c r="L1752" s="12">
        <v>745.53</v>
      </c>
    </row>
    <row r="1753" spans="1:12" x14ac:dyDescent="0.2">
      <c r="A1753" s="9">
        <v>46245</v>
      </c>
      <c r="B1753" t="s">
        <v>44</v>
      </c>
      <c r="C1753" t="s">
        <v>45</v>
      </c>
      <c r="D1753" t="s">
        <v>46</v>
      </c>
      <c r="E1753" t="s">
        <v>653</v>
      </c>
      <c r="F1753" t="s">
        <v>658</v>
      </c>
      <c r="G1753" s="10">
        <v>11</v>
      </c>
      <c r="H1753" s="10">
        <v>2633</v>
      </c>
      <c r="I1753" s="10">
        <v>28963</v>
      </c>
      <c r="J1753" t="s">
        <v>37</v>
      </c>
      <c r="K1753" s="11">
        <v>648.20000000000005</v>
      </c>
      <c r="L1753" s="12">
        <v>44.68</v>
      </c>
    </row>
    <row r="1754" spans="1:12" x14ac:dyDescent="0.2">
      <c r="A1754" s="9">
        <v>46245</v>
      </c>
      <c r="B1754" t="s">
        <v>44</v>
      </c>
      <c r="C1754" t="s">
        <v>45</v>
      </c>
      <c r="D1754" t="s">
        <v>46</v>
      </c>
      <c r="E1754" t="s">
        <v>660</v>
      </c>
      <c r="F1754" t="s">
        <v>669</v>
      </c>
      <c r="G1754" s="10">
        <v>7</v>
      </c>
      <c r="H1754" s="10">
        <v>2495</v>
      </c>
      <c r="I1754" s="10">
        <v>17465</v>
      </c>
      <c r="J1754" t="s">
        <v>37</v>
      </c>
      <c r="K1754" s="11">
        <v>648.20000000000005</v>
      </c>
      <c r="L1754" s="12">
        <v>26.94</v>
      </c>
    </row>
    <row r="1755" spans="1:12" x14ac:dyDescent="0.2">
      <c r="A1755" s="9">
        <v>46245</v>
      </c>
      <c r="B1755" t="s">
        <v>53</v>
      </c>
      <c r="C1755" t="s">
        <v>54</v>
      </c>
      <c r="D1755" t="s">
        <v>41</v>
      </c>
      <c r="E1755" t="s">
        <v>649</v>
      </c>
      <c r="F1755" t="s">
        <v>650</v>
      </c>
      <c r="G1755" s="10">
        <v>7</v>
      </c>
      <c r="H1755" s="10">
        <v>96540</v>
      </c>
      <c r="I1755" s="10">
        <v>675780</v>
      </c>
      <c r="J1755" t="s">
        <v>42</v>
      </c>
      <c r="K1755" s="11">
        <v>3145.8</v>
      </c>
      <c r="L1755" s="12">
        <v>214.82</v>
      </c>
    </row>
    <row r="1756" spans="1:12" x14ac:dyDescent="0.2">
      <c r="A1756" s="9">
        <v>46245</v>
      </c>
      <c r="B1756" t="s">
        <v>53</v>
      </c>
      <c r="C1756" t="s">
        <v>54</v>
      </c>
      <c r="D1756" t="s">
        <v>41</v>
      </c>
      <c r="E1756" t="s">
        <v>647</v>
      </c>
      <c r="F1756" t="s">
        <v>668</v>
      </c>
      <c r="G1756" s="10">
        <v>8</v>
      </c>
      <c r="H1756" s="10">
        <v>120043</v>
      </c>
      <c r="I1756" s="10">
        <v>960344</v>
      </c>
      <c r="J1756" t="s">
        <v>42</v>
      </c>
      <c r="K1756" s="11">
        <v>3145.8</v>
      </c>
      <c r="L1756" s="12">
        <v>305.27999999999997</v>
      </c>
    </row>
    <row r="1757" spans="1:12" x14ac:dyDescent="0.2">
      <c r="A1757" s="9">
        <v>46245</v>
      </c>
      <c r="B1757" t="s">
        <v>63</v>
      </c>
      <c r="C1757" t="s">
        <v>64</v>
      </c>
      <c r="D1757" t="s">
        <v>50</v>
      </c>
      <c r="E1757" t="s">
        <v>649</v>
      </c>
      <c r="F1757" t="s">
        <v>650</v>
      </c>
      <c r="G1757" s="10">
        <v>7</v>
      </c>
      <c r="H1757" s="10">
        <v>18661</v>
      </c>
      <c r="I1757" s="10">
        <v>130627</v>
      </c>
      <c r="J1757" t="s">
        <v>51</v>
      </c>
      <c r="K1757" s="11">
        <v>648.20000000000005</v>
      </c>
      <c r="L1757" s="12">
        <v>201.52</v>
      </c>
    </row>
    <row r="1758" spans="1:12" x14ac:dyDescent="0.2">
      <c r="A1758" s="9">
        <v>46245</v>
      </c>
      <c r="B1758" t="s">
        <v>66</v>
      </c>
      <c r="C1758" t="s">
        <v>67</v>
      </c>
      <c r="D1758" t="s">
        <v>68</v>
      </c>
      <c r="E1758" t="s">
        <v>649</v>
      </c>
      <c r="F1758" t="s">
        <v>650</v>
      </c>
      <c r="G1758" s="10">
        <v>27</v>
      </c>
      <c r="H1758" s="10">
        <v>19773</v>
      </c>
      <c r="I1758" s="10">
        <v>533871</v>
      </c>
      <c r="J1758" t="s">
        <v>51</v>
      </c>
      <c r="K1758" s="11">
        <v>648.20000000000005</v>
      </c>
      <c r="L1758" s="12">
        <v>823.62</v>
      </c>
    </row>
    <row r="1759" spans="1:12" x14ac:dyDescent="0.2">
      <c r="A1759" s="9">
        <v>46245</v>
      </c>
      <c r="B1759" t="s">
        <v>66</v>
      </c>
      <c r="C1759" t="s">
        <v>67</v>
      </c>
      <c r="D1759" t="s">
        <v>68</v>
      </c>
      <c r="E1759" t="s">
        <v>660</v>
      </c>
      <c r="F1759" t="s">
        <v>670</v>
      </c>
      <c r="G1759" s="10">
        <v>11</v>
      </c>
      <c r="H1759" s="10">
        <v>14186</v>
      </c>
      <c r="I1759" s="10">
        <v>156046</v>
      </c>
      <c r="J1759" t="s">
        <v>51</v>
      </c>
      <c r="K1759" s="11">
        <v>648.20000000000005</v>
      </c>
      <c r="L1759" s="12">
        <v>240.74</v>
      </c>
    </row>
    <row r="1760" spans="1:12" x14ac:dyDescent="0.2">
      <c r="A1760" s="9">
        <v>46245</v>
      </c>
      <c r="B1760" t="s">
        <v>70</v>
      </c>
      <c r="C1760" t="s">
        <v>71</v>
      </c>
      <c r="D1760" t="s">
        <v>46</v>
      </c>
      <c r="E1760" t="s">
        <v>651</v>
      </c>
      <c r="F1760" t="s">
        <v>664</v>
      </c>
      <c r="G1760" s="10">
        <v>1</v>
      </c>
      <c r="H1760" s="10">
        <v>12072</v>
      </c>
      <c r="I1760" s="10">
        <v>12072</v>
      </c>
      <c r="J1760" t="s">
        <v>37</v>
      </c>
      <c r="K1760" s="11">
        <v>648.20000000000005</v>
      </c>
      <c r="L1760" s="12">
        <v>18.62</v>
      </c>
    </row>
    <row r="1761" spans="1:12" x14ac:dyDescent="0.2">
      <c r="A1761" s="9">
        <v>46245</v>
      </c>
      <c r="B1761" t="s">
        <v>73</v>
      </c>
      <c r="C1761" t="s">
        <v>74</v>
      </c>
      <c r="D1761" t="s">
        <v>75</v>
      </c>
      <c r="E1761" t="s">
        <v>649</v>
      </c>
      <c r="F1761" t="s">
        <v>663</v>
      </c>
      <c r="G1761" s="10">
        <v>53</v>
      </c>
      <c r="H1761" s="10">
        <v>10090</v>
      </c>
      <c r="I1761" s="10">
        <v>534770</v>
      </c>
      <c r="J1761" t="s">
        <v>42</v>
      </c>
      <c r="K1761" s="11">
        <v>3145.8</v>
      </c>
      <c r="L1761" s="12">
        <v>169.99</v>
      </c>
    </row>
    <row r="1762" spans="1:12" x14ac:dyDescent="0.2">
      <c r="A1762" s="9">
        <v>46245</v>
      </c>
      <c r="B1762" t="s">
        <v>73</v>
      </c>
      <c r="C1762" t="s">
        <v>74</v>
      </c>
      <c r="D1762" t="s">
        <v>75</v>
      </c>
      <c r="E1762" t="s">
        <v>653</v>
      </c>
      <c r="F1762" t="s">
        <v>654</v>
      </c>
      <c r="G1762" s="10">
        <v>54</v>
      </c>
      <c r="H1762" s="10">
        <v>26557</v>
      </c>
      <c r="I1762" s="10">
        <v>1434078</v>
      </c>
      <c r="J1762" t="s">
        <v>42</v>
      </c>
      <c r="K1762" s="11">
        <v>3145.8</v>
      </c>
      <c r="L1762" s="12">
        <v>455.87</v>
      </c>
    </row>
    <row r="1763" spans="1:12" x14ac:dyDescent="0.2">
      <c r="A1763" s="9">
        <v>46245</v>
      </c>
      <c r="B1763" t="s">
        <v>73</v>
      </c>
      <c r="C1763" t="s">
        <v>74</v>
      </c>
      <c r="D1763" t="s">
        <v>75</v>
      </c>
      <c r="E1763" t="s">
        <v>647</v>
      </c>
      <c r="F1763" t="s">
        <v>668</v>
      </c>
      <c r="G1763" s="10">
        <v>107</v>
      </c>
      <c r="H1763" s="10">
        <v>118945</v>
      </c>
      <c r="I1763" s="10">
        <v>12727115</v>
      </c>
      <c r="J1763" t="s">
        <v>42</v>
      </c>
      <c r="K1763" s="11">
        <v>3145.8</v>
      </c>
      <c r="L1763" s="12">
        <v>4045.75</v>
      </c>
    </row>
    <row r="1764" spans="1:12" x14ac:dyDescent="0.2">
      <c r="A1764" s="9">
        <v>46245</v>
      </c>
      <c r="B1764" t="s">
        <v>77</v>
      </c>
      <c r="C1764" t="s">
        <v>78</v>
      </c>
      <c r="D1764" t="s">
        <v>50</v>
      </c>
      <c r="E1764" t="s">
        <v>660</v>
      </c>
      <c r="F1764" t="s">
        <v>669</v>
      </c>
      <c r="G1764" s="10">
        <v>11</v>
      </c>
      <c r="H1764" s="10">
        <v>2531</v>
      </c>
      <c r="I1764" s="10">
        <v>27841</v>
      </c>
      <c r="J1764" t="s">
        <v>51</v>
      </c>
      <c r="K1764" s="11">
        <v>648.20000000000005</v>
      </c>
      <c r="L1764" s="12">
        <v>42.95</v>
      </c>
    </row>
    <row r="1765" spans="1:12" x14ac:dyDescent="0.2">
      <c r="A1765" s="9">
        <v>46245</v>
      </c>
      <c r="B1765" t="s">
        <v>80</v>
      </c>
      <c r="C1765" t="s">
        <v>81</v>
      </c>
      <c r="D1765" t="s">
        <v>46</v>
      </c>
      <c r="E1765" t="s">
        <v>647</v>
      </c>
      <c r="F1765" t="s">
        <v>648</v>
      </c>
      <c r="G1765" s="10">
        <v>7</v>
      </c>
      <c r="H1765" s="10">
        <v>16852</v>
      </c>
      <c r="I1765" s="10">
        <v>117964</v>
      </c>
      <c r="J1765" t="s">
        <v>37</v>
      </c>
      <c r="K1765" s="11">
        <v>648.20000000000005</v>
      </c>
      <c r="L1765" s="12">
        <v>181.99</v>
      </c>
    </row>
    <row r="1766" spans="1:12" x14ac:dyDescent="0.2">
      <c r="A1766" s="9">
        <v>46245</v>
      </c>
      <c r="B1766" t="s">
        <v>86</v>
      </c>
      <c r="C1766" t="s">
        <v>87</v>
      </c>
      <c r="D1766" t="s">
        <v>50</v>
      </c>
      <c r="E1766" t="s">
        <v>660</v>
      </c>
      <c r="F1766" t="s">
        <v>669</v>
      </c>
      <c r="G1766" s="10">
        <v>18</v>
      </c>
      <c r="H1766" s="10">
        <v>2664</v>
      </c>
      <c r="I1766" s="10">
        <v>47952</v>
      </c>
      <c r="J1766" t="s">
        <v>51</v>
      </c>
      <c r="K1766" s="11">
        <v>648.20000000000005</v>
      </c>
      <c r="L1766" s="12">
        <v>73.98</v>
      </c>
    </row>
    <row r="1767" spans="1:12" x14ac:dyDescent="0.2">
      <c r="A1767" s="9">
        <v>46245</v>
      </c>
      <c r="B1767" t="s">
        <v>89</v>
      </c>
      <c r="C1767" t="s">
        <v>90</v>
      </c>
      <c r="D1767" t="s">
        <v>68</v>
      </c>
      <c r="E1767" t="s">
        <v>655</v>
      </c>
      <c r="F1767" t="s">
        <v>656</v>
      </c>
      <c r="G1767" s="10">
        <v>3</v>
      </c>
      <c r="H1767" s="10">
        <v>560</v>
      </c>
      <c r="I1767" s="10">
        <v>1680</v>
      </c>
      <c r="J1767" t="s">
        <v>51</v>
      </c>
      <c r="K1767" s="11">
        <v>648.20000000000005</v>
      </c>
      <c r="L1767" s="12">
        <v>2.59</v>
      </c>
    </row>
    <row r="1768" spans="1:12" x14ac:dyDescent="0.2">
      <c r="A1768" s="9">
        <v>46245</v>
      </c>
      <c r="B1768" t="s">
        <v>111</v>
      </c>
      <c r="C1768" t="s">
        <v>112</v>
      </c>
      <c r="D1768" t="s">
        <v>41</v>
      </c>
      <c r="E1768" t="s">
        <v>651</v>
      </c>
      <c r="F1768" t="s">
        <v>657</v>
      </c>
      <c r="G1768" s="10">
        <v>57</v>
      </c>
      <c r="H1768" s="10">
        <v>30721</v>
      </c>
      <c r="I1768" s="10">
        <v>1751097</v>
      </c>
      <c r="J1768" t="s">
        <v>42</v>
      </c>
      <c r="K1768" s="11">
        <v>3145.8</v>
      </c>
      <c r="L1768" s="12">
        <v>556.65</v>
      </c>
    </row>
    <row r="1769" spans="1:12" x14ac:dyDescent="0.2">
      <c r="A1769" s="9">
        <v>46245</v>
      </c>
      <c r="B1769" t="s">
        <v>115</v>
      </c>
      <c r="C1769" t="s">
        <v>116</v>
      </c>
      <c r="D1769" t="s">
        <v>41</v>
      </c>
      <c r="E1769" t="s">
        <v>653</v>
      </c>
      <c r="F1769" t="s">
        <v>666</v>
      </c>
      <c r="G1769" s="10">
        <v>57</v>
      </c>
      <c r="H1769" s="10">
        <v>7198</v>
      </c>
      <c r="I1769" s="10">
        <v>410286</v>
      </c>
      <c r="J1769" t="s">
        <v>42</v>
      </c>
      <c r="K1769" s="11">
        <v>3145.8</v>
      </c>
      <c r="L1769" s="12">
        <v>130.41999999999999</v>
      </c>
    </row>
    <row r="1770" spans="1:12" x14ac:dyDescent="0.2">
      <c r="A1770" s="9">
        <v>46245</v>
      </c>
      <c r="B1770" t="s">
        <v>115</v>
      </c>
      <c r="C1770" t="s">
        <v>116</v>
      </c>
      <c r="D1770" t="s">
        <v>41</v>
      </c>
      <c r="E1770" t="s">
        <v>655</v>
      </c>
      <c r="F1770" t="s">
        <v>662</v>
      </c>
      <c r="G1770" s="10">
        <v>31</v>
      </c>
      <c r="H1770" s="10">
        <v>5561</v>
      </c>
      <c r="I1770" s="10">
        <v>172391</v>
      </c>
      <c r="J1770" t="s">
        <v>42</v>
      </c>
      <c r="K1770" s="11">
        <v>3145.8</v>
      </c>
      <c r="L1770" s="12">
        <v>54.8</v>
      </c>
    </row>
    <row r="1771" spans="1:12" x14ac:dyDescent="0.2">
      <c r="A1771" s="9">
        <v>46245</v>
      </c>
      <c r="B1771" t="s">
        <v>118</v>
      </c>
      <c r="C1771" t="s">
        <v>119</v>
      </c>
      <c r="D1771" t="s">
        <v>36</v>
      </c>
      <c r="E1771" t="s">
        <v>655</v>
      </c>
      <c r="F1771" t="s">
        <v>662</v>
      </c>
      <c r="G1771" s="10">
        <v>16</v>
      </c>
      <c r="H1771" s="10">
        <v>1118</v>
      </c>
      <c r="I1771" s="10">
        <v>17888</v>
      </c>
      <c r="J1771" t="s">
        <v>37</v>
      </c>
      <c r="K1771" s="11">
        <v>648.20000000000005</v>
      </c>
      <c r="L1771" s="12">
        <v>27.6</v>
      </c>
    </row>
    <row r="1772" spans="1:12" x14ac:dyDescent="0.2">
      <c r="A1772" s="9">
        <v>46245</v>
      </c>
      <c r="B1772" t="s">
        <v>118</v>
      </c>
      <c r="C1772" t="s">
        <v>119</v>
      </c>
      <c r="D1772" t="s">
        <v>36</v>
      </c>
      <c r="E1772" t="s">
        <v>653</v>
      </c>
      <c r="F1772" t="s">
        <v>654</v>
      </c>
      <c r="G1772" s="10">
        <v>14</v>
      </c>
      <c r="H1772" s="10">
        <v>5703</v>
      </c>
      <c r="I1772" s="10">
        <v>79842</v>
      </c>
      <c r="J1772" t="s">
        <v>37</v>
      </c>
      <c r="K1772" s="11">
        <v>648.20000000000005</v>
      </c>
      <c r="L1772" s="12">
        <v>123.17</v>
      </c>
    </row>
    <row r="1773" spans="1:12" x14ac:dyDescent="0.2">
      <c r="A1773" s="9">
        <v>46245</v>
      </c>
      <c r="B1773" t="s">
        <v>121</v>
      </c>
      <c r="C1773" t="s">
        <v>122</v>
      </c>
      <c r="D1773" t="s">
        <v>75</v>
      </c>
      <c r="E1773" t="s">
        <v>649</v>
      </c>
      <c r="F1773" t="s">
        <v>659</v>
      </c>
      <c r="G1773" s="10">
        <v>3</v>
      </c>
      <c r="H1773" s="10">
        <v>41810</v>
      </c>
      <c r="I1773" s="10">
        <v>125430</v>
      </c>
      <c r="J1773" t="s">
        <v>42</v>
      </c>
      <c r="K1773" s="11">
        <v>3145.8</v>
      </c>
      <c r="L1773" s="12">
        <v>39.869999999999997</v>
      </c>
    </row>
    <row r="1774" spans="1:12" x14ac:dyDescent="0.2">
      <c r="A1774" s="9">
        <v>46245</v>
      </c>
      <c r="B1774" t="s">
        <v>121</v>
      </c>
      <c r="C1774" t="s">
        <v>122</v>
      </c>
      <c r="D1774" t="s">
        <v>75</v>
      </c>
      <c r="E1774" t="s">
        <v>647</v>
      </c>
      <c r="F1774" t="s">
        <v>648</v>
      </c>
      <c r="G1774" s="10">
        <v>21</v>
      </c>
      <c r="H1774" s="10">
        <v>76204</v>
      </c>
      <c r="I1774" s="10">
        <v>1600284</v>
      </c>
      <c r="J1774" t="s">
        <v>42</v>
      </c>
      <c r="K1774" s="11">
        <v>3145.8</v>
      </c>
      <c r="L1774" s="12">
        <v>508.7</v>
      </c>
    </row>
    <row r="1775" spans="1:12" x14ac:dyDescent="0.2">
      <c r="A1775" s="9">
        <v>46245</v>
      </c>
      <c r="B1775" t="s">
        <v>124</v>
      </c>
      <c r="C1775" t="s">
        <v>125</v>
      </c>
      <c r="D1775" t="s">
        <v>75</v>
      </c>
      <c r="E1775" t="s">
        <v>649</v>
      </c>
      <c r="F1775" t="s">
        <v>659</v>
      </c>
      <c r="G1775" s="10">
        <v>9</v>
      </c>
      <c r="H1775" s="10">
        <v>42111</v>
      </c>
      <c r="I1775" s="10">
        <v>378999</v>
      </c>
      <c r="J1775" t="s">
        <v>42</v>
      </c>
      <c r="K1775" s="11">
        <v>3145.8</v>
      </c>
      <c r="L1775" s="12">
        <v>120.48</v>
      </c>
    </row>
    <row r="1776" spans="1:12" x14ac:dyDescent="0.2">
      <c r="A1776" s="9">
        <v>46245</v>
      </c>
      <c r="B1776" t="s">
        <v>124</v>
      </c>
      <c r="C1776" t="s">
        <v>125</v>
      </c>
      <c r="D1776" t="s">
        <v>75</v>
      </c>
      <c r="E1776" t="s">
        <v>655</v>
      </c>
      <c r="F1776" t="s">
        <v>656</v>
      </c>
      <c r="G1776" s="10">
        <v>10</v>
      </c>
      <c r="H1776" s="10">
        <v>2710</v>
      </c>
      <c r="I1776" s="10">
        <v>27100</v>
      </c>
      <c r="J1776" t="s">
        <v>42</v>
      </c>
      <c r="K1776" s="11">
        <v>3145.8</v>
      </c>
      <c r="L1776" s="12">
        <v>8.61</v>
      </c>
    </row>
    <row r="1777" spans="1:12" x14ac:dyDescent="0.2">
      <c r="A1777" s="9">
        <v>46245</v>
      </c>
      <c r="B1777" t="s">
        <v>127</v>
      </c>
      <c r="C1777" t="s">
        <v>128</v>
      </c>
      <c r="D1777" t="s">
        <v>41</v>
      </c>
      <c r="E1777" t="s">
        <v>647</v>
      </c>
      <c r="F1777" t="s">
        <v>668</v>
      </c>
      <c r="G1777" s="10">
        <v>1</v>
      </c>
      <c r="H1777" s="10">
        <v>121178</v>
      </c>
      <c r="I1777" s="10">
        <v>121178</v>
      </c>
      <c r="J1777" t="s">
        <v>42</v>
      </c>
      <c r="K1777" s="11">
        <v>3145.8</v>
      </c>
      <c r="L1777" s="12">
        <v>38.520000000000003</v>
      </c>
    </row>
    <row r="1778" spans="1:12" x14ac:dyDescent="0.2">
      <c r="A1778" s="9">
        <v>46245</v>
      </c>
      <c r="B1778" t="s">
        <v>130</v>
      </c>
      <c r="C1778" t="s">
        <v>131</v>
      </c>
      <c r="D1778" t="s">
        <v>46</v>
      </c>
      <c r="E1778" t="s">
        <v>653</v>
      </c>
      <c r="F1778" t="s">
        <v>658</v>
      </c>
      <c r="G1778" s="10">
        <v>20</v>
      </c>
      <c r="H1778" s="10">
        <v>2613</v>
      </c>
      <c r="I1778" s="10">
        <v>52260</v>
      </c>
      <c r="J1778" t="s">
        <v>37</v>
      </c>
      <c r="K1778" s="11">
        <v>648.20000000000005</v>
      </c>
      <c r="L1778" s="12">
        <v>80.62</v>
      </c>
    </row>
    <row r="1779" spans="1:12" x14ac:dyDescent="0.2">
      <c r="A1779" s="9">
        <v>46245</v>
      </c>
      <c r="B1779" t="s">
        <v>130</v>
      </c>
      <c r="C1779" t="s">
        <v>131</v>
      </c>
      <c r="D1779" t="s">
        <v>46</v>
      </c>
      <c r="E1779" t="s">
        <v>649</v>
      </c>
      <c r="F1779" t="s">
        <v>659</v>
      </c>
      <c r="G1779" s="10">
        <v>11</v>
      </c>
      <c r="H1779" s="10">
        <v>8579</v>
      </c>
      <c r="I1779" s="10">
        <v>94369</v>
      </c>
      <c r="J1779" t="s">
        <v>37</v>
      </c>
      <c r="K1779" s="11">
        <v>648.20000000000005</v>
      </c>
      <c r="L1779" s="12">
        <v>145.59</v>
      </c>
    </row>
    <row r="1780" spans="1:12" x14ac:dyDescent="0.2">
      <c r="A1780" s="9">
        <v>46245</v>
      </c>
      <c r="B1780" t="s">
        <v>130</v>
      </c>
      <c r="C1780" t="s">
        <v>131</v>
      </c>
      <c r="D1780" t="s">
        <v>46</v>
      </c>
      <c r="E1780" t="s">
        <v>655</v>
      </c>
      <c r="F1780" t="s">
        <v>662</v>
      </c>
      <c r="G1780" s="10">
        <v>5</v>
      </c>
      <c r="H1780" s="10">
        <v>1121</v>
      </c>
      <c r="I1780" s="10">
        <v>5605</v>
      </c>
      <c r="J1780" t="s">
        <v>37</v>
      </c>
      <c r="K1780" s="11">
        <v>648.20000000000005</v>
      </c>
      <c r="L1780" s="12">
        <v>8.65</v>
      </c>
    </row>
    <row r="1781" spans="1:12" x14ac:dyDescent="0.2">
      <c r="A1781" s="9">
        <v>46245</v>
      </c>
      <c r="B1781" t="s">
        <v>136</v>
      </c>
      <c r="C1781" t="s">
        <v>137</v>
      </c>
      <c r="D1781" t="s">
        <v>41</v>
      </c>
      <c r="E1781" t="s">
        <v>651</v>
      </c>
      <c r="F1781" t="s">
        <v>664</v>
      </c>
      <c r="G1781" s="10">
        <v>28</v>
      </c>
      <c r="H1781" s="10">
        <v>55934</v>
      </c>
      <c r="I1781" s="10">
        <v>1566152</v>
      </c>
      <c r="J1781" t="s">
        <v>42</v>
      </c>
      <c r="K1781" s="11">
        <v>3145.8</v>
      </c>
      <c r="L1781" s="12">
        <v>497.85</v>
      </c>
    </row>
    <row r="1782" spans="1:12" x14ac:dyDescent="0.2">
      <c r="A1782" s="9">
        <v>46245</v>
      </c>
      <c r="B1782" t="s">
        <v>142</v>
      </c>
      <c r="C1782" t="s">
        <v>143</v>
      </c>
      <c r="D1782" t="s">
        <v>75</v>
      </c>
      <c r="E1782" t="s">
        <v>660</v>
      </c>
      <c r="F1782" t="s">
        <v>669</v>
      </c>
      <c r="G1782" s="10">
        <v>26</v>
      </c>
      <c r="H1782" s="10">
        <v>12420</v>
      </c>
      <c r="I1782" s="10">
        <v>322920</v>
      </c>
      <c r="J1782" t="s">
        <v>42</v>
      </c>
      <c r="K1782" s="11">
        <v>3145.8</v>
      </c>
      <c r="L1782" s="12">
        <v>102.65</v>
      </c>
    </row>
    <row r="1783" spans="1:12" x14ac:dyDescent="0.2">
      <c r="A1783" s="9">
        <v>46245</v>
      </c>
      <c r="B1783" t="s">
        <v>142</v>
      </c>
      <c r="C1783" t="s">
        <v>143</v>
      </c>
      <c r="D1783" t="s">
        <v>75</v>
      </c>
      <c r="E1783" t="s">
        <v>660</v>
      </c>
      <c r="F1783" t="s">
        <v>661</v>
      </c>
      <c r="G1783" s="10">
        <v>12</v>
      </c>
      <c r="H1783" s="10">
        <v>20256</v>
      </c>
      <c r="I1783" s="10">
        <v>243072</v>
      </c>
      <c r="J1783" t="s">
        <v>42</v>
      </c>
      <c r="K1783" s="11">
        <v>3145.8</v>
      </c>
      <c r="L1783" s="12">
        <v>77.27</v>
      </c>
    </row>
    <row r="1784" spans="1:12" x14ac:dyDescent="0.2">
      <c r="A1784" s="9">
        <v>46245</v>
      </c>
      <c r="B1784" t="s">
        <v>142</v>
      </c>
      <c r="C1784" t="s">
        <v>143</v>
      </c>
      <c r="D1784" t="s">
        <v>75</v>
      </c>
      <c r="E1784" t="s">
        <v>647</v>
      </c>
      <c r="F1784" t="s">
        <v>668</v>
      </c>
      <c r="G1784" s="10">
        <v>4</v>
      </c>
      <c r="H1784" s="10">
        <v>120526</v>
      </c>
      <c r="I1784" s="10">
        <v>482104</v>
      </c>
      <c r="J1784" t="s">
        <v>42</v>
      </c>
      <c r="K1784" s="11">
        <v>3145.8</v>
      </c>
      <c r="L1784" s="12">
        <v>153.25</v>
      </c>
    </row>
    <row r="1785" spans="1:12" x14ac:dyDescent="0.2">
      <c r="A1785" s="9">
        <v>46245</v>
      </c>
      <c r="B1785" t="s">
        <v>142</v>
      </c>
      <c r="C1785" t="s">
        <v>143</v>
      </c>
      <c r="D1785" t="s">
        <v>75</v>
      </c>
      <c r="E1785" t="s">
        <v>651</v>
      </c>
      <c r="F1785" t="s">
        <v>657</v>
      </c>
      <c r="G1785" s="10">
        <v>15</v>
      </c>
      <c r="H1785" s="10">
        <v>31895</v>
      </c>
      <c r="I1785" s="10">
        <v>478425</v>
      </c>
      <c r="J1785" t="s">
        <v>42</v>
      </c>
      <c r="K1785" s="11">
        <v>3145.8</v>
      </c>
      <c r="L1785" s="12">
        <v>152.08000000000001</v>
      </c>
    </row>
    <row r="1786" spans="1:12" x14ac:dyDescent="0.2">
      <c r="A1786" s="9">
        <v>46245</v>
      </c>
      <c r="B1786" t="s">
        <v>145</v>
      </c>
      <c r="C1786" t="s">
        <v>146</v>
      </c>
      <c r="D1786" t="s">
        <v>68</v>
      </c>
      <c r="E1786" t="s">
        <v>660</v>
      </c>
      <c r="F1786" t="s">
        <v>669</v>
      </c>
      <c r="G1786" s="10">
        <v>13</v>
      </c>
      <c r="H1786" s="10">
        <v>2547</v>
      </c>
      <c r="I1786" s="10">
        <v>33111</v>
      </c>
      <c r="J1786" t="s">
        <v>51</v>
      </c>
      <c r="K1786" s="11">
        <v>648.20000000000005</v>
      </c>
      <c r="L1786" s="12">
        <v>51.08</v>
      </c>
    </row>
    <row r="1787" spans="1:12" x14ac:dyDescent="0.2">
      <c r="A1787" s="9">
        <v>46245</v>
      </c>
      <c r="B1787" t="s">
        <v>149</v>
      </c>
      <c r="C1787" t="s">
        <v>150</v>
      </c>
      <c r="D1787" t="s">
        <v>50</v>
      </c>
      <c r="E1787" t="s">
        <v>651</v>
      </c>
      <c r="F1787" t="s">
        <v>652</v>
      </c>
      <c r="G1787" s="10">
        <v>10</v>
      </c>
      <c r="H1787" s="10">
        <v>9259</v>
      </c>
      <c r="I1787" s="10">
        <v>92590</v>
      </c>
      <c r="J1787" t="s">
        <v>51</v>
      </c>
      <c r="K1787" s="11">
        <v>648.20000000000005</v>
      </c>
      <c r="L1787" s="12">
        <v>142.84</v>
      </c>
    </row>
    <row r="1788" spans="1:12" x14ac:dyDescent="0.2">
      <c r="A1788" s="9">
        <v>46245</v>
      </c>
      <c r="B1788" t="s">
        <v>149</v>
      </c>
      <c r="C1788" t="s">
        <v>150</v>
      </c>
      <c r="D1788" t="s">
        <v>50</v>
      </c>
      <c r="E1788" t="s">
        <v>660</v>
      </c>
      <c r="F1788" t="s">
        <v>669</v>
      </c>
      <c r="G1788" s="10">
        <v>15</v>
      </c>
      <c r="H1788" s="10">
        <v>2621</v>
      </c>
      <c r="I1788" s="10">
        <v>39315</v>
      </c>
      <c r="J1788" t="s">
        <v>51</v>
      </c>
      <c r="K1788" s="11">
        <v>648.20000000000005</v>
      </c>
      <c r="L1788" s="12">
        <v>60.65</v>
      </c>
    </row>
    <row r="1789" spans="1:12" x14ac:dyDescent="0.2">
      <c r="A1789" s="9">
        <v>46245</v>
      </c>
      <c r="B1789" t="s">
        <v>149</v>
      </c>
      <c r="C1789" t="s">
        <v>150</v>
      </c>
      <c r="D1789" t="s">
        <v>50</v>
      </c>
      <c r="E1789" t="s">
        <v>660</v>
      </c>
      <c r="F1789" t="s">
        <v>670</v>
      </c>
      <c r="G1789" s="10">
        <v>7</v>
      </c>
      <c r="H1789" s="10">
        <v>14298</v>
      </c>
      <c r="I1789" s="10">
        <v>100086</v>
      </c>
      <c r="J1789" t="s">
        <v>51</v>
      </c>
      <c r="K1789" s="11">
        <v>648.20000000000005</v>
      </c>
      <c r="L1789" s="12">
        <v>154.41</v>
      </c>
    </row>
    <row r="1790" spans="1:12" x14ac:dyDescent="0.2">
      <c r="A1790" s="9">
        <v>46245</v>
      </c>
      <c r="B1790" t="s">
        <v>149</v>
      </c>
      <c r="C1790" t="s">
        <v>150</v>
      </c>
      <c r="D1790" t="s">
        <v>50</v>
      </c>
      <c r="E1790" t="s">
        <v>660</v>
      </c>
      <c r="F1790" t="s">
        <v>661</v>
      </c>
      <c r="G1790" s="10">
        <v>31</v>
      </c>
      <c r="H1790" s="10">
        <v>4350</v>
      </c>
      <c r="I1790" s="10">
        <v>134850</v>
      </c>
      <c r="J1790" t="s">
        <v>51</v>
      </c>
      <c r="K1790" s="11">
        <v>648.20000000000005</v>
      </c>
      <c r="L1790" s="12">
        <v>208.04</v>
      </c>
    </row>
    <row r="1791" spans="1:12" x14ac:dyDescent="0.2">
      <c r="A1791" s="9">
        <v>46245</v>
      </c>
      <c r="B1791" t="s">
        <v>155</v>
      </c>
      <c r="C1791" t="s">
        <v>156</v>
      </c>
      <c r="D1791" t="s">
        <v>46</v>
      </c>
      <c r="E1791" t="s">
        <v>647</v>
      </c>
      <c r="F1791" t="s">
        <v>668</v>
      </c>
      <c r="G1791" s="10">
        <v>6</v>
      </c>
      <c r="H1791" s="10">
        <v>25753</v>
      </c>
      <c r="I1791" s="10">
        <v>154518</v>
      </c>
      <c r="J1791" t="s">
        <v>37</v>
      </c>
      <c r="K1791" s="11">
        <v>648.20000000000005</v>
      </c>
      <c r="L1791" s="12">
        <v>238.38</v>
      </c>
    </row>
    <row r="1792" spans="1:12" x14ac:dyDescent="0.2">
      <c r="A1792" s="9">
        <v>46245</v>
      </c>
      <c r="B1792" t="s">
        <v>155</v>
      </c>
      <c r="C1792" t="s">
        <v>156</v>
      </c>
      <c r="D1792" t="s">
        <v>46</v>
      </c>
      <c r="E1792" t="s">
        <v>647</v>
      </c>
      <c r="F1792" t="s">
        <v>668</v>
      </c>
      <c r="G1792" s="10">
        <v>8</v>
      </c>
      <c r="H1792" s="10">
        <v>24501</v>
      </c>
      <c r="I1792" s="10">
        <v>196008</v>
      </c>
      <c r="J1792" t="s">
        <v>37</v>
      </c>
      <c r="K1792" s="11">
        <v>648.20000000000005</v>
      </c>
      <c r="L1792" s="12">
        <v>302.39</v>
      </c>
    </row>
    <row r="1793" spans="1:12" x14ac:dyDescent="0.2">
      <c r="A1793" s="9">
        <v>46245</v>
      </c>
      <c r="B1793" t="s">
        <v>158</v>
      </c>
      <c r="C1793" t="s">
        <v>159</v>
      </c>
      <c r="D1793" t="s">
        <v>41</v>
      </c>
      <c r="E1793" t="s">
        <v>653</v>
      </c>
      <c r="F1793" t="s">
        <v>666</v>
      </c>
      <c r="G1793" s="10">
        <v>24</v>
      </c>
      <c r="H1793" s="10">
        <v>7413</v>
      </c>
      <c r="I1793" s="10">
        <v>177912</v>
      </c>
      <c r="J1793" t="s">
        <v>42</v>
      </c>
      <c r="K1793" s="11">
        <v>3145.8</v>
      </c>
      <c r="L1793" s="12">
        <v>56.56</v>
      </c>
    </row>
    <row r="1794" spans="1:12" x14ac:dyDescent="0.2">
      <c r="A1794" s="9">
        <v>46245</v>
      </c>
      <c r="B1794" t="s">
        <v>161</v>
      </c>
      <c r="C1794" t="s">
        <v>67</v>
      </c>
      <c r="D1794" t="s">
        <v>41</v>
      </c>
      <c r="E1794" t="s">
        <v>655</v>
      </c>
      <c r="F1794" t="s">
        <v>656</v>
      </c>
      <c r="G1794" s="10">
        <v>3</v>
      </c>
      <c r="H1794" s="10">
        <v>2726</v>
      </c>
      <c r="I1794" s="10">
        <v>8178</v>
      </c>
      <c r="J1794" t="s">
        <v>42</v>
      </c>
      <c r="K1794" s="11">
        <v>3145.8</v>
      </c>
      <c r="L1794" s="12">
        <v>2.6</v>
      </c>
    </row>
    <row r="1795" spans="1:12" x14ac:dyDescent="0.2">
      <c r="A1795" s="9">
        <v>46245</v>
      </c>
      <c r="B1795" t="s">
        <v>166</v>
      </c>
      <c r="C1795" t="s">
        <v>167</v>
      </c>
      <c r="D1795" t="s">
        <v>46</v>
      </c>
      <c r="E1795" t="s">
        <v>660</v>
      </c>
      <c r="F1795" t="s">
        <v>669</v>
      </c>
      <c r="G1795" s="10">
        <v>7</v>
      </c>
      <c r="H1795" s="10">
        <v>2493</v>
      </c>
      <c r="I1795" s="10">
        <v>17451</v>
      </c>
      <c r="J1795" t="s">
        <v>37</v>
      </c>
      <c r="K1795" s="11">
        <v>648.20000000000005</v>
      </c>
      <c r="L1795" s="12">
        <v>26.92</v>
      </c>
    </row>
    <row r="1796" spans="1:12" x14ac:dyDescent="0.2">
      <c r="A1796" s="9">
        <v>46245</v>
      </c>
      <c r="B1796" t="s">
        <v>169</v>
      </c>
      <c r="C1796" t="s">
        <v>170</v>
      </c>
      <c r="D1796" t="s">
        <v>41</v>
      </c>
      <c r="E1796" t="s">
        <v>649</v>
      </c>
      <c r="F1796" t="s">
        <v>659</v>
      </c>
      <c r="G1796" s="10">
        <v>14</v>
      </c>
      <c r="H1796" s="10">
        <v>42150</v>
      </c>
      <c r="I1796" s="10">
        <v>590100</v>
      </c>
      <c r="J1796" t="s">
        <v>42</v>
      </c>
      <c r="K1796" s="11">
        <v>3145.8</v>
      </c>
      <c r="L1796" s="12">
        <v>187.58</v>
      </c>
    </row>
    <row r="1797" spans="1:12" x14ac:dyDescent="0.2">
      <c r="A1797" s="9">
        <v>46245</v>
      </c>
      <c r="B1797" t="s">
        <v>181</v>
      </c>
      <c r="C1797" t="s">
        <v>182</v>
      </c>
      <c r="D1797" t="s">
        <v>41</v>
      </c>
      <c r="E1797" t="s">
        <v>653</v>
      </c>
      <c r="F1797" t="s">
        <v>658</v>
      </c>
      <c r="G1797" s="10">
        <v>26</v>
      </c>
      <c r="H1797" s="10">
        <v>13550</v>
      </c>
      <c r="I1797" s="10">
        <v>352300</v>
      </c>
      <c r="J1797" t="s">
        <v>42</v>
      </c>
      <c r="K1797" s="11">
        <v>3145.8</v>
      </c>
      <c r="L1797" s="12">
        <v>111.99</v>
      </c>
    </row>
    <row r="1798" spans="1:12" x14ac:dyDescent="0.2">
      <c r="A1798" s="9">
        <v>46245</v>
      </c>
      <c r="B1798" t="s">
        <v>184</v>
      </c>
      <c r="C1798" t="s">
        <v>185</v>
      </c>
      <c r="D1798" t="s">
        <v>41</v>
      </c>
      <c r="E1798" t="s">
        <v>647</v>
      </c>
      <c r="F1798" t="s">
        <v>648</v>
      </c>
      <c r="G1798" s="10">
        <v>6</v>
      </c>
      <c r="H1798" s="10">
        <v>80254</v>
      </c>
      <c r="I1798" s="10">
        <v>481524</v>
      </c>
      <c r="J1798" t="s">
        <v>42</v>
      </c>
      <c r="K1798" s="11">
        <v>3145.8</v>
      </c>
      <c r="L1798" s="12">
        <v>153.07</v>
      </c>
    </row>
    <row r="1799" spans="1:12" x14ac:dyDescent="0.2">
      <c r="A1799" s="9">
        <v>46245</v>
      </c>
      <c r="B1799" t="s">
        <v>190</v>
      </c>
      <c r="C1799" t="s">
        <v>191</v>
      </c>
      <c r="D1799" t="s">
        <v>68</v>
      </c>
      <c r="E1799" t="s">
        <v>660</v>
      </c>
      <c r="F1799" t="s">
        <v>661</v>
      </c>
      <c r="G1799" s="10">
        <v>31</v>
      </c>
      <c r="H1799" s="10">
        <v>4086</v>
      </c>
      <c r="I1799" s="10">
        <v>126666</v>
      </c>
      <c r="J1799" t="s">
        <v>51</v>
      </c>
      <c r="K1799" s="11">
        <v>648.20000000000005</v>
      </c>
      <c r="L1799" s="12">
        <v>195.41</v>
      </c>
    </row>
    <row r="1800" spans="1:12" x14ac:dyDescent="0.2">
      <c r="A1800" s="9">
        <v>46245</v>
      </c>
      <c r="B1800" t="s">
        <v>193</v>
      </c>
      <c r="C1800" t="s">
        <v>194</v>
      </c>
      <c r="D1800" t="s">
        <v>68</v>
      </c>
      <c r="E1800" t="s">
        <v>660</v>
      </c>
      <c r="F1800" t="s">
        <v>661</v>
      </c>
      <c r="G1800" s="10">
        <v>1</v>
      </c>
      <c r="H1800" s="10">
        <v>4335</v>
      </c>
      <c r="I1800" s="10">
        <v>4335</v>
      </c>
      <c r="J1800" t="s">
        <v>51</v>
      </c>
      <c r="K1800" s="11">
        <v>648.20000000000005</v>
      </c>
      <c r="L1800" s="12">
        <v>6.69</v>
      </c>
    </row>
    <row r="1801" spans="1:12" x14ac:dyDescent="0.2">
      <c r="A1801" s="9">
        <v>46245</v>
      </c>
      <c r="B1801" t="s">
        <v>193</v>
      </c>
      <c r="C1801" t="s">
        <v>194</v>
      </c>
      <c r="D1801" t="s">
        <v>68</v>
      </c>
      <c r="E1801" t="s">
        <v>647</v>
      </c>
      <c r="F1801" t="s">
        <v>668</v>
      </c>
      <c r="G1801" s="10">
        <v>7</v>
      </c>
      <c r="H1801" s="10">
        <v>25456</v>
      </c>
      <c r="I1801" s="10">
        <v>178192</v>
      </c>
      <c r="J1801" t="s">
        <v>51</v>
      </c>
      <c r="K1801" s="11">
        <v>648.20000000000005</v>
      </c>
      <c r="L1801" s="12">
        <v>274.89999999999998</v>
      </c>
    </row>
    <row r="1802" spans="1:12" x14ac:dyDescent="0.2">
      <c r="A1802" s="9">
        <v>46245</v>
      </c>
      <c r="B1802" t="s">
        <v>193</v>
      </c>
      <c r="C1802" t="s">
        <v>194</v>
      </c>
      <c r="D1802" t="s">
        <v>68</v>
      </c>
      <c r="E1802" t="s">
        <v>651</v>
      </c>
      <c r="F1802" t="s">
        <v>657</v>
      </c>
      <c r="G1802" s="10">
        <v>3</v>
      </c>
      <c r="H1802" s="10">
        <v>6574</v>
      </c>
      <c r="I1802" s="10">
        <v>19722</v>
      </c>
      <c r="J1802" t="s">
        <v>51</v>
      </c>
      <c r="K1802" s="11">
        <v>648.20000000000005</v>
      </c>
      <c r="L1802" s="12">
        <v>30.43</v>
      </c>
    </row>
    <row r="1803" spans="1:12" x14ac:dyDescent="0.2">
      <c r="A1803" s="9">
        <v>46245</v>
      </c>
      <c r="B1803" t="s">
        <v>196</v>
      </c>
      <c r="C1803" t="s">
        <v>197</v>
      </c>
      <c r="D1803" t="s">
        <v>46</v>
      </c>
      <c r="E1803" t="s">
        <v>653</v>
      </c>
      <c r="F1803" t="s">
        <v>658</v>
      </c>
      <c r="G1803" s="10">
        <v>59</v>
      </c>
      <c r="H1803" s="10">
        <v>2819</v>
      </c>
      <c r="I1803" s="10">
        <v>166321</v>
      </c>
      <c r="J1803" t="s">
        <v>37</v>
      </c>
      <c r="K1803" s="11">
        <v>648.20000000000005</v>
      </c>
      <c r="L1803" s="12">
        <v>256.58999999999997</v>
      </c>
    </row>
    <row r="1804" spans="1:12" x14ac:dyDescent="0.2">
      <c r="A1804" s="9">
        <v>46245</v>
      </c>
      <c r="B1804" t="s">
        <v>196</v>
      </c>
      <c r="C1804" t="s">
        <v>197</v>
      </c>
      <c r="D1804" t="s">
        <v>46</v>
      </c>
      <c r="E1804" t="s">
        <v>653</v>
      </c>
      <c r="F1804" t="s">
        <v>658</v>
      </c>
      <c r="G1804" s="10">
        <v>5</v>
      </c>
      <c r="H1804" s="10">
        <v>2769</v>
      </c>
      <c r="I1804" s="10">
        <v>13845</v>
      </c>
      <c r="J1804" t="s">
        <v>37</v>
      </c>
      <c r="K1804" s="11">
        <v>648.20000000000005</v>
      </c>
      <c r="L1804" s="12">
        <v>21.36</v>
      </c>
    </row>
    <row r="1805" spans="1:12" x14ac:dyDescent="0.2">
      <c r="A1805" s="9">
        <v>46245</v>
      </c>
      <c r="B1805" t="s">
        <v>199</v>
      </c>
      <c r="C1805" t="s">
        <v>200</v>
      </c>
      <c r="D1805" t="s">
        <v>46</v>
      </c>
      <c r="E1805" t="s">
        <v>655</v>
      </c>
      <c r="F1805" t="s">
        <v>662</v>
      </c>
      <c r="G1805" s="10">
        <v>18</v>
      </c>
      <c r="H1805" s="10">
        <v>1138</v>
      </c>
      <c r="I1805" s="10">
        <v>20484</v>
      </c>
      <c r="J1805" t="s">
        <v>37</v>
      </c>
      <c r="K1805" s="11">
        <v>648.20000000000005</v>
      </c>
      <c r="L1805" s="12">
        <v>31.6</v>
      </c>
    </row>
    <row r="1806" spans="1:12" x14ac:dyDescent="0.2">
      <c r="A1806" s="9">
        <v>46245</v>
      </c>
      <c r="B1806" t="s">
        <v>205</v>
      </c>
      <c r="C1806" t="s">
        <v>206</v>
      </c>
      <c r="D1806" t="s">
        <v>50</v>
      </c>
      <c r="E1806" t="s">
        <v>649</v>
      </c>
      <c r="F1806" t="s">
        <v>650</v>
      </c>
      <c r="G1806" s="10">
        <v>18</v>
      </c>
      <c r="H1806" s="10">
        <v>19178</v>
      </c>
      <c r="I1806" s="10">
        <v>345204</v>
      </c>
      <c r="J1806" t="s">
        <v>51</v>
      </c>
      <c r="K1806" s="11">
        <v>648.20000000000005</v>
      </c>
      <c r="L1806" s="12">
        <v>532.55999999999995</v>
      </c>
    </row>
    <row r="1807" spans="1:12" x14ac:dyDescent="0.2">
      <c r="A1807" s="9">
        <v>46245</v>
      </c>
      <c r="B1807" t="s">
        <v>208</v>
      </c>
      <c r="C1807" t="s">
        <v>209</v>
      </c>
      <c r="D1807" t="s">
        <v>46</v>
      </c>
      <c r="E1807" t="s">
        <v>647</v>
      </c>
      <c r="F1807" t="s">
        <v>667</v>
      </c>
      <c r="G1807" s="10">
        <v>3</v>
      </c>
      <c r="H1807" s="10">
        <v>7617</v>
      </c>
      <c r="I1807" s="10">
        <v>22851</v>
      </c>
      <c r="J1807" t="s">
        <v>37</v>
      </c>
      <c r="K1807" s="11">
        <v>648.20000000000005</v>
      </c>
      <c r="L1807" s="12">
        <v>35.25</v>
      </c>
    </row>
    <row r="1808" spans="1:12" x14ac:dyDescent="0.2">
      <c r="A1808" s="9">
        <v>46245</v>
      </c>
      <c r="B1808" t="s">
        <v>211</v>
      </c>
      <c r="C1808" t="s">
        <v>212</v>
      </c>
      <c r="D1808" t="s">
        <v>46</v>
      </c>
      <c r="E1808" t="s">
        <v>660</v>
      </c>
      <c r="F1808" t="s">
        <v>669</v>
      </c>
      <c r="G1808" s="10">
        <v>7</v>
      </c>
      <c r="H1808" s="10">
        <v>2528</v>
      </c>
      <c r="I1808" s="10">
        <v>17696</v>
      </c>
      <c r="J1808" t="s">
        <v>37</v>
      </c>
      <c r="K1808" s="11">
        <v>648.20000000000005</v>
      </c>
      <c r="L1808" s="12">
        <v>27.3</v>
      </c>
    </row>
    <row r="1809" spans="1:12" x14ac:dyDescent="0.2">
      <c r="A1809" s="9">
        <v>46245</v>
      </c>
      <c r="B1809" t="s">
        <v>211</v>
      </c>
      <c r="C1809" t="s">
        <v>212</v>
      </c>
      <c r="D1809" t="s">
        <v>46</v>
      </c>
      <c r="E1809" t="s">
        <v>651</v>
      </c>
      <c r="F1809" t="s">
        <v>657</v>
      </c>
      <c r="G1809" s="10">
        <v>34</v>
      </c>
      <c r="H1809" s="10">
        <v>6293</v>
      </c>
      <c r="I1809" s="10">
        <v>213962</v>
      </c>
      <c r="J1809" t="s">
        <v>37</v>
      </c>
      <c r="K1809" s="11">
        <v>648.20000000000005</v>
      </c>
      <c r="L1809" s="12">
        <v>330.09</v>
      </c>
    </row>
    <row r="1810" spans="1:12" x14ac:dyDescent="0.2">
      <c r="A1810" s="9">
        <v>46245</v>
      </c>
      <c r="B1810" t="s">
        <v>214</v>
      </c>
      <c r="C1810" t="s">
        <v>215</v>
      </c>
      <c r="D1810" t="s">
        <v>46</v>
      </c>
      <c r="E1810" t="s">
        <v>651</v>
      </c>
      <c r="F1810" t="s">
        <v>664</v>
      </c>
      <c r="G1810" s="10">
        <v>3</v>
      </c>
      <c r="H1810" s="10">
        <v>11646</v>
      </c>
      <c r="I1810" s="10">
        <v>34938</v>
      </c>
      <c r="J1810" t="s">
        <v>37</v>
      </c>
      <c r="K1810" s="11">
        <v>648.20000000000005</v>
      </c>
      <c r="L1810" s="12">
        <v>53.9</v>
      </c>
    </row>
    <row r="1811" spans="1:12" x14ac:dyDescent="0.2">
      <c r="A1811" s="9">
        <v>46245</v>
      </c>
      <c r="B1811" t="s">
        <v>223</v>
      </c>
      <c r="C1811" t="s">
        <v>224</v>
      </c>
      <c r="D1811" t="s">
        <v>36</v>
      </c>
      <c r="E1811" t="s">
        <v>660</v>
      </c>
      <c r="F1811" t="s">
        <v>661</v>
      </c>
      <c r="G1811" s="10">
        <v>6</v>
      </c>
      <c r="H1811" s="10">
        <v>4210</v>
      </c>
      <c r="I1811" s="10">
        <v>25260</v>
      </c>
      <c r="J1811" t="s">
        <v>37</v>
      </c>
      <c r="K1811" s="11">
        <v>648.20000000000005</v>
      </c>
      <c r="L1811" s="12">
        <v>38.97</v>
      </c>
    </row>
    <row r="1812" spans="1:12" x14ac:dyDescent="0.2">
      <c r="A1812" s="9">
        <v>46245</v>
      </c>
      <c r="B1812" t="s">
        <v>223</v>
      </c>
      <c r="C1812" t="s">
        <v>224</v>
      </c>
      <c r="D1812" t="s">
        <v>36</v>
      </c>
      <c r="E1812" t="s">
        <v>653</v>
      </c>
      <c r="F1812" t="s">
        <v>654</v>
      </c>
      <c r="G1812" s="10">
        <v>8</v>
      </c>
      <c r="H1812" s="10">
        <v>5746</v>
      </c>
      <c r="I1812" s="10">
        <v>45968</v>
      </c>
      <c r="J1812" t="s">
        <v>37</v>
      </c>
      <c r="K1812" s="11">
        <v>648.20000000000005</v>
      </c>
      <c r="L1812" s="12">
        <v>70.92</v>
      </c>
    </row>
    <row r="1813" spans="1:12" x14ac:dyDescent="0.2">
      <c r="A1813" s="9">
        <v>46245</v>
      </c>
      <c r="B1813" t="s">
        <v>226</v>
      </c>
      <c r="C1813" t="s">
        <v>227</v>
      </c>
      <c r="D1813" t="s">
        <v>41</v>
      </c>
      <c r="E1813" t="s">
        <v>660</v>
      </c>
      <c r="F1813" t="s">
        <v>669</v>
      </c>
      <c r="G1813" s="10">
        <v>33</v>
      </c>
      <c r="H1813" s="10">
        <v>12379</v>
      </c>
      <c r="I1813" s="10">
        <v>408507</v>
      </c>
      <c r="J1813" t="s">
        <v>42</v>
      </c>
      <c r="K1813" s="11">
        <v>3145.8</v>
      </c>
      <c r="L1813" s="12">
        <v>129.86000000000001</v>
      </c>
    </row>
    <row r="1814" spans="1:12" x14ac:dyDescent="0.2">
      <c r="A1814" s="9">
        <v>46245</v>
      </c>
      <c r="B1814" t="s">
        <v>229</v>
      </c>
      <c r="C1814" t="s">
        <v>230</v>
      </c>
      <c r="D1814" t="s">
        <v>36</v>
      </c>
      <c r="E1814" t="s">
        <v>649</v>
      </c>
      <c r="F1814" t="s">
        <v>663</v>
      </c>
      <c r="G1814" s="10">
        <v>2</v>
      </c>
      <c r="H1814" s="10">
        <v>2047</v>
      </c>
      <c r="I1814" s="10">
        <v>4094</v>
      </c>
      <c r="J1814" t="s">
        <v>37</v>
      </c>
      <c r="K1814" s="11">
        <v>648.20000000000005</v>
      </c>
      <c r="L1814" s="12">
        <v>6.32</v>
      </c>
    </row>
    <row r="1815" spans="1:12" x14ac:dyDescent="0.2">
      <c r="A1815" s="9">
        <v>46245</v>
      </c>
      <c r="B1815" t="s">
        <v>229</v>
      </c>
      <c r="C1815" t="s">
        <v>230</v>
      </c>
      <c r="D1815" t="s">
        <v>36</v>
      </c>
      <c r="E1815" t="s">
        <v>660</v>
      </c>
      <c r="F1815" t="s">
        <v>670</v>
      </c>
      <c r="G1815" s="10">
        <v>20</v>
      </c>
      <c r="H1815" s="10">
        <v>14640</v>
      </c>
      <c r="I1815" s="10">
        <v>292800</v>
      </c>
      <c r="J1815" t="s">
        <v>37</v>
      </c>
      <c r="K1815" s="11">
        <v>648.20000000000005</v>
      </c>
      <c r="L1815" s="12">
        <v>451.71</v>
      </c>
    </row>
    <row r="1816" spans="1:12" x14ac:dyDescent="0.2">
      <c r="A1816" s="9">
        <v>46245</v>
      </c>
      <c r="B1816" t="s">
        <v>232</v>
      </c>
      <c r="C1816" t="s">
        <v>233</v>
      </c>
      <c r="D1816" t="s">
        <v>46</v>
      </c>
      <c r="E1816" t="s">
        <v>660</v>
      </c>
      <c r="F1816" t="s">
        <v>661</v>
      </c>
      <c r="G1816" s="10">
        <v>4</v>
      </c>
      <c r="H1816" s="10">
        <v>4286</v>
      </c>
      <c r="I1816" s="10">
        <v>17144</v>
      </c>
      <c r="J1816" t="s">
        <v>37</v>
      </c>
      <c r="K1816" s="11">
        <v>648.20000000000005</v>
      </c>
      <c r="L1816" s="12">
        <v>26.45</v>
      </c>
    </row>
    <row r="1817" spans="1:12" x14ac:dyDescent="0.2">
      <c r="A1817" s="9">
        <v>46245</v>
      </c>
      <c r="B1817" t="s">
        <v>235</v>
      </c>
      <c r="C1817" t="s">
        <v>236</v>
      </c>
      <c r="D1817" t="s">
        <v>50</v>
      </c>
      <c r="E1817" t="s">
        <v>655</v>
      </c>
      <c r="F1817" t="s">
        <v>662</v>
      </c>
      <c r="G1817" s="10">
        <v>28</v>
      </c>
      <c r="H1817" s="10">
        <v>1156</v>
      </c>
      <c r="I1817" s="10">
        <v>32368</v>
      </c>
      <c r="J1817" t="s">
        <v>51</v>
      </c>
      <c r="K1817" s="11">
        <v>648.20000000000005</v>
      </c>
      <c r="L1817" s="12">
        <v>49.94</v>
      </c>
    </row>
    <row r="1818" spans="1:12" x14ac:dyDescent="0.2">
      <c r="A1818" s="9">
        <v>46245</v>
      </c>
      <c r="B1818" t="s">
        <v>235</v>
      </c>
      <c r="C1818" t="s">
        <v>236</v>
      </c>
      <c r="D1818" t="s">
        <v>50</v>
      </c>
      <c r="E1818" t="s">
        <v>647</v>
      </c>
      <c r="F1818" t="s">
        <v>668</v>
      </c>
      <c r="G1818" s="10">
        <v>11</v>
      </c>
      <c r="H1818" s="10">
        <v>25113</v>
      </c>
      <c r="I1818" s="10">
        <v>276243</v>
      </c>
      <c r="J1818" t="s">
        <v>51</v>
      </c>
      <c r="K1818" s="11">
        <v>648.20000000000005</v>
      </c>
      <c r="L1818" s="12">
        <v>426.17</v>
      </c>
    </row>
    <row r="1819" spans="1:12" x14ac:dyDescent="0.2">
      <c r="A1819" s="9">
        <v>46245</v>
      </c>
      <c r="B1819" t="s">
        <v>235</v>
      </c>
      <c r="C1819" t="s">
        <v>236</v>
      </c>
      <c r="D1819" t="s">
        <v>50</v>
      </c>
      <c r="E1819" t="s">
        <v>647</v>
      </c>
      <c r="F1819" t="s">
        <v>648</v>
      </c>
      <c r="G1819" s="10">
        <v>35</v>
      </c>
      <c r="H1819" s="10">
        <v>15636</v>
      </c>
      <c r="I1819" s="10">
        <v>547260</v>
      </c>
      <c r="J1819" t="s">
        <v>51</v>
      </c>
      <c r="K1819" s="11">
        <v>648.20000000000005</v>
      </c>
      <c r="L1819" s="12">
        <v>844.28</v>
      </c>
    </row>
    <row r="1820" spans="1:12" x14ac:dyDescent="0.2">
      <c r="A1820" s="9">
        <v>46245</v>
      </c>
      <c r="B1820" t="s">
        <v>235</v>
      </c>
      <c r="C1820" t="s">
        <v>236</v>
      </c>
      <c r="D1820" t="s">
        <v>50</v>
      </c>
      <c r="E1820" t="s">
        <v>647</v>
      </c>
      <c r="F1820" t="s">
        <v>667</v>
      </c>
      <c r="G1820" s="10">
        <v>11</v>
      </c>
      <c r="H1820" s="10">
        <v>7580</v>
      </c>
      <c r="I1820" s="10">
        <v>83380</v>
      </c>
      <c r="J1820" t="s">
        <v>51</v>
      </c>
      <c r="K1820" s="11">
        <v>648.20000000000005</v>
      </c>
      <c r="L1820" s="12">
        <v>128.63</v>
      </c>
    </row>
    <row r="1821" spans="1:12" x14ac:dyDescent="0.2">
      <c r="A1821" s="9">
        <v>46245</v>
      </c>
      <c r="B1821" t="s">
        <v>235</v>
      </c>
      <c r="C1821" t="s">
        <v>236</v>
      </c>
      <c r="D1821" t="s">
        <v>50</v>
      </c>
      <c r="E1821" t="s">
        <v>647</v>
      </c>
      <c r="F1821" t="s">
        <v>667</v>
      </c>
      <c r="G1821" s="10">
        <v>27</v>
      </c>
      <c r="H1821" s="10">
        <v>7375</v>
      </c>
      <c r="I1821" s="10">
        <v>199125</v>
      </c>
      <c r="J1821" t="s">
        <v>51</v>
      </c>
      <c r="K1821" s="11">
        <v>648.20000000000005</v>
      </c>
      <c r="L1821" s="12">
        <v>307.2</v>
      </c>
    </row>
    <row r="1822" spans="1:12" x14ac:dyDescent="0.2">
      <c r="A1822" s="9">
        <v>46245</v>
      </c>
      <c r="B1822" t="s">
        <v>238</v>
      </c>
      <c r="C1822" t="s">
        <v>239</v>
      </c>
      <c r="D1822" t="s">
        <v>68</v>
      </c>
      <c r="E1822" t="s">
        <v>655</v>
      </c>
      <c r="F1822" t="s">
        <v>656</v>
      </c>
      <c r="G1822" s="10">
        <v>7</v>
      </c>
      <c r="H1822" s="10">
        <v>563</v>
      </c>
      <c r="I1822" s="10">
        <v>3941</v>
      </c>
      <c r="J1822" t="s">
        <v>51</v>
      </c>
      <c r="K1822" s="11">
        <v>648.20000000000005</v>
      </c>
      <c r="L1822" s="12">
        <v>6.08</v>
      </c>
    </row>
    <row r="1823" spans="1:12" x14ac:dyDescent="0.2">
      <c r="A1823" s="9">
        <v>46245</v>
      </c>
      <c r="B1823" t="s">
        <v>253</v>
      </c>
      <c r="C1823" t="s">
        <v>254</v>
      </c>
      <c r="D1823" t="s">
        <v>50</v>
      </c>
      <c r="E1823" t="s">
        <v>653</v>
      </c>
      <c r="F1823" t="s">
        <v>658</v>
      </c>
      <c r="G1823" s="10">
        <v>3</v>
      </c>
      <c r="H1823" s="10">
        <v>2757</v>
      </c>
      <c r="I1823" s="10">
        <v>8271</v>
      </c>
      <c r="J1823" t="s">
        <v>51</v>
      </c>
      <c r="K1823" s="11">
        <v>648.20000000000005</v>
      </c>
      <c r="L1823" s="12">
        <v>12.76</v>
      </c>
    </row>
    <row r="1824" spans="1:12" x14ac:dyDescent="0.2">
      <c r="A1824" s="9">
        <v>46245</v>
      </c>
      <c r="B1824" t="s">
        <v>258</v>
      </c>
      <c r="C1824" t="s">
        <v>259</v>
      </c>
      <c r="D1824" t="s">
        <v>50</v>
      </c>
      <c r="E1824" t="s">
        <v>647</v>
      </c>
      <c r="F1824" t="s">
        <v>668</v>
      </c>
      <c r="G1824" s="10">
        <v>28</v>
      </c>
      <c r="H1824" s="10">
        <v>24928</v>
      </c>
      <c r="I1824" s="10">
        <v>697984</v>
      </c>
      <c r="J1824" t="s">
        <v>51</v>
      </c>
      <c r="K1824" s="11">
        <v>648.20000000000005</v>
      </c>
      <c r="L1824" s="12">
        <v>1076.8</v>
      </c>
    </row>
    <row r="1825" spans="1:12" x14ac:dyDescent="0.2">
      <c r="A1825" s="9">
        <v>46245</v>
      </c>
      <c r="B1825" t="s">
        <v>261</v>
      </c>
      <c r="C1825" t="s">
        <v>262</v>
      </c>
      <c r="D1825" t="s">
        <v>41</v>
      </c>
      <c r="E1825" t="s">
        <v>653</v>
      </c>
      <c r="F1825" t="s">
        <v>658</v>
      </c>
      <c r="G1825" s="10">
        <v>5</v>
      </c>
      <c r="H1825" s="10">
        <v>12952</v>
      </c>
      <c r="I1825" s="10">
        <v>64760</v>
      </c>
      <c r="J1825" t="s">
        <v>42</v>
      </c>
      <c r="K1825" s="11">
        <v>3145.8</v>
      </c>
      <c r="L1825" s="12">
        <v>20.59</v>
      </c>
    </row>
    <row r="1826" spans="1:12" x14ac:dyDescent="0.2">
      <c r="A1826" s="9">
        <v>46245</v>
      </c>
      <c r="B1826" t="s">
        <v>261</v>
      </c>
      <c r="C1826" t="s">
        <v>262</v>
      </c>
      <c r="D1826" t="s">
        <v>41</v>
      </c>
      <c r="E1826" t="s">
        <v>653</v>
      </c>
      <c r="F1826" t="s">
        <v>658</v>
      </c>
      <c r="G1826" s="10">
        <v>20</v>
      </c>
      <c r="H1826" s="10">
        <v>12936</v>
      </c>
      <c r="I1826" s="10">
        <v>258720</v>
      </c>
      <c r="J1826" t="s">
        <v>42</v>
      </c>
      <c r="K1826" s="11">
        <v>3145.8</v>
      </c>
      <c r="L1826" s="12">
        <v>82.24</v>
      </c>
    </row>
    <row r="1827" spans="1:12" x14ac:dyDescent="0.2">
      <c r="A1827" s="9">
        <v>46245</v>
      </c>
      <c r="B1827" t="s">
        <v>261</v>
      </c>
      <c r="C1827" t="s">
        <v>262</v>
      </c>
      <c r="D1827" t="s">
        <v>41</v>
      </c>
      <c r="E1827" t="s">
        <v>660</v>
      </c>
      <c r="F1827" t="s">
        <v>669</v>
      </c>
      <c r="G1827" s="10">
        <v>8</v>
      </c>
      <c r="H1827" s="10">
        <v>12608</v>
      </c>
      <c r="I1827" s="10">
        <v>100864</v>
      </c>
      <c r="J1827" t="s">
        <v>42</v>
      </c>
      <c r="K1827" s="11">
        <v>3145.8</v>
      </c>
      <c r="L1827" s="12">
        <v>32.06</v>
      </c>
    </row>
    <row r="1828" spans="1:12" x14ac:dyDescent="0.2">
      <c r="A1828" s="9">
        <v>46245</v>
      </c>
      <c r="B1828" t="s">
        <v>264</v>
      </c>
      <c r="C1828" t="s">
        <v>265</v>
      </c>
      <c r="D1828" t="s">
        <v>41</v>
      </c>
      <c r="E1828" t="s">
        <v>647</v>
      </c>
      <c r="F1828" t="s">
        <v>667</v>
      </c>
      <c r="G1828" s="10">
        <v>6</v>
      </c>
      <c r="H1828" s="10">
        <v>36089</v>
      </c>
      <c r="I1828" s="10">
        <v>216534</v>
      </c>
      <c r="J1828" t="s">
        <v>42</v>
      </c>
      <c r="K1828" s="11">
        <v>3145.8</v>
      </c>
      <c r="L1828" s="12">
        <v>68.83</v>
      </c>
    </row>
    <row r="1829" spans="1:12" x14ac:dyDescent="0.2">
      <c r="A1829" s="9">
        <v>46245</v>
      </c>
      <c r="B1829" t="s">
        <v>267</v>
      </c>
      <c r="C1829" t="s">
        <v>268</v>
      </c>
      <c r="D1829" t="s">
        <v>46</v>
      </c>
      <c r="E1829" t="s">
        <v>660</v>
      </c>
      <c r="F1829" t="s">
        <v>669</v>
      </c>
      <c r="G1829" s="10">
        <v>22</v>
      </c>
      <c r="H1829" s="10">
        <v>2493</v>
      </c>
      <c r="I1829" s="10">
        <v>54846</v>
      </c>
      <c r="J1829" t="s">
        <v>37</v>
      </c>
      <c r="K1829" s="11">
        <v>648.20000000000005</v>
      </c>
      <c r="L1829" s="12">
        <v>84.61</v>
      </c>
    </row>
    <row r="1830" spans="1:12" x14ac:dyDescent="0.2">
      <c r="A1830" s="9">
        <v>46245</v>
      </c>
      <c r="B1830" t="s">
        <v>267</v>
      </c>
      <c r="C1830" t="s">
        <v>268</v>
      </c>
      <c r="D1830" t="s">
        <v>46</v>
      </c>
      <c r="E1830" t="s">
        <v>660</v>
      </c>
      <c r="F1830" t="s">
        <v>669</v>
      </c>
      <c r="G1830" s="10">
        <v>6</v>
      </c>
      <c r="H1830" s="10">
        <v>2611</v>
      </c>
      <c r="I1830" s="10">
        <v>15666</v>
      </c>
      <c r="J1830" t="s">
        <v>37</v>
      </c>
      <c r="K1830" s="11">
        <v>648.20000000000005</v>
      </c>
      <c r="L1830" s="12">
        <v>24.17</v>
      </c>
    </row>
    <row r="1831" spans="1:12" x14ac:dyDescent="0.2">
      <c r="A1831" s="9">
        <v>46245</v>
      </c>
      <c r="B1831" t="s">
        <v>267</v>
      </c>
      <c r="C1831" t="s">
        <v>268</v>
      </c>
      <c r="D1831" t="s">
        <v>46</v>
      </c>
      <c r="E1831" t="s">
        <v>660</v>
      </c>
      <c r="F1831" t="s">
        <v>669</v>
      </c>
      <c r="G1831" s="10">
        <v>73</v>
      </c>
      <c r="H1831" s="10">
        <v>2667</v>
      </c>
      <c r="I1831" s="10">
        <v>194691</v>
      </c>
      <c r="J1831" t="s">
        <v>37</v>
      </c>
      <c r="K1831" s="11">
        <v>648.20000000000005</v>
      </c>
      <c r="L1831" s="12">
        <v>300.36</v>
      </c>
    </row>
    <row r="1832" spans="1:12" x14ac:dyDescent="0.2">
      <c r="A1832" s="9">
        <v>46245</v>
      </c>
      <c r="B1832" t="s">
        <v>267</v>
      </c>
      <c r="C1832" t="s">
        <v>268</v>
      </c>
      <c r="D1832" t="s">
        <v>46</v>
      </c>
      <c r="E1832" t="s">
        <v>660</v>
      </c>
      <c r="F1832" t="s">
        <v>661</v>
      </c>
      <c r="G1832" s="10">
        <v>70</v>
      </c>
      <c r="H1832" s="10">
        <v>4140</v>
      </c>
      <c r="I1832" s="10">
        <v>289800</v>
      </c>
      <c r="J1832" t="s">
        <v>37</v>
      </c>
      <c r="K1832" s="11">
        <v>648.20000000000005</v>
      </c>
      <c r="L1832" s="12">
        <v>447.08</v>
      </c>
    </row>
    <row r="1833" spans="1:12" x14ac:dyDescent="0.2">
      <c r="A1833" s="9">
        <v>46245</v>
      </c>
      <c r="B1833" t="s">
        <v>267</v>
      </c>
      <c r="C1833" t="s">
        <v>268</v>
      </c>
      <c r="D1833" t="s">
        <v>46</v>
      </c>
      <c r="E1833" t="s">
        <v>647</v>
      </c>
      <c r="F1833" t="s">
        <v>668</v>
      </c>
      <c r="G1833" s="10">
        <v>37</v>
      </c>
      <c r="H1833" s="10">
        <v>25746</v>
      </c>
      <c r="I1833" s="10">
        <v>952602</v>
      </c>
      <c r="J1833" t="s">
        <v>37</v>
      </c>
      <c r="K1833" s="11">
        <v>648.20000000000005</v>
      </c>
      <c r="L1833" s="12">
        <v>1469.61</v>
      </c>
    </row>
    <row r="1834" spans="1:12" x14ac:dyDescent="0.2">
      <c r="A1834" s="9">
        <v>46245</v>
      </c>
      <c r="B1834" t="s">
        <v>267</v>
      </c>
      <c r="C1834" t="s">
        <v>268</v>
      </c>
      <c r="D1834" t="s">
        <v>46</v>
      </c>
      <c r="E1834" t="s">
        <v>647</v>
      </c>
      <c r="F1834" t="s">
        <v>667</v>
      </c>
      <c r="G1834" s="10">
        <v>39</v>
      </c>
      <c r="H1834" s="10">
        <v>7123</v>
      </c>
      <c r="I1834" s="10">
        <v>277797</v>
      </c>
      <c r="J1834" t="s">
        <v>37</v>
      </c>
      <c r="K1834" s="11">
        <v>648.20000000000005</v>
      </c>
      <c r="L1834" s="12">
        <v>428.57</v>
      </c>
    </row>
    <row r="1835" spans="1:12" x14ac:dyDescent="0.2">
      <c r="A1835" s="9">
        <v>46245</v>
      </c>
      <c r="B1835" t="s">
        <v>273</v>
      </c>
      <c r="C1835" t="s">
        <v>274</v>
      </c>
      <c r="D1835" t="s">
        <v>41</v>
      </c>
      <c r="E1835" t="s">
        <v>660</v>
      </c>
      <c r="F1835" t="s">
        <v>670</v>
      </c>
      <c r="G1835" s="10">
        <v>10</v>
      </c>
      <c r="H1835" s="10">
        <v>72262</v>
      </c>
      <c r="I1835" s="10">
        <v>722620</v>
      </c>
      <c r="J1835" t="s">
        <v>42</v>
      </c>
      <c r="K1835" s="11">
        <v>3145.8</v>
      </c>
      <c r="L1835" s="12">
        <v>229.71</v>
      </c>
    </row>
    <row r="1836" spans="1:12" x14ac:dyDescent="0.2">
      <c r="A1836" s="9">
        <v>46245</v>
      </c>
      <c r="B1836" t="s">
        <v>273</v>
      </c>
      <c r="C1836" t="s">
        <v>274</v>
      </c>
      <c r="D1836" t="s">
        <v>41</v>
      </c>
      <c r="E1836" t="s">
        <v>653</v>
      </c>
      <c r="F1836" t="s">
        <v>654</v>
      </c>
      <c r="G1836" s="10">
        <v>1</v>
      </c>
      <c r="H1836" s="10">
        <v>27926</v>
      </c>
      <c r="I1836" s="10">
        <v>27926</v>
      </c>
      <c r="J1836" t="s">
        <v>42</v>
      </c>
      <c r="K1836" s="11">
        <v>3145.8</v>
      </c>
      <c r="L1836" s="12">
        <v>8.8800000000000008</v>
      </c>
    </row>
    <row r="1837" spans="1:12" x14ac:dyDescent="0.2">
      <c r="A1837" s="9">
        <v>46245</v>
      </c>
      <c r="B1837" t="s">
        <v>279</v>
      </c>
      <c r="C1837" t="s">
        <v>280</v>
      </c>
      <c r="D1837" t="s">
        <v>68</v>
      </c>
      <c r="E1837" t="s">
        <v>653</v>
      </c>
      <c r="F1837" t="s">
        <v>666</v>
      </c>
      <c r="G1837" s="10">
        <v>18</v>
      </c>
      <c r="H1837" s="10">
        <v>1544</v>
      </c>
      <c r="I1837" s="10">
        <v>27792</v>
      </c>
      <c r="J1837" t="s">
        <v>51</v>
      </c>
      <c r="K1837" s="11">
        <v>648.20000000000005</v>
      </c>
      <c r="L1837" s="12">
        <v>42.88</v>
      </c>
    </row>
    <row r="1838" spans="1:12" x14ac:dyDescent="0.2">
      <c r="A1838" s="9">
        <v>46245</v>
      </c>
      <c r="B1838" t="s">
        <v>279</v>
      </c>
      <c r="C1838" t="s">
        <v>280</v>
      </c>
      <c r="D1838" t="s">
        <v>68</v>
      </c>
      <c r="E1838" t="s">
        <v>655</v>
      </c>
      <c r="F1838" t="s">
        <v>656</v>
      </c>
      <c r="G1838" s="10">
        <v>39</v>
      </c>
      <c r="H1838" s="10">
        <v>596</v>
      </c>
      <c r="I1838" s="10">
        <v>23244</v>
      </c>
      <c r="J1838" t="s">
        <v>51</v>
      </c>
      <c r="K1838" s="11">
        <v>648.20000000000005</v>
      </c>
      <c r="L1838" s="12">
        <v>35.86</v>
      </c>
    </row>
    <row r="1839" spans="1:12" x14ac:dyDescent="0.2">
      <c r="A1839" s="9">
        <v>46245</v>
      </c>
      <c r="B1839" t="s">
        <v>288</v>
      </c>
      <c r="C1839" t="s">
        <v>289</v>
      </c>
      <c r="D1839" t="s">
        <v>41</v>
      </c>
      <c r="E1839" t="s">
        <v>649</v>
      </c>
      <c r="F1839" t="s">
        <v>663</v>
      </c>
      <c r="G1839" s="10">
        <v>53</v>
      </c>
      <c r="H1839" s="10">
        <v>9503</v>
      </c>
      <c r="I1839" s="10">
        <v>503659</v>
      </c>
      <c r="J1839" t="s">
        <v>42</v>
      </c>
      <c r="K1839" s="11">
        <v>3145.8</v>
      </c>
      <c r="L1839" s="12">
        <v>160.11000000000001</v>
      </c>
    </row>
    <row r="1840" spans="1:12" x14ac:dyDescent="0.2">
      <c r="A1840" s="9">
        <v>46245</v>
      </c>
      <c r="B1840" t="s">
        <v>288</v>
      </c>
      <c r="C1840" t="s">
        <v>289</v>
      </c>
      <c r="D1840" t="s">
        <v>41</v>
      </c>
      <c r="E1840" t="s">
        <v>647</v>
      </c>
      <c r="F1840" t="s">
        <v>668</v>
      </c>
      <c r="G1840" s="10">
        <v>2</v>
      </c>
      <c r="H1840" s="10">
        <v>120909</v>
      </c>
      <c r="I1840" s="10">
        <v>241818</v>
      </c>
      <c r="J1840" t="s">
        <v>42</v>
      </c>
      <c r="K1840" s="11">
        <v>3145.8</v>
      </c>
      <c r="L1840" s="12">
        <v>76.87</v>
      </c>
    </row>
    <row r="1841" spans="1:12" x14ac:dyDescent="0.2">
      <c r="A1841" s="9">
        <v>46245</v>
      </c>
      <c r="B1841" t="s">
        <v>288</v>
      </c>
      <c r="C1841" t="s">
        <v>289</v>
      </c>
      <c r="D1841" t="s">
        <v>41</v>
      </c>
      <c r="E1841" t="s">
        <v>655</v>
      </c>
      <c r="F1841" t="s">
        <v>656</v>
      </c>
      <c r="G1841" s="10">
        <v>10</v>
      </c>
      <c r="H1841" s="10">
        <v>2817</v>
      </c>
      <c r="I1841" s="10">
        <v>28170</v>
      </c>
      <c r="J1841" t="s">
        <v>42</v>
      </c>
      <c r="K1841" s="11">
        <v>3145.8</v>
      </c>
      <c r="L1841" s="12">
        <v>8.9499999999999993</v>
      </c>
    </row>
    <row r="1842" spans="1:12" x14ac:dyDescent="0.2">
      <c r="A1842" s="9">
        <v>46245</v>
      </c>
      <c r="B1842" t="s">
        <v>288</v>
      </c>
      <c r="C1842" t="s">
        <v>289</v>
      </c>
      <c r="D1842" t="s">
        <v>41</v>
      </c>
      <c r="E1842" t="s">
        <v>655</v>
      </c>
      <c r="F1842" t="s">
        <v>656</v>
      </c>
      <c r="G1842" s="10">
        <v>48</v>
      </c>
      <c r="H1842" s="10">
        <v>2890</v>
      </c>
      <c r="I1842" s="10">
        <v>138720</v>
      </c>
      <c r="J1842" t="s">
        <v>42</v>
      </c>
      <c r="K1842" s="11">
        <v>3145.8</v>
      </c>
      <c r="L1842" s="12">
        <v>44.1</v>
      </c>
    </row>
    <row r="1843" spans="1:12" x14ac:dyDescent="0.2">
      <c r="A1843" s="9">
        <v>46245</v>
      </c>
      <c r="B1843" t="s">
        <v>297</v>
      </c>
      <c r="C1843" t="s">
        <v>298</v>
      </c>
      <c r="D1843" t="s">
        <v>36</v>
      </c>
      <c r="E1843" t="s">
        <v>653</v>
      </c>
      <c r="F1843" t="s">
        <v>658</v>
      </c>
      <c r="G1843" s="10">
        <v>8</v>
      </c>
      <c r="H1843" s="10">
        <v>2700</v>
      </c>
      <c r="I1843" s="10">
        <v>21600</v>
      </c>
      <c r="J1843" t="s">
        <v>37</v>
      </c>
      <c r="K1843" s="11">
        <v>648.20000000000005</v>
      </c>
      <c r="L1843" s="12">
        <v>33.32</v>
      </c>
    </row>
    <row r="1844" spans="1:12" x14ac:dyDescent="0.2">
      <c r="A1844" s="9">
        <v>46245</v>
      </c>
      <c r="B1844" t="s">
        <v>300</v>
      </c>
      <c r="C1844" t="s">
        <v>301</v>
      </c>
      <c r="D1844" t="s">
        <v>41</v>
      </c>
      <c r="E1844" t="s">
        <v>653</v>
      </c>
      <c r="F1844" t="s">
        <v>666</v>
      </c>
      <c r="G1844" s="10">
        <v>6</v>
      </c>
      <c r="H1844" s="10">
        <v>7067</v>
      </c>
      <c r="I1844" s="10">
        <v>42402</v>
      </c>
      <c r="J1844" t="s">
        <v>42</v>
      </c>
      <c r="K1844" s="11">
        <v>3145.8</v>
      </c>
      <c r="L1844" s="12">
        <v>13.48</v>
      </c>
    </row>
    <row r="1845" spans="1:12" x14ac:dyDescent="0.2">
      <c r="A1845" s="9">
        <v>46245</v>
      </c>
      <c r="B1845" t="s">
        <v>303</v>
      </c>
      <c r="C1845" t="s">
        <v>304</v>
      </c>
      <c r="D1845" t="s">
        <v>36</v>
      </c>
      <c r="E1845" t="s">
        <v>647</v>
      </c>
      <c r="F1845" t="s">
        <v>667</v>
      </c>
      <c r="G1845" s="10">
        <v>2</v>
      </c>
      <c r="H1845" s="10">
        <v>7107</v>
      </c>
      <c r="I1845" s="10">
        <v>14214</v>
      </c>
      <c r="J1845" t="s">
        <v>37</v>
      </c>
      <c r="K1845" s="11">
        <v>648.20000000000005</v>
      </c>
      <c r="L1845" s="12">
        <v>21.93</v>
      </c>
    </row>
    <row r="1846" spans="1:12" x14ac:dyDescent="0.2">
      <c r="A1846" s="9">
        <v>46245</v>
      </c>
      <c r="B1846" t="s">
        <v>309</v>
      </c>
      <c r="C1846" t="s">
        <v>310</v>
      </c>
      <c r="D1846" t="s">
        <v>41</v>
      </c>
      <c r="E1846" t="s">
        <v>649</v>
      </c>
      <c r="F1846" t="s">
        <v>659</v>
      </c>
      <c r="G1846" s="10">
        <v>39</v>
      </c>
      <c r="H1846" s="10">
        <v>41501</v>
      </c>
      <c r="I1846" s="10">
        <v>1618539</v>
      </c>
      <c r="J1846" t="s">
        <v>42</v>
      </c>
      <c r="K1846" s="11">
        <v>3145.8</v>
      </c>
      <c r="L1846" s="12">
        <v>514.51</v>
      </c>
    </row>
    <row r="1847" spans="1:12" x14ac:dyDescent="0.2">
      <c r="A1847" s="9">
        <v>46245</v>
      </c>
      <c r="B1847" t="s">
        <v>318</v>
      </c>
      <c r="C1847" t="s">
        <v>319</v>
      </c>
      <c r="D1847" t="s">
        <v>41</v>
      </c>
      <c r="E1847" t="s">
        <v>651</v>
      </c>
      <c r="F1847" t="s">
        <v>652</v>
      </c>
      <c r="G1847" s="10">
        <v>7</v>
      </c>
      <c r="H1847" s="10">
        <v>46426</v>
      </c>
      <c r="I1847" s="10">
        <v>324982</v>
      </c>
      <c r="J1847" t="s">
        <v>42</v>
      </c>
      <c r="K1847" s="11">
        <v>3145.8</v>
      </c>
      <c r="L1847" s="12">
        <v>103.31</v>
      </c>
    </row>
    <row r="1848" spans="1:12" x14ac:dyDescent="0.2">
      <c r="A1848" s="9">
        <v>46245</v>
      </c>
      <c r="B1848" t="s">
        <v>345</v>
      </c>
      <c r="C1848" t="s">
        <v>346</v>
      </c>
      <c r="D1848" t="s">
        <v>68</v>
      </c>
      <c r="E1848" t="s">
        <v>660</v>
      </c>
      <c r="F1848" t="s">
        <v>669</v>
      </c>
      <c r="G1848" s="10">
        <v>2</v>
      </c>
      <c r="H1848" s="10">
        <v>2662</v>
      </c>
      <c r="I1848" s="10">
        <v>5324</v>
      </c>
      <c r="J1848" t="s">
        <v>51</v>
      </c>
      <c r="K1848" s="11">
        <v>648.20000000000005</v>
      </c>
      <c r="L1848" s="12">
        <v>8.2100000000000009</v>
      </c>
    </row>
    <row r="1849" spans="1:12" x14ac:dyDescent="0.2">
      <c r="A1849" s="9">
        <v>46245</v>
      </c>
      <c r="B1849" t="s">
        <v>345</v>
      </c>
      <c r="C1849" t="s">
        <v>346</v>
      </c>
      <c r="D1849" t="s">
        <v>68</v>
      </c>
      <c r="E1849" t="s">
        <v>655</v>
      </c>
      <c r="F1849" t="s">
        <v>665</v>
      </c>
      <c r="G1849" s="10">
        <v>9</v>
      </c>
      <c r="H1849" s="10">
        <v>694</v>
      </c>
      <c r="I1849" s="10">
        <v>6246</v>
      </c>
      <c r="J1849" t="s">
        <v>51</v>
      </c>
      <c r="K1849" s="11">
        <v>648.20000000000005</v>
      </c>
      <c r="L1849" s="12">
        <v>9.64</v>
      </c>
    </row>
    <row r="1850" spans="1:12" x14ac:dyDescent="0.2">
      <c r="A1850" s="9">
        <v>46245</v>
      </c>
      <c r="B1850" t="s">
        <v>348</v>
      </c>
      <c r="C1850" t="s">
        <v>349</v>
      </c>
      <c r="D1850" t="s">
        <v>36</v>
      </c>
      <c r="E1850" t="s">
        <v>651</v>
      </c>
      <c r="F1850" t="s">
        <v>652</v>
      </c>
      <c r="G1850" s="10">
        <v>8</v>
      </c>
      <c r="H1850" s="10">
        <v>9658</v>
      </c>
      <c r="I1850" s="10">
        <v>77264</v>
      </c>
      <c r="J1850" t="s">
        <v>37</v>
      </c>
      <c r="K1850" s="11">
        <v>648.20000000000005</v>
      </c>
      <c r="L1850" s="12">
        <v>119.2</v>
      </c>
    </row>
    <row r="1851" spans="1:12" x14ac:dyDescent="0.2">
      <c r="A1851" s="9">
        <v>46245</v>
      </c>
      <c r="B1851" t="s">
        <v>348</v>
      </c>
      <c r="C1851" t="s">
        <v>349</v>
      </c>
      <c r="D1851" t="s">
        <v>36</v>
      </c>
      <c r="E1851" t="s">
        <v>655</v>
      </c>
      <c r="F1851" t="s">
        <v>665</v>
      </c>
      <c r="G1851" s="10">
        <v>19</v>
      </c>
      <c r="H1851" s="10">
        <v>667</v>
      </c>
      <c r="I1851" s="10">
        <v>12673</v>
      </c>
      <c r="J1851" t="s">
        <v>37</v>
      </c>
      <c r="K1851" s="11">
        <v>648.20000000000005</v>
      </c>
      <c r="L1851" s="12">
        <v>19.55</v>
      </c>
    </row>
    <row r="1852" spans="1:12" x14ac:dyDescent="0.2">
      <c r="A1852" s="9">
        <v>46245</v>
      </c>
      <c r="B1852" t="s">
        <v>351</v>
      </c>
      <c r="C1852" t="s">
        <v>352</v>
      </c>
      <c r="D1852" t="s">
        <v>41</v>
      </c>
      <c r="E1852" t="s">
        <v>649</v>
      </c>
      <c r="F1852" t="s">
        <v>663</v>
      </c>
      <c r="G1852" s="10">
        <v>6</v>
      </c>
      <c r="H1852" s="10">
        <v>9660</v>
      </c>
      <c r="I1852" s="10">
        <v>57960</v>
      </c>
      <c r="J1852" t="s">
        <v>42</v>
      </c>
      <c r="K1852" s="11">
        <v>3145.8</v>
      </c>
      <c r="L1852" s="12">
        <v>18.420000000000002</v>
      </c>
    </row>
    <row r="1853" spans="1:12" x14ac:dyDescent="0.2">
      <c r="A1853" s="9">
        <v>46245</v>
      </c>
      <c r="B1853" t="s">
        <v>351</v>
      </c>
      <c r="C1853" t="s">
        <v>352</v>
      </c>
      <c r="D1853" t="s">
        <v>41</v>
      </c>
      <c r="E1853" t="s">
        <v>655</v>
      </c>
      <c r="F1853" t="s">
        <v>662</v>
      </c>
      <c r="G1853" s="10">
        <v>28</v>
      </c>
      <c r="H1853" s="10">
        <v>5439</v>
      </c>
      <c r="I1853" s="10">
        <v>152292</v>
      </c>
      <c r="J1853" t="s">
        <v>42</v>
      </c>
      <c r="K1853" s="11">
        <v>3145.8</v>
      </c>
      <c r="L1853" s="12">
        <v>48.41</v>
      </c>
    </row>
    <row r="1854" spans="1:12" x14ac:dyDescent="0.2">
      <c r="A1854" s="9">
        <v>46245</v>
      </c>
      <c r="B1854" t="s">
        <v>351</v>
      </c>
      <c r="C1854" t="s">
        <v>352</v>
      </c>
      <c r="D1854" t="s">
        <v>41</v>
      </c>
      <c r="E1854" t="s">
        <v>660</v>
      </c>
      <c r="F1854" t="s">
        <v>669</v>
      </c>
      <c r="G1854" s="10">
        <v>3</v>
      </c>
      <c r="H1854" s="10">
        <v>12270</v>
      </c>
      <c r="I1854" s="10">
        <v>36810</v>
      </c>
      <c r="J1854" t="s">
        <v>42</v>
      </c>
      <c r="K1854" s="11">
        <v>3145.8</v>
      </c>
      <c r="L1854" s="12">
        <v>11.7</v>
      </c>
    </row>
    <row r="1855" spans="1:12" x14ac:dyDescent="0.2">
      <c r="A1855" s="9">
        <v>46245</v>
      </c>
      <c r="B1855" t="s">
        <v>351</v>
      </c>
      <c r="C1855" t="s">
        <v>352</v>
      </c>
      <c r="D1855" t="s">
        <v>41</v>
      </c>
      <c r="E1855" t="s">
        <v>647</v>
      </c>
      <c r="F1855" t="s">
        <v>648</v>
      </c>
      <c r="G1855" s="10">
        <v>1</v>
      </c>
      <c r="H1855" s="10">
        <v>81522</v>
      </c>
      <c r="I1855" s="10">
        <v>81522</v>
      </c>
      <c r="J1855" t="s">
        <v>42</v>
      </c>
      <c r="K1855" s="11">
        <v>3145.8</v>
      </c>
      <c r="L1855" s="12">
        <v>25.91</v>
      </c>
    </row>
    <row r="1856" spans="1:12" x14ac:dyDescent="0.2">
      <c r="A1856" s="9">
        <v>46245</v>
      </c>
      <c r="B1856" t="s">
        <v>357</v>
      </c>
      <c r="C1856" t="s">
        <v>358</v>
      </c>
      <c r="D1856" t="s">
        <v>36</v>
      </c>
      <c r="E1856" t="s">
        <v>653</v>
      </c>
      <c r="F1856" t="s">
        <v>658</v>
      </c>
      <c r="G1856" s="10">
        <v>29</v>
      </c>
      <c r="H1856" s="10">
        <v>2662</v>
      </c>
      <c r="I1856" s="10">
        <v>77198</v>
      </c>
      <c r="J1856" t="s">
        <v>37</v>
      </c>
      <c r="K1856" s="11">
        <v>648.20000000000005</v>
      </c>
      <c r="L1856" s="12">
        <v>119.1</v>
      </c>
    </row>
    <row r="1857" spans="1:12" x14ac:dyDescent="0.2">
      <c r="A1857" s="9">
        <v>46245</v>
      </c>
      <c r="B1857" t="s">
        <v>357</v>
      </c>
      <c r="C1857" t="s">
        <v>358</v>
      </c>
      <c r="D1857" t="s">
        <v>36</v>
      </c>
      <c r="E1857" t="s">
        <v>651</v>
      </c>
      <c r="F1857" t="s">
        <v>652</v>
      </c>
      <c r="G1857" s="10">
        <v>24</v>
      </c>
      <c r="H1857" s="10">
        <v>9460</v>
      </c>
      <c r="I1857" s="10">
        <v>227040</v>
      </c>
      <c r="J1857" t="s">
        <v>37</v>
      </c>
      <c r="K1857" s="11">
        <v>648.20000000000005</v>
      </c>
      <c r="L1857" s="12">
        <v>350.26</v>
      </c>
    </row>
    <row r="1858" spans="1:12" x14ac:dyDescent="0.2">
      <c r="A1858" s="9">
        <v>46245</v>
      </c>
      <c r="B1858" t="s">
        <v>357</v>
      </c>
      <c r="C1858" t="s">
        <v>358</v>
      </c>
      <c r="D1858" t="s">
        <v>36</v>
      </c>
      <c r="E1858" t="s">
        <v>649</v>
      </c>
      <c r="F1858" t="s">
        <v>659</v>
      </c>
      <c r="G1858" s="10">
        <v>133</v>
      </c>
      <c r="H1858" s="10">
        <v>9069</v>
      </c>
      <c r="I1858" s="10">
        <v>1206177</v>
      </c>
      <c r="J1858" t="s">
        <v>37</v>
      </c>
      <c r="K1858" s="11">
        <v>648.20000000000005</v>
      </c>
      <c r="L1858" s="12">
        <v>1860.81</v>
      </c>
    </row>
    <row r="1859" spans="1:12" x14ac:dyDescent="0.2">
      <c r="A1859" s="9">
        <v>46245</v>
      </c>
      <c r="B1859" t="s">
        <v>357</v>
      </c>
      <c r="C1859" t="s">
        <v>358</v>
      </c>
      <c r="D1859" t="s">
        <v>36</v>
      </c>
      <c r="E1859" t="s">
        <v>660</v>
      </c>
      <c r="F1859" t="s">
        <v>661</v>
      </c>
      <c r="G1859" s="10">
        <v>35</v>
      </c>
      <c r="H1859" s="10">
        <v>4226</v>
      </c>
      <c r="I1859" s="10">
        <v>147910</v>
      </c>
      <c r="J1859" t="s">
        <v>37</v>
      </c>
      <c r="K1859" s="11">
        <v>648.20000000000005</v>
      </c>
      <c r="L1859" s="12">
        <v>228.19</v>
      </c>
    </row>
    <row r="1860" spans="1:12" x14ac:dyDescent="0.2">
      <c r="A1860" s="9">
        <v>46245</v>
      </c>
      <c r="B1860" t="s">
        <v>363</v>
      </c>
      <c r="C1860" t="s">
        <v>364</v>
      </c>
      <c r="D1860" t="s">
        <v>46</v>
      </c>
      <c r="E1860" t="s">
        <v>649</v>
      </c>
      <c r="F1860" t="s">
        <v>650</v>
      </c>
      <c r="G1860" s="10">
        <v>25</v>
      </c>
      <c r="H1860" s="10">
        <v>19522</v>
      </c>
      <c r="I1860" s="10">
        <v>488050</v>
      </c>
      <c r="J1860" t="s">
        <v>37</v>
      </c>
      <c r="K1860" s="11">
        <v>648.20000000000005</v>
      </c>
      <c r="L1860" s="12">
        <v>752.93</v>
      </c>
    </row>
    <row r="1861" spans="1:12" x14ac:dyDescent="0.2">
      <c r="A1861" s="9">
        <v>46245</v>
      </c>
      <c r="B1861" t="s">
        <v>363</v>
      </c>
      <c r="C1861" t="s">
        <v>364</v>
      </c>
      <c r="D1861" t="s">
        <v>46</v>
      </c>
      <c r="E1861" t="s">
        <v>660</v>
      </c>
      <c r="F1861" t="s">
        <v>669</v>
      </c>
      <c r="G1861" s="10">
        <v>25</v>
      </c>
      <c r="H1861" s="10">
        <v>2600</v>
      </c>
      <c r="I1861" s="10">
        <v>65000</v>
      </c>
      <c r="J1861" t="s">
        <v>37</v>
      </c>
      <c r="K1861" s="11">
        <v>648.20000000000005</v>
      </c>
      <c r="L1861" s="12">
        <v>100.28</v>
      </c>
    </row>
    <row r="1862" spans="1:12" x14ac:dyDescent="0.2">
      <c r="A1862" s="9">
        <v>46245</v>
      </c>
      <c r="B1862" t="s">
        <v>363</v>
      </c>
      <c r="C1862" t="s">
        <v>364</v>
      </c>
      <c r="D1862" t="s">
        <v>46</v>
      </c>
      <c r="E1862" t="s">
        <v>647</v>
      </c>
      <c r="F1862" t="s">
        <v>668</v>
      </c>
      <c r="G1862" s="10">
        <v>61</v>
      </c>
      <c r="H1862" s="10">
        <v>24686</v>
      </c>
      <c r="I1862" s="10">
        <v>1505846</v>
      </c>
      <c r="J1862" t="s">
        <v>37</v>
      </c>
      <c r="K1862" s="11">
        <v>648.20000000000005</v>
      </c>
      <c r="L1862" s="12">
        <v>2323.12</v>
      </c>
    </row>
    <row r="1863" spans="1:12" x14ac:dyDescent="0.2">
      <c r="A1863" s="9">
        <v>46245</v>
      </c>
      <c r="B1863" t="s">
        <v>366</v>
      </c>
      <c r="C1863" t="s">
        <v>367</v>
      </c>
      <c r="D1863" t="s">
        <v>41</v>
      </c>
      <c r="E1863" t="s">
        <v>660</v>
      </c>
      <c r="F1863" t="s">
        <v>669</v>
      </c>
      <c r="G1863" s="10">
        <v>14</v>
      </c>
      <c r="H1863" s="10">
        <v>12809</v>
      </c>
      <c r="I1863" s="10">
        <v>179326</v>
      </c>
      <c r="J1863" t="s">
        <v>42</v>
      </c>
      <c r="K1863" s="11">
        <v>3145.8</v>
      </c>
      <c r="L1863" s="12">
        <v>57</v>
      </c>
    </row>
    <row r="1864" spans="1:12" x14ac:dyDescent="0.2">
      <c r="A1864" s="9">
        <v>46245</v>
      </c>
      <c r="B1864" t="s">
        <v>375</v>
      </c>
      <c r="C1864" t="s">
        <v>376</v>
      </c>
      <c r="D1864" t="s">
        <v>36</v>
      </c>
      <c r="E1864" t="s">
        <v>647</v>
      </c>
      <c r="F1864" t="s">
        <v>668</v>
      </c>
      <c r="G1864" s="10">
        <v>5</v>
      </c>
      <c r="H1864" s="10">
        <v>24346</v>
      </c>
      <c r="I1864" s="10">
        <v>121730</v>
      </c>
      <c r="J1864" t="s">
        <v>37</v>
      </c>
      <c r="K1864" s="11">
        <v>648.20000000000005</v>
      </c>
      <c r="L1864" s="12">
        <v>187.8</v>
      </c>
    </row>
    <row r="1865" spans="1:12" x14ac:dyDescent="0.2">
      <c r="A1865" s="9">
        <v>46245</v>
      </c>
      <c r="B1865" t="s">
        <v>378</v>
      </c>
      <c r="C1865" t="s">
        <v>379</v>
      </c>
      <c r="D1865" t="s">
        <v>50</v>
      </c>
      <c r="E1865" t="s">
        <v>651</v>
      </c>
      <c r="F1865" t="s">
        <v>664</v>
      </c>
      <c r="G1865" s="10">
        <v>4</v>
      </c>
      <c r="H1865" s="10">
        <v>11595</v>
      </c>
      <c r="I1865" s="10">
        <v>46380</v>
      </c>
      <c r="J1865" t="s">
        <v>51</v>
      </c>
      <c r="K1865" s="11">
        <v>648.20000000000005</v>
      </c>
      <c r="L1865" s="12">
        <v>71.55</v>
      </c>
    </row>
    <row r="1866" spans="1:12" x14ac:dyDescent="0.2">
      <c r="A1866" s="9">
        <v>46245</v>
      </c>
      <c r="B1866" t="s">
        <v>381</v>
      </c>
      <c r="C1866" t="s">
        <v>382</v>
      </c>
      <c r="D1866" t="s">
        <v>36</v>
      </c>
      <c r="E1866" t="s">
        <v>649</v>
      </c>
      <c r="F1866" t="s">
        <v>650</v>
      </c>
      <c r="G1866" s="10">
        <v>7</v>
      </c>
      <c r="H1866" s="10">
        <v>19286</v>
      </c>
      <c r="I1866" s="10">
        <v>135002</v>
      </c>
      <c r="J1866" t="s">
        <v>37</v>
      </c>
      <c r="K1866" s="11">
        <v>648.20000000000005</v>
      </c>
      <c r="L1866" s="12">
        <v>208.27</v>
      </c>
    </row>
    <row r="1867" spans="1:12" x14ac:dyDescent="0.2">
      <c r="A1867" s="9">
        <v>46245</v>
      </c>
      <c r="B1867" t="s">
        <v>381</v>
      </c>
      <c r="C1867" t="s">
        <v>382</v>
      </c>
      <c r="D1867" t="s">
        <v>36</v>
      </c>
      <c r="E1867" t="s">
        <v>653</v>
      </c>
      <c r="F1867" t="s">
        <v>654</v>
      </c>
      <c r="G1867" s="10">
        <v>1</v>
      </c>
      <c r="H1867" s="10">
        <v>5474</v>
      </c>
      <c r="I1867" s="10">
        <v>5474</v>
      </c>
      <c r="J1867" t="s">
        <v>37</v>
      </c>
      <c r="K1867" s="11">
        <v>648.20000000000005</v>
      </c>
      <c r="L1867" s="12">
        <v>8.44</v>
      </c>
    </row>
    <row r="1868" spans="1:12" x14ac:dyDescent="0.2">
      <c r="A1868" s="9">
        <v>46245</v>
      </c>
      <c r="B1868" t="s">
        <v>381</v>
      </c>
      <c r="C1868" t="s">
        <v>382</v>
      </c>
      <c r="D1868" t="s">
        <v>36</v>
      </c>
      <c r="E1868" t="s">
        <v>647</v>
      </c>
      <c r="F1868" t="s">
        <v>648</v>
      </c>
      <c r="G1868" s="10">
        <v>8</v>
      </c>
      <c r="H1868" s="10">
        <v>16461</v>
      </c>
      <c r="I1868" s="10">
        <v>131688</v>
      </c>
      <c r="J1868" t="s">
        <v>37</v>
      </c>
      <c r="K1868" s="11">
        <v>648.20000000000005</v>
      </c>
      <c r="L1868" s="12">
        <v>203.16</v>
      </c>
    </row>
    <row r="1869" spans="1:12" x14ac:dyDescent="0.2">
      <c r="A1869" s="9">
        <v>46245</v>
      </c>
      <c r="B1869" t="s">
        <v>384</v>
      </c>
      <c r="C1869" t="s">
        <v>385</v>
      </c>
      <c r="D1869" t="s">
        <v>46</v>
      </c>
      <c r="E1869" t="s">
        <v>660</v>
      </c>
      <c r="F1869" t="s">
        <v>661</v>
      </c>
      <c r="G1869" s="10">
        <v>7</v>
      </c>
      <c r="H1869" s="10">
        <v>4115</v>
      </c>
      <c r="I1869" s="10">
        <v>28805</v>
      </c>
      <c r="J1869" t="s">
        <v>37</v>
      </c>
      <c r="K1869" s="11">
        <v>648.20000000000005</v>
      </c>
      <c r="L1869" s="12">
        <v>44.44</v>
      </c>
    </row>
    <row r="1870" spans="1:12" x14ac:dyDescent="0.2">
      <c r="A1870" s="9">
        <v>46245</v>
      </c>
      <c r="B1870" t="s">
        <v>387</v>
      </c>
      <c r="C1870" t="s">
        <v>388</v>
      </c>
      <c r="D1870" t="s">
        <v>50</v>
      </c>
      <c r="E1870" t="s">
        <v>647</v>
      </c>
      <c r="F1870" t="s">
        <v>648</v>
      </c>
      <c r="G1870" s="10">
        <v>8</v>
      </c>
      <c r="H1870" s="10">
        <v>15911</v>
      </c>
      <c r="I1870" s="10">
        <v>127288</v>
      </c>
      <c r="J1870" t="s">
        <v>51</v>
      </c>
      <c r="K1870" s="11">
        <v>648.20000000000005</v>
      </c>
      <c r="L1870" s="12">
        <v>196.37</v>
      </c>
    </row>
    <row r="1871" spans="1:12" x14ac:dyDescent="0.2">
      <c r="A1871" s="9">
        <v>46245</v>
      </c>
      <c r="B1871" t="s">
        <v>393</v>
      </c>
      <c r="C1871" t="s">
        <v>307</v>
      </c>
      <c r="D1871" t="s">
        <v>68</v>
      </c>
      <c r="E1871" t="s">
        <v>649</v>
      </c>
      <c r="F1871" t="s">
        <v>659</v>
      </c>
      <c r="G1871" s="10">
        <v>47</v>
      </c>
      <c r="H1871" s="10">
        <v>9185</v>
      </c>
      <c r="I1871" s="10">
        <v>431695</v>
      </c>
      <c r="J1871" t="s">
        <v>51</v>
      </c>
      <c r="K1871" s="11">
        <v>648.20000000000005</v>
      </c>
      <c r="L1871" s="12">
        <v>665.99</v>
      </c>
    </row>
    <row r="1872" spans="1:12" x14ac:dyDescent="0.2">
      <c r="A1872" s="9">
        <v>46245</v>
      </c>
      <c r="B1872" t="s">
        <v>393</v>
      </c>
      <c r="C1872" t="s">
        <v>307</v>
      </c>
      <c r="D1872" t="s">
        <v>68</v>
      </c>
      <c r="E1872" t="s">
        <v>660</v>
      </c>
      <c r="F1872" t="s">
        <v>661</v>
      </c>
      <c r="G1872" s="10">
        <v>21</v>
      </c>
      <c r="H1872" s="10">
        <v>4084</v>
      </c>
      <c r="I1872" s="10">
        <v>85764</v>
      </c>
      <c r="J1872" t="s">
        <v>51</v>
      </c>
      <c r="K1872" s="11">
        <v>648.20000000000005</v>
      </c>
      <c r="L1872" s="12">
        <v>132.31</v>
      </c>
    </row>
    <row r="1873" spans="1:12" x14ac:dyDescent="0.2">
      <c r="A1873" s="9">
        <v>46245</v>
      </c>
      <c r="B1873" t="s">
        <v>398</v>
      </c>
      <c r="C1873" t="s">
        <v>399</v>
      </c>
      <c r="D1873" t="s">
        <v>46</v>
      </c>
      <c r="E1873" t="s">
        <v>649</v>
      </c>
      <c r="F1873" t="s">
        <v>650</v>
      </c>
      <c r="G1873" s="10">
        <v>42</v>
      </c>
      <c r="H1873" s="10">
        <v>19454</v>
      </c>
      <c r="I1873" s="10">
        <v>817068</v>
      </c>
      <c r="J1873" t="s">
        <v>37</v>
      </c>
      <c r="K1873" s="11">
        <v>648.20000000000005</v>
      </c>
      <c r="L1873" s="12">
        <v>1260.52</v>
      </c>
    </row>
    <row r="1874" spans="1:12" x14ac:dyDescent="0.2">
      <c r="A1874" s="9">
        <v>46245</v>
      </c>
      <c r="B1874" t="s">
        <v>398</v>
      </c>
      <c r="C1874" t="s">
        <v>399</v>
      </c>
      <c r="D1874" t="s">
        <v>46</v>
      </c>
      <c r="E1874" t="s">
        <v>655</v>
      </c>
      <c r="F1874" t="s">
        <v>662</v>
      </c>
      <c r="G1874" s="10">
        <v>28</v>
      </c>
      <c r="H1874" s="10">
        <v>1124</v>
      </c>
      <c r="I1874" s="10">
        <v>31472</v>
      </c>
      <c r="J1874" t="s">
        <v>37</v>
      </c>
      <c r="K1874" s="11">
        <v>648.20000000000005</v>
      </c>
      <c r="L1874" s="12">
        <v>48.55</v>
      </c>
    </row>
    <row r="1875" spans="1:12" x14ac:dyDescent="0.2">
      <c r="A1875" s="9">
        <v>46245</v>
      </c>
      <c r="B1875" t="s">
        <v>398</v>
      </c>
      <c r="C1875" t="s">
        <v>399</v>
      </c>
      <c r="D1875" t="s">
        <v>46</v>
      </c>
      <c r="E1875" t="s">
        <v>647</v>
      </c>
      <c r="F1875" t="s">
        <v>648</v>
      </c>
      <c r="G1875" s="10">
        <v>17</v>
      </c>
      <c r="H1875" s="10">
        <v>16765</v>
      </c>
      <c r="I1875" s="10">
        <v>285005</v>
      </c>
      <c r="J1875" t="s">
        <v>37</v>
      </c>
      <c r="K1875" s="11">
        <v>648.20000000000005</v>
      </c>
      <c r="L1875" s="12">
        <v>439.69</v>
      </c>
    </row>
    <row r="1876" spans="1:12" x14ac:dyDescent="0.2">
      <c r="A1876" s="9">
        <v>46245</v>
      </c>
      <c r="B1876" t="s">
        <v>401</v>
      </c>
      <c r="C1876" t="s">
        <v>402</v>
      </c>
      <c r="D1876" t="s">
        <v>36</v>
      </c>
      <c r="E1876" t="s">
        <v>653</v>
      </c>
      <c r="F1876" t="s">
        <v>666</v>
      </c>
      <c r="G1876" s="10">
        <v>7</v>
      </c>
      <c r="H1876" s="10">
        <v>1553</v>
      </c>
      <c r="I1876" s="10">
        <v>10871</v>
      </c>
      <c r="J1876" t="s">
        <v>37</v>
      </c>
      <c r="K1876" s="11">
        <v>648.20000000000005</v>
      </c>
      <c r="L1876" s="12">
        <v>16.77</v>
      </c>
    </row>
    <row r="1877" spans="1:12" x14ac:dyDescent="0.2">
      <c r="A1877" s="9">
        <v>46245</v>
      </c>
      <c r="B1877" t="s">
        <v>401</v>
      </c>
      <c r="C1877" t="s">
        <v>402</v>
      </c>
      <c r="D1877" t="s">
        <v>36</v>
      </c>
      <c r="E1877" t="s">
        <v>647</v>
      </c>
      <c r="F1877" t="s">
        <v>668</v>
      </c>
      <c r="G1877" s="10">
        <v>21</v>
      </c>
      <c r="H1877" s="10">
        <v>24726</v>
      </c>
      <c r="I1877" s="10">
        <v>519246</v>
      </c>
      <c r="J1877" t="s">
        <v>37</v>
      </c>
      <c r="K1877" s="11">
        <v>648.20000000000005</v>
      </c>
      <c r="L1877" s="12">
        <v>801.06</v>
      </c>
    </row>
    <row r="1878" spans="1:12" x14ac:dyDescent="0.2">
      <c r="A1878" s="9">
        <v>46245</v>
      </c>
      <c r="B1878" t="s">
        <v>401</v>
      </c>
      <c r="C1878" t="s">
        <v>402</v>
      </c>
      <c r="D1878" t="s">
        <v>36</v>
      </c>
      <c r="E1878" t="s">
        <v>655</v>
      </c>
      <c r="F1878" t="s">
        <v>665</v>
      </c>
      <c r="G1878" s="10">
        <v>36</v>
      </c>
      <c r="H1878" s="10">
        <v>682</v>
      </c>
      <c r="I1878" s="10">
        <v>24552</v>
      </c>
      <c r="J1878" t="s">
        <v>37</v>
      </c>
      <c r="K1878" s="11">
        <v>648.20000000000005</v>
      </c>
      <c r="L1878" s="12">
        <v>37.880000000000003</v>
      </c>
    </row>
    <row r="1879" spans="1:12" x14ac:dyDescent="0.2">
      <c r="A1879" s="9">
        <v>46245</v>
      </c>
      <c r="B1879" t="s">
        <v>404</v>
      </c>
      <c r="C1879" t="s">
        <v>405</v>
      </c>
      <c r="D1879" t="s">
        <v>46</v>
      </c>
      <c r="E1879" t="s">
        <v>653</v>
      </c>
      <c r="F1879" t="s">
        <v>666</v>
      </c>
      <c r="G1879" s="10">
        <v>16</v>
      </c>
      <c r="H1879" s="10">
        <v>1503</v>
      </c>
      <c r="I1879" s="10">
        <v>24048</v>
      </c>
      <c r="J1879" t="s">
        <v>37</v>
      </c>
      <c r="K1879" s="11">
        <v>648.20000000000005</v>
      </c>
      <c r="L1879" s="12">
        <v>37.1</v>
      </c>
    </row>
    <row r="1880" spans="1:12" x14ac:dyDescent="0.2">
      <c r="A1880" s="9">
        <v>46245</v>
      </c>
      <c r="B1880" t="s">
        <v>410</v>
      </c>
      <c r="C1880" t="s">
        <v>411</v>
      </c>
      <c r="D1880" t="s">
        <v>46</v>
      </c>
      <c r="E1880" t="s">
        <v>647</v>
      </c>
      <c r="F1880" t="s">
        <v>668</v>
      </c>
      <c r="G1880" s="10">
        <v>15</v>
      </c>
      <c r="H1880" s="10">
        <v>25126</v>
      </c>
      <c r="I1880" s="10">
        <v>376890</v>
      </c>
      <c r="J1880" t="s">
        <v>37</v>
      </c>
      <c r="K1880" s="11">
        <v>648.20000000000005</v>
      </c>
      <c r="L1880" s="12">
        <v>581.44000000000005</v>
      </c>
    </row>
    <row r="1881" spans="1:12" x14ac:dyDescent="0.2">
      <c r="A1881" s="9">
        <v>46245</v>
      </c>
      <c r="B1881" t="s">
        <v>410</v>
      </c>
      <c r="C1881" t="s">
        <v>411</v>
      </c>
      <c r="D1881" t="s">
        <v>46</v>
      </c>
      <c r="E1881" t="s">
        <v>647</v>
      </c>
      <c r="F1881" t="s">
        <v>648</v>
      </c>
      <c r="G1881" s="10">
        <v>9</v>
      </c>
      <c r="H1881" s="10">
        <v>16405</v>
      </c>
      <c r="I1881" s="10">
        <v>147645</v>
      </c>
      <c r="J1881" t="s">
        <v>37</v>
      </c>
      <c r="K1881" s="11">
        <v>648.20000000000005</v>
      </c>
      <c r="L1881" s="12">
        <v>227.78</v>
      </c>
    </row>
    <row r="1882" spans="1:12" x14ac:dyDescent="0.2">
      <c r="A1882" s="9">
        <v>46245</v>
      </c>
      <c r="B1882" t="s">
        <v>416</v>
      </c>
      <c r="C1882" t="s">
        <v>417</v>
      </c>
      <c r="D1882" t="s">
        <v>36</v>
      </c>
      <c r="E1882" t="s">
        <v>653</v>
      </c>
      <c r="F1882" t="s">
        <v>654</v>
      </c>
      <c r="G1882" s="10">
        <v>16</v>
      </c>
      <c r="H1882" s="10">
        <v>5805</v>
      </c>
      <c r="I1882" s="10">
        <v>92880</v>
      </c>
      <c r="J1882" t="s">
        <v>37</v>
      </c>
      <c r="K1882" s="11">
        <v>648.20000000000005</v>
      </c>
      <c r="L1882" s="12">
        <v>143.29</v>
      </c>
    </row>
    <row r="1883" spans="1:12" x14ac:dyDescent="0.2">
      <c r="A1883" s="9">
        <v>46245</v>
      </c>
      <c r="B1883" t="s">
        <v>416</v>
      </c>
      <c r="C1883" t="s">
        <v>417</v>
      </c>
      <c r="D1883" t="s">
        <v>36</v>
      </c>
      <c r="E1883" t="s">
        <v>647</v>
      </c>
      <c r="F1883" t="s">
        <v>668</v>
      </c>
      <c r="G1883" s="10">
        <v>2</v>
      </c>
      <c r="H1883" s="10">
        <v>24577</v>
      </c>
      <c r="I1883" s="10">
        <v>49154</v>
      </c>
      <c r="J1883" t="s">
        <v>37</v>
      </c>
      <c r="K1883" s="11">
        <v>648.20000000000005</v>
      </c>
      <c r="L1883" s="12">
        <v>75.83</v>
      </c>
    </row>
    <row r="1884" spans="1:12" x14ac:dyDescent="0.2">
      <c r="A1884" s="9">
        <v>46245</v>
      </c>
      <c r="B1884" t="s">
        <v>419</v>
      </c>
      <c r="C1884" t="s">
        <v>420</v>
      </c>
      <c r="D1884" t="s">
        <v>46</v>
      </c>
      <c r="E1884" t="s">
        <v>649</v>
      </c>
      <c r="F1884" t="s">
        <v>659</v>
      </c>
      <c r="G1884" s="10">
        <v>11</v>
      </c>
      <c r="H1884" s="10">
        <v>8937</v>
      </c>
      <c r="I1884" s="10">
        <v>98307</v>
      </c>
      <c r="J1884" t="s">
        <v>37</v>
      </c>
      <c r="K1884" s="11">
        <v>648.20000000000005</v>
      </c>
      <c r="L1884" s="12">
        <v>151.66</v>
      </c>
    </row>
    <row r="1885" spans="1:12" x14ac:dyDescent="0.2">
      <c r="A1885" s="9">
        <v>46245</v>
      </c>
      <c r="B1885" t="s">
        <v>419</v>
      </c>
      <c r="C1885" t="s">
        <v>420</v>
      </c>
      <c r="D1885" t="s">
        <v>46</v>
      </c>
      <c r="E1885" t="s">
        <v>660</v>
      </c>
      <c r="F1885" t="s">
        <v>669</v>
      </c>
      <c r="G1885" s="10">
        <v>24</v>
      </c>
      <c r="H1885" s="10">
        <v>2687</v>
      </c>
      <c r="I1885" s="10">
        <v>64488</v>
      </c>
      <c r="J1885" t="s">
        <v>37</v>
      </c>
      <c r="K1885" s="11">
        <v>648.20000000000005</v>
      </c>
      <c r="L1885" s="12">
        <v>99.49</v>
      </c>
    </row>
    <row r="1886" spans="1:12" x14ac:dyDescent="0.2">
      <c r="A1886" s="9">
        <v>46245</v>
      </c>
      <c r="B1886" t="s">
        <v>419</v>
      </c>
      <c r="C1886" t="s">
        <v>420</v>
      </c>
      <c r="D1886" t="s">
        <v>46</v>
      </c>
      <c r="E1886" t="s">
        <v>647</v>
      </c>
      <c r="F1886" t="s">
        <v>648</v>
      </c>
      <c r="G1886" s="10">
        <v>25</v>
      </c>
      <c r="H1886" s="10">
        <v>15642</v>
      </c>
      <c r="I1886" s="10">
        <v>391050</v>
      </c>
      <c r="J1886" t="s">
        <v>37</v>
      </c>
      <c r="K1886" s="11">
        <v>648.20000000000005</v>
      </c>
      <c r="L1886" s="12">
        <v>603.29</v>
      </c>
    </row>
    <row r="1887" spans="1:12" x14ac:dyDescent="0.2">
      <c r="A1887" s="9">
        <v>46245</v>
      </c>
      <c r="B1887" t="s">
        <v>419</v>
      </c>
      <c r="C1887" t="s">
        <v>420</v>
      </c>
      <c r="D1887" t="s">
        <v>46</v>
      </c>
      <c r="E1887" t="s">
        <v>647</v>
      </c>
      <c r="F1887" t="s">
        <v>667</v>
      </c>
      <c r="G1887" s="10">
        <v>3</v>
      </c>
      <c r="H1887" s="10">
        <v>7069</v>
      </c>
      <c r="I1887" s="10">
        <v>21207</v>
      </c>
      <c r="J1887" t="s">
        <v>37</v>
      </c>
      <c r="K1887" s="11">
        <v>648.20000000000005</v>
      </c>
      <c r="L1887" s="12">
        <v>32.72</v>
      </c>
    </row>
    <row r="1888" spans="1:12" x14ac:dyDescent="0.2">
      <c r="A1888" s="9">
        <v>46245</v>
      </c>
      <c r="B1888" t="s">
        <v>419</v>
      </c>
      <c r="C1888" t="s">
        <v>420</v>
      </c>
      <c r="D1888" t="s">
        <v>46</v>
      </c>
      <c r="E1888" t="s">
        <v>655</v>
      </c>
      <c r="F1888" t="s">
        <v>665</v>
      </c>
      <c r="G1888" s="10">
        <v>45</v>
      </c>
      <c r="H1888" s="10">
        <v>688</v>
      </c>
      <c r="I1888" s="10">
        <v>30960</v>
      </c>
      <c r="J1888" t="s">
        <v>37</v>
      </c>
      <c r="K1888" s="11">
        <v>648.20000000000005</v>
      </c>
      <c r="L1888" s="12">
        <v>47.76</v>
      </c>
    </row>
    <row r="1889" spans="1:12" x14ac:dyDescent="0.2">
      <c r="A1889" s="9">
        <v>46245</v>
      </c>
      <c r="B1889" t="s">
        <v>422</v>
      </c>
      <c r="C1889" t="s">
        <v>423</v>
      </c>
      <c r="D1889" t="s">
        <v>68</v>
      </c>
      <c r="E1889" t="s">
        <v>660</v>
      </c>
      <c r="F1889" t="s">
        <v>669</v>
      </c>
      <c r="G1889" s="10">
        <v>4</v>
      </c>
      <c r="H1889" s="10">
        <v>2552</v>
      </c>
      <c r="I1889" s="10">
        <v>10208</v>
      </c>
      <c r="J1889" t="s">
        <v>51</v>
      </c>
      <c r="K1889" s="11">
        <v>648.20000000000005</v>
      </c>
      <c r="L1889" s="12">
        <v>15.75</v>
      </c>
    </row>
    <row r="1890" spans="1:12" x14ac:dyDescent="0.2">
      <c r="A1890" s="9">
        <v>46245</v>
      </c>
      <c r="B1890" t="s">
        <v>422</v>
      </c>
      <c r="C1890" t="s">
        <v>423</v>
      </c>
      <c r="D1890" t="s">
        <v>68</v>
      </c>
      <c r="E1890" t="s">
        <v>647</v>
      </c>
      <c r="F1890" t="s">
        <v>667</v>
      </c>
      <c r="G1890" s="10">
        <v>52</v>
      </c>
      <c r="H1890" s="10">
        <v>7334</v>
      </c>
      <c r="I1890" s="10">
        <v>381368</v>
      </c>
      <c r="J1890" t="s">
        <v>51</v>
      </c>
      <c r="K1890" s="11">
        <v>648.20000000000005</v>
      </c>
      <c r="L1890" s="12">
        <v>588.35</v>
      </c>
    </row>
    <row r="1891" spans="1:12" x14ac:dyDescent="0.2">
      <c r="A1891" s="9">
        <v>46245</v>
      </c>
      <c r="B1891" t="s">
        <v>425</v>
      </c>
      <c r="C1891" t="s">
        <v>426</v>
      </c>
      <c r="D1891" t="s">
        <v>50</v>
      </c>
      <c r="E1891" t="s">
        <v>660</v>
      </c>
      <c r="F1891" t="s">
        <v>661</v>
      </c>
      <c r="G1891" s="10">
        <v>5</v>
      </c>
      <c r="H1891" s="10">
        <v>4050</v>
      </c>
      <c r="I1891" s="10">
        <v>20250</v>
      </c>
      <c r="J1891" t="s">
        <v>51</v>
      </c>
      <c r="K1891" s="11">
        <v>648.20000000000005</v>
      </c>
      <c r="L1891" s="12">
        <v>31.24</v>
      </c>
    </row>
    <row r="1892" spans="1:12" x14ac:dyDescent="0.2">
      <c r="A1892" s="9">
        <v>46245</v>
      </c>
      <c r="B1892" t="s">
        <v>425</v>
      </c>
      <c r="C1892" t="s">
        <v>426</v>
      </c>
      <c r="D1892" t="s">
        <v>50</v>
      </c>
      <c r="E1892" t="s">
        <v>647</v>
      </c>
      <c r="F1892" t="s">
        <v>667</v>
      </c>
      <c r="G1892" s="10">
        <v>2</v>
      </c>
      <c r="H1892" s="10">
        <v>7451</v>
      </c>
      <c r="I1892" s="10">
        <v>14902</v>
      </c>
      <c r="J1892" t="s">
        <v>51</v>
      </c>
      <c r="K1892" s="11">
        <v>648.20000000000005</v>
      </c>
      <c r="L1892" s="12">
        <v>22.99</v>
      </c>
    </row>
    <row r="1893" spans="1:12" x14ac:dyDescent="0.2">
      <c r="A1893" s="9">
        <v>46245</v>
      </c>
      <c r="B1893" t="s">
        <v>431</v>
      </c>
      <c r="C1893" t="s">
        <v>432</v>
      </c>
      <c r="D1893" t="s">
        <v>36</v>
      </c>
      <c r="E1893" t="s">
        <v>655</v>
      </c>
      <c r="F1893" t="s">
        <v>665</v>
      </c>
      <c r="G1893" s="10">
        <v>2</v>
      </c>
      <c r="H1893" s="10">
        <v>704</v>
      </c>
      <c r="I1893" s="10">
        <v>1408</v>
      </c>
      <c r="J1893" t="s">
        <v>37</v>
      </c>
      <c r="K1893" s="11">
        <v>648.20000000000005</v>
      </c>
      <c r="L1893" s="12">
        <v>2.17</v>
      </c>
    </row>
    <row r="1894" spans="1:12" x14ac:dyDescent="0.2">
      <c r="A1894" s="9">
        <v>46245</v>
      </c>
      <c r="B1894" t="s">
        <v>434</v>
      </c>
      <c r="C1894" t="s">
        <v>176</v>
      </c>
      <c r="D1894" t="s">
        <v>46</v>
      </c>
      <c r="E1894" t="s">
        <v>649</v>
      </c>
      <c r="F1894" t="s">
        <v>659</v>
      </c>
      <c r="G1894" s="10">
        <v>12</v>
      </c>
      <c r="H1894" s="10">
        <v>8562</v>
      </c>
      <c r="I1894" s="10">
        <v>102744</v>
      </c>
      <c r="J1894" t="s">
        <v>37</v>
      </c>
      <c r="K1894" s="11">
        <v>648.20000000000005</v>
      </c>
      <c r="L1894" s="12">
        <v>158.51</v>
      </c>
    </row>
    <row r="1895" spans="1:12" x14ac:dyDescent="0.2">
      <c r="A1895" s="9">
        <v>46245</v>
      </c>
      <c r="B1895" t="s">
        <v>436</v>
      </c>
      <c r="C1895" t="s">
        <v>437</v>
      </c>
      <c r="D1895" t="s">
        <v>50</v>
      </c>
      <c r="E1895" t="s">
        <v>647</v>
      </c>
      <c r="F1895" t="s">
        <v>668</v>
      </c>
      <c r="G1895" s="10">
        <v>5</v>
      </c>
      <c r="H1895" s="10">
        <v>25466</v>
      </c>
      <c r="I1895" s="10">
        <v>127330</v>
      </c>
      <c r="J1895" t="s">
        <v>51</v>
      </c>
      <c r="K1895" s="11">
        <v>648.20000000000005</v>
      </c>
      <c r="L1895" s="12">
        <v>196.44</v>
      </c>
    </row>
    <row r="1896" spans="1:12" x14ac:dyDescent="0.2">
      <c r="A1896" s="9">
        <v>46245</v>
      </c>
      <c r="B1896" t="s">
        <v>451</v>
      </c>
      <c r="C1896" t="s">
        <v>452</v>
      </c>
      <c r="D1896" t="s">
        <v>68</v>
      </c>
      <c r="E1896" t="s">
        <v>655</v>
      </c>
      <c r="F1896" t="s">
        <v>662</v>
      </c>
      <c r="G1896" s="10">
        <v>5</v>
      </c>
      <c r="H1896" s="10">
        <v>1082</v>
      </c>
      <c r="I1896" s="10">
        <v>5410</v>
      </c>
      <c r="J1896" t="s">
        <v>51</v>
      </c>
      <c r="K1896" s="11">
        <v>648.20000000000005</v>
      </c>
      <c r="L1896" s="12">
        <v>8.35</v>
      </c>
    </row>
    <row r="1897" spans="1:12" x14ac:dyDescent="0.2">
      <c r="A1897" s="9">
        <v>46245</v>
      </c>
      <c r="B1897" t="s">
        <v>451</v>
      </c>
      <c r="C1897" t="s">
        <v>452</v>
      </c>
      <c r="D1897" t="s">
        <v>68</v>
      </c>
      <c r="E1897" t="s">
        <v>647</v>
      </c>
      <c r="F1897" t="s">
        <v>667</v>
      </c>
      <c r="G1897" s="10">
        <v>8</v>
      </c>
      <c r="H1897" s="10">
        <v>7298</v>
      </c>
      <c r="I1897" s="10">
        <v>58384</v>
      </c>
      <c r="J1897" t="s">
        <v>51</v>
      </c>
      <c r="K1897" s="11">
        <v>648.20000000000005</v>
      </c>
      <c r="L1897" s="12">
        <v>90.07</v>
      </c>
    </row>
    <row r="1898" spans="1:12" x14ac:dyDescent="0.2">
      <c r="A1898" s="9">
        <v>46245</v>
      </c>
      <c r="B1898" t="s">
        <v>454</v>
      </c>
      <c r="C1898" t="s">
        <v>455</v>
      </c>
      <c r="D1898" t="s">
        <v>41</v>
      </c>
      <c r="E1898" t="s">
        <v>660</v>
      </c>
      <c r="F1898" t="s">
        <v>661</v>
      </c>
      <c r="G1898" s="10">
        <v>2</v>
      </c>
      <c r="H1898" s="10">
        <v>20870</v>
      </c>
      <c r="I1898" s="10">
        <v>41740</v>
      </c>
      <c r="J1898" t="s">
        <v>42</v>
      </c>
      <c r="K1898" s="11">
        <v>3145.8</v>
      </c>
      <c r="L1898" s="12">
        <v>13.27</v>
      </c>
    </row>
    <row r="1899" spans="1:12" x14ac:dyDescent="0.2">
      <c r="A1899" s="9">
        <v>46245</v>
      </c>
      <c r="B1899" t="s">
        <v>457</v>
      </c>
      <c r="C1899" t="s">
        <v>458</v>
      </c>
      <c r="D1899" t="s">
        <v>46</v>
      </c>
      <c r="E1899" t="s">
        <v>649</v>
      </c>
      <c r="F1899" t="s">
        <v>650</v>
      </c>
      <c r="G1899" s="10">
        <v>20</v>
      </c>
      <c r="H1899" s="10">
        <v>19908</v>
      </c>
      <c r="I1899" s="10">
        <v>398160</v>
      </c>
      <c r="J1899" t="s">
        <v>37</v>
      </c>
      <c r="K1899" s="11">
        <v>648.20000000000005</v>
      </c>
      <c r="L1899" s="12">
        <v>614.25</v>
      </c>
    </row>
    <row r="1900" spans="1:12" x14ac:dyDescent="0.2">
      <c r="A1900" s="9">
        <v>46245</v>
      </c>
      <c r="B1900" t="s">
        <v>457</v>
      </c>
      <c r="C1900" t="s">
        <v>458</v>
      </c>
      <c r="D1900" t="s">
        <v>46</v>
      </c>
      <c r="E1900" t="s">
        <v>647</v>
      </c>
      <c r="F1900" t="s">
        <v>648</v>
      </c>
      <c r="G1900" s="10">
        <v>36</v>
      </c>
      <c r="H1900" s="10">
        <v>16044</v>
      </c>
      <c r="I1900" s="10">
        <v>577584</v>
      </c>
      <c r="J1900" t="s">
        <v>37</v>
      </c>
      <c r="K1900" s="11">
        <v>648.20000000000005</v>
      </c>
      <c r="L1900" s="12">
        <v>891.06</v>
      </c>
    </row>
    <row r="1901" spans="1:12" x14ac:dyDescent="0.2">
      <c r="A1901" s="9">
        <v>46245</v>
      </c>
      <c r="B1901" t="s">
        <v>460</v>
      </c>
      <c r="C1901" t="s">
        <v>461</v>
      </c>
      <c r="D1901" t="s">
        <v>75</v>
      </c>
      <c r="E1901" t="s">
        <v>649</v>
      </c>
      <c r="F1901" t="s">
        <v>663</v>
      </c>
      <c r="G1901" s="10">
        <v>30</v>
      </c>
      <c r="H1901" s="10">
        <v>9820</v>
      </c>
      <c r="I1901" s="10">
        <v>294600</v>
      </c>
      <c r="J1901" t="s">
        <v>42</v>
      </c>
      <c r="K1901" s="11">
        <v>3145.8</v>
      </c>
      <c r="L1901" s="12">
        <v>93.65</v>
      </c>
    </row>
    <row r="1902" spans="1:12" x14ac:dyDescent="0.2">
      <c r="A1902" s="9">
        <v>46245</v>
      </c>
      <c r="B1902" t="s">
        <v>460</v>
      </c>
      <c r="C1902" t="s">
        <v>461</v>
      </c>
      <c r="D1902" t="s">
        <v>75</v>
      </c>
      <c r="E1902" t="s">
        <v>660</v>
      </c>
      <c r="F1902" t="s">
        <v>669</v>
      </c>
      <c r="G1902" s="10">
        <v>41</v>
      </c>
      <c r="H1902" s="10">
        <v>12656</v>
      </c>
      <c r="I1902" s="10">
        <v>518896</v>
      </c>
      <c r="J1902" t="s">
        <v>42</v>
      </c>
      <c r="K1902" s="11">
        <v>3145.8</v>
      </c>
      <c r="L1902" s="12">
        <v>164.95</v>
      </c>
    </row>
    <row r="1903" spans="1:12" x14ac:dyDescent="0.2">
      <c r="A1903" s="9">
        <v>46245</v>
      </c>
      <c r="B1903" t="s">
        <v>460</v>
      </c>
      <c r="C1903" t="s">
        <v>461</v>
      </c>
      <c r="D1903" t="s">
        <v>75</v>
      </c>
      <c r="E1903" t="s">
        <v>647</v>
      </c>
      <c r="F1903" t="s">
        <v>648</v>
      </c>
      <c r="G1903" s="10">
        <v>36</v>
      </c>
      <c r="H1903" s="10">
        <v>76681</v>
      </c>
      <c r="I1903" s="10">
        <v>2760516</v>
      </c>
      <c r="J1903" t="s">
        <v>42</v>
      </c>
      <c r="K1903" s="11">
        <v>3145.8</v>
      </c>
      <c r="L1903" s="12">
        <v>877.52</v>
      </c>
    </row>
    <row r="1904" spans="1:12" x14ac:dyDescent="0.2">
      <c r="A1904" s="9">
        <v>46245</v>
      </c>
      <c r="B1904" t="s">
        <v>460</v>
      </c>
      <c r="C1904" t="s">
        <v>461</v>
      </c>
      <c r="D1904" t="s">
        <v>75</v>
      </c>
      <c r="E1904" t="s">
        <v>647</v>
      </c>
      <c r="F1904" t="s">
        <v>667</v>
      </c>
      <c r="G1904" s="10">
        <v>15</v>
      </c>
      <c r="H1904" s="10">
        <v>36268</v>
      </c>
      <c r="I1904" s="10">
        <v>544020</v>
      </c>
      <c r="J1904" t="s">
        <v>42</v>
      </c>
      <c r="K1904" s="11">
        <v>3145.8</v>
      </c>
      <c r="L1904" s="12">
        <v>172.94</v>
      </c>
    </row>
    <row r="1905" spans="1:12" x14ac:dyDescent="0.2">
      <c r="A1905" s="9">
        <v>46245</v>
      </c>
      <c r="B1905" t="s">
        <v>460</v>
      </c>
      <c r="C1905" t="s">
        <v>461</v>
      </c>
      <c r="D1905" t="s">
        <v>75</v>
      </c>
      <c r="E1905" t="s">
        <v>655</v>
      </c>
      <c r="F1905" t="s">
        <v>665</v>
      </c>
      <c r="G1905" s="10">
        <v>43</v>
      </c>
      <c r="H1905" s="10">
        <v>3284</v>
      </c>
      <c r="I1905" s="10">
        <v>141212</v>
      </c>
      <c r="J1905" t="s">
        <v>42</v>
      </c>
      <c r="K1905" s="11">
        <v>3145.8</v>
      </c>
      <c r="L1905" s="12">
        <v>44.89</v>
      </c>
    </row>
    <row r="1906" spans="1:12" x14ac:dyDescent="0.2">
      <c r="A1906" s="9">
        <v>46245</v>
      </c>
      <c r="B1906" t="s">
        <v>463</v>
      </c>
      <c r="C1906" t="s">
        <v>464</v>
      </c>
      <c r="D1906" t="s">
        <v>36</v>
      </c>
      <c r="E1906" t="s">
        <v>649</v>
      </c>
      <c r="F1906" t="s">
        <v>650</v>
      </c>
      <c r="G1906" s="10">
        <v>16</v>
      </c>
      <c r="H1906" s="10">
        <v>19022</v>
      </c>
      <c r="I1906" s="10">
        <v>304352</v>
      </c>
      <c r="J1906" t="s">
        <v>37</v>
      </c>
      <c r="K1906" s="11">
        <v>648.20000000000005</v>
      </c>
      <c r="L1906" s="12">
        <v>469.53</v>
      </c>
    </row>
    <row r="1907" spans="1:12" x14ac:dyDescent="0.2">
      <c r="A1907" s="9">
        <v>46245</v>
      </c>
      <c r="B1907" t="s">
        <v>466</v>
      </c>
      <c r="C1907" t="s">
        <v>467</v>
      </c>
      <c r="D1907" t="s">
        <v>50</v>
      </c>
      <c r="E1907" t="s">
        <v>653</v>
      </c>
      <c r="F1907" t="s">
        <v>654</v>
      </c>
      <c r="G1907" s="10">
        <v>65</v>
      </c>
      <c r="H1907" s="10">
        <v>5606</v>
      </c>
      <c r="I1907" s="10">
        <v>364390</v>
      </c>
      <c r="J1907" t="s">
        <v>51</v>
      </c>
      <c r="K1907" s="11">
        <v>648.20000000000005</v>
      </c>
      <c r="L1907" s="12">
        <v>562.16</v>
      </c>
    </row>
    <row r="1908" spans="1:12" x14ac:dyDescent="0.2">
      <c r="A1908" s="9">
        <v>46245</v>
      </c>
      <c r="B1908" t="s">
        <v>466</v>
      </c>
      <c r="C1908" t="s">
        <v>467</v>
      </c>
      <c r="D1908" t="s">
        <v>50</v>
      </c>
      <c r="E1908" t="s">
        <v>647</v>
      </c>
      <c r="F1908" t="s">
        <v>648</v>
      </c>
      <c r="G1908" s="10">
        <v>12</v>
      </c>
      <c r="H1908" s="10">
        <v>16466</v>
      </c>
      <c r="I1908" s="10">
        <v>197592</v>
      </c>
      <c r="J1908" t="s">
        <v>51</v>
      </c>
      <c r="K1908" s="11">
        <v>648.20000000000005</v>
      </c>
      <c r="L1908" s="12">
        <v>304.83</v>
      </c>
    </row>
    <row r="1909" spans="1:12" x14ac:dyDescent="0.2">
      <c r="A1909" s="9">
        <v>46245</v>
      </c>
      <c r="B1909" t="s">
        <v>469</v>
      </c>
      <c r="C1909" t="s">
        <v>470</v>
      </c>
      <c r="D1909" t="s">
        <v>41</v>
      </c>
      <c r="E1909" t="s">
        <v>653</v>
      </c>
      <c r="F1909" t="s">
        <v>658</v>
      </c>
      <c r="G1909" s="10">
        <v>20</v>
      </c>
      <c r="H1909" s="10">
        <v>13648</v>
      </c>
      <c r="I1909" s="10">
        <v>272960</v>
      </c>
      <c r="J1909" t="s">
        <v>42</v>
      </c>
      <c r="K1909" s="11">
        <v>3145.8</v>
      </c>
      <c r="L1909" s="12">
        <v>86.77</v>
      </c>
    </row>
    <row r="1910" spans="1:12" x14ac:dyDescent="0.2">
      <c r="A1910" s="9">
        <v>46245</v>
      </c>
      <c r="B1910" t="s">
        <v>469</v>
      </c>
      <c r="C1910" t="s">
        <v>470</v>
      </c>
      <c r="D1910" t="s">
        <v>41</v>
      </c>
      <c r="E1910" t="s">
        <v>651</v>
      </c>
      <c r="F1910" t="s">
        <v>652</v>
      </c>
      <c r="G1910" s="10">
        <v>14</v>
      </c>
      <c r="H1910" s="10">
        <v>44771</v>
      </c>
      <c r="I1910" s="10">
        <v>626794</v>
      </c>
      <c r="J1910" t="s">
        <v>42</v>
      </c>
      <c r="K1910" s="11">
        <v>3145.8</v>
      </c>
      <c r="L1910" s="12">
        <v>199.25</v>
      </c>
    </row>
    <row r="1911" spans="1:12" x14ac:dyDescent="0.2">
      <c r="A1911" s="9">
        <v>46245</v>
      </c>
      <c r="B1911" t="s">
        <v>469</v>
      </c>
      <c r="C1911" t="s">
        <v>470</v>
      </c>
      <c r="D1911" t="s">
        <v>41</v>
      </c>
      <c r="E1911" t="s">
        <v>651</v>
      </c>
      <c r="F1911" t="s">
        <v>652</v>
      </c>
      <c r="G1911" s="10">
        <v>17</v>
      </c>
      <c r="H1911" s="10">
        <v>45086</v>
      </c>
      <c r="I1911" s="10">
        <v>766462</v>
      </c>
      <c r="J1911" t="s">
        <v>42</v>
      </c>
      <c r="K1911" s="11">
        <v>3145.8</v>
      </c>
      <c r="L1911" s="12">
        <v>243.65</v>
      </c>
    </row>
    <row r="1912" spans="1:12" x14ac:dyDescent="0.2">
      <c r="A1912" s="9">
        <v>46245</v>
      </c>
      <c r="B1912" t="s">
        <v>469</v>
      </c>
      <c r="C1912" t="s">
        <v>470</v>
      </c>
      <c r="D1912" t="s">
        <v>41</v>
      </c>
      <c r="E1912" t="s">
        <v>660</v>
      </c>
      <c r="F1912" t="s">
        <v>669</v>
      </c>
      <c r="G1912" s="10">
        <v>20</v>
      </c>
      <c r="H1912" s="10">
        <v>12104</v>
      </c>
      <c r="I1912" s="10">
        <v>242080</v>
      </c>
      <c r="J1912" t="s">
        <v>42</v>
      </c>
      <c r="K1912" s="11">
        <v>3145.8</v>
      </c>
      <c r="L1912" s="12">
        <v>76.95</v>
      </c>
    </row>
    <row r="1913" spans="1:12" x14ac:dyDescent="0.2">
      <c r="A1913" s="9">
        <v>46245</v>
      </c>
      <c r="B1913" t="s">
        <v>469</v>
      </c>
      <c r="C1913" t="s">
        <v>470</v>
      </c>
      <c r="D1913" t="s">
        <v>41</v>
      </c>
      <c r="E1913" t="s">
        <v>660</v>
      </c>
      <c r="F1913" t="s">
        <v>661</v>
      </c>
      <c r="G1913" s="10">
        <v>28</v>
      </c>
      <c r="H1913" s="10">
        <v>21062</v>
      </c>
      <c r="I1913" s="10">
        <v>589736</v>
      </c>
      <c r="J1913" t="s">
        <v>42</v>
      </c>
      <c r="K1913" s="11">
        <v>3145.8</v>
      </c>
      <c r="L1913" s="12">
        <v>187.47</v>
      </c>
    </row>
    <row r="1914" spans="1:12" x14ac:dyDescent="0.2">
      <c r="A1914" s="9">
        <v>46245</v>
      </c>
      <c r="B1914" t="s">
        <v>472</v>
      </c>
      <c r="C1914" t="s">
        <v>473</v>
      </c>
      <c r="D1914" t="s">
        <v>68</v>
      </c>
      <c r="E1914" t="s">
        <v>655</v>
      </c>
      <c r="F1914" t="s">
        <v>662</v>
      </c>
      <c r="G1914" s="10">
        <v>8</v>
      </c>
      <c r="H1914" s="10">
        <v>1105</v>
      </c>
      <c r="I1914" s="10">
        <v>8840</v>
      </c>
      <c r="J1914" t="s">
        <v>51</v>
      </c>
      <c r="K1914" s="11">
        <v>648.20000000000005</v>
      </c>
      <c r="L1914" s="12">
        <v>13.64</v>
      </c>
    </row>
    <row r="1915" spans="1:12" x14ac:dyDescent="0.2">
      <c r="A1915" s="9">
        <v>46245</v>
      </c>
      <c r="B1915" t="s">
        <v>475</v>
      </c>
      <c r="C1915" t="s">
        <v>476</v>
      </c>
      <c r="D1915" t="s">
        <v>75</v>
      </c>
      <c r="E1915" t="s">
        <v>653</v>
      </c>
      <c r="F1915" t="s">
        <v>658</v>
      </c>
      <c r="G1915" s="10">
        <v>36</v>
      </c>
      <c r="H1915" s="10">
        <v>12943</v>
      </c>
      <c r="I1915" s="10">
        <v>465948</v>
      </c>
      <c r="J1915" t="s">
        <v>42</v>
      </c>
      <c r="K1915" s="11">
        <v>3145.8</v>
      </c>
      <c r="L1915" s="12">
        <v>148.12</v>
      </c>
    </row>
    <row r="1916" spans="1:12" x14ac:dyDescent="0.2">
      <c r="A1916" s="9">
        <v>46245</v>
      </c>
      <c r="B1916" t="s">
        <v>475</v>
      </c>
      <c r="C1916" t="s">
        <v>476</v>
      </c>
      <c r="D1916" t="s">
        <v>75</v>
      </c>
      <c r="E1916" t="s">
        <v>653</v>
      </c>
      <c r="F1916" t="s">
        <v>666</v>
      </c>
      <c r="G1916" s="10">
        <v>119</v>
      </c>
      <c r="H1916" s="10">
        <v>7249</v>
      </c>
      <c r="I1916" s="10">
        <v>862631</v>
      </c>
      <c r="J1916" t="s">
        <v>42</v>
      </c>
      <c r="K1916" s="11">
        <v>3145.8</v>
      </c>
      <c r="L1916" s="12">
        <v>274.22000000000003</v>
      </c>
    </row>
    <row r="1917" spans="1:12" x14ac:dyDescent="0.2">
      <c r="A1917" s="9">
        <v>46245</v>
      </c>
      <c r="B1917" t="s">
        <v>475</v>
      </c>
      <c r="C1917" t="s">
        <v>476</v>
      </c>
      <c r="D1917" t="s">
        <v>75</v>
      </c>
      <c r="E1917" t="s">
        <v>660</v>
      </c>
      <c r="F1917" t="s">
        <v>669</v>
      </c>
      <c r="G1917" s="10">
        <v>63</v>
      </c>
      <c r="H1917" s="10">
        <v>12942</v>
      </c>
      <c r="I1917" s="10">
        <v>815346</v>
      </c>
      <c r="J1917" t="s">
        <v>42</v>
      </c>
      <c r="K1917" s="11">
        <v>3145.8</v>
      </c>
      <c r="L1917" s="12">
        <v>259.19</v>
      </c>
    </row>
    <row r="1918" spans="1:12" x14ac:dyDescent="0.2">
      <c r="A1918" s="9">
        <v>46245</v>
      </c>
      <c r="B1918" t="s">
        <v>475</v>
      </c>
      <c r="C1918" t="s">
        <v>476</v>
      </c>
      <c r="D1918" t="s">
        <v>75</v>
      </c>
      <c r="E1918" t="s">
        <v>660</v>
      </c>
      <c r="F1918" t="s">
        <v>670</v>
      </c>
      <c r="G1918" s="10">
        <v>239</v>
      </c>
      <c r="H1918" s="10">
        <v>72198</v>
      </c>
      <c r="I1918" s="10">
        <v>17255322</v>
      </c>
      <c r="J1918" t="s">
        <v>42</v>
      </c>
      <c r="K1918" s="11">
        <v>3145.8</v>
      </c>
      <c r="L1918" s="12">
        <v>5485.19</v>
      </c>
    </row>
    <row r="1919" spans="1:12" x14ac:dyDescent="0.2">
      <c r="A1919" s="9">
        <v>46245</v>
      </c>
      <c r="B1919" t="s">
        <v>475</v>
      </c>
      <c r="C1919" t="s">
        <v>476</v>
      </c>
      <c r="D1919" t="s">
        <v>75</v>
      </c>
      <c r="E1919" t="s">
        <v>651</v>
      </c>
      <c r="F1919" t="s">
        <v>657</v>
      </c>
      <c r="G1919" s="10">
        <v>33</v>
      </c>
      <c r="H1919" s="10">
        <v>29907</v>
      </c>
      <c r="I1919" s="10">
        <v>986931</v>
      </c>
      <c r="J1919" t="s">
        <v>42</v>
      </c>
      <c r="K1919" s="11">
        <v>3145.8</v>
      </c>
      <c r="L1919" s="12">
        <v>313.73</v>
      </c>
    </row>
    <row r="1920" spans="1:12" x14ac:dyDescent="0.2">
      <c r="A1920" s="9">
        <v>46245</v>
      </c>
      <c r="B1920" t="s">
        <v>478</v>
      </c>
      <c r="C1920" t="s">
        <v>479</v>
      </c>
      <c r="D1920" t="s">
        <v>75</v>
      </c>
      <c r="E1920" t="s">
        <v>647</v>
      </c>
      <c r="F1920" t="s">
        <v>668</v>
      </c>
      <c r="G1920" s="10">
        <v>3</v>
      </c>
      <c r="H1920" s="10">
        <v>122877</v>
      </c>
      <c r="I1920" s="10">
        <v>368631</v>
      </c>
      <c r="J1920" t="s">
        <v>42</v>
      </c>
      <c r="K1920" s="11">
        <v>3145.8</v>
      </c>
      <c r="L1920" s="12">
        <v>117.18</v>
      </c>
    </row>
    <row r="1921" spans="1:12" x14ac:dyDescent="0.2">
      <c r="A1921" s="9">
        <v>46245</v>
      </c>
      <c r="B1921" t="s">
        <v>483</v>
      </c>
      <c r="C1921" t="s">
        <v>340</v>
      </c>
      <c r="D1921" t="s">
        <v>46</v>
      </c>
      <c r="E1921" t="s">
        <v>651</v>
      </c>
      <c r="F1921" t="s">
        <v>652</v>
      </c>
      <c r="G1921" s="10">
        <v>20</v>
      </c>
      <c r="H1921" s="10">
        <v>9577</v>
      </c>
      <c r="I1921" s="10">
        <v>191540</v>
      </c>
      <c r="J1921" t="s">
        <v>37</v>
      </c>
      <c r="K1921" s="11">
        <v>648.20000000000005</v>
      </c>
      <c r="L1921" s="12">
        <v>295.5</v>
      </c>
    </row>
    <row r="1922" spans="1:12" x14ac:dyDescent="0.2">
      <c r="A1922" s="9">
        <v>46245</v>
      </c>
      <c r="B1922" t="s">
        <v>483</v>
      </c>
      <c r="C1922" t="s">
        <v>340</v>
      </c>
      <c r="D1922" t="s">
        <v>46</v>
      </c>
      <c r="E1922" t="s">
        <v>649</v>
      </c>
      <c r="F1922" t="s">
        <v>650</v>
      </c>
      <c r="G1922" s="10">
        <v>8</v>
      </c>
      <c r="H1922" s="10">
        <v>18958</v>
      </c>
      <c r="I1922" s="10">
        <v>151664</v>
      </c>
      <c r="J1922" t="s">
        <v>37</v>
      </c>
      <c r="K1922" s="11">
        <v>648.20000000000005</v>
      </c>
      <c r="L1922" s="12">
        <v>233.98</v>
      </c>
    </row>
    <row r="1923" spans="1:12" x14ac:dyDescent="0.2">
      <c r="A1923" s="9">
        <v>46245</v>
      </c>
      <c r="B1923" t="s">
        <v>483</v>
      </c>
      <c r="C1923" t="s">
        <v>340</v>
      </c>
      <c r="D1923" t="s">
        <v>46</v>
      </c>
      <c r="E1923" t="s">
        <v>653</v>
      </c>
      <c r="F1923" t="s">
        <v>654</v>
      </c>
      <c r="G1923" s="10">
        <v>32</v>
      </c>
      <c r="H1923" s="10">
        <v>5797</v>
      </c>
      <c r="I1923" s="10">
        <v>185504</v>
      </c>
      <c r="J1923" t="s">
        <v>37</v>
      </c>
      <c r="K1923" s="11">
        <v>648.20000000000005</v>
      </c>
      <c r="L1923" s="12">
        <v>286.18</v>
      </c>
    </row>
    <row r="1924" spans="1:12" x14ac:dyDescent="0.2">
      <c r="A1924" s="9">
        <v>46245</v>
      </c>
      <c r="B1924" t="s">
        <v>485</v>
      </c>
      <c r="C1924" t="s">
        <v>486</v>
      </c>
      <c r="D1924" t="s">
        <v>41</v>
      </c>
      <c r="E1924" t="s">
        <v>651</v>
      </c>
      <c r="F1924" t="s">
        <v>657</v>
      </c>
      <c r="G1924" s="10">
        <v>3</v>
      </c>
      <c r="H1924" s="10">
        <v>30035</v>
      </c>
      <c r="I1924" s="10">
        <v>90105</v>
      </c>
      <c r="J1924" t="s">
        <v>42</v>
      </c>
      <c r="K1924" s="11">
        <v>3145.8</v>
      </c>
      <c r="L1924" s="12">
        <v>28.64</v>
      </c>
    </row>
    <row r="1925" spans="1:12" x14ac:dyDescent="0.2">
      <c r="A1925" s="9">
        <v>46245</v>
      </c>
      <c r="B1925" t="s">
        <v>491</v>
      </c>
      <c r="C1925" t="s">
        <v>125</v>
      </c>
      <c r="D1925" t="s">
        <v>75</v>
      </c>
      <c r="E1925" t="s">
        <v>647</v>
      </c>
      <c r="F1925" t="s">
        <v>648</v>
      </c>
      <c r="G1925" s="10">
        <v>42</v>
      </c>
      <c r="H1925" s="10">
        <v>80087</v>
      </c>
      <c r="I1925" s="10">
        <v>3363654</v>
      </c>
      <c r="J1925" t="s">
        <v>42</v>
      </c>
      <c r="K1925" s="11">
        <v>3145.8</v>
      </c>
      <c r="L1925" s="12">
        <v>1069.25</v>
      </c>
    </row>
    <row r="1926" spans="1:12" x14ac:dyDescent="0.2">
      <c r="A1926" s="9">
        <v>46245</v>
      </c>
      <c r="B1926" t="s">
        <v>493</v>
      </c>
      <c r="C1926" t="s">
        <v>494</v>
      </c>
      <c r="D1926" t="s">
        <v>46</v>
      </c>
      <c r="E1926" t="s">
        <v>660</v>
      </c>
      <c r="F1926" t="s">
        <v>661</v>
      </c>
      <c r="G1926" s="10">
        <v>1</v>
      </c>
      <c r="H1926" s="10">
        <v>4248</v>
      </c>
      <c r="I1926" s="10">
        <v>4248</v>
      </c>
      <c r="J1926" t="s">
        <v>37</v>
      </c>
      <c r="K1926" s="11">
        <v>648.20000000000005</v>
      </c>
      <c r="L1926" s="12">
        <v>6.55</v>
      </c>
    </row>
    <row r="1927" spans="1:12" x14ac:dyDescent="0.2">
      <c r="A1927" s="9">
        <v>46245</v>
      </c>
      <c r="B1927" t="s">
        <v>493</v>
      </c>
      <c r="C1927" t="s">
        <v>494</v>
      </c>
      <c r="D1927" t="s">
        <v>46</v>
      </c>
      <c r="E1927" t="s">
        <v>647</v>
      </c>
      <c r="F1927" t="s">
        <v>648</v>
      </c>
      <c r="G1927" s="10">
        <v>1</v>
      </c>
      <c r="H1927" s="10">
        <v>16528</v>
      </c>
      <c r="I1927" s="10">
        <v>16528</v>
      </c>
      <c r="J1927" t="s">
        <v>37</v>
      </c>
      <c r="K1927" s="11">
        <v>648.20000000000005</v>
      </c>
      <c r="L1927" s="12">
        <v>25.5</v>
      </c>
    </row>
    <row r="1928" spans="1:12" x14ac:dyDescent="0.2">
      <c r="A1928" s="9">
        <v>46245</v>
      </c>
      <c r="B1928" t="s">
        <v>493</v>
      </c>
      <c r="C1928" t="s">
        <v>494</v>
      </c>
      <c r="D1928" t="s">
        <v>46</v>
      </c>
      <c r="E1928" t="s">
        <v>655</v>
      </c>
      <c r="F1928" t="s">
        <v>665</v>
      </c>
      <c r="G1928" s="10">
        <v>1</v>
      </c>
      <c r="H1928" s="10">
        <v>713</v>
      </c>
      <c r="I1928" s="10">
        <v>713</v>
      </c>
      <c r="J1928" t="s">
        <v>37</v>
      </c>
      <c r="K1928" s="11">
        <v>648.20000000000005</v>
      </c>
      <c r="L1928" s="12">
        <v>1.1000000000000001</v>
      </c>
    </row>
    <row r="1929" spans="1:12" x14ac:dyDescent="0.2">
      <c r="A1929" s="9">
        <v>46245</v>
      </c>
      <c r="B1929" t="s">
        <v>499</v>
      </c>
      <c r="C1929" t="s">
        <v>500</v>
      </c>
      <c r="D1929" t="s">
        <v>41</v>
      </c>
      <c r="E1929" t="s">
        <v>647</v>
      </c>
      <c r="F1929" t="s">
        <v>667</v>
      </c>
      <c r="G1929" s="10">
        <v>16</v>
      </c>
      <c r="H1929" s="10">
        <v>34803</v>
      </c>
      <c r="I1929" s="10">
        <v>556848</v>
      </c>
      <c r="J1929" t="s">
        <v>42</v>
      </c>
      <c r="K1929" s="11">
        <v>3145.8</v>
      </c>
      <c r="L1929" s="12">
        <v>177.01</v>
      </c>
    </row>
    <row r="1930" spans="1:12" x14ac:dyDescent="0.2">
      <c r="A1930" s="9">
        <v>46245</v>
      </c>
      <c r="B1930" t="s">
        <v>502</v>
      </c>
      <c r="C1930" t="s">
        <v>503</v>
      </c>
      <c r="D1930" t="s">
        <v>41</v>
      </c>
      <c r="E1930" t="s">
        <v>647</v>
      </c>
      <c r="F1930" t="s">
        <v>668</v>
      </c>
      <c r="G1930" s="10">
        <v>6</v>
      </c>
      <c r="H1930" s="10">
        <v>127015</v>
      </c>
      <c r="I1930" s="10">
        <v>762090</v>
      </c>
      <c r="J1930" t="s">
        <v>42</v>
      </c>
      <c r="K1930" s="11">
        <v>3145.8</v>
      </c>
      <c r="L1930" s="12">
        <v>242.26</v>
      </c>
    </row>
    <row r="1931" spans="1:12" x14ac:dyDescent="0.2">
      <c r="A1931" s="9">
        <v>46245</v>
      </c>
      <c r="B1931" t="s">
        <v>505</v>
      </c>
      <c r="C1931" t="s">
        <v>506</v>
      </c>
      <c r="D1931" t="s">
        <v>36</v>
      </c>
      <c r="E1931" t="s">
        <v>649</v>
      </c>
      <c r="F1931" t="s">
        <v>663</v>
      </c>
      <c r="G1931" s="10">
        <v>6</v>
      </c>
      <c r="H1931" s="10">
        <v>2076</v>
      </c>
      <c r="I1931" s="10">
        <v>12456</v>
      </c>
      <c r="J1931" t="s">
        <v>37</v>
      </c>
      <c r="K1931" s="11">
        <v>648.20000000000005</v>
      </c>
      <c r="L1931" s="12">
        <v>19.22</v>
      </c>
    </row>
    <row r="1932" spans="1:12" x14ac:dyDescent="0.2">
      <c r="A1932" s="9">
        <v>46245</v>
      </c>
      <c r="B1932" t="s">
        <v>508</v>
      </c>
      <c r="C1932" t="s">
        <v>509</v>
      </c>
      <c r="D1932" t="s">
        <v>68</v>
      </c>
      <c r="E1932" t="s">
        <v>660</v>
      </c>
      <c r="F1932" t="s">
        <v>669</v>
      </c>
      <c r="G1932" s="10">
        <v>12</v>
      </c>
      <c r="H1932" s="10">
        <v>2545</v>
      </c>
      <c r="I1932" s="10">
        <v>30540</v>
      </c>
      <c r="J1932" t="s">
        <v>51</v>
      </c>
      <c r="K1932" s="11">
        <v>648.20000000000005</v>
      </c>
      <c r="L1932" s="12">
        <v>47.12</v>
      </c>
    </row>
    <row r="1933" spans="1:12" x14ac:dyDescent="0.2">
      <c r="A1933" s="9">
        <v>46245</v>
      </c>
      <c r="B1933" t="s">
        <v>511</v>
      </c>
      <c r="C1933" t="s">
        <v>512</v>
      </c>
      <c r="D1933" t="s">
        <v>75</v>
      </c>
      <c r="E1933" t="s">
        <v>649</v>
      </c>
      <c r="F1933" t="s">
        <v>650</v>
      </c>
      <c r="G1933" s="10">
        <v>60</v>
      </c>
      <c r="H1933" s="10">
        <v>90118</v>
      </c>
      <c r="I1933" s="10">
        <v>5407080</v>
      </c>
      <c r="J1933" t="s">
        <v>42</v>
      </c>
      <c r="K1933" s="11">
        <v>3145.8</v>
      </c>
      <c r="L1933" s="12">
        <v>1718.83</v>
      </c>
    </row>
    <row r="1934" spans="1:12" x14ac:dyDescent="0.2">
      <c r="A1934" s="9">
        <v>46245</v>
      </c>
      <c r="B1934" t="s">
        <v>517</v>
      </c>
      <c r="C1934" t="s">
        <v>518</v>
      </c>
      <c r="D1934" t="s">
        <v>41</v>
      </c>
      <c r="E1934" t="s">
        <v>660</v>
      </c>
      <c r="F1934" t="s">
        <v>669</v>
      </c>
      <c r="G1934" s="10">
        <v>50</v>
      </c>
      <c r="H1934" s="10">
        <v>12411</v>
      </c>
      <c r="I1934" s="10">
        <v>620550</v>
      </c>
      <c r="J1934" t="s">
        <v>42</v>
      </c>
      <c r="K1934" s="11">
        <v>3145.8</v>
      </c>
      <c r="L1934" s="12">
        <v>197.26</v>
      </c>
    </row>
    <row r="1935" spans="1:12" x14ac:dyDescent="0.2">
      <c r="A1935" s="9">
        <v>46245</v>
      </c>
      <c r="B1935" t="s">
        <v>517</v>
      </c>
      <c r="C1935" t="s">
        <v>518</v>
      </c>
      <c r="D1935" t="s">
        <v>41</v>
      </c>
      <c r="E1935" t="s">
        <v>660</v>
      </c>
      <c r="F1935" t="s">
        <v>669</v>
      </c>
      <c r="G1935" s="10">
        <v>24</v>
      </c>
      <c r="H1935" s="10">
        <v>12713</v>
      </c>
      <c r="I1935" s="10">
        <v>305112</v>
      </c>
      <c r="J1935" t="s">
        <v>42</v>
      </c>
      <c r="K1935" s="11">
        <v>3145.8</v>
      </c>
      <c r="L1935" s="12">
        <v>96.99</v>
      </c>
    </row>
    <row r="1936" spans="1:12" x14ac:dyDescent="0.2">
      <c r="A1936" s="9">
        <v>46245</v>
      </c>
      <c r="B1936" t="s">
        <v>522</v>
      </c>
      <c r="C1936" t="s">
        <v>523</v>
      </c>
      <c r="D1936" t="s">
        <v>50</v>
      </c>
      <c r="E1936" t="s">
        <v>649</v>
      </c>
      <c r="F1936" t="s">
        <v>659</v>
      </c>
      <c r="G1936" s="10">
        <v>15</v>
      </c>
      <c r="H1936" s="10">
        <v>9049</v>
      </c>
      <c r="I1936" s="10">
        <v>135735</v>
      </c>
      <c r="J1936" t="s">
        <v>51</v>
      </c>
      <c r="K1936" s="11">
        <v>648.20000000000005</v>
      </c>
      <c r="L1936" s="12">
        <v>209.4</v>
      </c>
    </row>
    <row r="1937" spans="1:12" x14ac:dyDescent="0.2">
      <c r="A1937" s="9">
        <v>46245</v>
      </c>
      <c r="B1937" t="s">
        <v>528</v>
      </c>
      <c r="C1937" t="s">
        <v>529</v>
      </c>
      <c r="D1937" t="s">
        <v>46</v>
      </c>
      <c r="E1937" t="s">
        <v>655</v>
      </c>
      <c r="F1937" t="s">
        <v>662</v>
      </c>
      <c r="G1937" s="10">
        <v>105</v>
      </c>
      <c r="H1937" s="10">
        <v>1114</v>
      </c>
      <c r="I1937" s="10">
        <v>116970</v>
      </c>
      <c r="J1937" t="s">
        <v>37</v>
      </c>
      <c r="K1937" s="11">
        <v>648.20000000000005</v>
      </c>
      <c r="L1937" s="12">
        <v>180.45</v>
      </c>
    </row>
    <row r="1938" spans="1:12" x14ac:dyDescent="0.2">
      <c r="A1938" s="9">
        <v>46245</v>
      </c>
      <c r="B1938" t="s">
        <v>528</v>
      </c>
      <c r="C1938" t="s">
        <v>529</v>
      </c>
      <c r="D1938" t="s">
        <v>46</v>
      </c>
      <c r="E1938" t="s">
        <v>653</v>
      </c>
      <c r="F1938" t="s">
        <v>654</v>
      </c>
      <c r="G1938" s="10">
        <v>11</v>
      </c>
      <c r="H1938" s="10">
        <v>5814</v>
      </c>
      <c r="I1938" s="10">
        <v>63954</v>
      </c>
      <c r="J1938" t="s">
        <v>37</v>
      </c>
      <c r="K1938" s="11">
        <v>648.20000000000005</v>
      </c>
      <c r="L1938" s="12">
        <v>98.66</v>
      </c>
    </row>
    <row r="1939" spans="1:12" x14ac:dyDescent="0.2">
      <c r="A1939" s="9">
        <v>46245</v>
      </c>
      <c r="B1939" t="s">
        <v>528</v>
      </c>
      <c r="C1939" t="s">
        <v>529</v>
      </c>
      <c r="D1939" t="s">
        <v>46</v>
      </c>
      <c r="E1939" t="s">
        <v>647</v>
      </c>
      <c r="F1939" t="s">
        <v>668</v>
      </c>
      <c r="G1939" s="10">
        <v>19</v>
      </c>
      <c r="H1939" s="10">
        <v>25938</v>
      </c>
      <c r="I1939" s="10">
        <v>492822</v>
      </c>
      <c r="J1939" t="s">
        <v>37</v>
      </c>
      <c r="K1939" s="11">
        <v>648.20000000000005</v>
      </c>
      <c r="L1939" s="12">
        <v>760.29</v>
      </c>
    </row>
    <row r="1940" spans="1:12" x14ac:dyDescent="0.2">
      <c r="A1940" s="9">
        <v>46245</v>
      </c>
      <c r="B1940" t="s">
        <v>528</v>
      </c>
      <c r="C1940" t="s">
        <v>529</v>
      </c>
      <c r="D1940" t="s">
        <v>46</v>
      </c>
      <c r="E1940" t="s">
        <v>655</v>
      </c>
      <c r="F1940" t="s">
        <v>656</v>
      </c>
      <c r="G1940" s="10">
        <v>77</v>
      </c>
      <c r="H1940" s="10">
        <v>570</v>
      </c>
      <c r="I1940" s="10">
        <v>43890</v>
      </c>
      <c r="J1940" t="s">
        <v>37</v>
      </c>
      <c r="K1940" s="11">
        <v>648.20000000000005</v>
      </c>
      <c r="L1940" s="12">
        <v>67.709999999999994</v>
      </c>
    </row>
    <row r="1941" spans="1:12" x14ac:dyDescent="0.2">
      <c r="A1941" s="9">
        <v>46245</v>
      </c>
      <c r="B1941" t="s">
        <v>528</v>
      </c>
      <c r="C1941" t="s">
        <v>529</v>
      </c>
      <c r="D1941" t="s">
        <v>46</v>
      </c>
      <c r="E1941" t="s">
        <v>651</v>
      </c>
      <c r="F1941" t="s">
        <v>664</v>
      </c>
      <c r="G1941" s="10">
        <v>29</v>
      </c>
      <c r="H1941" s="10">
        <v>11868</v>
      </c>
      <c r="I1941" s="10">
        <v>344172</v>
      </c>
      <c r="J1941" t="s">
        <v>37</v>
      </c>
      <c r="K1941" s="11">
        <v>648.20000000000005</v>
      </c>
      <c r="L1941" s="12">
        <v>530.97</v>
      </c>
    </row>
    <row r="1942" spans="1:12" x14ac:dyDescent="0.2">
      <c r="A1942" s="9">
        <v>46245</v>
      </c>
      <c r="B1942" t="s">
        <v>528</v>
      </c>
      <c r="C1942" t="s">
        <v>529</v>
      </c>
      <c r="D1942" t="s">
        <v>46</v>
      </c>
      <c r="E1942" t="s">
        <v>655</v>
      </c>
      <c r="F1942" t="s">
        <v>665</v>
      </c>
      <c r="G1942" s="10">
        <v>5</v>
      </c>
      <c r="H1942" s="10">
        <v>692</v>
      </c>
      <c r="I1942" s="10">
        <v>3460</v>
      </c>
      <c r="J1942" t="s">
        <v>37</v>
      </c>
      <c r="K1942" s="11">
        <v>648.20000000000005</v>
      </c>
      <c r="L1942" s="12">
        <v>5.34</v>
      </c>
    </row>
    <row r="1943" spans="1:12" x14ac:dyDescent="0.2">
      <c r="A1943" s="9">
        <v>46245</v>
      </c>
      <c r="B1943" t="s">
        <v>531</v>
      </c>
      <c r="C1943" t="s">
        <v>532</v>
      </c>
      <c r="D1943" t="s">
        <v>50</v>
      </c>
      <c r="E1943" t="s">
        <v>649</v>
      </c>
      <c r="F1943" t="s">
        <v>663</v>
      </c>
      <c r="G1943" s="10">
        <v>28</v>
      </c>
      <c r="H1943" s="10">
        <v>2026</v>
      </c>
      <c r="I1943" s="10">
        <v>56728</v>
      </c>
      <c r="J1943" t="s">
        <v>51</v>
      </c>
      <c r="K1943" s="11">
        <v>648.20000000000005</v>
      </c>
      <c r="L1943" s="12">
        <v>87.52</v>
      </c>
    </row>
    <row r="1944" spans="1:12" x14ac:dyDescent="0.2">
      <c r="A1944" s="9">
        <v>46245</v>
      </c>
      <c r="B1944" t="s">
        <v>531</v>
      </c>
      <c r="C1944" t="s">
        <v>532</v>
      </c>
      <c r="D1944" t="s">
        <v>50</v>
      </c>
      <c r="E1944" t="s">
        <v>649</v>
      </c>
      <c r="F1944" t="s">
        <v>659</v>
      </c>
      <c r="G1944" s="10">
        <v>69</v>
      </c>
      <c r="H1944" s="10">
        <v>9011</v>
      </c>
      <c r="I1944" s="10">
        <v>621759</v>
      </c>
      <c r="J1944" t="s">
        <v>51</v>
      </c>
      <c r="K1944" s="11">
        <v>648.20000000000005</v>
      </c>
      <c r="L1944" s="12">
        <v>959.21</v>
      </c>
    </row>
    <row r="1945" spans="1:12" x14ac:dyDescent="0.2">
      <c r="A1945" s="9">
        <v>46245</v>
      </c>
      <c r="B1945" t="s">
        <v>537</v>
      </c>
      <c r="C1945" t="s">
        <v>538</v>
      </c>
      <c r="D1945" t="s">
        <v>68</v>
      </c>
      <c r="E1945" t="s">
        <v>653</v>
      </c>
      <c r="F1945" t="s">
        <v>658</v>
      </c>
      <c r="G1945" s="10">
        <v>63</v>
      </c>
      <c r="H1945" s="10">
        <v>2612</v>
      </c>
      <c r="I1945" s="10">
        <v>164556</v>
      </c>
      <c r="J1945" t="s">
        <v>51</v>
      </c>
      <c r="K1945" s="11">
        <v>648.20000000000005</v>
      </c>
      <c r="L1945" s="12">
        <v>253.87</v>
      </c>
    </row>
    <row r="1946" spans="1:12" x14ac:dyDescent="0.2">
      <c r="A1946" s="9">
        <v>46245</v>
      </c>
      <c r="B1946" t="s">
        <v>543</v>
      </c>
      <c r="C1946" t="s">
        <v>544</v>
      </c>
      <c r="D1946" t="s">
        <v>68</v>
      </c>
      <c r="E1946" t="s">
        <v>653</v>
      </c>
      <c r="F1946" t="s">
        <v>658</v>
      </c>
      <c r="G1946" s="10">
        <v>2</v>
      </c>
      <c r="H1946" s="10">
        <v>2763</v>
      </c>
      <c r="I1946" s="10">
        <v>5526</v>
      </c>
      <c r="J1946" t="s">
        <v>51</v>
      </c>
      <c r="K1946" s="11">
        <v>648.20000000000005</v>
      </c>
      <c r="L1946" s="12">
        <v>8.5299999999999994</v>
      </c>
    </row>
    <row r="1947" spans="1:12" x14ac:dyDescent="0.2">
      <c r="A1947" s="9">
        <v>46245</v>
      </c>
      <c r="B1947" t="s">
        <v>543</v>
      </c>
      <c r="C1947" t="s">
        <v>544</v>
      </c>
      <c r="D1947" t="s">
        <v>68</v>
      </c>
      <c r="E1947" t="s">
        <v>649</v>
      </c>
      <c r="F1947" t="s">
        <v>663</v>
      </c>
      <c r="G1947" s="10">
        <v>14</v>
      </c>
      <c r="H1947" s="10">
        <v>1991</v>
      </c>
      <c r="I1947" s="10">
        <v>27874</v>
      </c>
      <c r="J1947" t="s">
        <v>51</v>
      </c>
      <c r="K1947" s="11">
        <v>648.20000000000005</v>
      </c>
      <c r="L1947" s="12">
        <v>43</v>
      </c>
    </row>
    <row r="1948" spans="1:12" x14ac:dyDescent="0.2">
      <c r="A1948" s="9">
        <v>46245</v>
      </c>
      <c r="B1948" t="s">
        <v>543</v>
      </c>
      <c r="C1948" t="s">
        <v>544</v>
      </c>
      <c r="D1948" t="s">
        <v>68</v>
      </c>
      <c r="E1948" t="s">
        <v>649</v>
      </c>
      <c r="F1948" t="s">
        <v>663</v>
      </c>
      <c r="G1948" s="10">
        <v>24</v>
      </c>
      <c r="H1948" s="10">
        <v>1964</v>
      </c>
      <c r="I1948" s="10">
        <v>47136</v>
      </c>
      <c r="J1948" t="s">
        <v>51</v>
      </c>
      <c r="K1948" s="11">
        <v>648.20000000000005</v>
      </c>
      <c r="L1948" s="12">
        <v>72.72</v>
      </c>
    </row>
    <row r="1949" spans="1:12" x14ac:dyDescent="0.2">
      <c r="A1949" s="9">
        <v>46245</v>
      </c>
      <c r="B1949" t="s">
        <v>546</v>
      </c>
      <c r="C1949" t="s">
        <v>547</v>
      </c>
      <c r="D1949" t="s">
        <v>41</v>
      </c>
      <c r="E1949" t="s">
        <v>651</v>
      </c>
      <c r="F1949" t="s">
        <v>657</v>
      </c>
      <c r="G1949" s="10">
        <v>26</v>
      </c>
      <c r="H1949" s="10">
        <v>30417</v>
      </c>
      <c r="I1949" s="10">
        <v>790842</v>
      </c>
      <c r="J1949" t="s">
        <v>42</v>
      </c>
      <c r="K1949" s="11">
        <v>3145.8</v>
      </c>
      <c r="L1949" s="12">
        <v>251.4</v>
      </c>
    </row>
    <row r="1950" spans="1:12" x14ac:dyDescent="0.2">
      <c r="A1950" s="9">
        <v>46245</v>
      </c>
      <c r="B1950" t="s">
        <v>552</v>
      </c>
      <c r="C1950" t="s">
        <v>553</v>
      </c>
      <c r="D1950" t="s">
        <v>41</v>
      </c>
      <c r="E1950" t="s">
        <v>653</v>
      </c>
      <c r="F1950" t="s">
        <v>654</v>
      </c>
      <c r="G1950" s="10">
        <v>2</v>
      </c>
      <c r="H1950" s="10">
        <v>27730</v>
      </c>
      <c r="I1950" s="10">
        <v>55460</v>
      </c>
      <c r="J1950" t="s">
        <v>42</v>
      </c>
      <c r="K1950" s="11">
        <v>3145.8</v>
      </c>
      <c r="L1950" s="12">
        <v>17.63</v>
      </c>
    </row>
    <row r="1951" spans="1:12" x14ac:dyDescent="0.2">
      <c r="A1951" s="9">
        <v>46245</v>
      </c>
      <c r="B1951" t="s">
        <v>552</v>
      </c>
      <c r="C1951" t="s">
        <v>553</v>
      </c>
      <c r="D1951" t="s">
        <v>41</v>
      </c>
      <c r="E1951" t="s">
        <v>647</v>
      </c>
      <c r="F1951" t="s">
        <v>668</v>
      </c>
      <c r="G1951" s="10">
        <v>8</v>
      </c>
      <c r="H1951" s="10">
        <v>122709</v>
      </c>
      <c r="I1951" s="10">
        <v>981672</v>
      </c>
      <c r="J1951" t="s">
        <v>42</v>
      </c>
      <c r="K1951" s="11">
        <v>3145.8</v>
      </c>
      <c r="L1951" s="12">
        <v>312.06</v>
      </c>
    </row>
    <row r="1952" spans="1:12" x14ac:dyDescent="0.2">
      <c r="A1952" s="9">
        <v>46245</v>
      </c>
      <c r="B1952" t="s">
        <v>555</v>
      </c>
      <c r="C1952" t="s">
        <v>556</v>
      </c>
      <c r="D1952" t="s">
        <v>41</v>
      </c>
      <c r="E1952" t="s">
        <v>653</v>
      </c>
      <c r="F1952" t="s">
        <v>666</v>
      </c>
      <c r="G1952" s="10">
        <v>9</v>
      </c>
      <c r="H1952" s="10">
        <v>7181</v>
      </c>
      <c r="I1952" s="10">
        <v>64629</v>
      </c>
      <c r="J1952" t="s">
        <v>42</v>
      </c>
      <c r="K1952" s="11">
        <v>3145.8</v>
      </c>
      <c r="L1952" s="12">
        <v>20.54</v>
      </c>
    </row>
    <row r="1953" spans="1:12" x14ac:dyDescent="0.2">
      <c r="A1953" s="9">
        <v>46245</v>
      </c>
      <c r="B1953" t="s">
        <v>555</v>
      </c>
      <c r="C1953" t="s">
        <v>556</v>
      </c>
      <c r="D1953" t="s">
        <v>41</v>
      </c>
      <c r="E1953" t="s">
        <v>653</v>
      </c>
      <c r="F1953" t="s">
        <v>666</v>
      </c>
      <c r="G1953" s="10">
        <v>7</v>
      </c>
      <c r="H1953" s="10">
        <v>7109</v>
      </c>
      <c r="I1953" s="10">
        <v>49763</v>
      </c>
      <c r="J1953" t="s">
        <v>42</v>
      </c>
      <c r="K1953" s="11">
        <v>3145.8</v>
      </c>
      <c r="L1953" s="12">
        <v>15.82</v>
      </c>
    </row>
    <row r="1954" spans="1:12" x14ac:dyDescent="0.2">
      <c r="A1954" s="9">
        <v>46245</v>
      </c>
      <c r="B1954" t="s">
        <v>555</v>
      </c>
      <c r="C1954" t="s">
        <v>556</v>
      </c>
      <c r="D1954" t="s">
        <v>41</v>
      </c>
      <c r="E1954" t="s">
        <v>649</v>
      </c>
      <c r="F1954" t="s">
        <v>659</v>
      </c>
      <c r="G1954" s="10">
        <v>7</v>
      </c>
      <c r="H1954" s="10">
        <v>43945</v>
      </c>
      <c r="I1954" s="10">
        <v>307615</v>
      </c>
      <c r="J1954" t="s">
        <v>42</v>
      </c>
      <c r="K1954" s="11">
        <v>3145.8</v>
      </c>
      <c r="L1954" s="12">
        <v>97.79</v>
      </c>
    </row>
    <row r="1955" spans="1:12" x14ac:dyDescent="0.2">
      <c r="A1955" s="9">
        <v>46245</v>
      </c>
      <c r="B1955" t="s">
        <v>558</v>
      </c>
      <c r="C1955" t="s">
        <v>559</v>
      </c>
      <c r="D1955" t="s">
        <v>75</v>
      </c>
      <c r="E1955" t="s">
        <v>649</v>
      </c>
      <c r="F1955" t="s">
        <v>659</v>
      </c>
      <c r="G1955" s="10">
        <v>5</v>
      </c>
      <c r="H1955" s="10">
        <v>42534</v>
      </c>
      <c r="I1955" s="10">
        <v>212670</v>
      </c>
      <c r="J1955" t="s">
        <v>42</v>
      </c>
      <c r="K1955" s="11">
        <v>3145.8</v>
      </c>
      <c r="L1955" s="12">
        <v>67.599999999999994</v>
      </c>
    </row>
    <row r="1956" spans="1:12" x14ac:dyDescent="0.2">
      <c r="A1956" s="9">
        <v>46245</v>
      </c>
      <c r="B1956" t="s">
        <v>561</v>
      </c>
      <c r="C1956" t="s">
        <v>562</v>
      </c>
      <c r="D1956" t="s">
        <v>46</v>
      </c>
      <c r="E1956" t="s">
        <v>655</v>
      </c>
      <c r="F1956" t="s">
        <v>662</v>
      </c>
      <c r="G1956" s="10">
        <v>28</v>
      </c>
      <c r="H1956" s="10">
        <v>1124</v>
      </c>
      <c r="I1956" s="10">
        <v>31472</v>
      </c>
      <c r="J1956" t="s">
        <v>37</v>
      </c>
      <c r="K1956" s="11">
        <v>648.20000000000005</v>
      </c>
      <c r="L1956" s="12">
        <v>48.55</v>
      </c>
    </row>
    <row r="1957" spans="1:12" x14ac:dyDescent="0.2">
      <c r="A1957" s="9">
        <v>46245</v>
      </c>
      <c r="B1957" t="s">
        <v>564</v>
      </c>
      <c r="C1957" t="s">
        <v>565</v>
      </c>
      <c r="D1957" t="s">
        <v>41</v>
      </c>
      <c r="E1957" t="s">
        <v>647</v>
      </c>
      <c r="F1957" t="s">
        <v>667</v>
      </c>
      <c r="G1957" s="10">
        <v>19</v>
      </c>
      <c r="H1957" s="10">
        <v>34864</v>
      </c>
      <c r="I1957" s="10">
        <v>662416</v>
      </c>
      <c r="J1957" t="s">
        <v>42</v>
      </c>
      <c r="K1957" s="11">
        <v>3145.8</v>
      </c>
      <c r="L1957" s="12">
        <v>210.57</v>
      </c>
    </row>
    <row r="1958" spans="1:12" x14ac:dyDescent="0.2">
      <c r="A1958" s="9">
        <v>46245</v>
      </c>
      <c r="B1958" t="s">
        <v>564</v>
      </c>
      <c r="C1958" t="s">
        <v>565</v>
      </c>
      <c r="D1958" t="s">
        <v>41</v>
      </c>
      <c r="E1958" t="s">
        <v>651</v>
      </c>
      <c r="F1958" t="s">
        <v>664</v>
      </c>
      <c r="G1958" s="10">
        <v>102</v>
      </c>
      <c r="H1958" s="10">
        <v>56488</v>
      </c>
      <c r="I1958" s="10">
        <v>5761776</v>
      </c>
      <c r="J1958" t="s">
        <v>42</v>
      </c>
      <c r="K1958" s="11">
        <v>3145.8</v>
      </c>
      <c r="L1958" s="12">
        <v>1831.58</v>
      </c>
    </row>
    <row r="1959" spans="1:12" x14ac:dyDescent="0.2">
      <c r="A1959" s="9">
        <v>46245</v>
      </c>
      <c r="B1959" t="s">
        <v>567</v>
      </c>
      <c r="C1959" t="s">
        <v>568</v>
      </c>
      <c r="D1959" t="s">
        <v>41</v>
      </c>
      <c r="E1959" t="s">
        <v>653</v>
      </c>
      <c r="F1959" t="s">
        <v>666</v>
      </c>
      <c r="G1959" s="10">
        <v>30</v>
      </c>
      <c r="H1959" s="10">
        <v>7028</v>
      </c>
      <c r="I1959" s="10">
        <v>210840</v>
      </c>
      <c r="J1959" t="s">
        <v>42</v>
      </c>
      <c r="K1959" s="11">
        <v>3145.8</v>
      </c>
      <c r="L1959" s="12">
        <v>67.02</v>
      </c>
    </row>
    <row r="1960" spans="1:12" x14ac:dyDescent="0.2">
      <c r="A1960" s="9">
        <v>46245</v>
      </c>
      <c r="B1960" t="s">
        <v>567</v>
      </c>
      <c r="C1960" t="s">
        <v>568</v>
      </c>
      <c r="D1960" t="s">
        <v>41</v>
      </c>
      <c r="E1960" t="s">
        <v>649</v>
      </c>
      <c r="F1960" t="s">
        <v>650</v>
      </c>
      <c r="G1960" s="10">
        <v>65</v>
      </c>
      <c r="H1960" s="10">
        <v>93706</v>
      </c>
      <c r="I1960" s="10">
        <v>6090890</v>
      </c>
      <c r="J1960" t="s">
        <v>42</v>
      </c>
      <c r="K1960" s="11">
        <v>3145.8</v>
      </c>
      <c r="L1960" s="12">
        <v>1936.2</v>
      </c>
    </row>
    <row r="1961" spans="1:12" x14ac:dyDescent="0.2">
      <c r="A1961" s="9">
        <v>46245</v>
      </c>
      <c r="B1961" t="s">
        <v>567</v>
      </c>
      <c r="C1961" t="s">
        <v>568</v>
      </c>
      <c r="D1961" t="s">
        <v>41</v>
      </c>
      <c r="E1961" t="s">
        <v>649</v>
      </c>
      <c r="F1961" t="s">
        <v>650</v>
      </c>
      <c r="G1961" s="10">
        <v>56</v>
      </c>
      <c r="H1961" s="10">
        <v>93484</v>
      </c>
      <c r="I1961" s="10">
        <v>5235104</v>
      </c>
      <c r="J1961" t="s">
        <v>42</v>
      </c>
      <c r="K1961" s="11">
        <v>3145.8</v>
      </c>
      <c r="L1961" s="12">
        <v>1664.16</v>
      </c>
    </row>
    <row r="1962" spans="1:12" x14ac:dyDescent="0.2">
      <c r="A1962" s="9">
        <v>46245</v>
      </c>
      <c r="B1962" t="s">
        <v>567</v>
      </c>
      <c r="C1962" t="s">
        <v>568</v>
      </c>
      <c r="D1962" t="s">
        <v>41</v>
      </c>
      <c r="E1962" t="s">
        <v>649</v>
      </c>
      <c r="F1962" t="s">
        <v>663</v>
      </c>
      <c r="G1962" s="10">
        <v>76</v>
      </c>
      <c r="H1962" s="10">
        <v>9463</v>
      </c>
      <c r="I1962" s="10">
        <v>719188</v>
      </c>
      <c r="J1962" t="s">
        <v>42</v>
      </c>
      <c r="K1962" s="11">
        <v>3145.8</v>
      </c>
      <c r="L1962" s="12">
        <v>228.62</v>
      </c>
    </row>
    <row r="1963" spans="1:12" x14ac:dyDescent="0.2">
      <c r="A1963" s="9">
        <v>46245</v>
      </c>
      <c r="B1963" t="s">
        <v>567</v>
      </c>
      <c r="C1963" t="s">
        <v>568</v>
      </c>
      <c r="D1963" t="s">
        <v>41</v>
      </c>
      <c r="E1963" t="s">
        <v>647</v>
      </c>
      <c r="F1963" t="s">
        <v>668</v>
      </c>
      <c r="G1963" s="10">
        <v>76</v>
      </c>
      <c r="H1963" s="10">
        <v>121558</v>
      </c>
      <c r="I1963" s="10">
        <v>9238408</v>
      </c>
      <c r="J1963" t="s">
        <v>42</v>
      </c>
      <c r="K1963" s="11">
        <v>3145.8</v>
      </c>
      <c r="L1963" s="12">
        <v>2936.74</v>
      </c>
    </row>
    <row r="1964" spans="1:12" x14ac:dyDescent="0.2">
      <c r="A1964" s="9">
        <v>46245</v>
      </c>
      <c r="B1964" t="s">
        <v>567</v>
      </c>
      <c r="C1964" t="s">
        <v>568</v>
      </c>
      <c r="D1964" t="s">
        <v>41</v>
      </c>
      <c r="E1964" t="s">
        <v>647</v>
      </c>
      <c r="F1964" t="s">
        <v>648</v>
      </c>
      <c r="G1964" s="10">
        <v>6</v>
      </c>
      <c r="H1964" s="10">
        <v>78338</v>
      </c>
      <c r="I1964" s="10">
        <v>470028</v>
      </c>
      <c r="J1964" t="s">
        <v>42</v>
      </c>
      <c r="K1964" s="11">
        <v>3145.8</v>
      </c>
      <c r="L1964" s="12">
        <v>149.41</v>
      </c>
    </row>
    <row r="1965" spans="1:12" x14ac:dyDescent="0.2">
      <c r="A1965" s="9">
        <v>46245</v>
      </c>
      <c r="B1965" t="s">
        <v>573</v>
      </c>
      <c r="C1965" t="s">
        <v>574</v>
      </c>
      <c r="D1965" t="s">
        <v>41</v>
      </c>
      <c r="E1965" t="s">
        <v>653</v>
      </c>
      <c r="F1965" t="s">
        <v>666</v>
      </c>
      <c r="G1965" s="10">
        <v>11</v>
      </c>
      <c r="H1965" s="10">
        <v>7020</v>
      </c>
      <c r="I1965" s="10">
        <v>77220</v>
      </c>
      <c r="J1965" t="s">
        <v>42</v>
      </c>
      <c r="K1965" s="11">
        <v>3145.8</v>
      </c>
      <c r="L1965" s="12">
        <v>24.55</v>
      </c>
    </row>
    <row r="1966" spans="1:12" x14ac:dyDescent="0.2">
      <c r="A1966" s="9">
        <v>46245</v>
      </c>
      <c r="B1966" t="s">
        <v>573</v>
      </c>
      <c r="C1966" t="s">
        <v>574</v>
      </c>
      <c r="D1966" t="s">
        <v>41</v>
      </c>
      <c r="E1966" t="s">
        <v>649</v>
      </c>
      <c r="F1966" t="s">
        <v>663</v>
      </c>
      <c r="G1966" s="10">
        <v>1</v>
      </c>
      <c r="H1966" s="10">
        <v>10035</v>
      </c>
      <c r="I1966" s="10">
        <v>10035</v>
      </c>
      <c r="J1966" t="s">
        <v>42</v>
      </c>
      <c r="K1966" s="11">
        <v>3145.8</v>
      </c>
      <c r="L1966" s="12">
        <v>3.19</v>
      </c>
    </row>
    <row r="1967" spans="1:12" x14ac:dyDescent="0.2">
      <c r="A1967" s="9">
        <v>46245</v>
      </c>
      <c r="B1967" t="s">
        <v>573</v>
      </c>
      <c r="C1967" t="s">
        <v>574</v>
      </c>
      <c r="D1967" t="s">
        <v>41</v>
      </c>
      <c r="E1967" t="s">
        <v>647</v>
      </c>
      <c r="F1967" t="s">
        <v>668</v>
      </c>
      <c r="G1967" s="10">
        <v>14</v>
      </c>
      <c r="H1967" s="10">
        <v>126788</v>
      </c>
      <c r="I1967" s="10">
        <v>1775032</v>
      </c>
      <c r="J1967" t="s">
        <v>42</v>
      </c>
      <c r="K1967" s="11">
        <v>3145.8</v>
      </c>
      <c r="L1967" s="12">
        <v>564.25</v>
      </c>
    </row>
    <row r="1968" spans="1:12" x14ac:dyDescent="0.2">
      <c r="A1968" s="9">
        <v>46245</v>
      </c>
      <c r="B1968" t="s">
        <v>576</v>
      </c>
      <c r="C1968" t="s">
        <v>577</v>
      </c>
      <c r="D1968" t="s">
        <v>50</v>
      </c>
      <c r="E1968" t="s">
        <v>660</v>
      </c>
      <c r="F1968" t="s">
        <v>669</v>
      </c>
      <c r="G1968" s="10">
        <v>18</v>
      </c>
      <c r="H1968" s="10">
        <v>2557</v>
      </c>
      <c r="I1968" s="10">
        <v>46026</v>
      </c>
      <c r="J1968" t="s">
        <v>51</v>
      </c>
      <c r="K1968" s="11">
        <v>648.20000000000005</v>
      </c>
      <c r="L1968" s="12">
        <v>71.010000000000005</v>
      </c>
    </row>
    <row r="1969" spans="1:12" x14ac:dyDescent="0.2">
      <c r="A1969" s="9">
        <v>46245</v>
      </c>
      <c r="B1969" t="s">
        <v>579</v>
      </c>
      <c r="C1969" t="s">
        <v>580</v>
      </c>
      <c r="D1969" t="s">
        <v>75</v>
      </c>
      <c r="E1969" t="s">
        <v>649</v>
      </c>
      <c r="F1969" t="s">
        <v>650</v>
      </c>
      <c r="G1969" s="10">
        <v>8</v>
      </c>
      <c r="H1969" s="10">
        <v>92781</v>
      </c>
      <c r="I1969" s="10">
        <v>742248</v>
      </c>
      <c r="J1969" t="s">
        <v>42</v>
      </c>
      <c r="K1969" s="11">
        <v>3145.8</v>
      </c>
      <c r="L1969" s="12">
        <v>235.95</v>
      </c>
    </row>
    <row r="1970" spans="1:12" x14ac:dyDescent="0.2">
      <c r="A1970" s="9">
        <v>46245</v>
      </c>
      <c r="B1970" t="s">
        <v>579</v>
      </c>
      <c r="C1970" t="s">
        <v>580</v>
      </c>
      <c r="D1970" t="s">
        <v>75</v>
      </c>
      <c r="E1970" t="s">
        <v>649</v>
      </c>
      <c r="F1970" t="s">
        <v>659</v>
      </c>
      <c r="G1970" s="10">
        <v>8</v>
      </c>
      <c r="H1970" s="10">
        <v>44079</v>
      </c>
      <c r="I1970" s="10">
        <v>352632</v>
      </c>
      <c r="J1970" t="s">
        <v>42</v>
      </c>
      <c r="K1970" s="11">
        <v>3145.8</v>
      </c>
      <c r="L1970" s="12">
        <v>112.1</v>
      </c>
    </row>
    <row r="1971" spans="1:12" x14ac:dyDescent="0.2">
      <c r="A1971" s="9">
        <v>46245</v>
      </c>
      <c r="B1971" t="s">
        <v>579</v>
      </c>
      <c r="C1971" t="s">
        <v>580</v>
      </c>
      <c r="D1971" t="s">
        <v>75</v>
      </c>
      <c r="E1971" t="s">
        <v>660</v>
      </c>
      <c r="F1971" t="s">
        <v>661</v>
      </c>
      <c r="G1971" s="10">
        <v>1</v>
      </c>
      <c r="H1971" s="10">
        <v>20406</v>
      </c>
      <c r="I1971" s="10">
        <v>20406</v>
      </c>
      <c r="J1971" t="s">
        <v>42</v>
      </c>
      <c r="K1971" s="11">
        <v>3145.8</v>
      </c>
      <c r="L1971" s="12">
        <v>6.49</v>
      </c>
    </row>
    <row r="1972" spans="1:12" x14ac:dyDescent="0.2">
      <c r="A1972" s="9">
        <v>46245</v>
      </c>
      <c r="B1972" t="s">
        <v>582</v>
      </c>
      <c r="C1972" t="s">
        <v>583</v>
      </c>
      <c r="D1972" t="s">
        <v>36</v>
      </c>
      <c r="E1972" t="s">
        <v>651</v>
      </c>
      <c r="F1972" t="s">
        <v>652</v>
      </c>
      <c r="G1972" s="10">
        <v>14</v>
      </c>
      <c r="H1972" s="10">
        <v>9560</v>
      </c>
      <c r="I1972" s="10">
        <v>133840</v>
      </c>
      <c r="J1972" t="s">
        <v>37</v>
      </c>
      <c r="K1972" s="11">
        <v>648.20000000000005</v>
      </c>
      <c r="L1972" s="12">
        <v>206.48</v>
      </c>
    </row>
    <row r="1973" spans="1:12" x14ac:dyDescent="0.2">
      <c r="A1973" s="9">
        <v>46245</v>
      </c>
      <c r="B1973" t="s">
        <v>590</v>
      </c>
      <c r="C1973" t="s">
        <v>591</v>
      </c>
      <c r="D1973" t="s">
        <v>41</v>
      </c>
      <c r="E1973" t="s">
        <v>660</v>
      </c>
      <c r="F1973" t="s">
        <v>670</v>
      </c>
      <c r="G1973" s="10">
        <v>3</v>
      </c>
      <c r="H1973" s="10">
        <v>72262</v>
      </c>
      <c r="I1973" s="10">
        <v>216786</v>
      </c>
      <c r="J1973" t="s">
        <v>42</v>
      </c>
      <c r="K1973" s="11">
        <v>3145.8</v>
      </c>
      <c r="L1973" s="12">
        <v>68.91</v>
      </c>
    </row>
    <row r="1974" spans="1:12" x14ac:dyDescent="0.2">
      <c r="A1974" s="9">
        <v>46245</v>
      </c>
      <c r="B1974" t="s">
        <v>593</v>
      </c>
      <c r="C1974" t="s">
        <v>594</v>
      </c>
      <c r="D1974" t="s">
        <v>50</v>
      </c>
      <c r="E1974" t="s">
        <v>655</v>
      </c>
      <c r="F1974" t="s">
        <v>656</v>
      </c>
      <c r="G1974" s="10">
        <v>2</v>
      </c>
      <c r="H1974" s="10">
        <v>575</v>
      </c>
      <c r="I1974" s="10">
        <v>1150</v>
      </c>
      <c r="J1974" t="s">
        <v>51</v>
      </c>
      <c r="K1974" s="11">
        <v>648.20000000000005</v>
      </c>
      <c r="L1974" s="12">
        <v>1.77</v>
      </c>
    </row>
    <row r="1975" spans="1:12" x14ac:dyDescent="0.2">
      <c r="A1975" s="9">
        <v>46245</v>
      </c>
      <c r="B1975" t="s">
        <v>602</v>
      </c>
      <c r="C1975" t="s">
        <v>603</v>
      </c>
      <c r="D1975" t="s">
        <v>50</v>
      </c>
      <c r="E1975" t="s">
        <v>655</v>
      </c>
      <c r="F1975" t="s">
        <v>665</v>
      </c>
      <c r="G1975" s="10">
        <v>6</v>
      </c>
      <c r="H1975" s="10">
        <v>701</v>
      </c>
      <c r="I1975" s="10">
        <v>4206</v>
      </c>
      <c r="J1975" t="s">
        <v>51</v>
      </c>
      <c r="K1975" s="11">
        <v>648.20000000000005</v>
      </c>
      <c r="L1975" s="12">
        <v>6.49</v>
      </c>
    </row>
    <row r="1976" spans="1:12" x14ac:dyDescent="0.2">
      <c r="A1976" s="9">
        <v>46245</v>
      </c>
      <c r="B1976" t="s">
        <v>611</v>
      </c>
      <c r="C1976" t="s">
        <v>612</v>
      </c>
      <c r="D1976" t="s">
        <v>41</v>
      </c>
      <c r="E1976" t="s">
        <v>653</v>
      </c>
      <c r="F1976" t="s">
        <v>658</v>
      </c>
      <c r="G1976" s="10">
        <v>9</v>
      </c>
      <c r="H1976" s="10">
        <v>12947</v>
      </c>
      <c r="I1976" s="10">
        <v>116523</v>
      </c>
      <c r="J1976" t="s">
        <v>42</v>
      </c>
      <c r="K1976" s="11">
        <v>3145.8</v>
      </c>
      <c r="L1976" s="12">
        <v>37.04</v>
      </c>
    </row>
    <row r="1977" spans="1:12" x14ac:dyDescent="0.2">
      <c r="A1977" s="9">
        <v>46245</v>
      </c>
      <c r="B1977" t="s">
        <v>611</v>
      </c>
      <c r="C1977" t="s">
        <v>612</v>
      </c>
      <c r="D1977" t="s">
        <v>41</v>
      </c>
      <c r="E1977" t="s">
        <v>651</v>
      </c>
      <c r="F1977" t="s">
        <v>664</v>
      </c>
      <c r="G1977" s="10">
        <v>8</v>
      </c>
      <c r="H1977" s="10">
        <v>57851</v>
      </c>
      <c r="I1977" s="10">
        <v>462808</v>
      </c>
      <c r="J1977" t="s">
        <v>42</v>
      </c>
      <c r="K1977" s="11">
        <v>3145.8</v>
      </c>
      <c r="L1977" s="12">
        <v>147.12</v>
      </c>
    </row>
    <row r="1978" spans="1:12" x14ac:dyDescent="0.2">
      <c r="A1978" s="9">
        <v>46245</v>
      </c>
      <c r="B1978" t="s">
        <v>617</v>
      </c>
      <c r="C1978" t="s">
        <v>618</v>
      </c>
      <c r="D1978" t="s">
        <v>75</v>
      </c>
      <c r="E1978" t="s">
        <v>653</v>
      </c>
      <c r="F1978" t="s">
        <v>666</v>
      </c>
      <c r="G1978" s="10">
        <v>13</v>
      </c>
      <c r="H1978" s="10">
        <v>7347</v>
      </c>
      <c r="I1978" s="10">
        <v>95511</v>
      </c>
      <c r="J1978" t="s">
        <v>42</v>
      </c>
      <c r="K1978" s="11">
        <v>3145.8</v>
      </c>
      <c r="L1978" s="12">
        <v>30.36</v>
      </c>
    </row>
    <row r="1979" spans="1:12" x14ac:dyDescent="0.2">
      <c r="A1979" s="9">
        <v>46245</v>
      </c>
      <c r="B1979" t="s">
        <v>617</v>
      </c>
      <c r="C1979" t="s">
        <v>618</v>
      </c>
      <c r="D1979" t="s">
        <v>75</v>
      </c>
      <c r="E1979" t="s">
        <v>653</v>
      </c>
      <c r="F1979" t="s">
        <v>666</v>
      </c>
      <c r="G1979" s="10">
        <v>1</v>
      </c>
      <c r="H1979" s="10">
        <v>7366</v>
      </c>
      <c r="I1979" s="10">
        <v>7366</v>
      </c>
      <c r="J1979" t="s">
        <v>42</v>
      </c>
      <c r="K1979" s="11">
        <v>3145.8</v>
      </c>
      <c r="L1979" s="12">
        <v>2.34</v>
      </c>
    </row>
    <row r="1980" spans="1:12" x14ac:dyDescent="0.2">
      <c r="A1980" s="9">
        <v>46245</v>
      </c>
      <c r="B1980" t="s">
        <v>617</v>
      </c>
      <c r="C1980" t="s">
        <v>618</v>
      </c>
      <c r="D1980" t="s">
        <v>75</v>
      </c>
      <c r="E1980" t="s">
        <v>649</v>
      </c>
      <c r="F1980" t="s">
        <v>650</v>
      </c>
      <c r="G1980" s="10">
        <v>6</v>
      </c>
      <c r="H1980" s="10">
        <v>92474</v>
      </c>
      <c r="I1980" s="10">
        <v>554844</v>
      </c>
      <c r="J1980" t="s">
        <v>42</v>
      </c>
      <c r="K1980" s="11">
        <v>3145.8</v>
      </c>
      <c r="L1980" s="12">
        <v>176.38</v>
      </c>
    </row>
    <row r="1981" spans="1:12" x14ac:dyDescent="0.2">
      <c r="A1981" s="9">
        <v>46245</v>
      </c>
      <c r="B1981" t="s">
        <v>617</v>
      </c>
      <c r="C1981" t="s">
        <v>618</v>
      </c>
      <c r="D1981" t="s">
        <v>75</v>
      </c>
      <c r="E1981" t="s">
        <v>647</v>
      </c>
      <c r="F1981" t="s">
        <v>648</v>
      </c>
      <c r="G1981" s="10">
        <v>7</v>
      </c>
      <c r="H1981" s="10">
        <v>77272</v>
      </c>
      <c r="I1981" s="10">
        <v>540904</v>
      </c>
      <c r="J1981" t="s">
        <v>42</v>
      </c>
      <c r="K1981" s="11">
        <v>3145.8</v>
      </c>
      <c r="L1981" s="12">
        <v>171.94</v>
      </c>
    </row>
    <row r="1982" spans="1:12" x14ac:dyDescent="0.2">
      <c r="A1982" s="9">
        <v>46245</v>
      </c>
      <c r="B1982" t="s">
        <v>617</v>
      </c>
      <c r="C1982" t="s">
        <v>618</v>
      </c>
      <c r="D1982" t="s">
        <v>75</v>
      </c>
      <c r="E1982" t="s">
        <v>647</v>
      </c>
      <c r="F1982" t="s">
        <v>667</v>
      </c>
      <c r="G1982" s="10">
        <v>4</v>
      </c>
      <c r="H1982" s="10">
        <v>35626</v>
      </c>
      <c r="I1982" s="10">
        <v>142504</v>
      </c>
      <c r="J1982" t="s">
        <v>42</v>
      </c>
      <c r="K1982" s="11">
        <v>3145.8</v>
      </c>
      <c r="L1982" s="12">
        <v>45.3</v>
      </c>
    </row>
    <row r="1983" spans="1:12" x14ac:dyDescent="0.2">
      <c r="A1983" s="9">
        <v>46245</v>
      </c>
      <c r="B1983" t="s">
        <v>620</v>
      </c>
      <c r="C1983" t="s">
        <v>621</v>
      </c>
      <c r="D1983" t="s">
        <v>50</v>
      </c>
      <c r="E1983" t="s">
        <v>653</v>
      </c>
      <c r="F1983" t="s">
        <v>666</v>
      </c>
      <c r="G1983" s="10">
        <v>7</v>
      </c>
      <c r="H1983" s="10">
        <v>1547</v>
      </c>
      <c r="I1983" s="10">
        <v>10829</v>
      </c>
      <c r="J1983" t="s">
        <v>51</v>
      </c>
      <c r="K1983" s="11">
        <v>648.20000000000005</v>
      </c>
      <c r="L1983" s="12">
        <v>16.71</v>
      </c>
    </row>
    <row r="1984" spans="1:12" x14ac:dyDescent="0.2">
      <c r="A1984" s="9">
        <v>46245</v>
      </c>
      <c r="B1984" t="s">
        <v>620</v>
      </c>
      <c r="C1984" t="s">
        <v>621</v>
      </c>
      <c r="D1984" t="s">
        <v>50</v>
      </c>
      <c r="E1984" t="s">
        <v>660</v>
      </c>
      <c r="F1984" t="s">
        <v>669</v>
      </c>
      <c r="G1984" s="10">
        <v>11</v>
      </c>
      <c r="H1984" s="10">
        <v>2687</v>
      </c>
      <c r="I1984" s="10">
        <v>29557</v>
      </c>
      <c r="J1984" t="s">
        <v>51</v>
      </c>
      <c r="K1984" s="11">
        <v>648.20000000000005</v>
      </c>
      <c r="L1984" s="12">
        <v>45.6</v>
      </c>
    </row>
    <row r="1985" spans="1:12" x14ac:dyDescent="0.2">
      <c r="A1985" s="9">
        <v>46245</v>
      </c>
      <c r="B1985" t="s">
        <v>620</v>
      </c>
      <c r="C1985" t="s">
        <v>621</v>
      </c>
      <c r="D1985" t="s">
        <v>50</v>
      </c>
      <c r="E1985" t="s">
        <v>647</v>
      </c>
      <c r="F1985" t="s">
        <v>667</v>
      </c>
      <c r="G1985" s="10">
        <v>7</v>
      </c>
      <c r="H1985" s="10">
        <v>7557</v>
      </c>
      <c r="I1985" s="10">
        <v>52899</v>
      </c>
      <c r="J1985" t="s">
        <v>51</v>
      </c>
      <c r="K1985" s="11">
        <v>648.20000000000005</v>
      </c>
      <c r="L1985" s="12">
        <v>81.61</v>
      </c>
    </row>
    <row r="1986" spans="1:12" x14ac:dyDescent="0.2">
      <c r="A1986" s="9">
        <v>46245</v>
      </c>
      <c r="B1986" t="s">
        <v>629</v>
      </c>
      <c r="C1986" t="s">
        <v>630</v>
      </c>
      <c r="D1986" t="s">
        <v>46</v>
      </c>
      <c r="E1986" t="s">
        <v>660</v>
      </c>
      <c r="F1986" t="s">
        <v>669</v>
      </c>
      <c r="G1986" s="10">
        <v>18</v>
      </c>
      <c r="H1986" s="10">
        <v>2663</v>
      </c>
      <c r="I1986" s="10">
        <v>47934</v>
      </c>
      <c r="J1986" t="s">
        <v>37</v>
      </c>
      <c r="K1986" s="11">
        <v>648.20000000000005</v>
      </c>
      <c r="L1986" s="12">
        <v>73.95</v>
      </c>
    </row>
    <row r="1987" spans="1:12" x14ac:dyDescent="0.2">
      <c r="A1987" s="9">
        <v>46245</v>
      </c>
      <c r="B1987" t="s">
        <v>632</v>
      </c>
      <c r="C1987" t="s">
        <v>633</v>
      </c>
      <c r="D1987" t="s">
        <v>68</v>
      </c>
      <c r="E1987" t="s">
        <v>649</v>
      </c>
      <c r="F1987" t="s">
        <v>650</v>
      </c>
      <c r="G1987" s="10">
        <v>3</v>
      </c>
      <c r="H1987" s="10">
        <v>19942</v>
      </c>
      <c r="I1987" s="10">
        <v>59826</v>
      </c>
      <c r="J1987" t="s">
        <v>51</v>
      </c>
      <c r="K1987" s="11">
        <v>648.20000000000005</v>
      </c>
      <c r="L1987" s="12">
        <v>92.3</v>
      </c>
    </row>
    <row r="1988" spans="1:12" x14ac:dyDescent="0.2">
      <c r="A1988" s="9">
        <v>46245</v>
      </c>
      <c r="B1988" t="s">
        <v>632</v>
      </c>
      <c r="C1988" t="s">
        <v>633</v>
      </c>
      <c r="D1988" t="s">
        <v>68</v>
      </c>
      <c r="E1988" t="s">
        <v>647</v>
      </c>
      <c r="F1988" t="s">
        <v>667</v>
      </c>
      <c r="G1988" s="10">
        <v>4</v>
      </c>
      <c r="H1988" s="10">
        <v>7433</v>
      </c>
      <c r="I1988" s="10">
        <v>29732</v>
      </c>
      <c r="J1988" t="s">
        <v>51</v>
      </c>
      <c r="K1988" s="11">
        <v>648.20000000000005</v>
      </c>
      <c r="L1988" s="12">
        <v>45.87</v>
      </c>
    </row>
    <row r="1989" spans="1:12" x14ac:dyDescent="0.2">
      <c r="A1989" s="9">
        <v>46245</v>
      </c>
      <c r="B1989" t="s">
        <v>632</v>
      </c>
      <c r="C1989" t="s">
        <v>633</v>
      </c>
      <c r="D1989" t="s">
        <v>68</v>
      </c>
      <c r="E1989" t="s">
        <v>651</v>
      </c>
      <c r="F1989" t="s">
        <v>664</v>
      </c>
      <c r="G1989" s="10">
        <v>1</v>
      </c>
      <c r="H1989" s="10">
        <v>11822</v>
      </c>
      <c r="I1989" s="10">
        <v>11822</v>
      </c>
      <c r="J1989" t="s">
        <v>51</v>
      </c>
      <c r="K1989" s="11">
        <v>648.20000000000005</v>
      </c>
      <c r="L1989" s="12">
        <v>18.239999999999998</v>
      </c>
    </row>
    <row r="1990" spans="1:12" x14ac:dyDescent="0.2">
      <c r="A1990" s="9">
        <v>46246</v>
      </c>
      <c r="B1990" t="s">
        <v>34</v>
      </c>
      <c r="C1990" t="s">
        <v>35</v>
      </c>
      <c r="D1990" t="s">
        <v>36</v>
      </c>
      <c r="E1990" t="s">
        <v>660</v>
      </c>
      <c r="F1990" t="s">
        <v>669</v>
      </c>
      <c r="G1990" s="10">
        <v>29</v>
      </c>
      <c r="H1990" s="10">
        <v>2529</v>
      </c>
      <c r="I1990" s="10">
        <v>73341</v>
      </c>
      <c r="J1990" t="s">
        <v>37</v>
      </c>
      <c r="K1990" s="11">
        <v>648.20000000000005</v>
      </c>
      <c r="L1990" s="12">
        <v>113.15</v>
      </c>
    </row>
    <row r="1991" spans="1:12" x14ac:dyDescent="0.2">
      <c r="A1991" s="9">
        <v>46246</v>
      </c>
      <c r="B1991" t="s">
        <v>39</v>
      </c>
      <c r="C1991" t="s">
        <v>40</v>
      </c>
      <c r="D1991" t="s">
        <v>41</v>
      </c>
      <c r="E1991" t="s">
        <v>660</v>
      </c>
      <c r="F1991" t="s">
        <v>670</v>
      </c>
      <c r="G1991" s="10">
        <v>7</v>
      </c>
      <c r="H1991" s="10">
        <v>72702</v>
      </c>
      <c r="I1991" s="10">
        <v>508914</v>
      </c>
      <c r="J1991" t="s">
        <v>42</v>
      </c>
      <c r="K1991" s="11">
        <v>3145.8</v>
      </c>
      <c r="L1991" s="12">
        <v>161.78</v>
      </c>
    </row>
    <row r="1992" spans="1:12" x14ac:dyDescent="0.2">
      <c r="A1992" s="9">
        <v>46246</v>
      </c>
      <c r="B1992" t="s">
        <v>48</v>
      </c>
      <c r="C1992" t="s">
        <v>49</v>
      </c>
      <c r="D1992" t="s">
        <v>50</v>
      </c>
      <c r="E1992" t="s">
        <v>651</v>
      </c>
      <c r="F1992" t="s">
        <v>652</v>
      </c>
      <c r="G1992" s="10">
        <v>2</v>
      </c>
      <c r="H1992" s="10">
        <v>9915</v>
      </c>
      <c r="I1992" s="10">
        <v>19830</v>
      </c>
      <c r="J1992" t="s">
        <v>51</v>
      </c>
      <c r="K1992" s="11">
        <v>648.20000000000005</v>
      </c>
      <c r="L1992" s="12">
        <v>30.59</v>
      </c>
    </row>
    <row r="1993" spans="1:12" x14ac:dyDescent="0.2">
      <c r="A1993" s="9">
        <v>46246</v>
      </c>
      <c r="B1993" t="s">
        <v>48</v>
      </c>
      <c r="C1993" t="s">
        <v>49</v>
      </c>
      <c r="D1993" t="s">
        <v>50</v>
      </c>
      <c r="E1993" t="s">
        <v>647</v>
      </c>
      <c r="F1993" t="s">
        <v>648</v>
      </c>
      <c r="G1993" s="10">
        <v>12</v>
      </c>
      <c r="H1993" s="10">
        <v>16672</v>
      </c>
      <c r="I1993" s="10">
        <v>200064</v>
      </c>
      <c r="J1993" t="s">
        <v>51</v>
      </c>
      <c r="K1993" s="11">
        <v>648.20000000000005</v>
      </c>
      <c r="L1993" s="12">
        <v>308.64999999999998</v>
      </c>
    </row>
    <row r="1994" spans="1:12" x14ac:dyDescent="0.2">
      <c r="A1994" s="9">
        <v>46246</v>
      </c>
      <c r="B1994" t="s">
        <v>56</v>
      </c>
      <c r="C1994" t="s">
        <v>57</v>
      </c>
      <c r="D1994" t="s">
        <v>46</v>
      </c>
      <c r="E1994" t="s">
        <v>649</v>
      </c>
      <c r="F1994" t="s">
        <v>659</v>
      </c>
      <c r="G1994" s="10">
        <v>2</v>
      </c>
      <c r="H1994" s="10">
        <v>8900</v>
      </c>
      <c r="I1994" s="10">
        <v>17800</v>
      </c>
      <c r="J1994" t="s">
        <v>37</v>
      </c>
      <c r="K1994" s="11">
        <v>648.20000000000005</v>
      </c>
      <c r="L1994" s="12">
        <v>27.46</v>
      </c>
    </row>
    <row r="1995" spans="1:12" x14ac:dyDescent="0.2">
      <c r="A1995" s="9">
        <v>46246</v>
      </c>
      <c r="B1995" t="s">
        <v>63</v>
      </c>
      <c r="C1995" t="s">
        <v>64</v>
      </c>
      <c r="D1995" t="s">
        <v>50</v>
      </c>
      <c r="E1995" t="s">
        <v>655</v>
      </c>
      <c r="F1995" t="s">
        <v>662</v>
      </c>
      <c r="G1995" s="10">
        <v>5</v>
      </c>
      <c r="H1995" s="10">
        <v>1103</v>
      </c>
      <c r="I1995" s="10">
        <v>5515</v>
      </c>
      <c r="J1995" t="s">
        <v>51</v>
      </c>
      <c r="K1995" s="11">
        <v>648.20000000000005</v>
      </c>
      <c r="L1995" s="12">
        <v>8.51</v>
      </c>
    </row>
    <row r="1996" spans="1:12" x14ac:dyDescent="0.2">
      <c r="A1996" s="9">
        <v>46246</v>
      </c>
      <c r="B1996" t="s">
        <v>63</v>
      </c>
      <c r="C1996" t="s">
        <v>64</v>
      </c>
      <c r="D1996" t="s">
        <v>50</v>
      </c>
      <c r="E1996" t="s">
        <v>647</v>
      </c>
      <c r="F1996" t="s">
        <v>667</v>
      </c>
      <c r="G1996" s="10">
        <v>4</v>
      </c>
      <c r="H1996" s="10">
        <v>7057</v>
      </c>
      <c r="I1996" s="10">
        <v>28228</v>
      </c>
      <c r="J1996" t="s">
        <v>51</v>
      </c>
      <c r="K1996" s="11">
        <v>648.20000000000005</v>
      </c>
      <c r="L1996" s="12">
        <v>43.55</v>
      </c>
    </row>
    <row r="1997" spans="1:12" x14ac:dyDescent="0.2">
      <c r="A1997" s="9">
        <v>46246</v>
      </c>
      <c r="B1997" t="s">
        <v>63</v>
      </c>
      <c r="C1997" t="s">
        <v>64</v>
      </c>
      <c r="D1997" t="s">
        <v>50</v>
      </c>
      <c r="E1997" t="s">
        <v>655</v>
      </c>
      <c r="F1997" t="s">
        <v>656</v>
      </c>
      <c r="G1997" s="10">
        <v>34</v>
      </c>
      <c r="H1997" s="10">
        <v>564</v>
      </c>
      <c r="I1997" s="10">
        <v>19176</v>
      </c>
      <c r="J1997" t="s">
        <v>51</v>
      </c>
      <c r="K1997" s="11">
        <v>648.20000000000005</v>
      </c>
      <c r="L1997" s="12">
        <v>29.58</v>
      </c>
    </row>
    <row r="1998" spans="1:12" x14ac:dyDescent="0.2">
      <c r="A1998" s="9">
        <v>46246</v>
      </c>
      <c r="B1998" t="s">
        <v>73</v>
      </c>
      <c r="C1998" t="s">
        <v>74</v>
      </c>
      <c r="D1998" t="s">
        <v>75</v>
      </c>
      <c r="E1998" t="s">
        <v>660</v>
      </c>
      <c r="F1998" t="s">
        <v>661</v>
      </c>
      <c r="G1998" s="10">
        <v>94</v>
      </c>
      <c r="H1998" s="10">
        <v>20518</v>
      </c>
      <c r="I1998" s="10">
        <v>1928692</v>
      </c>
      <c r="J1998" t="s">
        <v>42</v>
      </c>
      <c r="K1998" s="11">
        <v>3145.8</v>
      </c>
      <c r="L1998" s="12">
        <v>613.1</v>
      </c>
    </row>
    <row r="1999" spans="1:12" x14ac:dyDescent="0.2">
      <c r="A1999" s="9">
        <v>46246</v>
      </c>
      <c r="B1999" t="s">
        <v>73</v>
      </c>
      <c r="C1999" t="s">
        <v>74</v>
      </c>
      <c r="D1999" t="s">
        <v>75</v>
      </c>
      <c r="E1999" t="s">
        <v>655</v>
      </c>
      <c r="F1999" t="s">
        <v>656</v>
      </c>
      <c r="G1999" s="10">
        <v>176</v>
      </c>
      <c r="H1999" s="10">
        <v>2841</v>
      </c>
      <c r="I1999" s="10">
        <v>500016</v>
      </c>
      <c r="J1999" t="s">
        <v>42</v>
      </c>
      <c r="K1999" s="11">
        <v>3145.8</v>
      </c>
      <c r="L1999" s="12">
        <v>158.94999999999999</v>
      </c>
    </row>
    <row r="2000" spans="1:12" x14ac:dyDescent="0.2">
      <c r="A2000" s="9">
        <v>46246</v>
      </c>
      <c r="B2000" t="s">
        <v>77</v>
      </c>
      <c r="C2000" t="s">
        <v>78</v>
      </c>
      <c r="D2000" t="s">
        <v>50</v>
      </c>
      <c r="E2000" t="s">
        <v>649</v>
      </c>
      <c r="F2000" t="s">
        <v>650</v>
      </c>
      <c r="G2000" s="10">
        <v>93</v>
      </c>
      <c r="H2000" s="10">
        <v>19068</v>
      </c>
      <c r="I2000" s="10">
        <v>1773324</v>
      </c>
      <c r="J2000" t="s">
        <v>51</v>
      </c>
      <c r="K2000" s="11">
        <v>648.20000000000005</v>
      </c>
      <c r="L2000" s="12">
        <v>2735.77</v>
      </c>
    </row>
    <row r="2001" spans="1:12" x14ac:dyDescent="0.2">
      <c r="A2001" s="9">
        <v>46246</v>
      </c>
      <c r="B2001" t="s">
        <v>83</v>
      </c>
      <c r="C2001" t="s">
        <v>84</v>
      </c>
      <c r="D2001" t="s">
        <v>41</v>
      </c>
      <c r="E2001" t="s">
        <v>649</v>
      </c>
      <c r="F2001" t="s">
        <v>650</v>
      </c>
      <c r="G2001" s="10">
        <v>10</v>
      </c>
      <c r="H2001" s="10">
        <v>89910</v>
      </c>
      <c r="I2001" s="10">
        <v>899100</v>
      </c>
      <c r="J2001" t="s">
        <v>42</v>
      </c>
      <c r="K2001" s="11">
        <v>3145.8</v>
      </c>
      <c r="L2001" s="12">
        <v>285.81</v>
      </c>
    </row>
    <row r="2002" spans="1:12" x14ac:dyDescent="0.2">
      <c r="A2002" s="9">
        <v>46246</v>
      </c>
      <c r="B2002" t="s">
        <v>83</v>
      </c>
      <c r="C2002" t="s">
        <v>84</v>
      </c>
      <c r="D2002" t="s">
        <v>41</v>
      </c>
      <c r="E2002" t="s">
        <v>660</v>
      </c>
      <c r="F2002" t="s">
        <v>661</v>
      </c>
      <c r="G2002" s="10">
        <v>20</v>
      </c>
      <c r="H2002" s="10">
        <v>19596</v>
      </c>
      <c r="I2002" s="10">
        <v>391920</v>
      </c>
      <c r="J2002" t="s">
        <v>42</v>
      </c>
      <c r="K2002" s="11">
        <v>3145.8</v>
      </c>
      <c r="L2002" s="12">
        <v>124.59</v>
      </c>
    </row>
    <row r="2003" spans="1:12" x14ac:dyDescent="0.2">
      <c r="A2003" s="9">
        <v>46246</v>
      </c>
      <c r="B2003" t="s">
        <v>83</v>
      </c>
      <c r="C2003" t="s">
        <v>84</v>
      </c>
      <c r="D2003" t="s">
        <v>41</v>
      </c>
      <c r="E2003" t="s">
        <v>660</v>
      </c>
      <c r="F2003" t="s">
        <v>661</v>
      </c>
      <c r="G2003" s="10">
        <v>5</v>
      </c>
      <c r="H2003" s="10">
        <v>20758</v>
      </c>
      <c r="I2003" s="10">
        <v>103790</v>
      </c>
      <c r="J2003" t="s">
        <v>42</v>
      </c>
      <c r="K2003" s="11">
        <v>3145.8</v>
      </c>
      <c r="L2003" s="12">
        <v>32.99</v>
      </c>
    </row>
    <row r="2004" spans="1:12" x14ac:dyDescent="0.2">
      <c r="A2004" s="9">
        <v>46246</v>
      </c>
      <c r="B2004" t="s">
        <v>83</v>
      </c>
      <c r="C2004" t="s">
        <v>84</v>
      </c>
      <c r="D2004" t="s">
        <v>41</v>
      </c>
      <c r="E2004" t="s">
        <v>653</v>
      </c>
      <c r="F2004" t="s">
        <v>654</v>
      </c>
      <c r="G2004" s="10">
        <v>77</v>
      </c>
      <c r="H2004" s="10">
        <v>27780</v>
      </c>
      <c r="I2004" s="10">
        <v>2139060</v>
      </c>
      <c r="J2004" t="s">
        <v>42</v>
      </c>
      <c r="K2004" s="11">
        <v>3145.8</v>
      </c>
      <c r="L2004" s="12">
        <v>679.97</v>
      </c>
    </row>
    <row r="2005" spans="1:12" x14ac:dyDescent="0.2">
      <c r="A2005" s="9">
        <v>46246</v>
      </c>
      <c r="B2005" t="s">
        <v>86</v>
      </c>
      <c r="C2005" t="s">
        <v>87</v>
      </c>
      <c r="D2005" t="s">
        <v>50</v>
      </c>
      <c r="E2005" t="s">
        <v>660</v>
      </c>
      <c r="F2005" t="s">
        <v>661</v>
      </c>
      <c r="G2005" s="10">
        <v>9</v>
      </c>
      <c r="H2005" s="10">
        <v>4101</v>
      </c>
      <c r="I2005" s="10">
        <v>36909</v>
      </c>
      <c r="J2005" t="s">
        <v>51</v>
      </c>
      <c r="K2005" s="11">
        <v>648.20000000000005</v>
      </c>
      <c r="L2005" s="12">
        <v>56.94</v>
      </c>
    </row>
    <row r="2006" spans="1:12" x14ac:dyDescent="0.2">
      <c r="A2006" s="9">
        <v>46246</v>
      </c>
      <c r="B2006" t="s">
        <v>86</v>
      </c>
      <c r="C2006" t="s">
        <v>87</v>
      </c>
      <c r="D2006" t="s">
        <v>50</v>
      </c>
      <c r="E2006" t="s">
        <v>651</v>
      </c>
      <c r="F2006" t="s">
        <v>664</v>
      </c>
      <c r="G2006" s="10">
        <v>1</v>
      </c>
      <c r="H2006" s="10">
        <v>12193</v>
      </c>
      <c r="I2006" s="10">
        <v>12193</v>
      </c>
      <c r="J2006" t="s">
        <v>51</v>
      </c>
      <c r="K2006" s="11">
        <v>648.20000000000005</v>
      </c>
      <c r="L2006" s="12">
        <v>18.809999999999999</v>
      </c>
    </row>
    <row r="2007" spans="1:12" x14ac:dyDescent="0.2">
      <c r="A2007" s="9">
        <v>46246</v>
      </c>
      <c r="B2007" t="s">
        <v>89</v>
      </c>
      <c r="C2007" t="s">
        <v>90</v>
      </c>
      <c r="D2007" t="s">
        <v>68</v>
      </c>
      <c r="E2007" t="s">
        <v>647</v>
      </c>
      <c r="F2007" t="s">
        <v>668</v>
      </c>
      <c r="G2007" s="10">
        <v>26</v>
      </c>
      <c r="H2007" s="10">
        <v>25543</v>
      </c>
      <c r="I2007" s="10">
        <v>664118</v>
      </c>
      <c r="J2007" t="s">
        <v>51</v>
      </c>
      <c r="K2007" s="11">
        <v>648.20000000000005</v>
      </c>
      <c r="L2007" s="12">
        <v>1024.56</v>
      </c>
    </row>
    <row r="2008" spans="1:12" x14ac:dyDescent="0.2">
      <c r="A2008" s="9">
        <v>46246</v>
      </c>
      <c r="B2008" t="s">
        <v>96</v>
      </c>
      <c r="C2008" t="s">
        <v>97</v>
      </c>
      <c r="D2008" t="s">
        <v>41</v>
      </c>
      <c r="E2008" t="s">
        <v>655</v>
      </c>
      <c r="F2008" t="s">
        <v>662</v>
      </c>
      <c r="G2008" s="10">
        <v>8</v>
      </c>
      <c r="H2008" s="10">
        <v>5530</v>
      </c>
      <c r="I2008" s="10">
        <v>44240</v>
      </c>
      <c r="J2008" t="s">
        <v>42</v>
      </c>
      <c r="K2008" s="11">
        <v>3145.8</v>
      </c>
      <c r="L2008" s="12">
        <v>14.06</v>
      </c>
    </row>
    <row r="2009" spans="1:12" x14ac:dyDescent="0.2">
      <c r="A2009" s="9">
        <v>46246</v>
      </c>
      <c r="B2009" t="s">
        <v>99</v>
      </c>
      <c r="C2009" t="s">
        <v>100</v>
      </c>
      <c r="D2009" t="s">
        <v>75</v>
      </c>
      <c r="E2009" t="s">
        <v>653</v>
      </c>
      <c r="F2009" t="s">
        <v>658</v>
      </c>
      <c r="G2009" s="10">
        <v>4</v>
      </c>
      <c r="H2009" s="10">
        <v>12943</v>
      </c>
      <c r="I2009" s="10">
        <v>51772</v>
      </c>
      <c r="J2009" t="s">
        <v>42</v>
      </c>
      <c r="K2009" s="11">
        <v>3145.8</v>
      </c>
      <c r="L2009" s="12">
        <v>16.46</v>
      </c>
    </row>
    <row r="2010" spans="1:12" x14ac:dyDescent="0.2">
      <c r="A2010" s="9">
        <v>46246</v>
      </c>
      <c r="B2010" t="s">
        <v>102</v>
      </c>
      <c r="C2010" t="s">
        <v>103</v>
      </c>
      <c r="D2010" t="s">
        <v>41</v>
      </c>
      <c r="E2010" t="s">
        <v>655</v>
      </c>
      <c r="F2010" t="s">
        <v>665</v>
      </c>
      <c r="G2010" s="10">
        <v>5</v>
      </c>
      <c r="H2010" s="10">
        <v>3449</v>
      </c>
      <c r="I2010" s="10">
        <v>17245</v>
      </c>
      <c r="J2010" t="s">
        <v>42</v>
      </c>
      <c r="K2010" s="11">
        <v>3145.8</v>
      </c>
      <c r="L2010" s="12">
        <v>5.48</v>
      </c>
    </row>
    <row r="2011" spans="1:12" x14ac:dyDescent="0.2">
      <c r="A2011" s="9">
        <v>46246</v>
      </c>
      <c r="B2011" t="s">
        <v>115</v>
      </c>
      <c r="C2011" t="s">
        <v>116</v>
      </c>
      <c r="D2011" t="s">
        <v>41</v>
      </c>
      <c r="E2011" t="s">
        <v>653</v>
      </c>
      <c r="F2011" t="s">
        <v>666</v>
      </c>
      <c r="G2011" s="10">
        <v>5</v>
      </c>
      <c r="H2011" s="10">
        <v>7158</v>
      </c>
      <c r="I2011" s="10">
        <v>35790</v>
      </c>
      <c r="J2011" t="s">
        <v>42</v>
      </c>
      <c r="K2011" s="11">
        <v>3145.8</v>
      </c>
      <c r="L2011" s="12">
        <v>11.38</v>
      </c>
    </row>
    <row r="2012" spans="1:12" x14ac:dyDescent="0.2">
      <c r="A2012" s="9">
        <v>46246</v>
      </c>
      <c r="B2012" t="s">
        <v>115</v>
      </c>
      <c r="C2012" t="s">
        <v>116</v>
      </c>
      <c r="D2012" t="s">
        <v>41</v>
      </c>
      <c r="E2012" t="s">
        <v>647</v>
      </c>
      <c r="F2012" t="s">
        <v>668</v>
      </c>
      <c r="G2012" s="10">
        <v>95</v>
      </c>
      <c r="H2012" s="10">
        <v>125964</v>
      </c>
      <c r="I2012" s="10">
        <v>11966580</v>
      </c>
      <c r="J2012" t="s">
        <v>42</v>
      </c>
      <c r="K2012" s="11">
        <v>3145.8</v>
      </c>
      <c r="L2012" s="12">
        <v>3803.99</v>
      </c>
    </row>
    <row r="2013" spans="1:12" x14ac:dyDescent="0.2">
      <c r="A2013" s="9">
        <v>46246</v>
      </c>
      <c r="B2013" t="s">
        <v>124</v>
      </c>
      <c r="C2013" t="s">
        <v>125</v>
      </c>
      <c r="D2013" t="s">
        <v>75</v>
      </c>
      <c r="E2013" t="s">
        <v>649</v>
      </c>
      <c r="F2013" t="s">
        <v>659</v>
      </c>
      <c r="G2013" s="10">
        <v>5</v>
      </c>
      <c r="H2013" s="10">
        <v>43342</v>
      </c>
      <c r="I2013" s="10">
        <v>216710</v>
      </c>
      <c r="J2013" t="s">
        <v>42</v>
      </c>
      <c r="K2013" s="11">
        <v>3145.8</v>
      </c>
      <c r="L2013" s="12">
        <v>68.89</v>
      </c>
    </row>
    <row r="2014" spans="1:12" x14ac:dyDescent="0.2">
      <c r="A2014" s="9">
        <v>46246</v>
      </c>
      <c r="B2014" t="s">
        <v>127</v>
      </c>
      <c r="C2014" t="s">
        <v>128</v>
      </c>
      <c r="D2014" t="s">
        <v>41</v>
      </c>
      <c r="E2014" t="s">
        <v>651</v>
      </c>
      <c r="F2014" t="s">
        <v>657</v>
      </c>
      <c r="G2014" s="10">
        <v>6</v>
      </c>
      <c r="H2014" s="10">
        <v>31409</v>
      </c>
      <c r="I2014" s="10">
        <v>188454</v>
      </c>
      <c r="J2014" t="s">
        <v>42</v>
      </c>
      <c r="K2014" s="11">
        <v>3145.8</v>
      </c>
      <c r="L2014" s="12">
        <v>59.91</v>
      </c>
    </row>
    <row r="2015" spans="1:12" x14ac:dyDescent="0.2">
      <c r="A2015" s="9">
        <v>46246</v>
      </c>
      <c r="B2015" t="s">
        <v>142</v>
      </c>
      <c r="C2015" t="s">
        <v>143</v>
      </c>
      <c r="D2015" t="s">
        <v>75</v>
      </c>
      <c r="E2015" t="s">
        <v>653</v>
      </c>
      <c r="F2015" t="s">
        <v>666</v>
      </c>
      <c r="G2015" s="10">
        <v>23</v>
      </c>
      <c r="H2015" s="10">
        <v>7447</v>
      </c>
      <c r="I2015" s="10">
        <v>171281</v>
      </c>
      <c r="J2015" t="s">
        <v>42</v>
      </c>
      <c r="K2015" s="11">
        <v>3145.8</v>
      </c>
      <c r="L2015" s="12">
        <v>54.45</v>
      </c>
    </row>
    <row r="2016" spans="1:12" x14ac:dyDescent="0.2">
      <c r="A2016" s="9">
        <v>46246</v>
      </c>
      <c r="B2016" t="s">
        <v>142</v>
      </c>
      <c r="C2016" t="s">
        <v>143</v>
      </c>
      <c r="D2016" t="s">
        <v>75</v>
      </c>
      <c r="E2016" t="s">
        <v>653</v>
      </c>
      <c r="F2016" t="s">
        <v>654</v>
      </c>
      <c r="G2016" s="10">
        <v>18</v>
      </c>
      <c r="H2016" s="10">
        <v>26970</v>
      </c>
      <c r="I2016" s="10">
        <v>485460</v>
      </c>
      <c r="J2016" t="s">
        <v>42</v>
      </c>
      <c r="K2016" s="11">
        <v>3145.8</v>
      </c>
      <c r="L2016" s="12">
        <v>154.32</v>
      </c>
    </row>
    <row r="2017" spans="1:12" x14ac:dyDescent="0.2">
      <c r="A2017" s="9">
        <v>46246</v>
      </c>
      <c r="B2017" t="s">
        <v>149</v>
      </c>
      <c r="C2017" t="s">
        <v>150</v>
      </c>
      <c r="D2017" t="s">
        <v>50</v>
      </c>
      <c r="E2017" t="s">
        <v>660</v>
      </c>
      <c r="F2017" t="s">
        <v>661</v>
      </c>
      <c r="G2017" s="10">
        <v>1</v>
      </c>
      <c r="H2017" s="10">
        <v>4226</v>
      </c>
      <c r="I2017" s="10">
        <v>4226</v>
      </c>
      <c r="J2017" t="s">
        <v>51</v>
      </c>
      <c r="K2017" s="11">
        <v>648.20000000000005</v>
      </c>
      <c r="L2017" s="12">
        <v>6.52</v>
      </c>
    </row>
    <row r="2018" spans="1:12" x14ac:dyDescent="0.2">
      <c r="A2018" s="9">
        <v>46246</v>
      </c>
      <c r="B2018" t="s">
        <v>155</v>
      </c>
      <c r="C2018" t="s">
        <v>156</v>
      </c>
      <c r="D2018" t="s">
        <v>46</v>
      </c>
      <c r="E2018" t="s">
        <v>649</v>
      </c>
      <c r="F2018" t="s">
        <v>659</v>
      </c>
      <c r="G2018" s="10">
        <v>12</v>
      </c>
      <c r="H2018" s="10">
        <v>8900</v>
      </c>
      <c r="I2018" s="10">
        <v>106800</v>
      </c>
      <c r="J2018" t="s">
        <v>37</v>
      </c>
      <c r="K2018" s="11">
        <v>648.20000000000005</v>
      </c>
      <c r="L2018" s="12">
        <v>164.76</v>
      </c>
    </row>
    <row r="2019" spans="1:12" x14ac:dyDescent="0.2">
      <c r="A2019" s="9">
        <v>46246</v>
      </c>
      <c r="B2019" t="s">
        <v>163</v>
      </c>
      <c r="C2019" t="s">
        <v>164</v>
      </c>
      <c r="D2019" t="s">
        <v>41</v>
      </c>
      <c r="E2019" t="s">
        <v>660</v>
      </c>
      <c r="F2019" t="s">
        <v>670</v>
      </c>
      <c r="G2019" s="10">
        <v>8</v>
      </c>
      <c r="H2019" s="10">
        <v>70397</v>
      </c>
      <c r="I2019" s="10">
        <v>563176</v>
      </c>
      <c r="J2019" t="s">
        <v>42</v>
      </c>
      <c r="K2019" s="11">
        <v>3145.8</v>
      </c>
      <c r="L2019" s="12">
        <v>179.02</v>
      </c>
    </row>
    <row r="2020" spans="1:12" x14ac:dyDescent="0.2">
      <c r="A2020" s="9">
        <v>46246</v>
      </c>
      <c r="B2020" t="s">
        <v>169</v>
      </c>
      <c r="C2020" t="s">
        <v>170</v>
      </c>
      <c r="D2020" t="s">
        <v>41</v>
      </c>
      <c r="E2020" t="s">
        <v>653</v>
      </c>
      <c r="F2020" t="s">
        <v>658</v>
      </c>
      <c r="G2020" s="10">
        <v>9</v>
      </c>
      <c r="H2020" s="10">
        <v>13036</v>
      </c>
      <c r="I2020" s="10">
        <v>117324</v>
      </c>
      <c r="J2020" t="s">
        <v>42</v>
      </c>
      <c r="K2020" s="11">
        <v>3145.8</v>
      </c>
      <c r="L2020" s="12">
        <v>37.299999999999997</v>
      </c>
    </row>
    <row r="2021" spans="1:12" x14ac:dyDescent="0.2">
      <c r="A2021" s="9">
        <v>46246</v>
      </c>
      <c r="B2021" t="s">
        <v>169</v>
      </c>
      <c r="C2021" t="s">
        <v>170</v>
      </c>
      <c r="D2021" t="s">
        <v>41</v>
      </c>
      <c r="E2021" t="s">
        <v>660</v>
      </c>
      <c r="F2021" t="s">
        <v>669</v>
      </c>
      <c r="G2021" s="10">
        <v>20</v>
      </c>
      <c r="H2021" s="10">
        <v>12333</v>
      </c>
      <c r="I2021" s="10">
        <v>246660</v>
      </c>
      <c r="J2021" t="s">
        <v>42</v>
      </c>
      <c r="K2021" s="11">
        <v>3145.8</v>
      </c>
      <c r="L2021" s="12">
        <v>78.41</v>
      </c>
    </row>
    <row r="2022" spans="1:12" x14ac:dyDescent="0.2">
      <c r="A2022" s="9">
        <v>46246</v>
      </c>
      <c r="B2022" t="s">
        <v>169</v>
      </c>
      <c r="C2022" t="s">
        <v>170</v>
      </c>
      <c r="D2022" t="s">
        <v>41</v>
      </c>
      <c r="E2022" t="s">
        <v>660</v>
      </c>
      <c r="F2022" t="s">
        <v>669</v>
      </c>
      <c r="G2022" s="10">
        <v>19</v>
      </c>
      <c r="H2022" s="10">
        <v>13023</v>
      </c>
      <c r="I2022" s="10">
        <v>247437</v>
      </c>
      <c r="J2022" t="s">
        <v>42</v>
      </c>
      <c r="K2022" s="11">
        <v>3145.8</v>
      </c>
      <c r="L2022" s="12">
        <v>78.66</v>
      </c>
    </row>
    <row r="2023" spans="1:12" x14ac:dyDescent="0.2">
      <c r="A2023" s="9">
        <v>46246</v>
      </c>
      <c r="B2023" t="s">
        <v>169</v>
      </c>
      <c r="C2023" t="s">
        <v>170</v>
      </c>
      <c r="D2023" t="s">
        <v>41</v>
      </c>
      <c r="E2023" t="s">
        <v>655</v>
      </c>
      <c r="F2023" t="s">
        <v>665</v>
      </c>
      <c r="G2023" s="10">
        <v>2</v>
      </c>
      <c r="H2023" s="10">
        <v>3267</v>
      </c>
      <c r="I2023" s="10">
        <v>6534</v>
      </c>
      <c r="J2023" t="s">
        <v>42</v>
      </c>
      <c r="K2023" s="11">
        <v>3145.8</v>
      </c>
      <c r="L2023" s="12">
        <v>2.08</v>
      </c>
    </row>
    <row r="2024" spans="1:12" x14ac:dyDescent="0.2">
      <c r="A2024" s="9">
        <v>46246</v>
      </c>
      <c r="B2024" t="s">
        <v>175</v>
      </c>
      <c r="C2024" t="s">
        <v>176</v>
      </c>
      <c r="D2024" t="s">
        <v>50</v>
      </c>
      <c r="E2024" t="s">
        <v>649</v>
      </c>
      <c r="F2024" t="s">
        <v>663</v>
      </c>
      <c r="G2024" s="10">
        <v>2</v>
      </c>
      <c r="H2024" s="10">
        <v>2103</v>
      </c>
      <c r="I2024" s="10">
        <v>4206</v>
      </c>
      <c r="J2024" t="s">
        <v>51</v>
      </c>
      <c r="K2024" s="11">
        <v>648.20000000000005</v>
      </c>
      <c r="L2024" s="12">
        <v>6.49</v>
      </c>
    </row>
    <row r="2025" spans="1:12" x14ac:dyDescent="0.2">
      <c r="A2025" s="9">
        <v>46246</v>
      </c>
      <c r="B2025" t="s">
        <v>178</v>
      </c>
      <c r="C2025" t="s">
        <v>179</v>
      </c>
      <c r="D2025" t="s">
        <v>50</v>
      </c>
      <c r="E2025" t="s">
        <v>649</v>
      </c>
      <c r="F2025" t="s">
        <v>650</v>
      </c>
      <c r="G2025" s="10">
        <v>1</v>
      </c>
      <c r="H2025" s="10">
        <v>18597</v>
      </c>
      <c r="I2025" s="10">
        <v>18597</v>
      </c>
      <c r="J2025" t="s">
        <v>51</v>
      </c>
      <c r="K2025" s="11">
        <v>648.20000000000005</v>
      </c>
      <c r="L2025" s="12">
        <v>28.69</v>
      </c>
    </row>
    <row r="2026" spans="1:12" x14ac:dyDescent="0.2">
      <c r="A2026" s="9">
        <v>46246</v>
      </c>
      <c r="B2026" t="s">
        <v>181</v>
      </c>
      <c r="C2026" t="s">
        <v>182</v>
      </c>
      <c r="D2026" t="s">
        <v>41</v>
      </c>
      <c r="E2026" t="s">
        <v>647</v>
      </c>
      <c r="F2026" t="s">
        <v>667</v>
      </c>
      <c r="G2026" s="10">
        <v>6</v>
      </c>
      <c r="H2026" s="10">
        <v>34592</v>
      </c>
      <c r="I2026" s="10">
        <v>207552</v>
      </c>
      <c r="J2026" t="s">
        <v>42</v>
      </c>
      <c r="K2026" s="11">
        <v>3145.8</v>
      </c>
      <c r="L2026" s="12">
        <v>65.98</v>
      </c>
    </row>
    <row r="2027" spans="1:12" x14ac:dyDescent="0.2">
      <c r="A2027" s="9">
        <v>46246</v>
      </c>
      <c r="B2027" t="s">
        <v>184</v>
      </c>
      <c r="C2027" t="s">
        <v>185</v>
      </c>
      <c r="D2027" t="s">
        <v>41</v>
      </c>
      <c r="E2027" t="s">
        <v>649</v>
      </c>
      <c r="F2027" t="s">
        <v>663</v>
      </c>
      <c r="G2027" s="10">
        <v>19</v>
      </c>
      <c r="H2027" s="10">
        <v>10086</v>
      </c>
      <c r="I2027" s="10">
        <v>191634</v>
      </c>
      <c r="J2027" t="s">
        <v>42</v>
      </c>
      <c r="K2027" s="11">
        <v>3145.8</v>
      </c>
      <c r="L2027" s="12">
        <v>60.92</v>
      </c>
    </row>
    <row r="2028" spans="1:12" x14ac:dyDescent="0.2">
      <c r="A2028" s="9">
        <v>46246</v>
      </c>
      <c r="B2028" t="s">
        <v>187</v>
      </c>
      <c r="C2028" t="s">
        <v>188</v>
      </c>
      <c r="D2028" t="s">
        <v>75</v>
      </c>
      <c r="E2028" t="s">
        <v>653</v>
      </c>
      <c r="F2028" t="s">
        <v>654</v>
      </c>
      <c r="G2028" s="10">
        <v>8</v>
      </c>
      <c r="H2028" s="10">
        <v>28659</v>
      </c>
      <c r="I2028" s="10">
        <v>229272</v>
      </c>
      <c r="J2028" t="s">
        <v>42</v>
      </c>
      <c r="K2028" s="11">
        <v>3145.8</v>
      </c>
      <c r="L2028" s="12">
        <v>72.88</v>
      </c>
    </row>
    <row r="2029" spans="1:12" x14ac:dyDescent="0.2">
      <c r="A2029" s="9">
        <v>46246</v>
      </c>
      <c r="B2029" t="s">
        <v>187</v>
      </c>
      <c r="C2029" t="s">
        <v>188</v>
      </c>
      <c r="D2029" t="s">
        <v>75</v>
      </c>
      <c r="E2029" t="s">
        <v>651</v>
      </c>
      <c r="F2029" t="s">
        <v>657</v>
      </c>
      <c r="G2029" s="10">
        <v>8</v>
      </c>
      <c r="H2029" s="10">
        <v>30384</v>
      </c>
      <c r="I2029" s="10">
        <v>243072</v>
      </c>
      <c r="J2029" t="s">
        <v>42</v>
      </c>
      <c r="K2029" s="11">
        <v>3145.8</v>
      </c>
      <c r="L2029" s="12">
        <v>77.27</v>
      </c>
    </row>
    <row r="2030" spans="1:12" x14ac:dyDescent="0.2">
      <c r="A2030" s="9">
        <v>46246</v>
      </c>
      <c r="B2030" t="s">
        <v>193</v>
      </c>
      <c r="C2030" t="s">
        <v>194</v>
      </c>
      <c r="D2030" t="s">
        <v>68</v>
      </c>
      <c r="E2030" t="s">
        <v>660</v>
      </c>
      <c r="F2030" t="s">
        <v>669</v>
      </c>
      <c r="G2030" s="10">
        <v>8</v>
      </c>
      <c r="H2030" s="10">
        <v>2570</v>
      </c>
      <c r="I2030" s="10">
        <v>20560</v>
      </c>
      <c r="J2030" t="s">
        <v>51</v>
      </c>
      <c r="K2030" s="11">
        <v>648.20000000000005</v>
      </c>
      <c r="L2030" s="12">
        <v>31.72</v>
      </c>
    </row>
    <row r="2031" spans="1:12" x14ac:dyDescent="0.2">
      <c r="A2031" s="9">
        <v>46246</v>
      </c>
      <c r="B2031" t="s">
        <v>193</v>
      </c>
      <c r="C2031" t="s">
        <v>194</v>
      </c>
      <c r="D2031" t="s">
        <v>68</v>
      </c>
      <c r="E2031" t="s">
        <v>660</v>
      </c>
      <c r="F2031" t="s">
        <v>670</v>
      </c>
      <c r="G2031" s="10">
        <v>16</v>
      </c>
      <c r="H2031" s="10">
        <v>14049</v>
      </c>
      <c r="I2031" s="10">
        <v>224784</v>
      </c>
      <c r="J2031" t="s">
        <v>51</v>
      </c>
      <c r="K2031" s="11">
        <v>648.20000000000005</v>
      </c>
      <c r="L2031" s="12">
        <v>346.78</v>
      </c>
    </row>
    <row r="2032" spans="1:12" x14ac:dyDescent="0.2">
      <c r="A2032" s="9">
        <v>46246</v>
      </c>
      <c r="B2032" t="s">
        <v>193</v>
      </c>
      <c r="C2032" t="s">
        <v>194</v>
      </c>
      <c r="D2032" t="s">
        <v>68</v>
      </c>
      <c r="E2032" t="s">
        <v>647</v>
      </c>
      <c r="F2032" t="s">
        <v>648</v>
      </c>
      <c r="G2032" s="10">
        <v>14</v>
      </c>
      <c r="H2032" s="10">
        <v>16766</v>
      </c>
      <c r="I2032" s="10">
        <v>234724</v>
      </c>
      <c r="J2032" t="s">
        <v>51</v>
      </c>
      <c r="K2032" s="11">
        <v>648.20000000000005</v>
      </c>
      <c r="L2032" s="12">
        <v>362.12</v>
      </c>
    </row>
    <row r="2033" spans="1:12" x14ac:dyDescent="0.2">
      <c r="A2033" s="9">
        <v>46246</v>
      </c>
      <c r="B2033" t="s">
        <v>196</v>
      </c>
      <c r="C2033" t="s">
        <v>197</v>
      </c>
      <c r="D2033" t="s">
        <v>46</v>
      </c>
      <c r="E2033" t="s">
        <v>647</v>
      </c>
      <c r="F2033" t="s">
        <v>668</v>
      </c>
      <c r="G2033" s="10">
        <v>6</v>
      </c>
      <c r="H2033" s="10">
        <v>25487</v>
      </c>
      <c r="I2033" s="10">
        <v>152922</v>
      </c>
      <c r="J2033" t="s">
        <v>37</v>
      </c>
      <c r="K2033" s="11">
        <v>648.20000000000005</v>
      </c>
      <c r="L2033" s="12">
        <v>235.92</v>
      </c>
    </row>
    <row r="2034" spans="1:12" x14ac:dyDescent="0.2">
      <c r="A2034" s="9">
        <v>46246</v>
      </c>
      <c r="B2034" t="s">
        <v>202</v>
      </c>
      <c r="C2034" t="s">
        <v>203</v>
      </c>
      <c r="D2034" t="s">
        <v>68</v>
      </c>
      <c r="E2034" t="s">
        <v>653</v>
      </c>
      <c r="F2034" t="s">
        <v>666</v>
      </c>
      <c r="G2034" s="10">
        <v>7</v>
      </c>
      <c r="H2034" s="10">
        <v>1541</v>
      </c>
      <c r="I2034" s="10">
        <v>10787</v>
      </c>
      <c r="J2034" t="s">
        <v>51</v>
      </c>
      <c r="K2034" s="11">
        <v>648.20000000000005</v>
      </c>
      <c r="L2034" s="12">
        <v>16.64</v>
      </c>
    </row>
    <row r="2035" spans="1:12" x14ac:dyDescent="0.2">
      <c r="A2035" s="9">
        <v>46246</v>
      </c>
      <c r="B2035" t="s">
        <v>208</v>
      </c>
      <c r="C2035" t="s">
        <v>209</v>
      </c>
      <c r="D2035" t="s">
        <v>46</v>
      </c>
      <c r="E2035" t="s">
        <v>653</v>
      </c>
      <c r="F2035" t="s">
        <v>666</v>
      </c>
      <c r="G2035" s="10">
        <v>18</v>
      </c>
      <c r="H2035" s="10">
        <v>1538</v>
      </c>
      <c r="I2035" s="10">
        <v>27684</v>
      </c>
      <c r="J2035" t="s">
        <v>37</v>
      </c>
      <c r="K2035" s="11">
        <v>648.20000000000005</v>
      </c>
      <c r="L2035" s="12">
        <v>42.71</v>
      </c>
    </row>
    <row r="2036" spans="1:12" x14ac:dyDescent="0.2">
      <c r="A2036" s="9">
        <v>46246</v>
      </c>
      <c r="B2036" t="s">
        <v>211</v>
      </c>
      <c r="C2036" t="s">
        <v>212</v>
      </c>
      <c r="D2036" t="s">
        <v>46</v>
      </c>
      <c r="E2036" t="s">
        <v>653</v>
      </c>
      <c r="F2036" t="s">
        <v>658</v>
      </c>
      <c r="G2036" s="10">
        <v>33</v>
      </c>
      <c r="H2036" s="10">
        <v>2668</v>
      </c>
      <c r="I2036" s="10">
        <v>88044</v>
      </c>
      <c r="J2036" t="s">
        <v>37</v>
      </c>
      <c r="K2036" s="11">
        <v>648.20000000000005</v>
      </c>
      <c r="L2036" s="12">
        <v>135.83000000000001</v>
      </c>
    </row>
    <row r="2037" spans="1:12" x14ac:dyDescent="0.2">
      <c r="A2037" s="9">
        <v>46246</v>
      </c>
      <c r="B2037" t="s">
        <v>214</v>
      </c>
      <c r="C2037" t="s">
        <v>215</v>
      </c>
      <c r="D2037" t="s">
        <v>46</v>
      </c>
      <c r="E2037" t="s">
        <v>649</v>
      </c>
      <c r="F2037" t="s">
        <v>650</v>
      </c>
      <c r="G2037" s="10">
        <v>3</v>
      </c>
      <c r="H2037" s="10">
        <v>19313</v>
      </c>
      <c r="I2037" s="10">
        <v>57939</v>
      </c>
      <c r="J2037" t="s">
        <v>37</v>
      </c>
      <c r="K2037" s="11">
        <v>648.20000000000005</v>
      </c>
      <c r="L2037" s="12">
        <v>89.38</v>
      </c>
    </row>
    <row r="2038" spans="1:12" x14ac:dyDescent="0.2">
      <c r="A2038" s="9">
        <v>46246</v>
      </c>
      <c r="B2038" t="s">
        <v>214</v>
      </c>
      <c r="C2038" t="s">
        <v>215</v>
      </c>
      <c r="D2038" t="s">
        <v>46</v>
      </c>
      <c r="E2038" t="s">
        <v>660</v>
      </c>
      <c r="F2038" t="s">
        <v>661</v>
      </c>
      <c r="G2038" s="10">
        <v>36</v>
      </c>
      <c r="H2038" s="10">
        <v>4290</v>
      </c>
      <c r="I2038" s="10">
        <v>154440</v>
      </c>
      <c r="J2038" t="s">
        <v>37</v>
      </c>
      <c r="K2038" s="11">
        <v>648.20000000000005</v>
      </c>
      <c r="L2038" s="12">
        <v>238.26</v>
      </c>
    </row>
    <row r="2039" spans="1:12" x14ac:dyDescent="0.2">
      <c r="A2039" s="9">
        <v>46246</v>
      </c>
      <c r="B2039" t="s">
        <v>220</v>
      </c>
      <c r="C2039" t="s">
        <v>221</v>
      </c>
      <c r="D2039" t="s">
        <v>46</v>
      </c>
      <c r="E2039" t="s">
        <v>651</v>
      </c>
      <c r="F2039" t="s">
        <v>657</v>
      </c>
      <c r="G2039" s="10">
        <v>12</v>
      </c>
      <c r="H2039" s="10">
        <v>6278</v>
      </c>
      <c r="I2039" s="10">
        <v>75336</v>
      </c>
      <c r="J2039" t="s">
        <v>37</v>
      </c>
      <c r="K2039" s="11">
        <v>648.20000000000005</v>
      </c>
      <c r="L2039" s="12">
        <v>116.22</v>
      </c>
    </row>
    <row r="2040" spans="1:12" x14ac:dyDescent="0.2">
      <c r="A2040" s="9">
        <v>46246</v>
      </c>
      <c r="B2040" t="s">
        <v>220</v>
      </c>
      <c r="C2040" t="s">
        <v>221</v>
      </c>
      <c r="D2040" t="s">
        <v>46</v>
      </c>
      <c r="E2040" t="s">
        <v>651</v>
      </c>
      <c r="F2040" t="s">
        <v>664</v>
      </c>
      <c r="G2040" s="10">
        <v>22</v>
      </c>
      <c r="H2040" s="10">
        <v>11548</v>
      </c>
      <c r="I2040" s="10">
        <v>254056</v>
      </c>
      <c r="J2040" t="s">
        <v>37</v>
      </c>
      <c r="K2040" s="11">
        <v>648.20000000000005</v>
      </c>
      <c r="L2040" s="12">
        <v>391.94</v>
      </c>
    </row>
    <row r="2041" spans="1:12" x14ac:dyDescent="0.2">
      <c r="A2041" s="9">
        <v>46246</v>
      </c>
      <c r="B2041" t="s">
        <v>223</v>
      </c>
      <c r="C2041" t="s">
        <v>224</v>
      </c>
      <c r="D2041" t="s">
        <v>36</v>
      </c>
      <c r="E2041" t="s">
        <v>649</v>
      </c>
      <c r="F2041" t="s">
        <v>659</v>
      </c>
      <c r="G2041" s="10">
        <v>5</v>
      </c>
      <c r="H2041" s="10">
        <v>8816</v>
      </c>
      <c r="I2041" s="10">
        <v>44080</v>
      </c>
      <c r="J2041" t="s">
        <v>37</v>
      </c>
      <c r="K2041" s="11">
        <v>648.20000000000005</v>
      </c>
      <c r="L2041" s="12">
        <v>68</v>
      </c>
    </row>
    <row r="2042" spans="1:12" x14ac:dyDescent="0.2">
      <c r="A2042" s="9">
        <v>46246</v>
      </c>
      <c r="B2042" t="s">
        <v>226</v>
      </c>
      <c r="C2042" t="s">
        <v>227</v>
      </c>
      <c r="D2042" t="s">
        <v>41</v>
      </c>
      <c r="E2042" t="s">
        <v>655</v>
      </c>
      <c r="F2042" t="s">
        <v>665</v>
      </c>
      <c r="G2042" s="10">
        <v>51</v>
      </c>
      <c r="H2042" s="10">
        <v>3262</v>
      </c>
      <c r="I2042" s="10">
        <v>166362</v>
      </c>
      <c r="J2042" t="s">
        <v>42</v>
      </c>
      <c r="K2042" s="11">
        <v>3145.8</v>
      </c>
      <c r="L2042" s="12">
        <v>52.88</v>
      </c>
    </row>
    <row r="2043" spans="1:12" x14ac:dyDescent="0.2">
      <c r="A2043" s="9">
        <v>46246</v>
      </c>
      <c r="B2043" t="s">
        <v>229</v>
      </c>
      <c r="C2043" t="s">
        <v>230</v>
      </c>
      <c r="D2043" t="s">
        <v>36</v>
      </c>
      <c r="E2043" t="s">
        <v>660</v>
      </c>
      <c r="F2043" t="s">
        <v>670</v>
      </c>
      <c r="G2043" s="10">
        <v>9</v>
      </c>
      <c r="H2043" s="10">
        <v>13985</v>
      </c>
      <c r="I2043" s="10">
        <v>125865</v>
      </c>
      <c r="J2043" t="s">
        <v>37</v>
      </c>
      <c r="K2043" s="11">
        <v>648.20000000000005</v>
      </c>
      <c r="L2043" s="12">
        <v>194.18</v>
      </c>
    </row>
    <row r="2044" spans="1:12" x14ac:dyDescent="0.2">
      <c r="A2044" s="9">
        <v>46246</v>
      </c>
      <c r="B2044" t="s">
        <v>229</v>
      </c>
      <c r="C2044" t="s">
        <v>230</v>
      </c>
      <c r="D2044" t="s">
        <v>36</v>
      </c>
      <c r="E2044" t="s">
        <v>647</v>
      </c>
      <c r="F2044" t="s">
        <v>648</v>
      </c>
      <c r="G2044" s="10">
        <v>4</v>
      </c>
      <c r="H2044" s="10">
        <v>16202</v>
      </c>
      <c r="I2044" s="10">
        <v>64808</v>
      </c>
      <c r="J2044" t="s">
        <v>37</v>
      </c>
      <c r="K2044" s="11">
        <v>648.20000000000005</v>
      </c>
      <c r="L2044" s="12">
        <v>99.98</v>
      </c>
    </row>
    <row r="2045" spans="1:12" x14ac:dyDescent="0.2">
      <c r="A2045" s="9">
        <v>46246</v>
      </c>
      <c r="B2045" t="s">
        <v>235</v>
      </c>
      <c r="C2045" t="s">
        <v>236</v>
      </c>
      <c r="D2045" t="s">
        <v>50</v>
      </c>
      <c r="E2045" t="s">
        <v>649</v>
      </c>
      <c r="F2045" t="s">
        <v>663</v>
      </c>
      <c r="G2045" s="10">
        <v>33</v>
      </c>
      <c r="H2045" s="10">
        <v>2020</v>
      </c>
      <c r="I2045" s="10">
        <v>66660</v>
      </c>
      <c r="J2045" t="s">
        <v>51</v>
      </c>
      <c r="K2045" s="11">
        <v>648.20000000000005</v>
      </c>
      <c r="L2045" s="12">
        <v>102.84</v>
      </c>
    </row>
    <row r="2046" spans="1:12" x14ac:dyDescent="0.2">
      <c r="A2046" s="9">
        <v>46246</v>
      </c>
      <c r="B2046" t="s">
        <v>235</v>
      </c>
      <c r="C2046" t="s">
        <v>236</v>
      </c>
      <c r="D2046" t="s">
        <v>50</v>
      </c>
      <c r="E2046" t="s">
        <v>660</v>
      </c>
      <c r="F2046" t="s">
        <v>669</v>
      </c>
      <c r="G2046" s="10">
        <v>17</v>
      </c>
      <c r="H2046" s="10">
        <v>2665</v>
      </c>
      <c r="I2046" s="10">
        <v>45305</v>
      </c>
      <c r="J2046" t="s">
        <v>51</v>
      </c>
      <c r="K2046" s="11">
        <v>648.20000000000005</v>
      </c>
      <c r="L2046" s="12">
        <v>69.89</v>
      </c>
    </row>
    <row r="2047" spans="1:12" x14ac:dyDescent="0.2">
      <c r="A2047" s="9">
        <v>46246</v>
      </c>
      <c r="B2047" t="s">
        <v>235</v>
      </c>
      <c r="C2047" t="s">
        <v>236</v>
      </c>
      <c r="D2047" t="s">
        <v>50</v>
      </c>
      <c r="E2047" t="s">
        <v>647</v>
      </c>
      <c r="F2047" t="s">
        <v>648</v>
      </c>
      <c r="G2047" s="10">
        <v>25</v>
      </c>
      <c r="H2047" s="10">
        <v>15742</v>
      </c>
      <c r="I2047" s="10">
        <v>393550</v>
      </c>
      <c r="J2047" t="s">
        <v>51</v>
      </c>
      <c r="K2047" s="11">
        <v>648.20000000000005</v>
      </c>
      <c r="L2047" s="12">
        <v>607.14</v>
      </c>
    </row>
    <row r="2048" spans="1:12" x14ac:dyDescent="0.2">
      <c r="A2048" s="9">
        <v>46246</v>
      </c>
      <c r="B2048" t="s">
        <v>235</v>
      </c>
      <c r="C2048" t="s">
        <v>236</v>
      </c>
      <c r="D2048" t="s">
        <v>50</v>
      </c>
      <c r="E2048" t="s">
        <v>647</v>
      </c>
      <c r="F2048" t="s">
        <v>667</v>
      </c>
      <c r="G2048" s="10">
        <v>50</v>
      </c>
      <c r="H2048" s="10">
        <v>7484</v>
      </c>
      <c r="I2048" s="10">
        <v>374200</v>
      </c>
      <c r="J2048" t="s">
        <v>51</v>
      </c>
      <c r="K2048" s="11">
        <v>648.20000000000005</v>
      </c>
      <c r="L2048" s="12">
        <v>577.29</v>
      </c>
    </row>
    <row r="2049" spans="1:12" x14ac:dyDescent="0.2">
      <c r="A2049" s="9">
        <v>46246</v>
      </c>
      <c r="B2049" t="s">
        <v>235</v>
      </c>
      <c r="C2049" t="s">
        <v>236</v>
      </c>
      <c r="D2049" t="s">
        <v>50</v>
      </c>
      <c r="E2049" t="s">
        <v>647</v>
      </c>
      <c r="F2049" t="s">
        <v>667</v>
      </c>
      <c r="G2049" s="10">
        <v>47</v>
      </c>
      <c r="H2049" s="10">
        <v>7583</v>
      </c>
      <c r="I2049" s="10">
        <v>356401</v>
      </c>
      <c r="J2049" t="s">
        <v>51</v>
      </c>
      <c r="K2049" s="11">
        <v>648.20000000000005</v>
      </c>
      <c r="L2049" s="12">
        <v>549.83000000000004</v>
      </c>
    </row>
    <row r="2050" spans="1:12" x14ac:dyDescent="0.2">
      <c r="A2050" s="9">
        <v>46246</v>
      </c>
      <c r="B2050" t="s">
        <v>235</v>
      </c>
      <c r="C2050" t="s">
        <v>236</v>
      </c>
      <c r="D2050" t="s">
        <v>50</v>
      </c>
      <c r="E2050" t="s">
        <v>655</v>
      </c>
      <c r="F2050" t="s">
        <v>665</v>
      </c>
      <c r="G2050" s="10">
        <v>109</v>
      </c>
      <c r="H2050" s="10">
        <v>708</v>
      </c>
      <c r="I2050" s="10">
        <v>77172</v>
      </c>
      <c r="J2050" t="s">
        <v>51</v>
      </c>
      <c r="K2050" s="11">
        <v>648.20000000000005</v>
      </c>
      <c r="L2050" s="12">
        <v>119.06</v>
      </c>
    </row>
    <row r="2051" spans="1:12" x14ac:dyDescent="0.2">
      <c r="A2051" s="9">
        <v>46246</v>
      </c>
      <c r="B2051" t="s">
        <v>238</v>
      </c>
      <c r="C2051" t="s">
        <v>239</v>
      </c>
      <c r="D2051" t="s">
        <v>68</v>
      </c>
      <c r="E2051" t="s">
        <v>647</v>
      </c>
      <c r="F2051" t="s">
        <v>667</v>
      </c>
      <c r="G2051" s="10">
        <v>5</v>
      </c>
      <c r="H2051" s="10">
        <v>7553</v>
      </c>
      <c r="I2051" s="10">
        <v>37765</v>
      </c>
      <c r="J2051" t="s">
        <v>51</v>
      </c>
      <c r="K2051" s="11">
        <v>648.20000000000005</v>
      </c>
      <c r="L2051" s="12">
        <v>58.26</v>
      </c>
    </row>
    <row r="2052" spans="1:12" x14ac:dyDescent="0.2">
      <c r="A2052" s="9">
        <v>46246</v>
      </c>
      <c r="B2052" t="s">
        <v>241</v>
      </c>
      <c r="C2052" t="s">
        <v>242</v>
      </c>
      <c r="D2052" t="s">
        <v>46</v>
      </c>
      <c r="E2052" t="s">
        <v>649</v>
      </c>
      <c r="F2052" t="s">
        <v>659</v>
      </c>
      <c r="G2052" s="10">
        <v>9</v>
      </c>
      <c r="H2052" s="10">
        <v>9064</v>
      </c>
      <c r="I2052" s="10">
        <v>81576</v>
      </c>
      <c r="J2052" t="s">
        <v>37</v>
      </c>
      <c r="K2052" s="11">
        <v>648.20000000000005</v>
      </c>
      <c r="L2052" s="12">
        <v>125.85</v>
      </c>
    </row>
    <row r="2053" spans="1:12" x14ac:dyDescent="0.2">
      <c r="A2053" s="9">
        <v>46246</v>
      </c>
      <c r="B2053" t="s">
        <v>244</v>
      </c>
      <c r="C2053" t="s">
        <v>245</v>
      </c>
      <c r="D2053" t="s">
        <v>75</v>
      </c>
      <c r="E2053" t="s">
        <v>649</v>
      </c>
      <c r="F2053" t="s">
        <v>659</v>
      </c>
      <c r="G2053" s="10">
        <v>19</v>
      </c>
      <c r="H2053" s="10">
        <v>42097</v>
      </c>
      <c r="I2053" s="10">
        <v>799843</v>
      </c>
      <c r="J2053" t="s">
        <v>42</v>
      </c>
      <c r="K2053" s="11">
        <v>3145.8</v>
      </c>
      <c r="L2053" s="12">
        <v>254.26</v>
      </c>
    </row>
    <row r="2054" spans="1:12" x14ac:dyDescent="0.2">
      <c r="A2054" s="9">
        <v>46246</v>
      </c>
      <c r="B2054" t="s">
        <v>244</v>
      </c>
      <c r="C2054" t="s">
        <v>245</v>
      </c>
      <c r="D2054" t="s">
        <v>75</v>
      </c>
      <c r="E2054" t="s">
        <v>655</v>
      </c>
      <c r="F2054" t="s">
        <v>662</v>
      </c>
      <c r="G2054" s="10">
        <v>11</v>
      </c>
      <c r="H2054" s="10">
        <v>5574</v>
      </c>
      <c r="I2054" s="10">
        <v>61314</v>
      </c>
      <c r="J2054" t="s">
        <v>42</v>
      </c>
      <c r="K2054" s="11">
        <v>3145.8</v>
      </c>
      <c r="L2054" s="12">
        <v>19.489999999999998</v>
      </c>
    </row>
    <row r="2055" spans="1:12" x14ac:dyDescent="0.2">
      <c r="A2055" s="9">
        <v>46246</v>
      </c>
      <c r="B2055" t="s">
        <v>244</v>
      </c>
      <c r="C2055" t="s">
        <v>245</v>
      </c>
      <c r="D2055" t="s">
        <v>75</v>
      </c>
      <c r="E2055" t="s">
        <v>660</v>
      </c>
      <c r="F2055" t="s">
        <v>669</v>
      </c>
      <c r="G2055" s="10">
        <v>19</v>
      </c>
      <c r="H2055" s="10">
        <v>12593</v>
      </c>
      <c r="I2055" s="10">
        <v>239267</v>
      </c>
      <c r="J2055" t="s">
        <v>42</v>
      </c>
      <c r="K2055" s="11">
        <v>3145.8</v>
      </c>
      <c r="L2055" s="12">
        <v>76.06</v>
      </c>
    </row>
    <row r="2056" spans="1:12" x14ac:dyDescent="0.2">
      <c r="A2056" s="9">
        <v>46246</v>
      </c>
      <c r="B2056" t="s">
        <v>244</v>
      </c>
      <c r="C2056" t="s">
        <v>245</v>
      </c>
      <c r="D2056" t="s">
        <v>75</v>
      </c>
      <c r="E2056" t="s">
        <v>647</v>
      </c>
      <c r="F2056" t="s">
        <v>648</v>
      </c>
      <c r="G2056" s="10">
        <v>8</v>
      </c>
      <c r="H2056" s="10">
        <v>81427</v>
      </c>
      <c r="I2056" s="10">
        <v>651416</v>
      </c>
      <c r="J2056" t="s">
        <v>42</v>
      </c>
      <c r="K2056" s="11">
        <v>3145.8</v>
      </c>
      <c r="L2056" s="12">
        <v>207.07</v>
      </c>
    </row>
    <row r="2057" spans="1:12" x14ac:dyDescent="0.2">
      <c r="A2057" s="9">
        <v>46246</v>
      </c>
      <c r="B2057" t="s">
        <v>247</v>
      </c>
      <c r="C2057" t="s">
        <v>248</v>
      </c>
      <c r="D2057" t="s">
        <v>75</v>
      </c>
      <c r="E2057" t="s">
        <v>660</v>
      </c>
      <c r="F2057" t="s">
        <v>661</v>
      </c>
      <c r="G2057" s="10">
        <v>3</v>
      </c>
      <c r="H2057" s="10">
        <v>20998</v>
      </c>
      <c r="I2057" s="10">
        <v>62994</v>
      </c>
      <c r="J2057" t="s">
        <v>42</v>
      </c>
      <c r="K2057" s="11">
        <v>3145.8</v>
      </c>
      <c r="L2057" s="12">
        <v>20.02</v>
      </c>
    </row>
    <row r="2058" spans="1:12" x14ac:dyDescent="0.2">
      <c r="A2058" s="9">
        <v>46246</v>
      </c>
      <c r="B2058" t="s">
        <v>253</v>
      </c>
      <c r="C2058" t="s">
        <v>254</v>
      </c>
      <c r="D2058" t="s">
        <v>50</v>
      </c>
      <c r="E2058" t="s">
        <v>649</v>
      </c>
      <c r="F2058" t="s">
        <v>663</v>
      </c>
      <c r="G2058" s="10">
        <v>4</v>
      </c>
      <c r="H2058" s="10">
        <v>2015</v>
      </c>
      <c r="I2058" s="10">
        <v>8060</v>
      </c>
      <c r="J2058" t="s">
        <v>51</v>
      </c>
      <c r="K2058" s="11">
        <v>648.20000000000005</v>
      </c>
      <c r="L2058" s="12">
        <v>12.43</v>
      </c>
    </row>
    <row r="2059" spans="1:12" x14ac:dyDescent="0.2">
      <c r="A2059" s="9">
        <v>46246</v>
      </c>
      <c r="B2059" t="s">
        <v>256</v>
      </c>
      <c r="C2059" t="s">
        <v>182</v>
      </c>
      <c r="D2059" t="s">
        <v>50</v>
      </c>
      <c r="E2059" t="s">
        <v>649</v>
      </c>
      <c r="F2059" t="s">
        <v>659</v>
      </c>
      <c r="G2059" s="10">
        <v>2</v>
      </c>
      <c r="H2059" s="10">
        <v>8681</v>
      </c>
      <c r="I2059" s="10">
        <v>17362</v>
      </c>
      <c r="J2059" t="s">
        <v>51</v>
      </c>
      <c r="K2059" s="11">
        <v>648.20000000000005</v>
      </c>
      <c r="L2059" s="12">
        <v>26.78</v>
      </c>
    </row>
    <row r="2060" spans="1:12" x14ac:dyDescent="0.2">
      <c r="A2060" s="9">
        <v>46246</v>
      </c>
      <c r="B2060" t="s">
        <v>256</v>
      </c>
      <c r="C2060" t="s">
        <v>182</v>
      </c>
      <c r="D2060" t="s">
        <v>50</v>
      </c>
      <c r="E2060" t="s">
        <v>660</v>
      </c>
      <c r="F2060" t="s">
        <v>670</v>
      </c>
      <c r="G2060" s="10">
        <v>5</v>
      </c>
      <c r="H2060" s="10">
        <v>14333</v>
      </c>
      <c r="I2060" s="10">
        <v>71665</v>
      </c>
      <c r="J2060" t="s">
        <v>51</v>
      </c>
      <c r="K2060" s="11">
        <v>648.20000000000005</v>
      </c>
      <c r="L2060" s="12">
        <v>110.56</v>
      </c>
    </row>
    <row r="2061" spans="1:12" x14ac:dyDescent="0.2">
      <c r="A2061" s="9">
        <v>46246</v>
      </c>
      <c r="B2061" t="s">
        <v>264</v>
      </c>
      <c r="C2061" t="s">
        <v>265</v>
      </c>
      <c r="D2061" t="s">
        <v>41</v>
      </c>
      <c r="E2061" t="s">
        <v>653</v>
      </c>
      <c r="F2061" t="s">
        <v>666</v>
      </c>
      <c r="G2061" s="10">
        <v>8</v>
      </c>
      <c r="H2061" s="10">
        <v>7595</v>
      </c>
      <c r="I2061" s="10">
        <v>60760</v>
      </c>
      <c r="J2061" t="s">
        <v>42</v>
      </c>
      <c r="K2061" s="11">
        <v>3145.8</v>
      </c>
      <c r="L2061" s="12">
        <v>19.309999999999999</v>
      </c>
    </row>
    <row r="2062" spans="1:12" x14ac:dyDescent="0.2">
      <c r="A2062" s="9">
        <v>46246</v>
      </c>
      <c r="B2062" t="s">
        <v>264</v>
      </c>
      <c r="C2062" t="s">
        <v>265</v>
      </c>
      <c r="D2062" t="s">
        <v>41</v>
      </c>
      <c r="E2062" t="s">
        <v>660</v>
      </c>
      <c r="F2062" t="s">
        <v>661</v>
      </c>
      <c r="G2062" s="10">
        <v>9</v>
      </c>
      <c r="H2062" s="10">
        <v>19821</v>
      </c>
      <c r="I2062" s="10">
        <v>178389</v>
      </c>
      <c r="J2062" t="s">
        <v>42</v>
      </c>
      <c r="K2062" s="11">
        <v>3145.8</v>
      </c>
      <c r="L2062" s="12">
        <v>56.71</v>
      </c>
    </row>
    <row r="2063" spans="1:12" x14ac:dyDescent="0.2">
      <c r="A2063" s="9">
        <v>46246</v>
      </c>
      <c r="B2063" t="s">
        <v>267</v>
      </c>
      <c r="C2063" t="s">
        <v>268</v>
      </c>
      <c r="D2063" t="s">
        <v>46</v>
      </c>
      <c r="E2063" t="s">
        <v>660</v>
      </c>
      <c r="F2063" t="s">
        <v>661</v>
      </c>
      <c r="G2063" s="10">
        <v>28</v>
      </c>
      <c r="H2063" s="10">
        <v>4197</v>
      </c>
      <c r="I2063" s="10">
        <v>117516</v>
      </c>
      <c r="J2063" t="s">
        <v>37</v>
      </c>
      <c r="K2063" s="11">
        <v>648.20000000000005</v>
      </c>
      <c r="L2063" s="12">
        <v>181.3</v>
      </c>
    </row>
    <row r="2064" spans="1:12" x14ac:dyDescent="0.2">
      <c r="A2064" s="9">
        <v>46246</v>
      </c>
      <c r="B2064" t="s">
        <v>267</v>
      </c>
      <c r="C2064" t="s">
        <v>268</v>
      </c>
      <c r="D2064" t="s">
        <v>46</v>
      </c>
      <c r="E2064" t="s">
        <v>647</v>
      </c>
      <c r="F2064" t="s">
        <v>667</v>
      </c>
      <c r="G2064" s="10">
        <v>12</v>
      </c>
      <c r="H2064" s="10">
        <v>7406</v>
      </c>
      <c r="I2064" s="10">
        <v>88872</v>
      </c>
      <c r="J2064" t="s">
        <v>37</v>
      </c>
      <c r="K2064" s="11">
        <v>648.20000000000005</v>
      </c>
      <c r="L2064" s="12">
        <v>137.11000000000001</v>
      </c>
    </row>
    <row r="2065" spans="1:12" x14ac:dyDescent="0.2">
      <c r="A2065" s="9">
        <v>46246</v>
      </c>
      <c r="B2065" t="s">
        <v>267</v>
      </c>
      <c r="C2065" t="s">
        <v>268</v>
      </c>
      <c r="D2065" t="s">
        <v>46</v>
      </c>
      <c r="E2065" t="s">
        <v>651</v>
      </c>
      <c r="F2065" t="s">
        <v>657</v>
      </c>
      <c r="G2065" s="10">
        <v>38</v>
      </c>
      <c r="H2065" s="10">
        <v>6532</v>
      </c>
      <c r="I2065" s="10">
        <v>248216</v>
      </c>
      <c r="J2065" t="s">
        <v>37</v>
      </c>
      <c r="K2065" s="11">
        <v>648.20000000000005</v>
      </c>
      <c r="L2065" s="12">
        <v>382.93</v>
      </c>
    </row>
    <row r="2066" spans="1:12" x14ac:dyDescent="0.2">
      <c r="A2066" s="9">
        <v>46246</v>
      </c>
      <c r="B2066" t="s">
        <v>267</v>
      </c>
      <c r="C2066" t="s">
        <v>268</v>
      </c>
      <c r="D2066" t="s">
        <v>46</v>
      </c>
      <c r="E2066" t="s">
        <v>655</v>
      </c>
      <c r="F2066" t="s">
        <v>665</v>
      </c>
      <c r="G2066" s="10">
        <v>48</v>
      </c>
      <c r="H2066" s="10">
        <v>695</v>
      </c>
      <c r="I2066" s="10">
        <v>33360</v>
      </c>
      <c r="J2066" t="s">
        <v>37</v>
      </c>
      <c r="K2066" s="11">
        <v>648.20000000000005</v>
      </c>
      <c r="L2066" s="12">
        <v>51.47</v>
      </c>
    </row>
    <row r="2067" spans="1:12" x14ac:dyDescent="0.2">
      <c r="A2067" s="9">
        <v>46246</v>
      </c>
      <c r="B2067" t="s">
        <v>273</v>
      </c>
      <c r="C2067" t="s">
        <v>274</v>
      </c>
      <c r="D2067" t="s">
        <v>41</v>
      </c>
      <c r="E2067" t="s">
        <v>653</v>
      </c>
      <c r="F2067" t="s">
        <v>654</v>
      </c>
      <c r="G2067" s="10">
        <v>10</v>
      </c>
      <c r="H2067" s="10">
        <v>28380</v>
      </c>
      <c r="I2067" s="10">
        <v>283800</v>
      </c>
      <c r="J2067" t="s">
        <v>42</v>
      </c>
      <c r="K2067" s="11">
        <v>3145.8</v>
      </c>
      <c r="L2067" s="12">
        <v>90.22</v>
      </c>
    </row>
    <row r="2068" spans="1:12" x14ac:dyDescent="0.2">
      <c r="A2068" s="9">
        <v>46246</v>
      </c>
      <c r="B2068" t="s">
        <v>276</v>
      </c>
      <c r="C2068" t="s">
        <v>277</v>
      </c>
      <c r="D2068" t="s">
        <v>46</v>
      </c>
      <c r="E2068" t="s">
        <v>649</v>
      </c>
      <c r="F2068" t="s">
        <v>650</v>
      </c>
      <c r="G2068" s="10">
        <v>13</v>
      </c>
      <c r="H2068" s="10">
        <v>19324</v>
      </c>
      <c r="I2068" s="10">
        <v>251212</v>
      </c>
      <c r="J2068" t="s">
        <v>37</v>
      </c>
      <c r="K2068" s="11">
        <v>648.20000000000005</v>
      </c>
      <c r="L2068" s="12">
        <v>387.55</v>
      </c>
    </row>
    <row r="2069" spans="1:12" x14ac:dyDescent="0.2">
      <c r="A2069" s="9">
        <v>46246</v>
      </c>
      <c r="B2069" t="s">
        <v>276</v>
      </c>
      <c r="C2069" t="s">
        <v>277</v>
      </c>
      <c r="D2069" t="s">
        <v>46</v>
      </c>
      <c r="E2069" t="s">
        <v>660</v>
      </c>
      <c r="F2069" t="s">
        <v>670</v>
      </c>
      <c r="G2069" s="10">
        <v>10</v>
      </c>
      <c r="H2069" s="10">
        <v>14807</v>
      </c>
      <c r="I2069" s="10">
        <v>148070</v>
      </c>
      <c r="J2069" t="s">
        <v>37</v>
      </c>
      <c r="K2069" s="11">
        <v>648.20000000000005</v>
      </c>
      <c r="L2069" s="12">
        <v>228.43</v>
      </c>
    </row>
    <row r="2070" spans="1:12" x14ac:dyDescent="0.2">
      <c r="A2070" s="9">
        <v>46246</v>
      </c>
      <c r="B2070" t="s">
        <v>279</v>
      </c>
      <c r="C2070" t="s">
        <v>280</v>
      </c>
      <c r="D2070" t="s">
        <v>68</v>
      </c>
      <c r="E2070" t="s">
        <v>660</v>
      </c>
      <c r="F2070" t="s">
        <v>669</v>
      </c>
      <c r="G2070" s="10">
        <v>18</v>
      </c>
      <c r="H2070" s="10">
        <v>2574</v>
      </c>
      <c r="I2070" s="10">
        <v>46332</v>
      </c>
      <c r="J2070" t="s">
        <v>51</v>
      </c>
      <c r="K2070" s="11">
        <v>648.20000000000005</v>
      </c>
      <c r="L2070" s="12">
        <v>71.48</v>
      </c>
    </row>
    <row r="2071" spans="1:12" x14ac:dyDescent="0.2">
      <c r="A2071" s="9">
        <v>46246</v>
      </c>
      <c r="B2071" t="s">
        <v>279</v>
      </c>
      <c r="C2071" t="s">
        <v>280</v>
      </c>
      <c r="D2071" t="s">
        <v>68</v>
      </c>
      <c r="E2071" t="s">
        <v>647</v>
      </c>
      <c r="F2071" t="s">
        <v>668</v>
      </c>
      <c r="G2071" s="10">
        <v>8</v>
      </c>
      <c r="H2071" s="10">
        <v>24531</v>
      </c>
      <c r="I2071" s="10">
        <v>196248</v>
      </c>
      <c r="J2071" t="s">
        <v>51</v>
      </c>
      <c r="K2071" s="11">
        <v>648.20000000000005</v>
      </c>
      <c r="L2071" s="12">
        <v>302.76</v>
      </c>
    </row>
    <row r="2072" spans="1:12" x14ac:dyDescent="0.2">
      <c r="A2072" s="9">
        <v>46246</v>
      </c>
      <c r="B2072" t="s">
        <v>282</v>
      </c>
      <c r="C2072" t="s">
        <v>283</v>
      </c>
      <c r="D2072" t="s">
        <v>41</v>
      </c>
      <c r="E2072" t="s">
        <v>660</v>
      </c>
      <c r="F2072" t="s">
        <v>669</v>
      </c>
      <c r="G2072" s="10">
        <v>3</v>
      </c>
      <c r="H2072" s="10">
        <v>12887</v>
      </c>
      <c r="I2072" s="10">
        <v>38661</v>
      </c>
      <c r="J2072" t="s">
        <v>42</v>
      </c>
      <c r="K2072" s="11">
        <v>3145.8</v>
      </c>
      <c r="L2072" s="12">
        <v>12.29</v>
      </c>
    </row>
    <row r="2073" spans="1:12" x14ac:dyDescent="0.2">
      <c r="A2073" s="9">
        <v>46246</v>
      </c>
      <c r="B2073" t="s">
        <v>291</v>
      </c>
      <c r="C2073" t="s">
        <v>292</v>
      </c>
      <c r="D2073" t="s">
        <v>68</v>
      </c>
      <c r="E2073" t="s">
        <v>647</v>
      </c>
      <c r="F2073" t="s">
        <v>668</v>
      </c>
      <c r="G2073" s="10">
        <v>28</v>
      </c>
      <c r="H2073" s="10">
        <v>24986</v>
      </c>
      <c r="I2073" s="10">
        <v>699608</v>
      </c>
      <c r="J2073" t="s">
        <v>51</v>
      </c>
      <c r="K2073" s="11">
        <v>648.20000000000005</v>
      </c>
      <c r="L2073" s="12">
        <v>1079.31</v>
      </c>
    </row>
    <row r="2074" spans="1:12" x14ac:dyDescent="0.2">
      <c r="A2074" s="9">
        <v>46246</v>
      </c>
      <c r="B2074" t="s">
        <v>294</v>
      </c>
      <c r="C2074" t="s">
        <v>295</v>
      </c>
      <c r="D2074" t="s">
        <v>41</v>
      </c>
      <c r="E2074" t="s">
        <v>649</v>
      </c>
      <c r="F2074" t="s">
        <v>650</v>
      </c>
      <c r="G2074" s="10">
        <v>36</v>
      </c>
      <c r="H2074" s="10">
        <v>94040</v>
      </c>
      <c r="I2074" s="10">
        <v>3385440</v>
      </c>
      <c r="J2074" t="s">
        <v>42</v>
      </c>
      <c r="K2074" s="11">
        <v>3145.8</v>
      </c>
      <c r="L2074" s="12">
        <v>1076.18</v>
      </c>
    </row>
    <row r="2075" spans="1:12" x14ac:dyDescent="0.2">
      <c r="A2075" s="9">
        <v>46246</v>
      </c>
      <c r="B2075" t="s">
        <v>294</v>
      </c>
      <c r="C2075" t="s">
        <v>295</v>
      </c>
      <c r="D2075" t="s">
        <v>41</v>
      </c>
      <c r="E2075" t="s">
        <v>649</v>
      </c>
      <c r="F2075" t="s">
        <v>650</v>
      </c>
      <c r="G2075" s="10">
        <v>35</v>
      </c>
      <c r="H2075" s="10">
        <v>91879</v>
      </c>
      <c r="I2075" s="10">
        <v>3215765</v>
      </c>
      <c r="J2075" t="s">
        <v>42</v>
      </c>
      <c r="K2075" s="11">
        <v>3145.8</v>
      </c>
      <c r="L2075" s="12">
        <v>1022.24</v>
      </c>
    </row>
    <row r="2076" spans="1:12" x14ac:dyDescent="0.2">
      <c r="A2076" s="9">
        <v>46246</v>
      </c>
      <c r="B2076" t="s">
        <v>294</v>
      </c>
      <c r="C2076" t="s">
        <v>295</v>
      </c>
      <c r="D2076" t="s">
        <v>41</v>
      </c>
      <c r="E2076" t="s">
        <v>647</v>
      </c>
      <c r="F2076" t="s">
        <v>667</v>
      </c>
      <c r="G2076" s="10">
        <v>1</v>
      </c>
      <c r="H2076" s="10">
        <v>34223</v>
      </c>
      <c r="I2076" s="10">
        <v>34223</v>
      </c>
      <c r="J2076" t="s">
        <v>42</v>
      </c>
      <c r="K2076" s="11">
        <v>3145.8</v>
      </c>
      <c r="L2076" s="12">
        <v>10.88</v>
      </c>
    </row>
    <row r="2077" spans="1:12" x14ac:dyDescent="0.2">
      <c r="A2077" s="9">
        <v>46246</v>
      </c>
      <c r="B2077" t="s">
        <v>297</v>
      </c>
      <c r="C2077" t="s">
        <v>298</v>
      </c>
      <c r="D2077" t="s">
        <v>36</v>
      </c>
      <c r="E2077" t="s">
        <v>660</v>
      </c>
      <c r="F2077" t="s">
        <v>670</v>
      </c>
      <c r="G2077" s="10">
        <v>11</v>
      </c>
      <c r="H2077" s="10">
        <v>14758</v>
      </c>
      <c r="I2077" s="10">
        <v>162338</v>
      </c>
      <c r="J2077" t="s">
        <v>37</v>
      </c>
      <c r="K2077" s="11">
        <v>648.20000000000005</v>
      </c>
      <c r="L2077" s="12">
        <v>250.44</v>
      </c>
    </row>
    <row r="2078" spans="1:12" x14ac:dyDescent="0.2">
      <c r="A2078" s="9">
        <v>46246</v>
      </c>
      <c r="B2078" t="s">
        <v>300</v>
      </c>
      <c r="C2078" t="s">
        <v>301</v>
      </c>
      <c r="D2078" t="s">
        <v>41</v>
      </c>
      <c r="E2078" t="s">
        <v>649</v>
      </c>
      <c r="F2078" t="s">
        <v>650</v>
      </c>
      <c r="G2078" s="10">
        <v>1</v>
      </c>
      <c r="H2078" s="10">
        <v>95334</v>
      </c>
      <c r="I2078" s="10">
        <v>95334</v>
      </c>
      <c r="J2078" t="s">
        <v>42</v>
      </c>
      <c r="K2078" s="11">
        <v>3145.8</v>
      </c>
      <c r="L2078" s="12">
        <v>30.31</v>
      </c>
    </row>
    <row r="2079" spans="1:12" x14ac:dyDescent="0.2">
      <c r="A2079" s="9">
        <v>46246</v>
      </c>
      <c r="B2079" t="s">
        <v>303</v>
      </c>
      <c r="C2079" t="s">
        <v>304</v>
      </c>
      <c r="D2079" t="s">
        <v>36</v>
      </c>
      <c r="E2079" t="s">
        <v>647</v>
      </c>
      <c r="F2079" t="s">
        <v>667</v>
      </c>
      <c r="G2079" s="10">
        <v>2</v>
      </c>
      <c r="H2079" s="10">
        <v>7520</v>
      </c>
      <c r="I2079" s="10">
        <v>15040</v>
      </c>
      <c r="J2079" t="s">
        <v>37</v>
      </c>
      <c r="K2079" s="11">
        <v>648.20000000000005</v>
      </c>
      <c r="L2079" s="12">
        <v>23.2</v>
      </c>
    </row>
    <row r="2080" spans="1:12" x14ac:dyDescent="0.2">
      <c r="A2080" s="9">
        <v>46246</v>
      </c>
      <c r="B2080" t="s">
        <v>306</v>
      </c>
      <c r="C2080" t="s">
        <v>307</v>
      </c>
      <c r="D2080" t="s">
        <v>36</v>
      </c>
      <c r="E2080" t="s">
        <v>649</v>
      </c>
      <c r="F2080" t="s">
        <v>659</v>
      </c>
      <c r="G2080" s="10">
        <v>5</v>
      </c>
      <c r="H2080" s="10">
        <v>9065</v>
      </c>
      <c r="I2080" s="10">
        <v>45325</v>
      </c>
      <c r="J2080" t="s">
        <v>37</v>
      </c>
      <c r="K2080" s="11">
        <v>648.20000000000005</v>
      </c>
      <c r="L2080" s="12">
        <v>69.92</v>
      </c>
    </row>
    <row r="2081" spans="1:12" x14ac:dyDescent="0.2">
      <c r="A2081" s="9">
        <v>46246</v>
      </c>
      <c r="B2081" t="s">
        <v>309</v>
      </c>
      <c r="C2081" t="s">
        <v>310</v>
      </c>
      <c r="D2081" t="s">
        <v>41</v>
      </c>
      <c r="E2081" t="s">
        <v>649</v>
      </c>
      <c r="F2081" t="s">
        <v>663</v>
      </c>
      <c r="G2081" s="10">
        <v>2</v>
      </c>
      <c r="H2081" s="10">
        <v>9482</v>
      </c>
      <c r="I2081" s="10">
        <v>18964</v>
      </c>
      <c r="J2081" t="s">
        <v>42</v>
      </c>
      <c r="K2081" s="11">
        <v>3145.8</v>
      </c>
      <c r="L2081" s="12">
        <v>6.03</v>
      </c>
    </row>
    <row r="2082" spans="1:12" x14ac:dyDescent="0.2">
      <c r="A2082" s="9">
        <v>46246</v>
      </c>
      <c r="B2082" t="s">
        <v>309</v>
      </c>
      <c r="C2082" t="s">
        <v>310</v>
      </c>
      <c r="D2082" t="s">
        <v>41</v>
      </c>
      <c r="E2082" t="s">
        <v>647</v>
      </c>
      <c r="F2082" t="s">
        <v>668</v>
      </c>
      <c r="G2082" s="10">
        <v>15</v>
      </c>
      <c r="H2082" s="10">
        <v>123119</v>
      </c>
      <c r="I2082" s="10">
        <v>1846785</v>
      </c>
      <c r="J2082" t="s">
        <v>42</v>
      </c>
      <c r="K2082" s="11">
        <v>3145.8</v>
      </c>
      <c r="L2082" s="12">
        <v>587.05999999999995</v>
      </c>
    </row>
    <row r="2083" spans="1:12" x14ac:dyDescent="0.2">
      <c r="A2083" s="9">
        <v>46246</v>
      </c>
      <c r="B2083" t="s">
        <v>315</v>
      </c>
      <c r="C2083" t="s">
        <v>316</v>
      </c>
      <c r="D2083" t="s">
        <v>46</v>
      </c>
      <c r="E2083" t="s">
        <v>647</v>
      </c>
      <c r="F2083" t="s">
        <v>667</v>
      </c>
      <c r="G2083" s="10">
        <v>3</v>
      </c>
      <c r="H2083" s="10">
        <v>7066</v>
      </c>
      <c r="I2083" s="10">
        <v>21198</v>
      </c>
      <c r="J2083" t="s">
        <v>37</v>
      </c>
      <c r="K2083" s="11">
        <v>648.20000000000005</v>
      </c>
      <c r="L2083" s="12">
        <v>32.700000000000003</v>
      </c>
    </row>
    <row r="2084" spans="1:12" x14ac:dyDescent="0.2">
      <c r="A2084" s="9">
        <v>46246</v>
      </c>
      <c r="B2084" t="s">
        <v>315</v>
      </c>
      <c r="C2084" t="s">
        <v>316</v>
      </c>
      <c r="D2084" t="s">
        <v>46</v>
      </c>
      <c r="E2084" t="s">
        <v>655</v>
      </c>
      <c r="F2084" t="s">
        <v>665</v>
      </c>
      <c r="G2084" s="10">
        <v>15</v>
      </c>
      <c r="H2084" s="10">
        <v>712</v>
      </c>
      <c r="I2084" s="10">
        <v>10680</v>
      </c>
      <c r="J2084" t="s">
        <v>37</v>
      </c>
      <c r="K2084" s="11">
        <v>648.20000000000005</v>
      </c>
      <c r="L2084" s="12">
        <v>16.48</v>
      </c>
    </row>
    <row r="2085" spans="1:12" x14ac:dyDescent="0.2">
      <c r="A2085" s="9">
        <v>46246</v>
      </c>
      <c r="B2085" t="s">
        <v>318</v>
      </c>
      <c r="C2085" t="s">
        <v>319</v>
      </c>
      <c r="D2085" t="s">
        <v>41</v>
      </c>
      <c r="E2085" t="s">
        <v>649</v>
      </c>
      <c r="F2085" t="s">
        <v>650</v>
      </c>
      <c r="G2085" s="10">
        <v>6</v>
      </c>
      <c r="H2085" s="10">
        <v>92098</v>
      </c>
      <c r="I2085" s="10">
        <v>552588</v>
      </c>
      <c r="J2085" t="s">
        <v>42</v>
      </c>
      <c r="K2085" s="11">
        <v>3145.8</v>
      </c>
      <c r="L2085" s="12">
        <v>175.66</v>
      </c>
    </row>
    <row r="2086" spans="1:12" x14ac:dyDescent="0.2">
      <c r="A2086" s="9">
        <v>46246</v>
      </c>
      <c r="B2086" t="s">
        <v>318</v>
      </c>
      <c r="C2086" t="s">
        <v>319</v>
      </c>
      <c r="D2086" t="s">
        <v>41</v>
      </c>
      <c r="E2086" t="s">
        <v>649</v>
      </c>
      <c r="F2086" t="s">
        <v>659</v>
      </c>
      <c r="G2086" s="10">
        <v>37</v>
      </c>
      <c r="H2086" s="10">
        <v>44558</v>
      </c>
      <c r="I2086" s="10">
        <v>1648646</v>
      </c>
      <c r="J2086" t="s">
        <v>42</v>
      </c>
      <c r="K2086" s="11">
        <v>3145.8</v>
      </c>
      <c r="L2086" s="12">
        <v>524.08000000000004</v>
      </c>
    </row>
    <row r="2087" spans="1:12" x14ac:dyDescent="0.2">
      <c r="A2087" s="9">
        <v>46246</v>
      </c>
      <c r="B2087" t="s">
        <v>324</v>
      </c>
      <c r="C2087" t="s">
        <v>325</v>
      </c>
      <c r="D2087" t="s">
        <v>46</v>
      </c>
      <c r="E2087" t="s">
        <v>653</v>
      </c>
      <c r="F2087" t="s">
        <v>666</v>
      </c>
      <c r="G2087" s="10">
        <v>6</v>
      </c>
      <c r="H2087" s="10">
        <v>1553</v>
      </c>
      <c r="I2087" s="10">
        <v>9318</v>
      </c>
      <c r="J2087" t="s">
        <v>37</v>
      </c>
      <c r="K2087" s="11">
        <v>648.20000000000005</v>
      </c>
      <c r="L2087" s="12">
        <v>14.38</v>
      </c>
    </row>
    <row r="2088" spans="1:12" x14ac:dyDescent="0.2">
      <c r="A2088" s="9">
        <v>46246</v>
      </c>
      <c r="B2088" t="s">
        <v>336</v>
      </c>
      <c r="C2088" t="s">
        <v>337</v>
      </c>
      <c r="D2088" t="s">
        <v>68</v>
      </c>
      <c r="E2088" t="s">
        <v>655</v>
      </c>
      <c r="F2088" t="s">
        <v>656</v>
      </c>
      <c r="G2088" s="10">
        <v>3</v>
      </c>
      <c r="H2088" s="10">
        <v>556</v>
      </c>
      <c r="I2088" s="10">
        <v>1668</v>
      </c>
      <c r="J2088" t="s">
        <v>51</v>
      </c>
      <c r="K2088" s="11">
        <v>648.20000000000005</v>
      </c>
      <c r="L2088" s="12">
        <v>2.57</v>
      </c>
    </row>
    <row r="2089" spans="1:12" x14ac:dyDescent="0.2">
      <c r="A2089" s="9">
        <v>46246</v>
      </c>
      <c r="B2089" t="s">
        <v>345</v>
      </c>
      <c r="C2089" t="s">
        <v>346</v>
      </c>
      <c r="D2089" t="s">
        <v>68</v>
      </c>
      <c r="E2089" t="s">
        <v>655</v>
      </c>
      <c r="F2089" t="s">
        <v>662</v>
      </c>
      <c r="G2089" s="10">
        <v>3</v>
      </c>
      <c r="H2089" s="10">
        <v>1118</v>
      </c>
      <c r="I2089" s="10">
        <v>3354</v>
      </c>
      <c r="J2089" t="s">
        <v>51</v>
      </c>
      <c r="K2089" s="11">
        <v>648.20000000000005</v>
      </c>
      <c r="L2089" s="12">
        <v>5.17</v>
      </c>
    </row>
    <row r="2090" spans="1:12" x14ac:dyDescent="0.2">
      <c r="A2090" s="9">
        <v>46246</v>
      </c>
      <c r="B2090" t="s">
        <v>345</v>
      </c>
      <c r="C2090" t="s">
        <v>346</v>
      </c>
      <c r="D2090" t="s">
        <v>68</v>
      </c>
      <c r="E2090" t="s">
        <v>660</v>
      </c>
      <c r="F2090" t="s">
        <v>669</v>
      </c>
      <c r="G2090" s="10">
        <v>7</v>
      </c>
      <c r="H2090" s="10">
        <v>2655</v>
      </c>
      <c r="I2090" s="10">
        <v>18585</v>
      </c>
      <c r="J2090" t="s">
        <v>51</v>
      </c>
      <c r="K2090" s="11">
        <v>648.20000000000005</v>
      </c>
      <c r="L2090" s="12">
        <v>28.67</v>
      </c>
    </row>
    <row r="2091" spans="1:12" x14ac:dyDescent="0.2">
      <c r="A2091" s="9">
        <v>46246</v>
      </c>
      <c r="B2091" t="s">
        <v>345</v>
      </c>
      <c r="C2091" t="s">
        <v>346</v>
      </c>
      <c r="D2091" t="s">
        <v>68</v>
      </c>
      <c r="E2091" t="s">
        <v>647</v>
      </c>
      <c r="F2091" t="s">
        <v>648</v>
      </c>
      <c r="G2091" s="10">
        <v>2</v>
      </c>
      <c r="H2091" s="10">
        <v>16842</v>
      </c>
      <c r="I2091" s="10">
        <v>33684</v>
      </c>
      <c r="J2091" t="s">
        <v>51</v>
      </c>
      <c r="K2091" s="11">
        <v>648.20000000000005</v>
      </c>
      <c r="L2091" s="12">
        <v>51.97</v>
      </c>
    </row>
    <row r="2092" spans="1:12" x14ac:dyDescent="0.2">
      <c r="A2092" s="9">
        <v>46246</v>
      </c>
      <c r="B2092" t="s">
        <v>345</v>
      </c>
      <c r="C2092" t="s">
        <v>346</v>
      </c>
      <c r="D2092" t="s">
        <v>68</v>
      </c>
      <c r="E2092" t="s">
        <v>655</v>
      </c>
      <c r="F2092" t="s">
        <v>656</v>
      </c>
      <c r="G2092" s="10">
        <v>7</v>
      </c>
      <c r="H2092" s="10">
        <v>576</v>
      </c>
      <c r="I2092" s="10">
        <v>4032</v>
      </c>
      <c r="J2092" t="s">
        <v>51</v>
      </c>
      <c r="K2092" s="11">
        <v>648.20000000000005</v>
      </c>
      <c r="L2092" s="12">
        <v>6.22</v>
      </c>
    </row>
    <row r="2093" spans="1:12" x14ac:dyDescent="0.2">
      <c r="A2093" s="9">
        <v>46246</v>
      </c>
      <c r="B2093" t="s">
        <v>348</v>
      </c>
      <c r="C2093" t="s">
        <v>349</v>
      </c>
      <c r="D2093" t="s">
        <v>36</v>
      </c>
      <c r="E2093" t="s">
        <v>647</v>
      </c>
      <c r="F2093" t="s">
        <v>648</v>
      </c>
      <c r="G2093" s="10">
        <v>28</v>
      </c>
      <c r="H2093" s="10">
        <v>15910</v>
      </c>
      <c r="I2093" s="10">
        <v>445480</v>
      </c>
      <c r="J2093" t="s">
        <v>37</v>
      </c>
      <c r="K2093" s="11">
        <v>648.20000000000005</v>
      </c>
      <c r="L2093" s="12">
        <v>687.26</v>
      </c>
    </row>
    <row r="2094" spans="1:12" x14ac:dyDescent="0.2">
      <c r="A2094" s="9">
        <v>46246</v>
      </c>
      <c r="B2094" t="s">
        <v>357</v>
      </c>
      <c r="C2094" t="s">
        <v>358</v>
      </c>
      <c r="D2094" t="s">
        <v>36</v>
      </c>
      <c r="E2094" t="s">
        <v>653</v>
      </c>
      <c r="F2094" t="s">
        <v>658</v>
      </c>
      <c r="G2094" s="10">
        <v>21</v>
      </c>
      <c r="H2094" s="10">
        <v>2708</v>
      </c>
      <c r="I2094" s="10">
        <v>56868</v>
      </c>
      <c r="J2094" t="s">
        <v>37</v>
      </c>
      <c r="K2094" s="11">
        <v>648.20000000000005</v>
      </c>
      <c r="L2094" s="12">
        <v>87.73</v>
      </c>
    </row>
    <row r="2095" spans="1:12" x14ac:dyDescent="0.2">
      <c r="A2095" s="9">
        <v>46246</v>
      </c>
      <c r="B2095" t="s">
        <v>357</v>
      </c>
      <c r="C2095" t="s">
        <v>358</v>
      </c>
      <c r="D2095" t="s">
        <v>36</v>
      </c>
      <c r="E2095" t="s">
        <v>647</v>
      </c>
      <c r="F2095" t="s">
        <v>648</v>
      </c>
      <c r="G2095" s="10">
        <v>47</v>
      </c>
      <c r="H2095" s="10">
        <v>15994</v>
      </c>
      <c r="I2095" s="10">
        <v>751718</v>
      </c>
      <c r="J2095" t="s">
        <v>37</v>
      </c>
      <c r="K2095" s="11">
        <v>648.20000000000005</v>
      </c>
      <c r="L2095" s="12">
        <v>1159.7</v>
      </c>
    </row>
    <row r="2096" spans="1:12" x14ac:dyDescent="0.2">
      <c r="A2096" s="9">
        <v>46246</v>
      </c>
      <c r="B2096" t="s">
        <v>363</v>
      </c>
      <c r="C2096" t="s">
        <v>364</v>
      </c>
      <c r="D2096" t="s">
        <v>46</v>
      </c>
      <c r="E2096" t="s">
        <v>653</v>
      </c>
      <c r="F2096" t="s">
        <v>666</v>
      </c>
      <c r="G2096" s="10">
        <v>38</v>
      </c>
      <c r="H2096" s="10">
        <v>1537</v>
      </c>
      <c r="I2096" s="10">
        <v>58406</v>
      </c>
      <c r="J2096" t="s">
        <v>37</v>
      </c>
      <c r="K2096" s="11">
        <v>648.20000000000005</v>
      </c>
      <c r="L2096" s="12">
        <v>90.1</v>
      </c>
    </row>
    <row r="2097" spans="1:12" x14ac:dyDescent="0.2">
      <c r="A2097" s="9">
        <v>46246</v>
      </c>
      <c r="B2097" t="s">
        <v>375</v>
      </c>
      <c r="C2097" t="s">
        <v>376</v>
      </c>
      <c r="D2097" t="s">
        <v>36</v>
      </c>
      <c r="E2097" t="s">
        <v>660</v>
      </c>
      <c r="F2097" t="s">
        <v>661</v>
      </c>
      <c r="G2097" s="10">
        <v>6</v>
      </c>
      <c r="H2097" s="10">
        <v>4078</v>
      </c>
      <c r="I2097" s="10">
        <v>24468</v>
      </c>
      <c r="J2097" t="s">
        <v>37</v>
      </c>
      <c r="K2097" s="11">
        <v>648.20000000000005</v>
      </c>
      <c r="L2097" s="12">
        <v>37.75</v>
      </c>
    </row>
    <row r="2098" spans="1:12" x14ac:dyDescent="0.2">
      <c r="A2098" s="9">
        <v>46246</v>
      </c>
      <c r="B2098" t="s">
        <v>375</v>
      </c>
      <c r="C2098" t="s">
        <v>376</v>
      </c>
      <c r="D2098" t="s">
        <v>36</v>
      </c>
      <c r="E2098" t="s">
        <v>647</v>
      </c>
      <c r="F2098" t="s">
        <v>668</v>
      </c>
      <c r="G2098" s="10">
        <v>12</v>
      </c>
      <c r="H2098" s="10">
        <v>25617</v>
      </c>
      <c r="I2098" s="10">
        <v>307404</v>
      </c>
      <c r="J2098" t="s">
        <v>37</v>
      </c>
      <c r="K2098" s="11">
        <v>648.20000000000005</v>
      </c>
      <c r="L2098" s="12">
        <v>474.24</v>
      </c>
    </row>
    <row r="2099" spans="1:12" x14ac:dyDescent="0.2">
      <c r="A2099" s="9">
        <v>46246</v>
      </c>
      <c r="B2099" t="s">
        <v>384</v>
      </c>
      <c r="C2099" t="s">
        <v>385</v>
      </c>
      <c r="D2099" t="s">
        <v>46</v>
      </c>
      <c r="E2099" t="s">
        <v>649</v>
      </c>
      <c r="F2099" t="s">
        <v>663</v>
      </c>
      <c r="G2099" s="10">
        <v>4</v>
      </c>
      <c r="H2099" s="10">
        <v>2039</v>
      </c>
      <c r="I2099" s="10">
        <v>8156</v>
      </c>
      <c r="J2099" t="s">
        <v>37</v>
      </c>
      <c r="K2099" s="11">
        <v>648.20000000000005</v>
      </c>
      <c r="L2099" s="12">
        <v>12.58</v>
      </c>
    </row>
    <row r="2100" spans="1:12" x14ac:dyDescent="0.2">
      <c r="A2100" s="9">
        <v>46246</v>
      </c>
      <c r="B2100" t="s">
        <v>384</v>
      </c>
      <c r="C2100" t="s">
        <v>385</v>
      </c>
      <c r="D2100" t="s">
        <v>46</v>
      </c>
      <c r="E2100" t="s">
        <v>649</v>
      </c>
      <c r="F2100" t="s">
        <v>659</v>
      </c>
      <c r="G2100" s="10">
        <v>6</v>
      </c>
      <c r="H2100" s="10">
        <v>8567</v>
      </c>
      <c r="I2100" s="10">
        <v>51402</v>
      </c>
      <c r="J2100" t="s">
        <v>37</v>
      </c>
      <c r="K2100" s="11">
        <v>648.20000000000005</v>
      </c>
      <c r="L2100" s="12">
        <v>79.3</v>
      </c>
    </row>
    <row r="2101" spans="1:12" x14ac:dyDescent="0.2">
      <c r="A2101" s="9">
        <v>46246</v>
      </c>
      <c r="B2101" t="s">
        <v>387</v>
      </c>
      <c r="C2101" t="s">
        <v>388</v>
      </c>
      <c r="D2101" t="s">
        <v>50</v>
      </c>
      <c r="E2101" t="s">
        <v>653</v>
      </c>
      <c r="F2101" t="s">
        <v>666</v>
      </c>
      <c r="G2101" s="10">
        <v>8</v>
      </c>
      <c r="H2101" s="10">
        <v>1480</v>
      </c>
      <c r="I2101" s="10">
        <v>11840</v>
      </c>
      <c r="J2101" t="s">
        <v>51</v>
      </c>
      <c r="K2101" s="11">
        <v>648.20000000000005</v>
      </c>
      <c r="L2101" s="12">
        <v>18.27</v>
      </c>
    </row>
    <row r="2102" spans="1:12" x14ac:dyDescent="0.2">
      <c r="A2102" s="9">
        <v>46246</v>
      </c>
      <c r="B2102" t="s">
        <v>393</v>
      </c>
      <c r="C2102" t="s">
        <v>307</v>
      </c>
      <c r="D2102" t="s">
        <v>68</v>
      </c>
      <c r="E2102" t="s">
        <v>649</v>
      </c>
      <c r="F2102" t="s">
        <v>650</v>
      </c>
      <c r="G2102" s="10">
        <v>197</v>
      </c>
      <c r="H2102" s="10">
        <v>18830</v>
      </c>
      <c r="I2102" s="10">
        <v>3709510</v>
      </c>
      <c r="J2102" t="s">
        <v>51</v>
      </c>
      <c r="K2102" s="11">
        <v>648.20000000000005</v>
      </c>
      <c r="L2102" s="12">
        <v>5722.79</v>
      </c>
    </row>
    <row r="2103" spans="1:12" x14ac:dyDescent="0.2">
      <c r="A2103" s="9">
        <v>46246</v>
      </c>
      <c r="B2103" t="s">
        <v>393</v>
      </c>
      <c r="C2103" t="s">
        <v>307</v>
      </c>
      <c r="D2103" t="s">
        <v>68</v>
      </c>
      <c r="E2103" t="s">
        <v>649</v>
      </c>
      <c r="F2103" t="s">
        <v>659</v>
      </c>
      <c r="G2103" s="10">
        <v>14</v>
      </c>
      <c r="H2103" s="10">
        <v>8848</v>
      </c>
      <c r="I2103" s="10">
        <v>123872</v>
      </c>
      <c r="J2103" t="s">
        <v>51</v>
      </c>
      <c r="K2103" s="11">
        <v>648.20000000000005</v>
      </c>
      <c r="L2103" s="12">
        <v>191.1</v>
      </c>
    </row>
    <row r="2104" spans="1:12" x14ac:dyDescent="0.2">
      <c r="A2104" s="9">
        <v>46246</v>
      </c>
      <c r="B2104" t="s">
        <v>393</v>
      </c>
      <c r="C2104" t="s">
        <v>307</v>
      </c>
      <c r="D2104" t="s">
        <v>68</v>
      </c>
      <c r="E2104" t="s">
        <v>660</v>
      </c>
      <c r="F2104" t="s">
        <v>670</v>
      </c>
      <c r="G2104" s="10">
        <v>18</v>
      </c>
      <c r="H2104" s="10">
        <v>14710</v>
      </c>
      <c r="I2104" s="10">
        <v>264780</v>
      </c>
      <c r="J2104" t="s">
        <v>51</v>
      </c>
      <c r="K2104" s="11">
        <v>648.20000000000005</v>
      </c>
      <c r="L2104" s="12">
        <v>408.49</v>
      </c>
    </row>
    <row r="2105" spans="1:12" x14ac:dyDescent="0.2">
      <c r="A2105" s="9">
        <v>46246</v>
      </c>
      <c r="B2105" t="s">
        <v>401</v>
      </c>
      <c r="C2105" t="s">
        <v>402</v>
      </c>
      <c r="D2105" t="s">
        <v>36</v>
      </c>
      <c r="E2105" t="s">
        <v>649</v>
      </c>
      <c r="F2105" t="s">
        <v>663</v>
      </c>
      <c r="G2105" s="10">
        <v>16</v>
      </c>
      <c r="H2105" s="10">
        <v>2036</v>
      </c>
      <c r="I2105" s="10">
        <v>32576</v>
      </c>
      <c r="J2105" t="s">
        <v>37</v>
      </c>
      <c r="K2105" s="11">
        <v>648.20000000000005</v>
      </c>
      <c r="L2105" s="12">
        <v>50.26</v>
      </c>
    </row>
    <row r="2106" spans="1:12" x14ac:dyDescent="0.2">
      <c r="A2106" s="9">
        <v>46246</v>
      </c>
      <c r="B2106" t="s">
        <v>404</v>
      </c>
      <c r="C2106" t="s">
        <v>405</v>
      </c>
      <c r="D2106" t="s">
        <v>46</v>
      </c>
      <c r="E2106" t="s">
        <v>655</v>
      </c>
      <c r="F2106" t="s">
        <v>662</v>
      </c>
      <c r="G2106" s="10">
        <v>5</v>
      </c>
      <c r="H2106" s="10">
        <v>1102</v>
      </c>
      <c r="I2106" s="10">
        <v>5510</v>
      </c>
      <c r="J2106" t="s">
        <v>37</v>
      </c>
      <c r="K2106" s="11">
        <v>648.20000000000005</v>
      </c>
      <c r="L2106" s="12">
        <v>8.5</v>
      </c>
    </row>
    <row r="2107" spans="1:12" x14ac:dyDescent="0.2">
      <c r="A2107" s="9">
        <v>46246</v>
      </c>
      <c r="B2107" t="s">
        <v>410</v>
      </c>
      <c r="C2107" t="s">
        <v>411</v>
      </c>
      <c r="D2107" t="s">
        <v>46</v>
      </c>
      <c r="E2107" t="s">
        <v>655</v>
      </c>
      <c r="F2107" t="s">
        <v>656</v>
      </c>
      <c r="G2107" s="10">
        <v>13</v>
      </c>
      <c r="H2107" s="10">
        <v>556</v>
      </c>
      <c r="I2107" s="10">
        <v>7228</v>
      </c>
      <c r="J2107" t="s">
        <v>37</v>
      </c>
      <c r="K2107" s="11">
        <v>648.20000000000005</v>
      </c>
      <c r="L2107" s="12">
        <v>11.15</v>
      </c>
    </row>
    <row r="2108" spans="1:12" x14ac:dyDescent="0.2">
      <c r="A2108" s="9">
        <v>46246</v>
      </c>
      <c r="B2108" t="s">
        <v>422</v>
      </c>
      <c r="C2108" t="s">
        <v>423</v>
      </c>
      <c r="D2108" t="s">
        <v>68</v>
      </c>
      <c r="E2108" t="s">
        <v>651</v>
      </c>
      <c r="F2108" t="s">
        <v>664</v>
      </c>
      <c r="G2108" s="10">
        <v>8</v>
      </c>
      <c r="H2108" s="10">
        <v>11851</v>
      </c>
      <c r="I2108" s="10">
        <v>94808</v>
      </c>
      <c r="J2108" t="s">
        <v>51</v>
      </c>
      <c r="K2108" s="11">
        <v>648.20000000000005</v>
      </c>
      <c r="L2108" s="12">
        <v>146.26</v>
      </c>
    </row>
    <row r="2109" spans="1:12" x14ac:dyDescent="0.2">
      <c r="A2109" s="9">
        <v>46246</v>
      </c>
      <c r="B2109" t="s">
        <v>425</v>
      </c>
      <c r="C2109" t="s">
        <v>426</v>
      </c>
      <c r="D2109" t="s">
        <v>50</v>
      </c>
      <c r="E2109" t="s">
        <v>649</v>
      </c>
      <c r="F2109" t="s">
        <v>650</v>
      </c>
      <c r="G2109" s="10">
        <v>11</v>
      </c>
      <c r="H2109" s="10">
        <v>19744</v>
      </c>
      <c r="I2109" s="10">
        <v>217184</v>
      </c>
      <c r="J2109" t="s">
        <v>51</v>
      </c>
      <c r="K2109" s="11">
        <v>648.20000000000005</v>
      </c>
      <c r="L2109" s="12">
        <v>335.06</v>
      </c>
    </row>
    <row r="2110" spans="1:12" x14ac:dyDescent="0.2">
      <c r="A2110" s="9">
        <v>46246</v>
      </c>
      <c r="B2110" t="s">
        <v>425</v>
      </c>
      <c r="C2110" t="s">
        <v>426</v>
      </c>
      <c r="D2110" t="s">
        <v>50</v>
      </c>
      <c r="E2110" t="s">
        <v>651</v>
      </c>
      <c r="F2110" t="s">
        <v>664</v>
      </c>
      <c r="G2110" s="10">
        <v>17</v>
      </c>
      <c r="H2110" s="10">
        <v>11602</v>
      </c>
      <c r="I2110" s="10">
        <v>197234</v>
      </c>
      <c r="J2110" t="s">
        <v>51</v>
      </c>
      <c r="K2110" s="11">
        <v>648.20000000000005</v>
      </c>
      <c r="L2110" s="12">
        <v>304.27999999999997</v>
      </c>
    </row>
    <row r="2111" spans="1:12" x14ac:dyDescent="0.2">
      <c r="A2111" s="9">
        <v>46246</v>
      </c>
      <c r="B2111" t="s">
        <v>431</v>
      </c>
      <c r="C2111" t="s">
        <v>432</v>
      </c>
      <c r="D2111" t="s">
        <v>36</v>
      </c>
      <c r="E2111" t="s">
        <v>647</v>
      </c>
      <c r="F2111" t="s">
        <v>668</v>
      </c>
      <c r="G2111" s="10">
        <v>7</v>
      </c>
      <c r="H2111" s="10">
        <v>26022</v>
      </c>
      <c r="I2111" s="10">
        <v>182154</v>
      </c>
      <c r="J2111" t="s">
        <v>37</v>
      </c>
      <c r="K2111" s="11">
        <v>648.20000000000005</v>
      </c>
      <c r="L2111" s="12">
        <v>281.02</v>
      </c>
    </row>
    <row r="2112" spans="1:12" x14ac:dyDescent="0.2">
      <c r="A2112" s="9">
        <v>46246</v>
      </c>
      <c r="B2112" t="s">
        <v>434</v>
      </c>
      <c r="C2112" t="s">
        <v>176</v>
      </c>
      <c r="D2112" t="s">
        <v>46</v>
      </c>
      <c r="E2112" t="s">
        <v>660</v>
      </c>
      <c r="F2112" t="s">
        <v>669</v>
      </c>
      <c r="G2112" s="10">
        <v>31</v>
      </c>
      <c r="H2112" s="10">
        <v>2687</v>
      </c>
      <c r="I2112" s="10">
        <v>83297</v>
      </c>
      <c r="J2112" t="s">
        <v>37</v>
      </c>
      <c r="K2112" s="11">
        <v>648.20000000000005</v>
      </c>
      <c r="L2112" s="12">
        <v>128.51</v>
      </c>
    </row>
    <row r="2113" spans="1:12" x14ac:dyDescent="0.2">
      <c r="A2113" s="9">
        <v>46246</v>
      </c>
      <c r="B2113" t="s">
        <v>436</v>
      </c>
      <c r="C2113" t="s">
        <v>437</v>
      </c>
      <c r="D2113" t="s">
        <v>50</v>
      </c>
      <c r="E2113" t="s">
        <v>651</v>
      </c>
      <c r="F2113" t="s">
        <v>652</v>
      </c>
      <c r="G2113" s="10">
        <v>6</v>
      </c>
      <c r="H2113" s="10">
        <v>9333</v>
      </c>
      <c r="I2113" s="10">
        <v>55998</v>
      </c>
      <c r="J2113" t="s">
        <v>51</v>
      </c>
      <c r="K2113" s="11">
        <v>648.20000000000005</v>
      </c>
      <c r="L2113" s="12">
        <v>86.39</v>
      </c>
    </row>
    <row r="2114" spans="1:12" x14ac:dyDescent="0.2">
      <c r="A2114" s="9">
        <v>46246</v>
      </c>
      <c r="B2114" t="s">
        <v>436</v>
      </c>
      <c r="C2114" t="s">
        <v>437</v>
      </c>
      <c r="D2114" t="s">
        <v>50</v>
      </c>
      <c r="E2114" t="s">
        <v>647</v>
      </c>
      <c r="F2114" t="s">
        <v>667</v>
      </c>
      <c r="G2114" s="10">
        <v>22</v>
      </c>
      <c r="H2114" s="10">
        <v>7594</v>
      </c>
      <c r="I2114" s="10">
        <v>167068</v>
      </c>
      <c r="J2114" t="s">
        <v>51</v>
      </c>
      <c r="K2114" s="11">
        <v>648.20000000000005</v>
      </c>
      <c r="L2114" s="12">
        <v>257.74</v>
      </c>
    </row>
    <row r="2115" spans="1:12" x14ac:dyDescent="0.2">
      <c r="A2115" s="9">
        <v>46246</v>
      </c>
      <c r="B2115" t="s">
        <v>436</v>
      </c>
      <c r="C2115" t="s">
        <v>437</v>
      </c>
      <c r="D2115" t="s">
        <v>50</v>
      </c>
      <c r="E2115" t="s">
        <v>655</v>
      </c>
      <c r="F2115" t="s">
        <v>656</v>
      </c>
      <c r="G2115" s="10">
        <v>1</v>
      </c>
      <c r="H2115" s="10">
        <v>582</v>
      </c>
      <c r="I2115" s="10">
        <v>582</v>
      </c>
      <c r="J2115" t="s">
        <v>51</v>
      </c>
      <c r="K2115" s="11">
        <v>648.20000000000005</v>
      </c>
      <c r="L2115" s="12">
        <v>0.9</v>
      </c>
    </row>
    <row r="2116" spans="1:12" x14ac:dyDescent="0.2">
      <c r="A2116" s="9">
        <v>46246</v>
      </c>
      <c r="B2116" t="s">
        <v>442</v>
      </c>
      <c r="C2116" t="s">
        <v>443</v>
      </c>
      <c r="D2116" t="s">
        <v>41</v>
      </c>
      <c r="E2116" t="s">
        <v>653</v>
      </c>
      <c r="F2116" t="s">
        <v>666</v>
      </c>
      <c r="G2116" s="10">
        <v>2</v>
      </c>
      <c r="H2116" s="10">
        <v>7422</v>
      </c>
      <c r="I2116" s="10">
        <v>14844</v>
      </c>
      <c r="J2116" t="s">
        <v>42</v>
      </c>
      <c r="K2116" s="11">
        <v>3145.8</v>
      </c>
      <c r="L2116" s="12">
        <v>4.72</v>
      </c>
    </row>
    <row r="2117" spans="1:12" x14ac:dyDescent="0.2">
      <c r="A2117" s="9">
        <v>46246</v>
      </c>
      <c r="B2117" t="s">
        <v>448</v>
      </c>
      <c r="C2117" t="s">
        <v>449</v>
      </c>
      <c r="D2117" t="s">
        <v>75</v>
      </c>
      <c r="E2117" t="s">
        <v>660</v>
      </c>
      <c r="F2117" t="s">
        <v>669</v>
      </c>
      <c r="G2117" s="10">
        <v>33</v>
      </c>
      <c r="H2117" s="10">
        <v>12180</v>
      </c>
      <c r="I2117" s="10">
        <v>401940</v>
      </c>
      <c r="J2117" t="s">
        <v>42</v>
      </c>
      <c r="K2117" s="11">
        <v>3145.8</v>
      </c>
      <c r="L2117" s="12">
        <v>127.77</v>
      </c>
    </row>
    <row r="2118" spans="1:12" x14ac:dyDescent="0.2">
      <c r="A2118" s="9">
        <v>46246</v>
      </c>
      <c r="B2118" t="s">
        <v>454</v>
      </c>
      <c r="C2118" t="s">
        <v>455</v>
      </c>
      <c r="D2118" t="s">
        <v>41</v>
      </c>
      <c r="E2118" t="s">
        <v>647</v>
      </c>
      <c r="F2118" t="s">
        <v>648</v>
      </c>
      <c r="G2118" s="10">
        <v>23</v>
      </c>
      <c r="H2118" s="10">
        <v>81207</v>
      </c>
      <c r="I2118" s="10">
        <v>1867761</v>
      </c>
      <c r="J2118" t="s">
        <v>42</v>
      </c>
      <c r="K2118" s="11">
        <v>3145.8</v>
      </c>
      <c r="L2118" s="12">
        <v>593.73</v>
      </c>
    </row>
    <row r="2119" spans="1:12" x14ac:dyDescent="0.2">
      <c r="A2119" s="9">
        <v>46246</v>
      </c>
      <c r="B2119" t="s">
        <v>457</v>
      </c>
      <c r="C2119" t="s">
        <v>458</v>
      </c>
      <c r="D2119" t="s">
        <v>46</v>
      </c>
      <c r="E2119" t="s">
        <v>660</v>
      </c>
      <c r="F2119" t="s">
        <v>670</v>
      </c>
      <c r="G2119" s="10">
        <v>8</v>
      </c>
      <c r="H2119" s="10">
        <v>14969</v>
      </c>
      <c r="I2119" s="10">
        <v>119752</v>
      </c>
      <c r="J2119" t="s">
        <v>37</v>
      </c>
      <c r="K2119" s="11">
        <v>648.20000000000005</v>
      </c>
      <c r="L2119" s="12">
        <v>184.75</v>
      </c>
    </row>
    <row r="2120" spans="1:12" x14ac:dyDescent="0.2">
      <c r="A2120" s="9">
        <v>46246</v>
      </c>
      <c r="B2120" t="s">
        <v>460</v>
      </c>
      <c r="C2120" t="s">
        <v>461</v>
      </c>
      <c r="D2120" t="s">
        <v>75</v>
      </c>
      <c r="E2120" t="s">
        <v>647</v>
      </c>
      <c r="F2120" t="s">
        <v>648</v>
      </c>
      <c r="G2120" s="10">
        <v>28</v>
      </c>
      <c r="H2120" s="10">
        <v>79796</v>
      </c>
      <c r="I2120" s="10">
        <v>2234288</v>
      </c>
      <c r="J2120" t="s">
        <v>42</v>
      </c>
      <c r="K2120" s="11">
        <v>3145.8</v>
      </c>
      <c r="L2120" s="12">
        <v>710.24</v>
      </c>
    </row>
    <row r="2121" spans="1:12" x14ac:dyDescent="0.2">
      <c r="A2121" s="9">
        <v>46246</v>
      </c>
      <c r="B2121" t="s">
        <v>460</v>
      </c>
      <c r="C2121" t="s">
        <v>461</v>
      </c>
      <c r="D2121" t="s">
        <v>75</v>
      </c>
      <c r="E2121" t="s">
        <v>647</v>
      </c>
      <c r="F2121" t="s">
        <v>667</v>
      </c>
      <c r="G2121" s="10">
        <v>82</v>
      </c>
      <c r="H2121" s="10">
        <v>36922</v>
      </c>
      <c r="I2121" s="10">
        <v>3027604</v>
      </c>
      <c r="J2121" t="s">
        <v>42</v>
      </c>
      <c r="K2121" s="11">
        <v>3145.8</v>
      </c>
      <c r="L2121" s="12">
        <v>962.43</v>
      </c>
    </row>
    <row r="2122" spans="1:12" x14ac:dyDescent="0.2">
      <c r="A2122" s="9">
        <v>46246</v>
      </c>
      <c r="B2122" t="s">
        <v>463</v>
      </c>
      <c r="C2122" t="s">
        <v>464</v>
      </c>
      <c r="D2122" t="s">
        <v>36</v>
      </c>
      <c r="E2122" t="s">
        <v>653</v>
      </c>
      <c r="F2122" t="s">
        <v>666</v>
      </c>
      <c r="G2122" s="10">
        <v>9</v>
      </c>
      <c r="H2122" s="10">
        <v>1466</v>
      </c>
      <c r="I2122" s="10">
        <v>13194</v>
      </c>
      <c r="J2122" t="s">
        <v>37</v>
      </c>
      <c r="K2122" s="11">
        <v>648.20000000000005</v>
      </c>
      <c r="L2122" s="12">
        <v>20.350000000000001</v>
      </c>
    </row>
    <row r="2123" spans="1:12" x14ac:dyDescent="0.2">
      <c r="A2123" s="9">
        <v>46246</v>
      </c>
      <c r="B2123" t="s">
        <v>466</v>
      </c>
      <c r="C2123" t="s">
        <v>467</v>
      </c>
      <c r="D2123" t="s">
        <v>50</v>
      </c>
      <c r="E2123" t="s">
        <v>649</v>
      </c>
      <c r="F2123" t="s">
        <v>650</v>
      </c>
      <c r="G2123" s="10">
        <v>29</v>
      </c>
      <c r="H2123" s="10">
        <v>18717</v>
      </c>
      <c r="I2123" s="10">
        <v>542793</v>
      </c>
      <c r="J2123" t="s">
        <v>51</v>
      </c>
      <c r="K2123" s="11">
        <v>648.20000000000005</v>
      </c>
      <c r="L2123" s="12">
        <v>837.39</v>
      </c>
    </row>
    <row r="2124" spans="1:12" x14ac:dyDescent="0.2">
      <c r="A2124" s="9">
        <v>46246</v>
      </c>
      <c r="B2124" t="s">
        <v>469</v>
      </c>
      <c r="C2124" t="s">
        <v>470</v>
      </c>
      <c r="D2124" t="s">
        <v>41</v>
      </c>
      <c r="E2124" t="s">
        <v>660</v>
      </c>
      <c r="F2124" t="s">
        <v>670</v>
      </c>
      <c r="G2124" s="10">
        <v>12</v>
      </c>
      <c r="H2124" s="10">
        <v>68241</v>
      </c>
      <c r="I2124" s="10">
        <v>818892</v>
      </c>
      <c r="J2124" t="s">
        <v>42</v>
      </c>
      <c r="K2124" s="11">
        <v>3145.8</v>
      </c>
      <c r="L2124" s="12">
        <v>260.31</v>
      </c>
    </row>
    <row r="2125" spans="1:12" x14ac:dyDescent="0.2">
      <c r="A2125" s="9">
        <v>46246</v>
      </c>
      <c r="B2125" t="s">
        <v>469</v>
      </c>
      <c r="C2125" t="s">
        <v>470</v>
      </c>
      <c r="D2125" t="s">
        <v>41</v>
      </c>
      <c r="E2125" t="s">
        <v>655</v>
      </c>
      <c r="F2125" t="s">
        <v>656</v>
      </c>
      <c r="G2125" s="10">
        <v>17</v>
      </c>
      <c r="H2125" s="10">
        <v>2727</v>
      </c>
      <c r="I2125" s="10">
        <v>46359</v>
      </c>
      <c r="J2125" t="s">
        <v>42</v>
      </c>
      <c r="K2125" s="11">
        <v>3145.8</v>
      </c>
      <c r="L2125" s="12">
        <v>14.74</v>
      </c>
    </row>
    <row r="2126" spans="1:12" x14ac:dyDescent="0.2">
      <c r="A2126" s="9">
        <v>46246</v>
      </c>
      <c r="B2126" t="s">
        <v>469</v>
      </c>
      <c r="C2126" t="s">
        <v>470</v>
      </c>
      <c r="D2126" t="s">
        <v>41</v>
      </c>
      <c r="E2126" t="s">
        <v>651</v>
      </c>
      <c r="F2126" t="s">
        <v>657</v>
      </c>
      <c r="G2126" s="10">
        <v>69</v>
      </c>
      <c r="H2126" s="10">
        <v>30975</v>
      </c>
      <c r="I2126" s="10">
        <v>2137275</v>
      </c>
      <c r="J2126" t="s">
        <v>42</v>
      </c>
      <c r="K2126" s="11">
        <v>3145.8</v>
      </c>
      <c r="L2126" s="12">
        <v>679.41</v>
      </c>
    </row>
    <row r="2127" spans="1:12" x14ac:dyDescent="0.2">
      <c r="A2127" s="9">
        <v>46246</v>
      </c>
      <c r="B2127" t="s">
        <v>472</v>
      </c>
      <c r="C2127" t="s">
        <v>473</v>
      </c>
      <c r="D2127" t="s">
        <v>68</v>
      </c>
      <c r="E2127" t="s">
        <v>649</v>
      </c>
      <c r="F2127" t="s">
        <v>663</v>
      </c>
      <c r="G2127" s="10">
        <v>97</v>
      </c>
      <c r="H2127" s="10">
        <v>1977</v>
      </c>
      <c r="I2127" s="10">
        <v>191769</v>
      </c>
      <c r="J2127" t="s">
        <v>51</v>
      </c>
      <c r="K2127" s="11">
        <v>648.20000000000005</v>
      </c>
      <c r="L2127" s="12">
        <v>295.85000000000002</v>
      </c>
    </row>
    <row r="2128" spans="1:12" x14ac:dyDescent="0.2">
      <c r="A2128" s="9">
        <v>46246</v>
      </c>
      <c r="B2128" t="s">
        <v>475</v>
      </c>
      <c r="C2128" t="s">
        <v>476</v>
      </c>
      <c r="D2128" t="s">
        <v>75</v>
      </c>
      <c r="E2128" t="s">
        <v>653</v>
      </c>
      <c r="F2128" t="s">
        <v>658</v>
      </c>
      <c r="G2128" s="10">
        <v>23</v>
      </c>
      <c r="H2128" s="10">
        <v>12999</v>
      </c>
      <c r="I2128" s="10">
        <v>298977</v>
      </c>
      <c r="J2128" t="s">
        <v>42</v>
      </c>
      <c r="K2128" s="11">
        <v>3145.8</v>
      </c>
      <c r="L2128" s="12">
        <v>95.04</v>
      </c>
    </row>
    <row r="2129" spans="1:12" x14ac:dyDescent="0.2">
      <c r="A2129" s="9">
        <v>46246</v>
      </c>
      <c r="B2129" t="s">
        <v>475</v>
      </c>
      <c r="C2129" t="s">
        <v>476</v>
      </c>
      <c r="D2129" t="s">
        <v>75</v>
      </c>
      <c r="E2129" t="s">
        <v>660</v>
      </c>
      <c r="F2129" t="s">
        <v>670</v>
      </c>
      <c r="G2129" s="10">
        <v>142</v>
      </c>
      <c r="H2129" s="10">
        <v>70042</v>
      </c>
      <c r="I2129" s="10">
        <v>9945964</v>
      </c>
      <c r="J2129" t="s">
        <v>42</v>
      </c>
      <c r="K2129" s="11">
        <v>3145.8</v>
      </c>
      <c r="L2129" s="12">
        <v>3161.66</v>
      </c>
    </row>
    <row r="2130" spans="1:12" x14ac:dyDescent="0.2">
      <c r="A2130" s="9">
        <v>46246</v>
      </c>
      <c r="B2130" t="s">
        <v>475</v>
      </c>
      <c r="C2130" t="s">
        <v>476</v>
      </c>
      <c r="D2130" t="s">
        <v>75</v>
      </c>
      <c r="E2130" t="s">
        <v>653</v>
      </c>
      <c r="F2130" t="s">
        <v>654</v>
      </c>
      <c r="G2130" s="10">
        <v>90</v>
      </c>
      <c r="H2130" s="10">
        <v>27277</v>
      </c>
      <c r="I2130" s="10">
        <v>2454930</v>
      </c>
      <c r="J2130" t="s">
        <v>42</v>
      </c>
      <c r="K2130" s="11">
        <v>3145.8</v>
      </c>
      <c r="L2130" s="12">
        <v>780.38</v>
      </c>
    </row>
    <row r="2131" spans="1:12" x14ac:dyDescent="0.2">
      <c r="A2131" s="9">
        <v>46246</v>
      </c>
      <c r="B2131" t="s">
        <v>475</v>
      </c>
      <c r="C2131" t="s">
        <v>476</v>
      </c>
      <c r="D2131" t="s">
        <v>75</v>
      </c>
      <c r="E2131" t="s">
        <v>647</v>
      </c>
      <c r="F2131" t="s">
        <v>668</v>
      </c>
      <c r="G2131" s="10">
        <v>71</v>
      </c>
      <c r="H2131" s="10">
        <v>119640</v>
      </c>
      <c r="I2131" s="10">
        <v>8494440</v>
      </c>
      <c r="J2131" t="s">
        <v>42</v>
      </c>
      <c r="K2131" s="11">
        <v>3145.8</v>
      </c>
      <c r="L2131" s="12">
        <v>2700.25</v>
      </c>
    </row>
    <row r="2132" spans="1:12" x14ac:dyDescent="0.2">
      <c r="A2132" s="9">
        <v>46246</v>
      </c>
      <c r="B2132" t="s">
        <v>475</v>
      </c>
      <c r="C2132" t="s">
        <v>476</v>
      </c>
      <c r="D2132" t="s">
        <v>75</v>
      </c>
      <c r="E2132" t="s">
        <v>647</v>
      </c>
      <c r="F2132" t="s">
        <v>648</v>
      </c>
      <c r="G2132" s="10">
        <v>18</v>
      </c>
      <c r="H2132" s="10">
        <v>80222</v>
      </c>
      <c r="I2132" s="10">
        <v>1443996</v>
      </c>
      <c r="J2132" t="s">
        <v>42</v>
      </c>
      <c r="K2132" s="11">
        <v>3145.8</v>
      </c>
      <c r="L2132" s="12">
        <v>459.02</v>
      </c>
    </row>
    <row r="2133" spans="1:12" x14ac:dyDescent="0.2">
      <c r="A2133" s="9">
        <v>46246</v>
      </c>
      <c r="B2133" t="s">
        <v>475</v>
      </c>
      <c r="C2133" t="s">
        <v>476</v>
      </c>
      <c r="D2133" t="s">
        <v>75</v>
      </c>
      <c r="E2133" t="s">
        <v>647</v>
      </c>
      <c r="F2133" t="s">
        <v>648</v>
      </c>
      <c r="G2133" s="10">
        <v>8</v>
      </c>
      <c r="H2133" s="10">
        <v>78448</v>
      </c>
      <c r="I2133" s="10">
        <v>627584</v>
      </c>
      <c r="J2133" t="s">
        <v>42</v>
      </c>
      <c r="K2133" s="11">
        <v>3145.8</v>
      </c>
      <c r="L2133" s="12">
        <v>199.5</v>
      </c>
    </row>
    <row r="2134" spans="1:12" x14ac:dyDescent="0.2">
      <c r="A2134" s="9">
        <v>46246</v>
      </c>
      <c r="B2134" t="s">
        <v>475</v>
      </c>
      <c r="C2134" t="s">
        <v>476</v>
      </c>
      <c r="D2134" t="s">
        <v>75</v>
      </c>
      <c r="E2134" t="s">
        <v>647</v>
      </c>
      <c r="F2134" t="s">
        <v>667</v>
      </c>
      <c r="G2134" s="10">
        <v>38</v>
      </c>
      <c r="H2134" s="10">
        <v>35119</v>
      </c>
      <c r="I2134" s="10">
        <v>1334522</v>
      </c>
      <c r="J2134" t="s">
        <v>42</v>
      </c>
      <c r="K2134" s="11">
        <v>3145.8</v>
      </c>
      <c r="L2134" s="12">
        <v>424.22</v>
      </c>
    </row>
    <row r="2135" spans="1:12" x14ac:dyDescent="0.2">
      <c r="A2135" s="9">
        <v>46246</v>
      </c>
      <c r="B2135" t="s">
        <v>485</v>
      </c>
      <c r="C2135" t="s">
        <v>486</v>
      </c>
      <c r="D2135" t="s">
        <v>41</v>
      </c>
      <c r="E2135" t="s">
        <v>647</v>
      </c>
      <c r="F2135" t="s">
        <v>667</v>
      </c>
      <c r="G2135" s="10">
        <v>18</v>
      </c>
      <c r="H2135" s="10">
        <v>34826</v>
      </c>
      <c r="I2135" s="10">
        <v>626868</v>
      </c>
      <c r="J2135" t="s">
        <v>42</v>
      </c>
      <c r="K2135" s="11">
        <v>3145.8</v>
      </c>
      <c r="L2135" s="12">
        <v>199.27</v>
      </c>
    </row>
    <row r="2136" spans="1:12" x14ac:dyDescent="0.2">
      <c r="A2136" s="9">
        <v>46246</v>
      </c>
      <c r="B2136" t="s">
        <v>491</v>
      </c>
      <c r="C2136" t="s">
        <v>125</v>
      </c>
      <c r="D2136" t="s">
        <v>75</v>
      </c>
      <c r="E2136" t="s">
        <v>653</v>
      </c>
      <c r="F2136" t="s">
        <v>658</v>
      </c>
      <c r="G2136" s="10">
        <v>10</v>
      </c>
      <c r="H2136" s="10">
        <v>13034</v>
      </c>
      <c r="I2136" s="10">
        <v>130340</v>
      </c>
      <c r="J2136" t="s">
        <v>42</v>
      </c>
      <c r="K2136" s="11">
        <v>3145.8</v>
      </c>
      <c r="L2136" s="12">
        <v>41.43</v>
      </c>
    </row>
    <row r="2137" spans="1:12" x14ac:dyDescent="0.2">
      <c r="A2137" s="9">
        <v>46246</v>
      </c>
      <c r="B2137" t="s">
        <v>491</v>
      </c>
      <c r="C2137" t="s">
        <v>125</v>
      </c>
      <c r="D2137" t="s">
        <v>75</v>
      </c>
      <c r="E2137" t="s">
        <v>647</v>
      </c>
      <c r="F2137" t="s">
        <v>668</v>
      </c>
      <c r="G2137" s="10">
        <v>3</v>
      </c>
      <c r="H2137" s="10">
        <v>125099</v>
      </c>
      <c r="I2137" s="10">
        <v>375297</v>
      </c>
      <c r="J2137" t="s">
        <v>42</v>
      </c>
      <c r="K2137" s="11">
        <v>3145.8</v>
      </c>
      <c r="L2137" s="12">
        <v>119.3</v>
      </c>
    </row>
    <row r="2138" spans="1:12" x14ac:dyDescent="0.2">
      <c r="A2138" s="9">
        <v>46246</v>
      </c>
      <c r="B2138" t="s">
        <v>491</v>
      </c>
      <c r="C2138" t="s">
        <v>125</v>
      </c>
      <c r="D2138" t="s">
        <v>75</v>
      </c>
      <c r="E2138" t="s">
        <v>647</v>
      </c>
      <c r="F2138" t="s">
        <v>648</v>
      </c>
      <c r="G2138" s="10">
        <v>3</v>
      </c>
      <c r="H2138" s="10">
        <v>75843</v>
      </c>
      <c r="I2138" s="10">
        <v>227529</v>
      </c>
      <c r="J2138" t="s">
        <v>42</v>
      </c>
      <c r="K2138" s="11">
        <v>3145.8</v>
      </c>
      <c r="L2138" s="12">
        <v>72.33</v>
      </c>
    </row>
    <row r="2139" spans="1:12" x14ac:dyDescent="0.2">
      <c r="A2139" s="9">
        <v>46246</v>
      </c>
      <c r="B2139" t="s">
        <v>499</v>
      </c>
      <c r="C2139" t="s">
        <v>500</v>
      </c>
      <c r="D2139" t="s">
        <v>41</v>
      </c>
      <c r="E2139" t="s">
        <v>651</v>
      </c>
      <c r="F2139" t="s">
        <v>652</v>
      </c>
      <c r="G2139" s="10">
        <v>9</v>
      </c>
      <c r="H2139" s="10">
        <v>45407</v>
      </c>
      <c r="I2139" s="10">
        <v>408663</v>
      </c>
      <c r="J2139" t="s">
        <v>42</v>
      </c>
      <c r="K2139" s="11">
        <v>3145.8</v>
      </c>
      <c r="L2139" s="12">
        <v>129.91</v>
      </c>
    </row>
    <row r="2140" spans="1:12" x14ac:dyDescent="0.2">
      <c r="A2140" s="9">
        <v>46246</v>
      </c>
      <c r="B2140" t="s">
        <v>499</v>
      </c>
      <c r="C2140" t="s">
        <v>500</v>
      </c>
      <c r="D2140" t="s">
        <v>41</v>
      </c>
      <c r="E2140" t="s">
        <v>649</v>
      </c>
      <c r="F2140" t="s">
        <v>663</v>
      </c>
      <c r="G2140" s="10">
        <v>38</v>
      </c>
      <c r="H2140" s="10">
        <v>9472</v>
      </c>
      <c r="I2140" s="10">
        <v>359936</v>
      </c>
      <c r="J2140" t="s">
        <v>42</v>
      </c>
      <c r="K2140" s="11">
        <v>3145.8</v>
      </c>
      <c r="L2140" s="12">
        <v>114.42</v>
      </c>
    </row>
    <row r="2141" spans="1:12" x14ac:dyDescent="0.2">
      <c r="A2141" s="9">
        <v>46246</v>
      </c>
      <c r="B2141" t="s">
        <v>499</v>
      </c>
      <c r="C2141" t="s">
        <v>500</v>
      </c>
      <c r="D2141" t="s">
        <v>41</v>
      </c>
      <c r="E2141" t="s">
        <v>647</v>
      </c>
      <c r="F2141" t="s">
        <v>668</v>
      </c>
      <c r="G2141" s="10">
        <v>2</v>
      </c>
      <c r="H2141" s="10">
        <v>120875</v>
      </c>
      <c r="I2141" s="10">
        <v>241750</v>
      </c>
      <c r="J2141" t="s">
        <v>42</v>
      </c>
      <c r="K2141" s="11">
        <v>3145.8</v>
      </c>
      <c r="L2141" s="12">
        <v>76.849999999999994</v>
      </c>
    </row>
    <row r="2142" spans="1:12" x14ac:dyDescent="0.2">
      <c r="A2142" s="9">
        <v>46246</v>
      </c>
      <c r="B2142" t="s">
        <v>499</v>
      </c>
      <c r="C2142" t="s">
        <v>500</v>
      </c>
      <c r="D2142" t="s">
        <v>41</v>
      </c>
      <c r="E2142" t="s">
        <v>655</v>
      </c>
      <c r="F2142" t="s">
        <v>656</v>
      </c>
      <c r="G2142" s="10">
        <v>17</v>
      </c>
      <c r="H2142" s="10">
        <v>2697</v>
      </c>
      <c r="I2142" s="10">
        <v>45849</v>
      </c>
      <c r="J2142" t="s">
        <v>42</v>
      </c>
      <c r="K2142" s="11">
        <v>3145.8</v>
      </c>
      <c r="L2142" s="12">
        <v>14.57</v>
      </c>
    </row>
    <row r="2143" spans="1:12" x14ac:dyDescent="0.2">
      <c r="A2143" s="9">
        <v>46246</v>
      </c>
      <c r="B2143" t="s">
        <v>511</v>
      </c>
      <c r="C2143" t="s">
        <v>512</v>
      </c>
      <c r="D2143" t="s">
        <v>75</v>
      </c>
      <c r="E2143" t="s">
        <v>649</v>
      </c>
      <c r="F2143" t="s">
        <v>650</v>
      </c>
      <c r="G2143" s="10">
        <v>4</v>
      </c>
      <c r="H2143" s="10">
        <v>95142</v>
      </c>
      <c r="I2143" s="10">
        <v>380568</v>
      </c>
      <c r="J2143" t="s">
        <v>42</v>
      </c>
      <c r="K2143" s="11">
        <v>3145.8</v>
      </c>
      <c r="L2143" s="12">
        <v>120.98</v>
      </c>
    </row>
    <row r="2144" spans="1:12" x14ac:dyDescent="0.2">
      <c r="A2144" s="9">
        <v>46246</v>
      </c>
      <c r="B2144" t="s">
        <v>511</v>
      </c>
      <c r="C2144" t="s">
        <v>512</v>
      </c>
      <c r="D2144" t="s">
        <v>75</v>
      </c>
      <c r="E2144" t="s">
        <v>649</v>
      </c>
      <c r="F2144" t="s">
        <v>650</v>
      </c>
      <c r="G2144" s="10">
        <v>54</v>
      </c>
      <c r="H2144" s="10">
        <v>92392</v>
      </c>
      <c r="I2144" s="10">
        <v>4989168</v>
      </c>
      <c r="J2144" t="s">
        <v>42</v>
      </c>
      <c r="K2144" s="11">
        <v>3145.8</v>
      </c>
      <c r="L2144" s="12">
        <v>1585.98</v>
      </c>
    </row>
    <row r="2145" spans="1:12" x14ac:dyDescent="0.2">
      <c r="A2145" s="9">
        <v>46246</v>
      </c>
      <c r="B2145" t="s">
        <v>511</v>
      </c>
      <c r="C2145" t="s">
        <v>512</v>
      </c>
      <c r="D2145" t="s">
        <v>75</v>
      </c>
      <c r="E2145" t="s">
        <v>649</v>
      </c>
      <c r="F2145" t="s">
        <v>663</v>
      </c>
      <c r="G2145" s="10">
        <v>10</v>
      </c>
      <c r="H2145" s="10">
        <v>10109</v>
      </c>
      <c r="I2145" s="10">
        <v>101090</v>
      </c>
      <c r="J2145" t="s">
        <v>42</v>
      </c>
      <c r="K2145" s="11">
        <v>3145.8</v>
      </c>
      <c r="L2145" s="12">
        <v>32.130000000000003</v>
      </c>
    </row>
    <row r="2146" spans="1:12" x14ac:dyDescent="0.2">
      <c r="A2146" s="9">
        <v>46246</v>
      </c>
      <c r="B2146" t="s">
        <v>514</v>
      </c>
      <c r="C2146" t="s">
        <v>515</v>
      </c>
      <c r="D2146" t="s">
        <v>41</v>
      </c>
      <c r="E2146" t="s">
        <v>660</v>
      </c>
      <c r="F2146" t="s">
        <v>670</v>
      </c>
      <c r="G2146" s="10">
        <v>39</v>
      </c>
      <c r="H2146" s="10">
        <v>71435</v>
      </c>
      <c r="I2146" s="10">
        <v>2785965</v>
      </c>
      <c r="J2146" t="s">
        <v>42</v>
      </c>
      <c r="K2146" s="11">
        <v>3145.8</v>
      </c>
      <c r="L2146" s="12">
        <v>885.61</v>
      </c>
    </row>
    <row r="2147" spans="1:12" x14ac:dyDescent="0.2">
      <c r="A2147" s="9">
        <v>46246</v>
      </c>
      <c r="B2147" t="s">
        <v>514</v>
      </c>
      <c r="C2147" t="s">
        <v>515</v>
      </c>
      <c r="D2147" t="s">
        <v>41</v>
      </c>
      <c r="E2147" t="s">
        <v>647</v>
      </c>
      <c r="F2147" t="s">
        <v>667</v>
      </c>
      <c r="G2147" s="10">
        <v>4</v>
      </c>
      <c r="H2147" s="10">
        <v>36938</v>
      </c>
      <c r="I2147" s="10">
        <v>147752</v>
      </c>
      <c r="J2147" t="s">
        <v>42</v>
      </c>
      <c r="K2147" s="11">
        <v>3145.8</v>
      </c>
      <c r="L2147" s="12">
        <v>46.97</v>
      </c>
    </row>
    <row r="2148" spans="1:12" x14ac:dyDescent="0.2">
      <c r="A2148" s="9">
        <v>46246</v>
      </c>
      <c r="B2148" t="s">
        <v>517</v>
      </c>
      <c r="C2148" t="s">
        <v>518</v>
      </c>
      <c r="D2148" t="s">
        <v>41</v>
      </c>
      <c r="E2148" t="s">
        <v>649</v>
      </c>
      <c r="F2148" t="s">
        <v>663</v>
      </c>
      <c r="G2148" s="10">
        <v>37</v>
      </c>
      <c r="H2148" s="10">
        <v>9531</v>
      </c>
      <c r="I2148" s="10">
        <v>352647</v>
      </c>
      <c r="J2148" t="s">
        <v>42</v>
      </c>
      <c r="K2148" s="11">
        <v>3145.8</v>
      </c>
      <c r="L2148" s="12">
        <v>112.1</v>
      </c>
    </row>
    <row r="2149" spans="1:12" x14ac:dyDescent="0.2">
      <c r="A2149" s="9">
        <v>46246</v>
      </c>
      <c r="B2149" t="s">
        <v>520</v>
      </c>
      <c r="C2149" t="s">
        <v>489</v>
      </c>
      <c r="D2149" t="s">
        <v>46</v>
      </c>
      <c r="E2149" t="s">
        <v>653</v>
      </c>
      <c r="F2149" t="s">
        <v>658</v>
      </c>
      <c r="G2149" s="10">
        <v>62</v>
      </c>
      <c r="H2149" s="10">
        <v>2818</v>
      </c>
      <c r="I2149" s="10">
        <v>174716</v>
      </c>
      <c r="J2149" t="s">
        <v>37</v>
      </c>
      <c r="K2149" s="11">
        <v>648.20000000000005</v>
      </c>
      <c r="L2149" s="12">
        <v>269.54000000000002</v>
      </c>
    </row>
    <row r="2150" spans="1:12" x14ac:dyDescent="0.2">
      <c r="A2150" s="9">
        <v>46246</v>
      </c>
      <c r="B2150" t="s">
        <v>525</v>
      </c>
      <c r="C2150" t="s">
        <v>526</v>
      </c>
      <c r="D2150" t="s">
        <v>46</v>
      </c>
      <c r="E2150" t="s">
        <v>655</v>
      </c>
      <c r="F2150" t="s">
        <v>656</v>
      </c>
      <c r="G2150" s="10">
        <v>83</v>
      </c>
      <c r="H2150" s="10">
        <v>595</v>
      </c>
      <c r="I2150" s="10">
        <v>49385</v>
      </c>
      <c r="J2150" t="s">
        <v>37</v>
      </c>
      <c r="K2150" s="11">
        <v>648.20000000000005</v>
      </c>
      <c r="L2150" s="12">
        <v>76.19</v>
      </c>
    </row>
    <row r="2151" spans="1:12" x14ac:dyDescent="0.2">
      <c r="A2151" s="9">
        <v>46246</v>
      </c>
      <c r="B2151" t="s">
        <v>528</v>
      </c>
      <c r="C2151" t="s">
        <v>529</v>
      </c>
      <c r="D2151" t="s">
        <v>46</v>
      </c>
      <c r="E2151" t="s">
        <v>647</v>
      </c>
      <c r="F2151" t="s">
        <v>668</v>
      </c>
      <c r="G2151" s="10">
        <v>105</v>
      </c>
      <c r="H2151" s="10">
        <v>25242</v>
      </c>
      <c r="I2151" s="10">
        <v>2650410</v>
      </c>
      <c r="J2151" t="s">
        <v>37</v>
      </c>
      <c r="K2151" s="11">
        <v>648.20000000000005</v>
      </c>
      <c r="L2151" s="12">
        <v>4088.88</v>
      </c>
    </row>
    <row r="2152" spans="1:12" x14ac:dyDescent="0.2">
      <c r="A2152" s="9">
        <v>46246</v>
      </c>
      <c r="B2152" t="s">
        <v>531</v>
      </c>
      <c r="C2152" t="s">
        <v>532</v>
      </c>
      <c r="D2152" t="s">
        <v>50</v>
      </c>
      <c r="E2152" t="s">
        <v>653</v>
      </c>
      <c r="F2152" t="s">
        <v>666</v>
      </c>
      <c r="G2152" s="10">
        <v>66</v>
      </c>
      <c r="H2152" s="10">
        <v>1508</v>
      </c>
      <c r="I2152" s="10">
        <v>99528</v>
      </c>
      <c r="J2152" t="s">
        <v>51</v>
      </c>
      <c r="K2152" s="11">
        <v>648.20000000000005</v>
      </c>
      <c r="L2152" s="12">
        <v>153.55000000000001</v>
      </c>
    </row>
    <row r="2153" spans="1:12" x14ac:dyDescent="0.2">
      <c r="A2153" s="9">
        <v>46246</v>
      </c>
      <c r="B2153" t="s">
        <v>537</v>
      </c>
      <c r="C2153" t="s">
        <v>538</v>
      </c>
      <c r="D2153" t="s">
        <v>68</v>
      </c>
      <c r="E2153" t="s">
        <v>647</v>
      </c>
      <c r="F2153" t="s">
        <v>667</v>
      </c>
      <c r="G2153" s="10">
        <v>67</v>
      </c>
      <c r="H2153" s="10">
        <v>7476</v>
      </c>
      <c r="I2153" s="10">
        <v>500892</v>
      </c>
      <c r="J2153" t="s">
        <v>51</v>
      </c>
      <c r="K2153" s="11">
        <v>648.20000000000005</v>
      </c>
      <c r="L2153" s="12">
        <v>772.74</v>
      </c>
    </row>
    <row r="2154" spans="1:12" x14ac:dyDescent="0.2">
      <c r="A2154" s="9">
        <v>46246</v>
      </c>
      <c r="B2154" t="s">
        <v>537</v>
      </c>
      <c r="C2154" t="s">
        <v>538</v>
      </c>
      <c r="D2154" t="s">
        <v>68</v>
      </c>
      <c r="E2154" t="s">
        <v>655</v>
      </c>
      <c r="F2154" t="s">
        <v>665</v>
      </c>
      <c r="G2154" s="10">
        <v>184</v>
      </c>
      <c r="H2154" s="10">
        <v>681</v>
      </c>
      <c r="I2154" s="10">
        <v>125304</v>
      </c>
      <c r="J2154" t="s">
        <v>51</v>
      </c>
      <c r="K2154" s="11">
        <v>648.20000000000005</v>
      </c>
      <c r="L2154" s="12">
        <v>193.31</v>
      </c>
    </row>
    <row r="2155" spans="1:12" x14ac:dyDescent="0.2">
      <c r="A2155" s="9">
        <v>46246</v>
      </c>
      <c r="B2155" t="s">
        <v>540</v>
      </c>
      <c r="C2155" t="s">
        <v>541</v>
      </c>
      <c r="D2155" t="s">
        <v>41</v>
      </c>
      <c r="E2155" t="s">
        <v>649</v>
      </c>
      <c r="F2155" t="s">
        <v>663</v>
      </c>
      <c r="G2155" s="10">
        <v>7</v>
      </c>
      <c r="H2155" s="10">
        <v>9522</v>
      </c>
      <c r="I2155" s="10">
        <v>66654</v>
      </c>
      <c r="J2155" t="s">
        <v>42</v>
      </c>
      <c r="K2155" s="11">
        <v>3145.8</v>
      </c>
      <c r="L2155" s="12">
        <v>21.19</v>
      </c>
    </row>
    <row r="2156" spans="1:12" x14ac:dyDescent="0.2">
      <c r="A2156" s="9">
        <v>46246</v>
      </c>
      <c r="B2156" t="s">
        <v>540</v>
      </c>
      <c r="C2156" t="s">
        <v>541</v>
      </c>
      <c r="D2156" t="s">
        <v>41</v>
      </c>
      <c r="E2156" t="s">
        <v>649</v>
      </c>
      <c r="F2156" t="s">
        <v>663</v>
      </c>
      <c r="G2156" s="10">
        <v>5</v>
      </c>
      <c r="H2156" s="10">
        <v>10110</v>
      </c>
      <c r="I2156" s="10">
        <v>50550</v>
      </c>
      <c r="J2156" t="s">
        <v>42</v>
      </c>
      <c r="K2156" s="11">
        <v>3145.8</v>
      </c>
      <c r="L2156" s="12">
        <v>16.07</v>
      </c>
    </row>
    <row r="2157" spans="1:12" x14ac:dyDescent="0.2">
      <c r="A2157" s="9">
        <v>46246</v>
      </c>
      <c r="B2157" t="s">
        <v>543</v>
      </c>
      <c r="C2157" t="s">
        <v>544</v>
      </c>
      <c r="D2157" t="s">
        <v>68</v>
      </c>
      <c r="E2157" t="s">
        <v>655</v>
      </c>
      <c r="F2157" t="s">
        <v>662</v>
      </c>
      <c r="G2157" s="10">
        <v>13</v>
      </c>
      <c r="H2157" s="10">
        <v>1168</v>
      </c>
      <c r="I2157" s="10">
        <v>15184</v>
      </c>
      <c r="J2157" t="s">
        <v>51</v>
      </c>
      <c r="K2157" s="11">
        <v>648.20000000000005</v>
      </c>
      <c r="L2157" s="12">
        <v>23.42</v>
      </c>
    </row>
    <row r="2158" spans="1:12" x14ac:dyDescent="0.2">
      <c r="A2158" s="9">
        <v>46246</v>
      </c>
      <c r="B2158" t="s">
        <v>543</v>
      </c>
      <c r="C2158" t="s">
        <v>544</v>
      </c>
      <c r="D2158" t="s">
        <v>68</v>
      </c>
      <c r="E2158" t="s">
        <v>647</v>
      </c>
      <c r="F2158" t="s">
        <v>648</v>
      </c>
      <c r="G2158" s="10">
        <v>6</v>
      </c>
      <c r="H2158" s="10">
        <v>16060</v>
      </c>
      <c r="I2158" s="10">
        <v>96360</v>
      </c>
      <c r="J2158" t="s">
        <v>51</v>
      </c>
      <c r="K2158" s="11">
        <v>648.20000000000005</v>
      </c>
      <c r="L2158" s="12">
        <v>148.66</v>
      </c>
    </row>
    <row r="2159" spans="1:12" x14ac:dyDescent="0.2">
      <c r="A2159" s="9">
        <v>46246</v>
      </c>
      <c r="B2159" t="s">
        <v>546</v>
      </c>
      <c r="C2159" t="s">
        <v>547</v>
      </c>
      <c r="D2159" t="s">
        <v>41</v>
      </c>
      <c r="E2159" t="s">
        <v>653</v>
      </c>
      <c r="F2159" t="s">
        <v>654</v>
      </c>
      <c r="G2159" s="10">
        <v>73</v>
      </c>
      <c r="H2159" s="10">
        <v>26877</v>
      </c>
      <c r="I2159" s="10">
        <v>1962021</v>
      </c>
      <c r="J2159" t="s">
        <v>42</v>
      </c>
      <c r="K2159" s="11">
        <v>3145.8</v>
      </c>
      <c r="L2159" s="12">
        <v>623.70000000000005</v>
      </c>
    </row>
    <row r="2160" spans="1:12" x14ac:dyDescent="0.2">
      <c r="A2160" s="9">
        <v>46246</v>
      </c>
      <c r="B2160" t="s">
        <v>561</v>
      </c>
      <c r="C2160" t="s">
        <v>562</v>
      </c>
      <c r="D2160" t="s">
        <v>46</v>
      </c>
      <c r="E2160" t="s">
        <v>647</v>
      </c>
      <c r="F2160" t="s">
        <v>668</v>
      </c>
      <c r="G2160" s="10">
        <v>12</v>
      </c>
      <c r="H2160" s="10">
        <v>24659</v>
      </c>
      <c r="I2160" s="10">
        <v>295908</v>
      </c>
      <c r="J2160" t="s">
        <v>37</v>
      </c>
      <c r="K2160" s="11">
        <v>648.20000000000005</v>
      </c>
      <c r="L2160" s="12">
        <v>456.51</v>
      </c>
    </row>
    <row r="2161" spans="1:12" x14ac:dyDescent="0.2">
      <c r="A2161" s="9">
        <v>46246</v>
      </c>
      <c r="B2161" t="s">
        <v>564</v>
      </c>
      <c r="C2161" t="s">
        <v>565</v>
      </c>
      <c r="D2161" t="s">
        <v>41</v>
      </c>
      <c r="E2161" t="s">
        <v>653</v>
      </c>
      <c r="F2161" t="s">
        <v>658</v>
      </c>
      <c r="G2161" s="10">
        <v>28</v>
      </c>
      <c r="H2161" s="10">
        <v>12665</v>
      </c>
      <c r="I2161" s="10">
        <v>354620</v>
      </c>
      <c r="J2161" t="s">
        <v>42</v>
      </c>
      <c r="K2161" s="11">
        <v>3145.8</v>
      </c>
      <c r="L2161" s="12">
        <v>112.73</v>
      </c>
    </row>
    <row r="2162" spans="1:12" x14ac:dyDescent="0.2">
      <c r="A2162" s="9">
        <v>46246</v>
      </c>
      <c r="B2162" t="s">
        <v>564</v>
      </c>
      <c r="C2162" t="s">
        <v>565</v>
      </c>
      <c r="D2162" t="s">
        <v>41</v>
      </c>
      <c r="E2162" t="s">
        <v>660</v>
      </c>
      <c r="F2162" t="s">
        <v>669</v>
      </c>
      <c r="G2162" s="10">
        <v>12</v>
      </c>
      <c r="H2162" s="10">
        <v>12368</v>
      </c>
      <c r="I2162" s="10">
        <v>148416</v>
      </c>
      <c r="J2162" t="s">
        <v>42</v>
      </c>
      <c r="K2162" s="11">
        <v>3145.8</v>
      </c>
      <c r="L2162" s="12">
        <v>47.18</v>
      </c>
    </row>
    <row r="2163" spans="1:12" x14ac:dyDescent="0.2">
      <c r="A2163" s="9">
        <v>46246</v>
      </c>
      <c r="B2163" t="s">
        <v>564</v>
      </c>
      <c r="C2163" t="s">
        <v>565</v>
      </c>
      <c r="D2163" t="s">
        <v>41</v>
      </c>
      <c r="E2163" t="s">
        <v>647</v>
      </c>
      <c r="F2163" t="s">
        <v>668</v>
      </c>
      <c r="G2163" s="10">
        <v>18</v>
      </c>
      <c r="H2163" s="10">
        <v>120688</v>
      </c>
      <c r="I2163" s="10">
        <v>2172384</v>
      </c>
      <c r="J2163" t="s">
        <v>42</v>
      </c>
      <c r="K2163" s="11">
        <v>3145.8</v>
      </c>
      <c r="L2163" s="12">
        <v>690.57</v>
      </c>
    </row>
    <row r="2164" spans="1:12" x14ac:dyDescent="0.2">
      <c r="A2164" s="9">
        <v>46246</v>
      </c>
      <c r="B2164" t="s">
        <v>564</v>
      </c>
      <c r="C2164" t="s">
        <v>565</v>
      </c>
      <c r="D2164" t="s">
        <v>41</v>
      </c>
      <c r="E2164" t="s">
        <v>655</v>
      </c>
      <c r="F2164" t="s">
        <v>665</v>
      </c>
      <c r="G2164" s="10">
        <v>5</v>
      </c>
      <c r="H2164" s="10">
        <v>3328</v>
      </c>
      <c r="I2164" s="10">
        <v>16640</v>
      </c>
      <c r="J2164" t="s">
        <v>42</v>
      </c>
      <c r="K2164" s="11">
        <v>3145.8</v>
      </c>
      <c r="L2164" s="12">
        <v>5.29</v>
      </c>
    </row>
    <row r="2165" spans="1:12" x14ac:dyDescent="0.2">
      <c r="A2165" s="9">
        <v>46246</v>
      </c>
      <c r="B2165" t="s">
        <v>567</v>
      </c>
      <c r="C2165" t="s">
        <v>568</v>
      </c>
      <c r="D2165" t="s">
        <v>41</v>
      </c>
      <c r="E2165" t="s">
        <v>649</v>
      </c>
      <c r="F2165" t="s">
        <v>650</v>
      </c>
      <c r="G2165" s="10">
        <v>14</v>
      </c>
      <c r="H2165" s="10">
        <v>92750</v>
      </c>
      <c r="I2165" s="10">
        <v>1298500</v>
      </c>
      <c r="J2165" t="s">
        <v>42</v>
      </c>
      <c r="K2165" s="11">
        <v>3145.8</v>
      </c>
      <c r="L2165" s="12">
        <v>412.77</v>
      </c>
    </row>
    <row r="2166" spans="1:12" x14ac:dyDescent="0.2">
      <c r="A2166" s="9">
        <v>46246</v>
      </c>
      <c r="B2166" t="s">
        <v>567</v>
      </c>
      <c r="C2166" t="s">
        <v>568</v>
      </c>
      <c r="D2166" t="s">
        <v>41</v>
      </c>
      <c r="E2166" t="s">
        <v>653</v>
      </c>
      <c r="F2166" t="s">
        <v>654</v>
      </c>
      <c r="G2166" s="10">
        <v>20</v>
      </c>
      <c r="H2166" s="10">
        <v>28354</v>
      </c>
      <c r="I2166" s="10">
        <v>567080</v>
      </c>
      <c r="J2166" t="s">
        <v>42</v>
      </c>
      <c r="K2166" s="11">
        <v>3145.8</v>
      </c>
      <c r="L2166" s="12">
        <v>180.27</v>
      </c>
    </row>
    <row r="2167" spans="1:12" x14ac:dyDescent="0.2">
      <c r="A2167" s="9">
        <v>46246</v>
      </c>
      <c r="B2167" t="s">
        <v>570</v>
      </c>
      <c r="C2167" t="s">
        <v>571</v>
      </c>
      <c r="D2167" t="s">
        <v>68</v>
      </c>
      <c r="E2167" t="s">
        <v>651</v>
      </c>
      <c r="F2167" t="s">
        <v>664</v>
      </c>
      <c r="G2167" s="10">
        <v>31</v>
      </c>
      <c r="H2167" s="10">
        <v>12235</v>
      </c>
      <c r="I2167" s="10">
        <v>379285</v>
      </c>
      <c r="J2167" t="s">
        <v>51</v>
      </c>
      <c r="K2167" s="11">
        <v>648.20000000000005</v>
      </c>
      <c r="L2167" s="12">
        <v>585.14</v>
      </c>
    </row>
    <row r="2168" spans="1:12" x14ac:dyDescent="0.2">
      <c r="A2168" s="9">
        <v>46246</v>
      </c>
      <c r="B2168" t="s">
        <v>573</v>
      </c>
      <c r="C2168" t="s">
        <v>574</v>
      </c>
      <c r="D2168" t="s">
        <v>41</v>
      </c>
      <c r="E2168" t="s">
        <v>660</v>
      </c>
      <c r="F2168" t="s">
        <v>669</v>
      </c>
      <c r="G2168" s="10">
        <v>8</v>
      </c>
      <c r="H2168" s="10">
        <v>12345</v>
      </c>
      <c r="I2168" s="10">
        <v>98760</v>
      </c>
      <c r="J2168" t="s">
        <v>42</v>
      </c>
      <c r="K2168" s="11">
        <v>3145.8</v>
      </c>
      <c r="L2168" s="12">
        <v>31.39</v>
      </c>
    </row>
    <row r="2169" spans="1:12" x14ac:dyDescent="0.2">
      <c r="A2169" s="9">
        <v>46246</v>
      </c>
      <c r="B2169" t="s">
        <v>573</v>
      </c>
      <c r="C2169" t="s">
        <v>574</v>
      </c>
      <c r="D2169" t="s">
        <v>41</v>
      </c>
      <c r="E2169" t="s">
        <v>655</v>
      </c>
      <c r="F2169" t="s">
        <v>656</v>
      </c>
      <c r="G2169" s="10">
        <v>3</v>
      </c>
      <c r="H2169" s="10">
        <v>2843</v>
      </c>
      <c r="I2169" s="10">
        <v>8529</v>
      </c>
      <c r="J2169" t="s">
        <v>42</v>
      </c>
      <c r="K2169" s="11">
        <v>3145.8</v>
      </c>
      <c r="L2169" s="12">
        <v>2.71</v>
      </c>
    </row>
    <row r="2170" spans="1:12" x14ac:dyDescent="0.2">
      <c r="A2170" s="9">
        <v>46246</v>
      </c>
      <c r="B2170" t="s">
        <v>579</v>
      </c>
      <c r="C2170" t="s">
        <v>580</v>
      </c>
      <c r="D2170" t="s">
        <v>75</v>
      </c>
      <c r="E2170" t="s">
        <v>660</v>
      </c>
      <c r="F2170" t="s">
        <v>669</v>
      </c>
      <c r="G2170" s="10">
        <v>3</v>
      </c>
      <c r="H2170" s="10">
        <v>12742</v>
      </c>
      <c r="I2170" s="10">
        <v>38226</v>
      </c>
      <c r="J2170" t="s">
        <v>42</v>
      </c>
      <c r="K2170" s="11">
        <v>3145.8</v>
      </c>
      <c r="L2170" s="12">
        <v>12.15</v>
      </c>
    </row>
    <row r="2171" spans="1:12" x14ac:dyDescent="0.2">
      <c r="A2171" s="9">
        <v>46246</v>
      </c>
      <c r="B2171" t="s">
        <v>579</v>
      </c>
      <c r="C2171" t="s">
        <v>580</v>
      </c>
      <c r="D2171" t="s">
        <v>75</v>
      </c>
      <c r="E2171" t="s">
        <v>647</v>
      </c>
      <c r="F2171" t="s">
        <v>648</v>
      </c>
      <c r="G2171" s="10">
        <v>11</v>
      </c>
      <c r="H2171" s="10">
        <v>80567</v>
      </c>
      <c r="I2171" s="10">
        <v>886237</v>
      </c>
      <c r="J2171" t="s">
        <v>42</v>
      </c>
      <c r="K2171" s="11">
        <v>3145.8</v>
      </c>
      <c r="L2171" s="12">
        <v>281.72000000000003</v>
      </c>
    </row>
    <row r="2172" spans="1:12" x14ac:dyDescent="0.2">
      <c r="A2172" s="9">
        <v>46246</v>
      </c>
      <c r="B2172" t="s">
        <v>585</v>
      </c>
      <c r="C2172" t="s">
        <v>586</v>
      </c>
      <c r="D2172" t="s">
        <v>50</v>
      </c>
      <c r="E2172" t="s">
        <v>647</v>
      </c>
      <c r="F2172" t="s">
        <v>667</v>
      </c>
      <c r="G2172" s="10">
        <v>1</v>
      </c>
      <c r="H2172" s="10">
        <v>7080</v>
      </c>
      <c r="I2172" s="10">
        <v>7080</v>
      </c>
      <c r="J2172" t="s">
        <v>51</v>
      </c>
      <c r="K2172" s="11">
        <v>648.20000000000005</v>
      </c>
      <c r="L2172" s="12">
        <v>10.92</v>
      </c>
    </row>
    <row r="2173" spans="1:12" x14ac:dyDescent="0.2">
      <c r="A2173" s="9">
        <v>46246</v>
      </c>
      <c r="B2173" t="s">
        <v>593</v>
      </c>
      <c r="C2173" t="s">
        <v>594</v>
      </c>
      <c r="D2173" t="s">
        <v>50</v>
      </c>
      <c r="E2173" t="s">
        <v>649</v>
      </c>
      <c r="F2173" t="s">
        <v>663</v>
      </c>
      <c r="G2173" s="10">
        <v>30</v>
      </c>
      <c r="H2173" s="10">
        <v>1977</v>
      </c>
      <c r="I2173" s="10">
        <v>59310</v>
      </c>
      <c r="J2173" t="s">
        <v>51</v>
      </c>
      <c r="K2173" s="11">
        <v>648.20000000000005</v>
      </c>
      <c r="L2173" s="12">
        <v>91.5</v>
      </c>
    </row>
    <row r="2174" spans="1:12" x14ac:dyDescent="0.2">
      <c r="A2174" s="9">
        <v>46246</v>
      </c>
      <c r="B2174" t="s">
        <v>596</v>
      </c>
      <c r="C2174" t="s">
        <v>597</v>
      </c>
      <c r="D2174" t="s">
        <v>50</v>
      </c>
      <c r="E2174" t="s">
        <v>653</v>
      </c>
      <c r="F2174" t="s">
        <v>666</v>
      </c>
      <c r="G2174" s="10">
        <v>4</v>
      </c>
      <c r="H2174" s="10">
        <v>1453</v>
      </c>
      <c r="I2174" s="10">
        <v>5812</v>
      </c>
      <c r="J2174" t="s">
        <v>51</v>
      </c>
      <c r="K2174" s="11">
        <v>648.20000000000005</v>
      </c>
      <c r="L2174" s="12">
        <v>8.9700000000000006</v>
      </c>
    </row>
    <row r="2175" spans="1:12" x14ac:dyDescent="0.2">
      <c r="A2175" s="9">
        <v>46246</v>
      </c>
      <c r="B2175" t="s">
        <v>596</v>
      </c>
      <c r="C2175" t="s">
        <v>597</v>
      </c>
      <c r="D2175" t="s">
        <v>50</v>
      </c>
      <c r="E2175" t="s">
        <v>647</v>
      </c>
      <c r="F2175" t="s">
        <v>648</v>
      </c>
      <c r="G2175" s="10">
        <v>9</v>
      </c>
      <c r="H2175" s="10">
        <v>15932</v>
      </c>
      <c r="I2175" s="10">
        <v>143388</v>
      </c>
      <c r="J2175" t="s">
        <v>51</v>
      </c>
      <c r="K2175" s="11">
        <v>648.20000000000005</v>
      </c>
      <c r="L2175" s="12">
        <v>221.21</v>
      </c>
    </row>
    <row r="2176" spans="1:12" x14ac:dyDescent="0.2">
      <c r="A2176" s="9">
        <v>46246</v>
      </c>
      <c r="B2176" t="s">
        <v>599</v>
      </c>
      <c r="C2176" t="s">
        <v>600</v>
      </c>
      <c r="D2176" t="s">
        <v>75</v>
      </c>
      <c r="E2176" t="s">
        <v>653</v>
      </c>
      <c r="F2176" t="s">
        <v>654</v>
      </c>
      <c r="G2176" s="10">
        <v>3</v>
      </c>
      <c r="H2176" s="10">
        <v>27871</v>
      </c>
      <c r="I2176" s="10">
        <v>83613</v>
      </c>
      <c r="J2176" t="s">
        <v>42</v>
      </c>
      <c r="K2176" s="11">
        <v>3145.8</v>
      </c>
      <c r="L2176" s="12">
        <v>26.58</v>
      </c>
    </row>
    <row r="2177" spans="1:12" x14ac:dyDescent="0.2">
      <c r="A2177" s="9">
        <v>46246</v>
      </c>
      <c r="B2177" t="s">
        <v>605</v>
      </c>
      <c r="C2177" t="s">
        <v>606</v>
      </c>
      <c r="D2177" t="s">
        <v>68</v>
      </c>
      <c r="E2177" t="s">
        <v>647</v>
      </c>
      <c r="F2177" t="s">
        <v>648</v>
      </c>
      <c r="G2177" s="10">
        <v>46</v>
      </c>
      <c r="H2177" s="10">
        <v>15848</v>
      </c>
      <c r="I2177" s="10">
        <v>729008</v>
      </c>
      <c r="J2177" t="s">
        <v>51</v>
      </c>
      <c r="K2177" s="11">
        <v>648.20000000000005</v>
      </c>
      <c r="L2177" s="12">
        <v>1124.67</v>
      </c>
    </row>
    <row r="2178" spans="1:12" x14ac:dyDescent="0.2">
      <c r="A2178" s="9">
        <v>46246</v>
      </c>
      <c r="B2178" t="s">
        <v>611</v>
      </c>
      <c r="C2178" t="s">
        <v>612</v>
      </c>
      <c r="D2178" t="s">
        <v>41</v>
      </c>
      <c r="E2178" t="s">
        <v>660</v>
      </c>
      <c r="F2178" t="s">
        <v>669</v>
      </c>
      <c r="G2178" s="10">
        <v>8</v>
      </c>
      <c r="H2178" s="10">
        <v>12996</v>
      </c>
      <c r="I2178" s="10">
        <v>103968</v>
      </c>
      <c r="J2178" t="s">
        <v>42</v>
      </c>
      <c r="K2178" s="11">
        <v>3145.8</v>
      </c>
      <c r="L2178" s="12">
        <v>33.049999999999997</v>
      </c>
    </row>
    <row r="2179" spans="1:12" x14ac:dyDescent="0.2">
      <c r="A2179" s="9">
        <v>46246</v>
      </c>
      <c r="B2179" t="s">
        <v>617</v>
      </c>
      <c r="C2179" t="s">
        <v>618</v>
      </c>
      <c r="D2179" t="s">
        <v>75</v>
      </c>
      <c r="E2179" t="s">
        <v>660</v>
      </c>
      <c r="F2179" t="s">
        <v>669</v>
      </c>
      <c r="G2179" s="10">
        <v>3</v>
      </c>
      <c r="H2179" s="10">
        <v>12922</v>
      </c>
      <c r="I2179" s="10">
        <v>38766</v>
      </c>
      <c r="J2179" t="s">
        <v>42</v>
      </c>
      <c r="K2179" s="11">
        <v>3145.8</v>
      </c>
      <c r="L2179" s="12">
        <v>12.32</v>
      </c>
    </row>
    <row r="2180" spans="1:12" x14ac:dyDescent="0.2">
      <c r="A2180" s="9">
        <v>46246</v>
      </c>
      <c r="B2180" t="s">
        <v>620</v>
      </c>
      <c r="C2180" t="s">
        <v>621</v>
      </c>
      <c r="D2180" t="s">
        <v>50</v>
      </c>
      <c r="E2180" t="s">
        <v>649</v>
      </c>
      <c r="F2180" t="s">
        <v>659</v>
      </c>
      <c r="G2180" s="10">
        <v>15</v>
      </c>
      <c r="H2180" s="10">
        <v>9043</v>
      </c>
      <c r="I2180" s="10">
        <v>135645</v>
      </c>
      <c r="J2180" t="s">
        <v>51</v>
      </c>
      <c r="K2180" s="11">
        <v>648.20000000000005</v>
      </c>
      <c r="L2180" s="12">
        <v>209.26</v>
      </c>
    </row>
    <row r="2181" spans="1:12" x14ac:dyDescent="0.2">
      <c r="A2181" s="9">
        <v>46246</v>
      </c>
      <c r="B2181" t="s">
        <v>620</v>
      </c>
      <c r="C2181" t="s">
        <v>621</v>
      </c>
      <c r="D2181" t="s">
        <v>50</v>
      </c>
      <c r="E2181" t="s">
        <v>655</v>
      </c>
      <c r="F2181" t="s">
        <v>656</v>
      </c>
      <c r="G2181" s="10">
        <v>8</v>
      </c>
      <c r="H2181" s="10">
        <v>560</v>
      </c>
      <c r="I2181" s="10">
        <v>4480</v>
      </c>
      <c r="J2181" t="s">
        <v>51</v>
      </c>
      <c r="K2181" s="11">
        <v>648.20000000000005</v>
      </c>
      <c r="L2181" s="12">
        <v>6.91</v>
      </c>
    </row>
    <row r="2182" spans="1:12" x14ac:dyDescent="0.2">
      <c r="A2182" s="9">
        <v>46246</v>
      </c>
      <c r="B2182" t="s">
        <v>623</v>
      </c>
      <c r="C2182" t="s">
        <v>624</v>
      </c>
      <c r="D2182" t="s">
        <v>68</v>
      </c>
      <c r="E2182" t="s">
        <v>660</v>
      </c>
      <c r="F2182" t="s">
        <v>661</v>
      </c>
      <c r="G2182" s="10">
        <v>31</v>
      </c>
      <c r="H2182" s="10">
        <v>4081</v>
      </c>
      <c r="I2182" s="10">
        <v>126511</v>
      </c>
      <c r="J2182" t="s">
        <v>51</v>
      </c>
      <c r="K2182" s="11">
        <v>648.20000000000005</v>
      </c>
      <c r="L2182" s="12">
        <v>195.17</v>
      </c>
    </row>
    <row r="2183" spans="1:12" x14ac:dyDescent="0.2">
      <c r="A2183" s="9">
        <v>46246</v>
      </c>
      <c r="B2183" t="s">
        <v>623</v>
      </c>
      <c r="C2183" t="s">
        <v>624</v>
      </c>
      <c r="D2183" t="s">
        <v>68</v>
      </c>
      <c r="E2183" t="s">
        <v>655</v>
      </c>
      <c r="F2183" t="s">
        <v>665</v>
      </c>
      <c r="G2183" s="10">
        <v>12</v>
      </c>
      <c r="H2183" s="10">
        <v>702</v>
      </c>
      <c r="I2183" s="10">
        <v>8424</v>
      </c>
      <c r="J2183" t="s">
        <v>51</v>
      </c>
      <c r="K2183" s="11">
        <v>648.20000000000005</v>
      </c>
      <c r="L2183" s="12">
        <v>13</v>
      </c>
    </row>
    <row r="2184" spans="1:12" x14ac:dyDescent="0.2">
      <c r="A2184" s="9">
        <v>46246</v>
      </c>
      <c r="B2184" t="s">
        <v>626</v>
      </c>
      <c r="C2184" t="s">
        <v>627</v>
      </c>
      <c r="D2184" t="s">
        <v>50</v>
      </c>
      <c r="E2184" t="s">
        <v>655</v>
      </c>
      <c r="F2184" t="s">
        <v>656</v>
      </c>
      <c r="G2184" s="10">
        <v>1</v>
      </c>
      <c r="H2184" s="10">
        <v>568</v>
      </c>
      <c r="I2184" s="10">
        <v>568</v>
      </c>
      <c r="J2184" t="s">
        <v>51</v>
      </c>
      <c r="K2184" s="11">
        <v>648.20000000000005</v>
      </c>
      <c r="L2184" s="12">
        <v>0.88</v>
      </c>
    </row>
    <row r="2185" spans="1:12" x14ac:dyDescent="0.2">
      <c r="A2185" s="9">
        <v>46246</v>
      </c>
      <c r="B2185" t="s">
        <v>632</v>
      </c>
      <c r="C2185" t="s">
        <v>633</v>
      </c>
      <c r="D2185" t="s">
        <v>68</v>
      </c>
      <c r="E2185" t="s">
        <v>647</v>
      </c>
      <c r="F2185" t="s">
        <v>667</v>
      </c>
      <c r="G2185" s="10">
        <v>28</v>
      </c>
      <c r="H2185" s="10">
        <v>7509</v>
      </c>
      <c r="I2185" s="10">
        <v>210252</v>
      </c>
      <c r="J2185" t="s">
        <v>51</v>
      </c>
      <c r="K2185" s="11">
        <v>648.20000000000005</v>
      </c>
      <c r="L2185" s="12">
        <v>324.36</v>
      </c>
    </row>
    <row r="2186" spans="1:12" x14ac:dyDescent="0.2">
      <c r="A2186" s="9">
        <v>46246</v>
      </c>
      <c r="B2186" t="s">
        <v>632</v>
      </c>
      <c r="C2186" t="s">
        <v>633</v>
      </c>
      <c r="D2186" t="s">
        <v>68</v>
      </c>
      <c r="E2186" t="s">
        <v>651</v>
      </c>
      <c r="F2186" t="s">
        <v>657</v>
      </c>
      <c r="G2186" s="10">
        <v>5</v>
      </c>
      <c r="H2186" s="10">
        <v>6255</v>
      </c>
      <c r="I2186" s="10">
        <v>31275</v>
      </c>
      <c r="J2186" t="s">
        <v>51</v>
      </c>
      <c r="K2186" s="11">
        <v>648.20000000000005</v>
      </c>
      <c r="L2186" s="12">
        <v>48.25</v>
      </c>
    </row>
    <row r="2187" spans="1:12" x14ac:dyDescent="0.2">
      <c r="A2187" s="9">
        <v>46247</v>
      </c>
      <c r="B2187" t="s">
        <v>34</v>
      </c>
      <c r="C2187" t="s">
        <v>35</v>
      </c>
      <c r="D2187" t="s">
        <v>36</v>
      </c>
      <c r="E2187" t="s">
        <v>647</v>
      </c>
      <c r="F2187" t="s">
        <v>648</v>
      </c>
      <c r="G2187" s="10">
        <v>6</v>
      </c>
      <c r="H2187" s="10">
        <v>16867</v>
      </c>
      <c r="I2187" s="10">
        <v>101202</v>
      </c>
      <c r="J2187" t="s">
        <v>37</v>
      </c>
      <c r="K2187" s="11">
        <v>648.20000000000005</v>
      </c>
      <c r="L2187" s="12">
        <v>156.13</v>
      </c>
    </row>
    <row r="2188" spans="1:12" x14ac:dyDescent="0.2">
      <c r="A2188" s="9">
        <v>46247</v>
      </c>
      <c r="B2188" t="s">
        <v>39</v>
      </c>
      <c r="C2188" t="s">
        <v>40</v>
      </c>
      <c r="D2188" t="s">
        <v>41</v>
      </c>
      <c r="E2188" t="s">
        <v>647</v>
      </c>
      <c r="F2188" t="s">
        <v>667</v>
      </c>
      <c r="G2188" s="10">
        <v>3</v>
      </c>
      <c r="H2188" s="10">
        <v>34404</v>
      </c>
      <c r="I2188" s="10">
        <v>103212</v>
      </c>
      <c r="J2188" t="s">
        <v>42</v>
      </c>
      <c r="K2188" s="11">
        <v>3145.8</v>
      </c>
      <c r="L2188" s="12">
        <v>32.81</v>
      </c>
    </row>
    <row r="2189" spans="1:12" x14ac:dyDescent="0.2">
      <c r="A2189" s="9">
        <v>46247</v>
      </c>
      <c r="B2189" t="s">
        <v>48</v>
      </c>
      <c r="C2189" t="s">
        <v>49</v>
      </c>
      <c r="D2189" t="s">
        <v>50</v>
      </c>
      <c r="E2189" t="s">
        <v>651</v>
      </c>
      <c r="F2189" t="s">
        <v>657</v>
      </c>
      <c r="G2189" s="10">
        <v>31</v>
      </c>
      <c r="H2189" s="10">
        <v>6477</v>
      </c>
      <c r="I2189" s="10">
        <v>200787</v>
      </c>
      <c r="J2189" t="s">
        <v>51</v>
      </c>
      <c r="K2189" s="11">
        <v>648.20000000000005</v>
      </c>
      <c r="L2189" s="12">
        <v>309.76</v>
      </c>
    </row>
    <row r="2190" spans="1:12" x14ac:dyDescent="0.2">
      <c r="A2190" s="9">
        <v>46247</v>
      </c>
      <c r="B2190" t="s">
        <v>53</v>
      </c>
      <c r="C2190" t="s">
        <v>54</v>
      </c>
      <c r="D2190" t="s">
        <v>41</v>
      </c>
      <c r="E2190" t="s">
        <v>653</v>
      </c>
      <c r="F2190" t="s">
        <v>666</v>
      </c>
      <c r="G2190" s="10">
        <v>21</v>
      </c>
      <c r="H2190" s="10">
        <v>7270</v>
      </c>
      <c r="I2190" s="10">
        <v>152670</v>
      </c>
      <c r="J2190" t="s">
        <v>42</v>
      </c>
      <c r="K2190" s="11">
        <v>3145.8</v>
      </c>
      <c r="L2190" s="12">
        <v>48.53</v>
      </c>
    </row>
    <row r="2191" spans="1:12" x14ac:dyDescent="0.2">
      <c r="A2191" s="9">
        <v>46247</v>
      </c>
      <c r="B2191" t="s">
        <v>53</v>
      </c>
      <c r="C2191" t="s">
        <v>54</v>
      </c>
      <c r="D2191" t="s">
        <v>41</v>
      </c>
      <c r="E2191" t="s">
        <v>647</v>
      </c>
      <c r="F2191" t="s">
        <v>668</v>
      </c>
      <c r="G2191" s="10">
        <v>22</v>
      </c>
      <c r="H2191" s="10">
        <v>121840</v>
      </c>
      <c r="I2191" s="10">
        <v>2680480</v>
      </c>
      <c r="J2191" t="s">
        <v>42</v>
      </c>
      <c r="K2191" s="11">
        <v>3145.8</v>
      </c>
      <c r="L2191" s="12">
        <v>852.08</v>
      </c>
    </row>
    <row r="2192" spans="1:12" x14ac:dyDescent="0.2">
      <c r="A2192" s="9">
        <v>46247</v>
      </c>
      <c r="B2192" t="s">
        <v>60</v>
      </c>
      <c r="C2192" t="s">
        <v>61</v>
      </c>
      <c r="D2192" t="s">
        <v>41</v>
      </c>
      <c r="E2192" t="s">
        <v>655</v>
      </c>
      <c r="F2192" t="s">
        <v>656</v>
      </c>
      <c r="G2192" s="10">
        <v>2</v>
      </c>
      <c r="H2192" s="10">
        <v>2716</v>
      </c>
      <c r="I2192" s="10">
        <v>5432</v>
      </c>
      <c r="J2192" t="s">
        <v>42</v>
      </c>
      <c r="K2192" s="11">
        <v>3145.8</v>
      </c>
      <c r="L2192" s="12">
        <v>1.73</v>
      </c>
    </row>
    <row r="2193" spans="1:12" x14ac:dyDescent="0.2">
      <c r="A2193" s="9">
        <v>46247</v>
      </c>
      <c r="B2193" t="s">
        <v>73</v>
      </c>
      <c r="C2193" t="s">
        <v>74</v>
      </c>
      <c r="D2193" t="s">
        <v>75</v>
      </c>
      <c r="E2193" t="s">
        <v>653</v>
      </c>
      <c r="F2193" t="s">
        <v>658</v>
      </c>
      <c r="G2193" s="10">
        <v>96</v>
      </c>
      <c r="H2193" s="10">
        <v>13564</v>
      </c>
      <c r="I2193" s="10">
        <v>1302144</v>
      </c>
      <c r="J2193" t="s">
        <v>42</v>
      </c>
      <c r="K2193" s="11">
        <v>3145.8</v>
      </c>
      <c r="L2193" s="12">
        <v>413.93</v>
      </c>
    </row>
    <row r="2194" spans="1:12" x14ac:dyDescent="0.2">
      <c r="A2194" s="9">
        <v>46247</v>
      </c>
      <c r="B2194" t="s">
        <v>73</v>
      </c>
      <c r="C2194" t="s">
        <v>74</v>
      </c>
      <c r="D2194" t="s">
        <v>75</v>
      </c>
      <c r="E2194" t="s">
        <v>660</v>
      </c>
      <c r="F2194" t="s">
        <v>669</v>
      </c>
      <c r="G2194" s="10">
        <v>123</v>
      </c>
      <c r="H2194" s="10">
        <v>12771</v>
      </c>
      <c r="I2194" s="10">
        <v>1570833</v>
      </c>
      <c r="J2194" t="s">
        <v>42</v>
      </c>
      <c r="K2194" s="11">
        <v>3145.8</v>
      </c>
      <c r="L2194" s="12">
        <v>499.34</v>
      </c>
    </row>
    <row r="2195" spans="1:12" x14ac:dyDescent="0.2">
      <c r="A2195" s="9">
        <v>46247</v>
      </c>
      <c r="B2195" t="s">
        <v>77</v>
      </c>
      <c r="C2195" t="s">
        <v>78</v>
      </c>
      <c r="D2195" t="s">
        <v>50</v>
      </c>
      <c r="E2195" t="s">
        <v>647</v>
      </c>
      <c r="F2195" t="s">
        <v>648</v>
      </c>
      <c r="G2195" s="10">
        <v>13</v>
      </c>
      <c r="H2195" s="10">
        <v>16078</v>
      </c>
      <c r="I2195" s="10">
        <v>209014</v>
      </c>
      <c r="J2195" t="s">
        <v>51</v>
      </c>
      <c r="K2195" s="11">
        <v>648.20000000000005</v>
      </c>
      <c r="L2195" s="12">
        <v>322.45</v>
      </c>
    </row>
    <row r="2196" spans="1:12" x14ac:dyDescent="0.2">
      <c r="A2196" s="9">
        <v>46247</v>
      </c>
      <c r="B2196" t="s">
        <v>77</v>
      </c>
      <c r="C2196" t="s">
        <v>78</v>
      </c>
      <c r="D2196" t="s">
        <v>50</v>
      </c>
      <c r="E2196" t="s">
        <v>655</v>
      </c>
      <c r="F2196" t="s">
        <v>656</v>
      </c>
      <c r="G2196" s="10">
        <v>8</v>
      </c>
      <c r="H2196" s="10">
        <v>576</v>
      </c>
      <c r="I2196" s="10">
        <v>4608</v>
      </c>
      <c r="J2196" t="s">
        <v>51</v>
      </c>
      <c r="K2196" s="11">
        <v>648.20000000000005</v>
      </c>
      <c r="L2196" s="12">
        <v>7.11</v>
      </c>
    </row>
    <row r="2197" spans="1:12" x14ac:dyDescent="0.2">
      <c r="A2197" s="9">
        <v>46247</v>
      </c>
      <c r="B2197" t="s">
        <v>83</v>
      </c>
      <c r="C2197" t="s">
        <v>84</v>
      </c>
      <c r="D2197" t="s">
        <v>41</v>
      </c>
      <c r="E2197" t="s">
        <v>647</v>
      </c>
      <c r="F2197" t="s">
        <v>668</v>
      </c>
      <c r="G2197" s="10">
        <v>43</v>
      </c>
      <c r="H2197" s="10">
        <v>123577</v>
      </c>
      <c r="I2197" s="10">
        <v>5313811</v>
      </c>
      <c r="J2197" t="s">
        <v>42</v>
      </c>
      <c r="K2197" s="11">
        <v>3145.8</v>
      </c>
      <c r="L2197" s="12">
        <v>1689.18</v>
      </c>
    </row>
    <row r="2198" spans="1:12" x14ac:dyDescent="0.2">
      <c r="A2198" s="9">
        <v>46247</v>
      </c>
      <c r="B2198" t="s">
        <v>96</v>
      </c>
      <c r="C2198" t="s">
        <v>97</v>
      </c>
      <c r="D2198" t="s">
        <v>41</v>
      </c>
      <c r="E2198" t="s">
        <v>660</v>
      </c>
      <c r="F2198" t="s">
        <v>670</v>
      </c>
      <c r="G2198" s="10">
        <v>8</v>
      </c>
      <c r="H2198" s="10">
        <v>68565</v>
      </c>
      <c r="I2198" s="10">
        <v>548520</v>
      </c>
      <c r="J2198" t="s">
        <v>42</v>
      </c>
      <c r="K2198" s="11">
        <v>3145.8</v>
      </c>
      <c r="L2198" s="12">
        <v>174.37</v>
      </c>
    </row>
    <row r="2199" spans="1:12" x14ac:dyDescent="0.2">
      <c r="A2199" s="9">
        <v>46247</v>
      </c>
      <c r="B2199" t="s">
        <v>96</v>
      </c>
      <c r="C2199" t="s">
        <v>97</v>
      </c>
      <c r="D2199" t="s">
        <v>41</v>
      </c>
      <c r="E2199" t="s">
        <v>647</v>
      </c>
      <c r="F2199" t="s">
        <v>648</v>
      </c>
      <c r="G2199" s="10">
        <v>13</v>
      </c>
      <c r="H2199" s="10">
        <v>78400</v>
      </c>
      <c r="I2199" s="10">
        <v>1019200</v>
      </c>
      <c r="J2199" t="s">
        <v>42</v>
      </c>
      <c r="K2199" s="11">
        <v>3145.8</v>
      </c>
      <c r="L2199" s="12">
        <v>323.99</v>
      </c>
    </row>
    <row r="2200" spans="1:12" x14ac:dyDescent="0.2">
      <c r="A2200" s="9">
        <v>46247</v>
      </c>
      <c r="B2200" t="s">
        <v>102</v>
      </c>
      <c r="C2200" t="s">
        <v>103</v>
      </c>
      <c r="D2200" t="s">
        <v>41</v>
      </c>
      <c r="E2200" t="s">
        <v>651</v>
      </c>
      <c r="F2200" t="s">
        <v>664</v>
      </c>
      <c r="G2200" s="10">
        <v>8</v>
      </c>
      <c r="H2200" s="10">
        <v>58549</v>
      </c>
      <c r="I2200" s="10">
        <v>468392</v>
      </c>
      <c r="J2200" t="s">
        <v>42</v>
      </c>
      <c r="K2200" s="11">
        <v>3145.8</v>
      </c>
      <c r="L2200" s="12">
        <v>148.88999999999999</v>
      </c>
    </row>
    <row r="2201" spans="1:12" x14ac:dyDescent="0.2">
      <c r="A2201" s="9">
        <v>46247</v>
      </c>
      <c r="B2201" t="s">
        <v>108</v>
      </c>
      <c r="C2201" t="s">
        <v>109</v>
      </c>
      <c r="D2201" t="s">
        <v>36</v>
      </c>
      <c r="E2201" t="s">
        <v>647</v>
      </c>
      <c r="F2201" t="s">
        <v>667</v>
      </c>
      <c r="G2201" s="10">
        <v>178</v>
      </c>
      <c r="H2201" s="10">
        <v>7235</v>
      </c>
      <c r="I2201" s="10">
        <v>1287830</v>
      </c>
      <c r="J2201" t="s">
        <v>37</v>
      </c>
      <c r="K2201" s="11">
        <v>648.20000000000005</v>
      </c>
      <c r="L2201" s="12">
        <v>1986.78</v>
      </c>
    </row>
    <row r="2202" spans="1:12" x14ac:dyDescent="0.2">
      <c r="A2202" s="9">
        <v>46247</v>
      </c>
      <c r="B2202" t="s">
        <v>111</v>
      </c>
      <c r="C2202" t="s">
        <v>112</v>
      </c>
      <c r="D2202" t="s">
        <v>41</v>
      </c>
      <c r="E2202" t="s">
        <v>649</v>
      </c>
      <c r="F2202" t="s">
        <v>650</v>
      </c>
      <c r="G2202" s="10">
        <v>8</v>
      </c>
      <c r="H2202" s="10">
        <v>93564</v>
      </c>
      <c r="I2202" s="10">
        <v>748512</v>
      </c>
      <c r="J2202" t="s">
        <v>42</v>
      </c>
      <c r="K2202" s="11">
        <v>3145.8</v>
      </c>
      <c r="L2202" s="12">
        <v>237.94</v>
      </c>
    </row>
    <row r="2203" spans="1:12" x14ac:dyDescent="0.2">
      <c r="A2203" s="9">
        <v>46247</v>
      </c>
      <c r="B2203" t="s">
        <v>111</v>
      </c>
      <c r="C2203" t="s">
        <v>112</v>
      </c>
      <c r="D2203" t="s">
        <v>41</v>
      </c>
      <c r="E2203" t="s">
        <v>649</v>
      </c>
      <c r="F2203" t="s">
        <v>659</v>
      </c>
      <c r="G2203" s="10">
        <v>56</v>
      </c>
      <c r="H2203" s="10">
        <v>44050</v>
      </c>
      <c r="I2203" s="10">
        <v>2466800</v>
      </c>
      <c r="J2203" t="s">
        <v>42</v>
      </c>
      <c r="K2203" s="11">
        <v>3145.8</v>
      </c>
      <c r="L2203" s="12">
        <v>784.16</v>
      </c>
    </row>
    <row r="2204" spans="1:12" x14ac:dyDescent="0.2">
      <c r="A2204" s="9">
        <v>46247</v>
      </c>
      <c r="B2204" t="s">
        <v>111</v>
      </c>
      <c r="C2204" t="s">
        <v>112</v>
      </c>
      <c r="D2204" t="s">
        <v>41</v>
      </c>
      <c r="E2204" t="s">
        <v>660</v>
      </c>
      <c r="F2204" t="s">
        <v>669</v>
      </c>
      <c r="G2204" s="10">
        <v>39</v>
      </c>
      <c r="H2204" s="10">
        <v>12087</v>
      </c>
      <c r="I2204" s="10">
        <v>471393</v>
      </c>
      <c r="J2204" t="s">
        <v>42</v>
      </c>
      <c r="K2204" s="11">
        <v>3145.8</v>
      </c>
      <c r="L2204" s="12">
        <v>149.85</v>
      </c>
    </row>
    <row r="2205" spans="1:12" x14ac:dyDescent="0.2">
      <c r="A2205" s="9">
        <v>46247</v>
      </c>
      <c r="B2205" t="s">
        <v>115</v>
      </c>
      <c r="C2205" t="s">
        <v>116</v>
      </c>
      <c r="D2205" t="s">
        <v>41</v>
      </c>
      <c r="E2205" t="s">
        <v>651</v>
      </c>
      <c r="F2205" t="s">
        <v>652</v>
      </c>
      <c r="G2205" s="10">
        <v>20</v>
      </c>
      <c r="H2205" s="10">
        <v>46077</v>
      </c>
      <c r="I2205" s="10">
        <v>921540</v>
      </c>
      <c r="J2205" t="s">
        <v>42</v>
      </c>
      <c r="K2205" s="11">
        <v>3145.8</v>
      </c>
      <c r="L2205" s="12">
        <v>292.94</v>
      </c>
    </row>
    <row r="2206" spans="1:12" x14ac:dyDescent="0.2">
      <c r="A2206" s="9">
        <v>46247</v>
      </c>
      <c r="B2206" t="s">
        <v>115</v>
      </c>
      <c r="C2206" t="s">
        <v>116</v>
      </c>
      <c r="D2206" t="s">
        <v>41</v>
      </c>
      <c r="E2206" t="s">
        <v>655</v>
      </c>
      <c r="F2206" t="s">
        <v>662</v>
      </c>
      <c r="G2206" s="10">
        <v>30</v>
      </c>
      <c r="H2206" s="10">
        <v>5415</v>
      </c>
      <c r="I2206" s="10">
        <v>162450</v>
      </c>
      <c r="J2206" t="s">
        <v>42</v>
      </c>
      <c r="K2206" s="11">
        <v>3145.8</v>
      </c>
      <c r="L2206" s="12">
        <v>51.64</v>
      </c>
    </row>
    <row r="2207" spans="1:12" x14ac:dyDescent="0.2">
      <c r="A2207" s="9">
        <v>46247</v>
      </c>
      <c r="B2207" t="s">
        <v>124</v>
      </c>
      <c r="C2207" t="s">
        <v>125</v>
      </c>
      <c r="D2207" t="s">
        <v>75</v>
      </c>
      <c r="E2207" t="s">
        <v>651</v>
      </c>
      <c r="F2207" t="s">
        <v>657</v>
      </c>
      <c r="G2207" s="10">
        <v>1</v>
      </c>
      <c r="H2207" s="10">
        <v>31478</v>
      </c>
      <c r="I2207" s="10">
        <v>31478</v>
      </c>
      <c r="J2207" t="s">
        <v>42</v>
      </c>
      <c r="K2207" s="11">
        <v>3145.8</v>
      </c>
      <c r="L2207" s="12">
        <v>10.01</v>
      </c>
    </row>
    <row r="2208" spans="1:12" x14ac:dyDescent="0.2">
      <c r="A2208" s="9">
        <v>46247</v>
      </c>
      <c r="B2208" t="s">
        <v>136</v>
      </c>
      <c r="C2208" t="s">
        <v>137</v>
      </c>
      <c r="D2208" t="s">
        <v>41</v>
      </c>
      <c r="E2208" t="s">
        <v>660</v>
      </c>
      <c r="F2208" t="s">
        <v>661</v>
      </c>
      <c r="G2208" s="10">
        <v>41</v>
      </c>
      <c r="H2208" s="10">
        <v>20229</v>
      </c>
      <c r="I2208" s="10">
        <v>829389</v>
      </c>
      <c r="J2208" t="s">
        <v>42</v>
      </c>
      <c r="K2208" s="11">
        <v>3145.8</v>
      </c>
      <c r="L2208" s="12">
        <v>263.64999999999998</v>
      </c>
    </row>
    <row r="2209" spans="1:12" x14ac:dyDescent="0.2">
      <c r="A2209" s="9">
        <v>46247</v>
      </c>
      <c r="B2209" t="s">
        <v>136</v>
      </c>
      <c r="C2209" t="s">
        <v>137</v>
      </c>
      <c r="D2209" t="s">
        <v>41</v>
      </c>
      <c r="E2209" t="s">
        <v>655</v>
      </c>
      <c r="F2209" t="s">
        <v>665</v>
      </c>
      <c r="G2209" s="10">
        <v>14</v>
      </c>
      <c r="H2209" s="10">
        <v>3236</v>
      </c>
      <c r="I2209" s="10">
        <v>45304</v>
      </c>
      <c r="J2209" t="s">
        <v>42</v>
      </c>
      <c r="K2209" s="11">
        <v>3145.8</v>
      </c>
      <c r="L2209" s="12">
        <v>14.4</v>
      </c>
    </row>
    <row r="2210" spans="1:12" x14ac:dyDescent="0.2">
      <c r="A2210" s="9">
        <v>46247</v>
      </c>
      <c r="B2210" t="s">
        <v>139</v>
      </c>
      <c r="C2210" t="s">
        <v>140</v>
      </c>
      <c r="D2210" t="s">
        <v>75</v>
      </c>
      <c r="E2210" t="s">
        <v>651</v>
      </c>
      <c r="F2210" t="s">
        <v>657</v>
      </c>
      <c r="G2210" s="10">
        <v>6</v>
      </c>
      <c r="H2210" s="10">
        <v>30804</v>
      </c>
      <c r="I2210" s="10">
        <v>184824</v>
      </c>
      <c r="J2210" t="s">
        <v>42</v>
      </c>
      <c r="K2210" s="11">
        <v>3145.8</v>
      </c>
      <c r="L2210" s="12">
        <v>58.75</v>
      </c>
    </row>
    <row r="2211" spans="1:12" x14ac:dyDescent="0.2">
      <c r="A2211" s="9">
        <v>46247</v>
      </c>
      <c r="B2211" t="s">
        <v>142</v>
      </c>
      <c r="C2211" t="s">
        <v>143</v>
      </c>
      <c r="D2211" t="s">
        <v>75</v>
      </c>
      <c r="E2211" t="s">
        <v>653</v>
      </c>
      <c r="F2211" t="s">
        <v>658</v>
      </c>
      <c r="G2211" s="10">
        <v>48</v>
      </c>
      <c r="H2211" s="10">
        <v>13529</v>
      </c>
      <c r="I2211" s="10">
        <v>649392</v>
      </c>
      <c r="J2211" t="s">
        <v>42</v>
      </c>
      <c r="K2211" s="11">
        <v>3145.8</v>
      </c>
      <c r="L2211" s="12">
        <v>206.43</v>
      </c>
    </row>
    <row r="2212" spans="1:12" x14ac:dyDescent="0.2">
      <c r="A2212" s="9">
        <v>46247</v>
      </c>
      <c r="B2212" t="s">
        <v>142</v>
      </c>
      <c r="C2212" t="s">
        <v>143</v>
      </c>
      <c r="D2212" t="s">
        <v>75</v>
      </c>
      <c r="E2212" t="s">
        <v>649</v>
      </c>
      <c r="F2212" t="s">
        <v>650</v>
      </c>
      <c r="G2212" s="10">
        <v>28</v>
      </c>
      <c r="H2212" s="10">
        <v>93560</v>
      </c>
      <c r="I2212" s="10">
        <v>2619680</v>
      </c>
      <c r="J2212" t="s">
        <v>42</v>
      </c>
      <c r="K2212" s="11">
        <v>3145.8</v>
      </c>
      <c r="L2212" s="12">
        <v>832.75</v>
      </c>
    </row>
    <row r="2213" spans="1:12" x14ac:dyDescent="0.2">
      <c r="A2213" s="9">
        <v>46247</v>
      </c>
      <c r="B2213" t="s">
        <v>142</v>
      </c>
      <c r="C2213" t="s">
        <v>143</v>
      </c>
      <c r="D2213" t="s">
        <v>75</v>
      </c>
      <c r="E2213" t="s">
        <v>660</v>
      </c>
      <c r="F2213" t="s">
        <v>669</v>
      </c>
      <c r="G2213" s="10">
        <v>5</v>
      </c>
      <c r="H2213" s="10">
        <v>13027</v>
      </c>
      <c r="I2213" s="10">
        <v>65135</v>
      </c>
      <c r="J2213" t="s">
        <v>42</v>
      </c>
      <c r="K2213" s="11">
        <v>3145.8</v>
      </c>
      <c r="L2213" s="12">
        <v>20.71</v>
      </c>
    </row>
    <row r="2214" spans="1:12" x14ac:dyDescent="0.2">
      <c r="A2214" s="9">
        <v>46247</v>
      </c>
      <c r="B2214" t="s">
        <v>145</v>
      </c>
      <c r="C2214" t="s">
        <v>146</v>
      </c>
      <c r="D2214" t="s">
        <v>68</v>
      </c>
      <c r="E2214" t="s">
        <v>653</v>
      </c>
      <c r="F2214" t="s">
        <v>658</v>
      </c>
      <c r="G2214" s="10">
        <v>10</v>
      </c>
      <c r="H2214" s="10">
        <v>2687</v>
      </c>
      <c r="I2214" s="10">
        <v>26870</v>
      </c>
      <c r="J2214" t="s">
        <v>51</v>
      </c>
      <c r="K2214" s="11">
        <v>648.20000000000005</v>
      </c>
      <c r="L2214" s="12">
        <v>41.45</v>
      </c>
    </row>
    <row r="2215" spans="1:12" x14ac:dyDescent="0.2">
      <c r="A2215" s="9">
        <v>46247</v>
      </c>
      <c r="B2215" t="s">
        <v>145</v>
      </c>
      <c r="C2215" t="s">
        <v>146</v>
      </c>
      <c r="D2215" t="s">
        <v>68</v>
      </c>
      <c r="E2215" t="s">
        <v>649</v>
      </c>
      <c r="F2215" t="s">
        <v>650</v>
      </c>
      <c r="G2215" s="10">
        <v>2</v>
      </c>
      <c r="H2215" s="10">
        <v>19039</v>
      </c>
      <c r="I2215" s="10">
        <v>38078</v>
      </c>
      <c r="J2215" t="s">
        <v>51</v>
      </c>
      <c r="K2215" s="11">
        <v>648.20000000000005</v>
      </c>
      <c r="L2215" s="12">
        <v>58.74</v>
      </c>
    </row>
    <row r="2216" spans="1:12" x14ac:dyDescent="0.2">
      <c r="A2216" s="9">
        <v>46247</v>
      </c>
      <c r="B2216" t="s">
        <v>155</v>
      </c>
      <c r="C2216" t="s">
        <v>156</v>
      </c>
      <c r="D2216" t="s">
        <v>46</v>
      </c>
      <c r="E2216" t="s">
        <v>651</v>
      </c>
      <c r="F2216" t="s">
        <v>657</v>
      </c>
      <c r="G2216" s="10">
        <v>1</v>
      </c>
      <c r="H2216" s="10">
        <v>6606</v>
      </c>
      <c r="I2216" s="10">
        <v>6606</v>
      </c>
      <c r="J2216" t="s">
        <v>37</v>
      </c>
      <c r="K2216" s="11">
        <v>648.20000000000005</v>
      </c>
      <c r="L2216" s="12">
        <v>10.19</v>
      </c>
    </row>
    <row r="2217" spans="1:12" x14ac:dyDescent="0.2">
      <c r="A2217" s="9">
        <v>46247</v>
      </c>
      <c r="B2217" t="s">
        <v>158</v>
      </c>
      <c r="C2217" t="s">
        <v>159</v>
      </c>
      <c r="D2217" t="s">
        <v>41</v>
      </c>
      <c r="E2217" t="s">
        <v>660</v>
      </c>
      <c r="F2217" t="s">
        <v>670</v>
      </c>
      <c r="G2217" s="10">
        <v>49</v>
      </c>
      <c r="H2217" s="10">
        <v>72496</v>
      </c>
      <c r="I2217" s="10">
        <v>3552304</v>
      </c>
      <c r="J2217" t="s">
        <v>42</v>
      </c>
      <c r="K2217" s="11">
        <v>3145.8</v>
      </c>
      <c r="L2217" s="12">
        <v>1129.22</v>
      </c>
    </row>
    <row r="2218" spans="1:12" x14ac:dyDescent="0.2">
      <c r="A2218" s="9">
        <v>46247</v>
      </c>
      <c r="B2218" t="s">
        <v>161</v>
      </c>
      <c r="C2218" t="s">
        <v>67</v>
      </c>
      <c r="D2218" t="s">
        <v>41</v>
      </c>
      <c r="E2218" t="s">
        <v>655</v>
      </c>
      <c r="F2218" t="s">
        <v>656</v>
      </c>
      <c r="G2218" s="10">
        <v>11</v>
      </c>
      <c r="H2218" s="10">
        <v>2713</v>
      </c>
      <c r="I2218" s="10">
        <v>29843</v>
      </c>
      <c r="J2218" t="s">
        <v>42</v>
      </c>
      <c r="K2218" s="11">
        <v>3145.8</v>
      </c>
      <c r="L2218" s="12">
        <v>9.49</v>
      </c>
    </row>
    <row r="2219" spans="1:12" x14ac:dyDescent="0.2">
      <c r="A2219" s="9">
        <v>46247</v>
      </c>
      <c r="B2219" t="s">
        <v>161</v>
      </c>
      <c r="C2219" t="s">
        <v>67</v>
      </c>
      <c r="D2219" t="s">
        <v>41</v>
      </c>
      <c r="E2219" t="s">
        <v>651</v>
      </c>
      <c r="F2219" t="s">
        <v>664</v>
      </c>
      <c r="G2219" s="10">
        <v>3</v>
      </c>
      <c r="H2219" s="10">
        <v>59217</v>
      </c>
      <c r="I2219" s="10">
        <v>177651</v>
      </c>
      <c r="J2219" t="s">
        <v>42</v>
      </c>
      <c r="K2219" s="11">
        <v>3145.8</v>
      </c>
      <c r="L2219" s="12">
        <v>56.47</v>
      </c>
    </row>
    <row r="2220" spans="1:12" x14ac:dyDescent="0.2">
      <c r="A2220" s="9">
        <v>46247</v>
      </c>
      <c r="B2220" t="s">
        <v>163</v>
      </c>
      <c r="C2220" t="s">
        <v>164</v>
      </c>
      <c r="D2220" t="s">
        <v>41</v>
      </c>
      <c r="E2220" t="s">
        <v>660</v>
      </c>
      <c r="F2220" t="s">
        <v>669</v>
      </c>
      <c r="G2220" s="10">
        <v>23</v>
      </c>
      <c r="H2220" s="10">
        <v>12992</v>
      </c>
      <c r="I2220" s="10">
        <v>298816</v>
      </c>
      <c r="J2220" t="s">
        <v>42</v>
      </c>
      <c r="K2220" s="11">
        <v>3145.8</v>
      </c>
      <c r="L2220" s="12">
        <v>94.99</v>
      </c>
    </row>
    <row r="2221" spans="1:12" x14ac:dyDescent="0.2">
      <c r="A2221" s="9">
        <v>46247</v>
      </c>
      <c r="B2221" t="s">
        <v>163</v>
      </c>
      <c r="C2221" t="s">
        <v>164</v>
      </c>
      <c r="D2221" t="s">
        <v>41</v>
      </c>
      <c r="E2221" t="s">
        <v>647</v>
      </c>
      <c r="F2221" t="s">
        <v>667</v>
      </c>
      <c r="G2221" s="10">
        <v>27</v>
      </c>
      <c r="H2221" s="10">
        <v>36260</v>
      </c>
      <c r="I2221" s="10">
        <v>979020</v>
      </c>
      <c r="J2221" t="s">
        <v>42</v>
      </c>
      <c r="K2221" s="11">
        <v>3145.8</v>
      </c>
      <c r="L2221" s="12">
        <v>311.20999999999998</v>
      </c>
    </row>
    <row r="2222" spans="1:12" x14ac:dyDescent="0.2">
      <c r="A2222" s="9">
        <v>46247</v>
      </c>
      <c r="B2222" t="s">
        <v>169</v>
      </c>
      <c r="C2222" t="s">
        <v>170</v>
      </c>
      <c r="D2222" t="s">
        <v>41</v>
      </c>
      <c r="E2222" t="s">
        <v>649</v>
      </c>
      <c r="F2222" t="s">
        <v>650</v>
      </c>
      <c r="G2222" s="10">
        <v>1</v>
      </c>
      <c r="H2222" s="10">
        <v>96513</v>
      </c>
      <c r="I2222" s="10">
        <v>96513</v>
      </c>
      <c r="J2222" t="s">
        <v>42</v>
      </c>
      <c r="K2222" s="11">
        <v>3145.8</v>
      </c>
      <c r="L2222" s="12">
        <v>30.68</v>
      </c>
    </row>
    <row r="2223" spans="1:12" x14ac:dyDescent="0.2">
      <c r="A2223" s="9">
        <v>46247</v>
      </c>
      <c r="B2223" t="s">
        <v>169</v>
      </c>
      <c r="C2223" t="s">
        <v>170</v>
      </c>
      <c r="D2223" t="s">
        <v>41</v>
      </c>
      <c r="E2223" t="s">
        <v>647</v>
      </c>
      <c r="F2223" t="s">
        <v>648</v>
      </c>
      <c r="G2223" s="10">
        <v>10</v>
      </c>
      <c r="H2223" s="10">
        <v>79454</v>
      </c>
      <c r="I2223" s="10">
        <v>794540</v>
      </c>
      <c r="J2223" t="s">
        <v>42</v>
      </c>
      <c r="K2223" s="11">
        <v>3145.8</v>
      </c>
      <c r="L2223" s="12">
        <v>252.57</v>
      </c>
    </row>
    <row r="2224" spans="1:12" x14ac:dyDescent="0.2">
      <c r="A2224" s="9">
        <v>46247</v>
      </c>
      <c r="B2224" t="s">
        <v>169</v>
      </c>
      <c r="C2224" t="s">
        <v>170</v>
      </c>
      <c r="D2224" t="s">
        <v>41</v>
      </c>
      <c r="E2224" t="s">
        <v>651</v>
      </c>
      <c r="F2224" t="s">
        <v>664</v>
      </c>
      <c r="G2224" s="10">
        <v>4</v>
      </c>
      <c r="H2224" s="10">
        <v>59956</v>
      </c>
      <c r="I2224" s="10">
        <v>239824</v>
      </c>
      <c r="J2224" t="s">
        <v>42</v>
      </c>
      <c r="K2224" s="11">
        <v>3145.8</v>
      </c>
      <c r="L2224" s="12">
        <v>76.239999999999995</v>
      </c>
    </row>
    <row r="2225" spans="1:12" x14ac:dyDescent="0.2">
      <c r="A2225" s="9">
        <v>46247</v>
      </c>
      <c r="B2225" t="s">
        <v>172</v>
      </c>
      <c r="C2225" t="s">
        <v>173</v>
      </c>
      <c r="D2225" t="s">
        <v>41</v>
      </c>
      <c r="E2225" t="s">
        <v>660</v>
      </c>
      <c r="F2225" t="s">
        <v>669</v>
      </c>
      <c r="G2225" s="10">
        <v>11</v>
      </c>
      <c r="H2225" s="10">
        <v>12332</v>
      </c>
      <c r="I2225" s="10">
        <v>135652</v>
      </c>
      <c r="J2225" t="s">
        <v>42</v>
      </c>
      <c r="K2225" s="11">
        <v>3145.8</v>
      </c>
      <c r="L2225" s="12">
        <v>43.12</v>
      </c>
    </row>
    <row r="2226" spans="1:12" x14ac:dyDescent="0.2">
      <c r="A2226" s="9">
        <v>46247</v>
      </c>
      <c r="B2226" t="s">
        <v>175</v>
      </c>
      <c r="C2226" t="s">
        <v>176</v>
      </c>
      <c r="D2226" t="s">
        <v>50</v>
      </c>
      <c r="E2226" t="s">
        <v>660</v>
      </c>
      <c r="F2226" t="s">
        <v>670</v>
      </c>
      <c r="G2226" s="10">
        <v>10</v>
      </c>
      <c r="H2226" s="10">
        <v>14777</v>
      </c>
      <c r="I2226" s="10">
        <v>147770</v>
      </c>
      <c r="J2226" t="s">
        <v>51</v>
      </c>
      <c r="K2226" s="11">
        <v>648.20000000000005</v>
      </c>
      <c r="L2226" s="12">
        <v>227.97</v>
      </c>
    </row>
    <row r="2227" spans="1:12" x14ac:dyDescent="0.2">
      <c r="A2227" s="9">
        <v>46247</v>
      </c>
      <c r="B2227" t="s">
        <v>181</v>
      </c>
      <c r="C2227" t="s">
        <v>182</v>
      </c>
      <c r="D2227" t="s">
        <v>41</v>
      </c>
      <c r="E2227" t="s">
        <v>660</v>
      </c>
      <c r="F2227" t="s">
        <v>661</v>
      </c>
      <c r="G2227" s="10">
        <v>10</v>
      </c>
      <c r="H2227" s="10">
        <v>20241</v>
      </c>
      <c r="I2227" s="10">
        <v>202410</v>
      </c>
      <c r="J2227" t="s">
        <v>42</v>
      </c>
      <c r="K2227" s="11">
        <v>3145.8</v>
      </c>
      <c r="L2227" s="12">
        <v>64.34</v>
      </c>
    </row>
    <row r="2228" spans="1:12" x14ac:dyDescent="0.2">
      <c r="A2228" s="9">
        <v>46247</v>
      </c>
      <c r="B2228" t="s">
        <v>184</v>
      </c>
      <c r="C2228" t="s">
        <v>185</v>
      </c>
      <c r="D2228" t="s">
        <v>41</v>
      </c>
      <c r="E2228" t="s">
        <v>653</v>
      </c>
      <c r="F2228" t="s">
        <v>658</v>
      </c>
      <c r="G2228" s="10">
        <v>5</v>
      </c>
      <c r="H2228" s="10">
        <v>13235</v>
      </c>
      <c r="I2228" s="10">
        <v>66175</v>
      </c>
      <c r="J2228" t="s">
        <v>42</v>
      </c>
      <c r="K2228" s="11">
        <v>3145.8</v>
      </c>
      <c r="L2228" s="12">
        <v>21.04</v>
      </c>
    </row>
    <row r="2229" spans="1:12" x14ac:dyDescent="0.2">
      <c r="A2229" s="9">
        <v>46247</v>
      </c>
      <c r="B2229" t="s">
        <v>184</v>
      </c>
      <c r="C2229" t="s">
        <v>185</v>
      </c>
      <c r="D2229" t="s">
        <v>41</v>
      </c>
      <c r="E2229" t="s">
        <v>653</v>
      </c>
      <c r="F2229" t="s">
        <v>658</v>
      </c>
      <c r="G2229" s="10">
        <v>10</v>
      </c>
      <c r="H2229" s="10">
        <v>13443</v>
      </c>
      <c r="I2229" s="10">
        <v>134430</v>
      </c>
      <c r="J2229" t="s">
        <v>42</v>
      </c>
      <c r="K2229" s="11">
        <v>3145.8</v>
      </c>
      <c r="L2229" s="12">
        <v>42.73</v>
      </c>
    </row>
    <row r="2230" spans="1:12" x14ac:dyDescent="0.2">
      <c r="A2230" s="9">
        <v>46247</v>
      </c>
      <c r="B2230" t="s">
        <v>187</v>
      </c>
      <c r="C2230" t="s">
        <v>188</v>
      </c>
      <c r="D2230" t="s">
        <v>75</v>
      </c>
      <c r="E2230" t="s">
        <v>653</v>
      </c>
      <c r="F2230" t="s">
        <v>658</v>
      </c>
      <c r="G2230" s="10">
        <v>6</v>
      </c>
      <c r="H2230" s="10">
        <v>13079</v>
      </c>
      <c r="I2230" s="10">
        <v>78474</v>
      </c>
      <c r="J2230" t="s">
        <v>42</v>
      </c>
      <c r="K2230" s="11">
        <v>3145.8</v>
      </c>
      <c r="L2230" s="12">
        <v>24.95</v>
      </c>
    </row>
    <row r="2231" spans="1:12" x14ac:dyDescent="0.2">
      <c r="A2231" s="9">
        <v>46247</v>
      </c>
      <c r="B2231" t="s">
        <v>187</v>
      </c>
      <c r="C2231" t="s">
        <v>188</v>
      </c>
      <c r="D2231" t="s">
        <v>75</v>
      </c>
      <c r="E2231" t="s">
        <v>647</v>
      </c>
      <c r="F2231" t="s">
        <v>668</v>
      </c>
      <c r="G2231" s="10">
        <v>2</v>
      </c>
      <c r="H2231" s="10">
        <v>123665</v>
      </c>
      <c r="I2231" s="10">
        <v>247330</v>
      </c>
      <c r="J2231" t="s">
        <v>42</v>
      </c>
      <c r="K2231" s="11">
        <v>3145.8</v>
      </c>
      <c r="L2231" s="12">
        <v>78.62</v>
      </c>
    </row>
    <row r="2232" spans="1:12" x14ac:dyDescent="0.2">
      <c r="A2232" s="9">
        <v>46247</v>
      </c>
      <c r="B2232" t="s">
        <v>196</v>
      </c>
      <c r="C2232" t="s">
        <v>197</v>
      </c>
      <c r="D2232" t="s">
        <v>46</v>
      </c>
      <c r="E2232" t="s">
        <v>649</v>
      </c>
      <c r="F2232" t="s">
        <v>650</v>
      </c>
      <c r="G2232" s="10">
        <v>49</v>
      </c>
      <c r="H2232" s="10">
        <v>19043</v>
      </c>
      <c r="I2232" s="10">
        <v>933107</v>
      </c>
      <c r="J2232" t="s">
        <v>37</v>
      </c>
      <c r="K2232" s="11">
        <v>648.20000000000005</v>
      </c>
      <c r="L2232" s="12">
        <v>1439.54</v>
      </c>
    </row>
    <row r="2233" spans="1:12" x14ac:dyDescent="0.2">
      <c r="A2233" s="9">
        <v>46247</v>
      </c>
      <c r="B2233" t="s">
        <v>196</v>
      </c>
      <c r="C2233" t="s">
        <v>197</v>
      </c>
      <c r="D2233" t="s">
        <v>46</v>
      </c>
      <c r="E2233" t="s">
        <v>649</v>
      </c>
      <c r="F2233" t="s">
        <v>659</v>
      </c>
      <c r="G2233" s="10">
        <v>4</v>
      </c>
      <c r="H2233" s="10">
        <v>9179</v>
      </c>
      <c r="I2233" s="10">
        <v>36716</v>
      </c>
      <c r="J2233" t="s">
        <v>37</v>
      </c>
      <c r="K2233" s="11">
        <v>648.20000000000005</v>
      </c>
      <c r="L2233" s="12">
        <v>56.64</v>
      </c>
    </row>
    <row r="2234" spans="1:12" x14ac:dyDescent="0.2">
      <c r="A2234" s="9">
        <v>46247</v>
      </c>
      <c r="B2234" t="s">
        <v>196</v>
      </c>
      <c r="C2234" t="s">
        <v>197</v>
      </c>
      <c r="D2234" t="s">
        <v>46</v>
      </c>
      <c r="E2234" t="s">
        <v>653</v>
      </c>
      <c r="F2234" t="s">
        <v>654</v>
      </c>
      <c r="G2234" s="10">
        <v>4</v>
      </c>
      <c r="H2234" s="10">
        <v>5676</v>
      </c>
      <c r="I2234" s="10">
        <v>22704</v>
      </c>
      <c r="J2234" t="s">
        <v>37</v>
      </c>
      <c r="K2234" s="11">
        <v>648.20000000000005</v>
      </c>
      <c r="L2234" s="12">
        <v>35.03</v>
      </c>
    </row>
    <row r="2235" spans="1:12" x14ac:dyDescent="0.2">
      <c r="A2235" s="9">
        <v>46247</v>
      </c>
      <c r="B2235" t="s">
        <v>196</v>
      </c>
      <c r="C2235" t="s">
        <v>197</v>
      </c>
      <c r="D2235" t="s">
        <v>46</v>
      </c>
      <c r="E2235" t="s">
        <v>655</v>
      </c>
      <c r="F2235" t="s">
        <v>656</v>
      </c>
      <c r="G2235" s="10">
        <v>17</v>
      </c>
      <c r="H2235" s="10">
        <v>583</v>
      </c>
      <c r="I2235" s="10">
        <v>9911</v>
      </c>
      <c r="J2235" t="s">
        <v>37</v>
      </c>
      <c r="K2235" s="11">
        <v>648.20000000000005</v>
      </c>
      <c r="L2235" s="12">
        <v>15.29</v>
      </c>
    </row>
    <row r="2236" spans="1:12" x14ac:dyDescent="0.2">
      <c r="A2236" s="9">
        <v>46247</v>
      </c>
      <c r="B2236" t="s">
        <v>199</v>
      </c>
      <c r="C2236" t="s">
        <v>200</v>
      </c>
      <c r="D2236" t="s">
        <v>46</v>
      </c>
      <c r="E2236" t="s">
        <v>655</v>
      </c>
      <c r="F2236" t="s">
        <v>662</v>
      </c>
      <c r="G2236" s="10">
        <v>79</v>
      </c>
      <c r="H2236" s="10">
        <v>1123</v>
      </c>
      <c r="I2236" s="10">
        <v>88717</v>
      </c>
      <c r="J2236" t="s">
        <v>37</v>
      </c>
      <c r="K2236" s="11">
        <v>648.20000000000005</v>
      </c>
      <c r="L2236" s="12">
        <v>136.87</v>
      </c>
    </row>
    <row r="2237" spans="1:12" x14ac:dyDescent="0.2">
      <c r="A2237" s="9">
        <v>46247</v>
      </c>
      <c r="B2237" t="s">
        <v>199</v>
      </c>
      <c r="C2237" t="s">
        <v>200</v>
      </c>
      <c r="D2237" t="s">
        <v>46</v>
      </c>
      <c r="E2237" t="s">
        <v>655</v>
      </c>
      <c r="F2237" t="s">
        <v>656</v>
      </c>
      <c r="G2237" s="10">
        <v>28</v>
      </c>
      <c r="H2237" s="10">
        <v>564</v>
      </c>
      <c r="I2237" s="10">
        <v>15792</v>
      </c>
      <c r="J2237" t="s">
        <v>37</v>
      </c>
      <c r="K2237" s="11">
        <v>648.20000000000005</v>
      </c>
      <c r="L2237" s="12">
        <v>24.36</v>
      </c>
    </row>
    <row r="2238" spans="1:12" x14ac:dyDescent="0.2">
      <c r="A2238" s="9">
        <v>46247</v>
      </c>
      <c r="B2238" t="s">
        <v>208</v>
      </c>
      <c r="C2238" t="s">
        <v>209</v>
      </c>
      <c r="D2238" t="s">
        <v>46</v>
      </c>
      <c r="E2238" t="s">
        <v>660</v>
      </c>
      <c r="F2238" t="s">
        <v>669</v>
      </c>
      <c r="G2238" s="10">
        <v>4</v>
      </c>
      <c r="H2238" s="10">
        <v>2577</v>
      </c>
      <c r="I2238" s="10">
        <v>10308</v>
      </c>
      <c r="J2238" t="s">
        <v>37</v>
      </c>
      <c r="K2238" s="11">
        <v>648.20000000000005</v>
      </c>
      <c r="L2238" s="12">
        <v>15.9</v>
      </c>
    </row>
    <row r="2239" spans="1:12" x14ac:dyDescent="0.2">
      <c r="A2239" s="9">
        <v>46247</v>
      </c>
      <c r="B2239" t="s">
        <v>208</v>
      </c>
      <c r="C2239" t="s">
        <v>209</v>
      </c>
      <c r="D2239" t="s">
        <v>46</v>
      </c>
      <c r="E2239" t="s">
        <v>660</v>
      </c>
      <c r="F2239" t="s">
        <v>669</v>
      </c>
      <c r="G2239" s="10">
        <v>7</v>
      </c>
      <c r="H2239" s="10">
        <v>2617</v>
      </c>
      <c r="I2239" s="10">
        <v>18319</v>
      </c>
      <c r="J2239" t="s">
        <v>37</v>
      </c>
      <c r="K2239" s="11">
        <v>648.20000000000005</v>
      </c>
      <c r="L2239" s="12">
        <v>28.26</v>
      </c>
    </row>
    <row r="2240" spans="1:12" x14ac:dyDescent="0.2">
      <c r="A2240" s="9">
        <v>46247</v>
      </c>
      <c r="B2240" t="s">
        <v>208</v>
      </c>
      <c r="C2240" t="s">
        <v>209</v>
      </c>
      <c r="D2240" t="s">
        <v>46</v>
      </c>
      <c r="E2240" t="s">
        <v>655</v>
      </c>
      <c r="F2240" t="s">
        <v>656</v>
      </c>
      <c r="G2240" s="10">
        <v>3</v>
      </c>
      <c r="H2240" s="10">
        <v>570</v>
      </c>
      <c r="I2240" s="10">
        <v>1710</v>
      </c>
      <c r="J2240" t="s">
        <v>37</v>
      </c>
      <c r="K2240" s="11">
        <v>648.20000000000005</v>
      </c>
      <c r="L2240" s="12">
        <v>2.64</v>
      </c>
    </row>
    <row r="2241" spans="1:12" x14ac:dyDescent="0.2">
      <c r="A2241" s="9">
        <v>46247</v>
      </c>
      <c r="B2241" t="s">
        <v>211</v>
      </c>
      <c r="C2241" t="s">
        <v>212</v>
      </c>
      <c r="D2241" t="s">
        <v>46</v>
      </c>
      <c r="E2241" t="s">
        <v>649</v>
      </c>
      <c r="F2241" t="s">
        <v>659</v>
      </c>
      <c r="G2241" s="10">
        <v>5</v>
      </c>
      <c r="H2241" s="10">
        <v>8772</v>
      </c>
      <c r="I2241" s="10">
        <v>43860</v>
      </c>
      <c r="J2241" t="s">
        <v>37</v>
      </c>
      <c r="K2241" s="11">
        <v>648.20000000000005</v>
      </c>
      <c r="L2241" s="12">
        <v>67.66</v>
      </c>
    </row>
    <row r="2242" spans="1:12" x14ac:dyDescent="0.2">
      <c r="A2242" s="9">
        <v>46247</v>
      </c>
      <c r="B2242" t="s">
        <v>211</v>
      </c>
      <c r="C2242" t="s">
        <v>212</v>
      </c>
      <c r="D2242" t="s">
        <v>46</v>
      </c>
      <c r="E2242" t="s">
        <v>655</v>
      </c>
      <c r="F2242" t="s">
        <v>665</v>
      </c>
      <c r="G2242" s="10">
        <v>29</v>
      </c>
      <c r="H2242" s="10">
        <v>683</v>
      </c>
      <c r="I2242" s="10">
        <v>19807</v>
      </c>
      <c r="J2242" t="s">
        <v>37</v>
      </c>
      <c r="K2242" s="11">
        <v>648.20000000000005</v>
      </c>
      <c r="L2242" s="12">
        <v>30.56</v>
      </c>
    </row>
    <row r="2243" spans="1:12" x14ac:dyDescent="0.2">
      <c r="A2243" s="9">
        <v>46247</v>
      </c>
      <c r="B2243" t="s">
        <v>214</v>
      </c>
      <c r="C2243" t="s">
        <v>215</v>
      </c>
      <c r="D2243" t="s">
        <v>46</v>
      </c>
      <c r="E2243" t="s">
        <v>660</v>
      </c>
      <c r="F2243" t="s">
        <v>670</v>
      </c>
      <c r="G2243" s="10">
        <v>11</v>
      </c>
      <c r="H2243" s="10">
        <v>14151</v>
      </c>
      <c r="I2243" s="10">
        <v>155661</v>
      </c>
      <c r="J2243" t="s">
        <v>37</v>
      </c>
      <c r="K2243" s="11">
        <v>648.20000000000005</v>
      </c>
      <c r="L2243" s="12">
        <v>240.14</v>
      </c>
    </row>
    <row r="2244" spans="1:12" x14ac:dyDescent="0.2">
      <c r="A2244" s="9">
        <v>46247</v>
      </c>
      <c r="B2244" t="s">
        <v>214</v>
      </c>
      <c r="C2244" t="s">
        <v>215</v>
      </c>
      <c r="D2244" t="s">
        <v>46</v>
      </c>
      <c r="E2244" t="s">
        <v>647</v>
      </c>
      <c r="F2244" t="s">
        <v>667</v>
      </c>
      <c r="G2244" s="10">
        <v>8</v>
      </c>
      <c r="H2244" s="10">
        <v>7463</v>
      </c>
      <c r="I2244" s="10">
        <v>59704</v>
      </c>
      <c r="J2244" t="s">
        <v>37</v>
      </c>
      <c r="K2244" s="11">
        <v>648.20000000000005</v>
      </c>
      <c r="L2244" s="12">
        <v>92.11</v>
      </c>
    </row>
    <row r="2245" spans="1:12" x14ac:dyDescent="0.2">
      <c r="A2245" s="9">
        <v>46247</v>
      </c>
      <c r="B2245" t="s">
        <v>220</v>
      </c>
      <c r="C2245" t="s">
        <v>221</v>
      </c>
      <c r="D2245" t="s">
        <v>46</v>
      </c>
      <c r="E2245" t="s">
        <v>653</v>
      </c>
      <c r="F2245" t="s">
        <v>666</v>
      </c>
      <c r="G2245" s="10">
        <v>4</v>
      </c>
      <c r="H2245" s="10">
        <v>1466</v>
      </c>
      <c r="I2245" s="10">
        <v>5864</v>
      </c>
      <c r="J2245" t="s">
        <v>37</v>
      </c>
      <c r="K2245" s="11">
        <v>648.20000000000005</v>
      </c>
      <c r="L2245" s="12">
        <v>9.0500000000000007</v>
      </c>
    </row>
    <row r="2246" spans="1:12" x14ac:dyDescent="0.2">
      <c r="A2246" s="9">
        <v>46247</v>
      </c>
      <c r="B2246" t="s">
        <v>220</v>
      </c>
      <c r="C2246" t="s">
        <v>221</v>
      </c>
      <c r="D2246" t="s">
        <v>46</v>
      </c>
      <c r="E2246" t="s">
        <v>655</v>
      </c>
      <c r="F2246" t="s">
        <v>662</v>
      </c>
      <c r="G2246" s="10">
        <v>2</v>
      </c>
      <c r="H2246" s="10">
        <v>1154</v>
      </c>
      <c r="I2246" s="10">
        <v>2308</v>
      </c>
      <c r="J2246" t="s">
        <v>37</v>
      </c>
      <c r="K2246" s="11">
        <v>648.20000000000005</v>
      </c>
      <c r="L2246" s="12">
        <v>3.56</v>
      </c>
    </row>
    <row r="2247" spans="1:12" x14ac:dyDescent="0.2">
      <c r="A2247" s="9">
        <v>46247</v>
      </c>
      <c r="B2247" t="s">
        <v>220</v>
      </c>
      <c r="C2247" t="s">
        <v>221</v>
      </c>
      <c r="D2247" t="s">
        <v>46</v>
      </c>
      <c r="E2247" t="s">
        <v>647</v>
      </c>
      <c r="F2247" t="s">
        <v>648</v>
      </c>
      <c r="G2247" s="10">
        <v>37</v>
      </c>
      <c r="H2247" s="10">
        <v>15748</v>
      </c>
      <c r="I2247" s="10">
        <v>582676</v>
      </c>
      <c r="J2247" t="s">
        <v>37</v>
      </c>
      <c r="K2247" s="11">
        <v>648.20000000000005</v>
      </c>
      <c r="L2247" s="12">
        <v>898.91</v>
      </c>
    </row>
    <row r="2248" spans="1:12" x14ac:dyDescent="0.2">
      <c r="A2248" s="9">
        <v>46247</v>
      </c>
      <c r="B2248" t="s">
        <v>223</v>
      </c>
      <c r="C2248" t="s">
        <v>224</v>
      </c>
      <c r="D2248" t="s">
        <v>36</v>
      </c>
      <c r="E2248" t="s">
        <v>647</v>
      </c>
      <c r="F2248" t="s">
        <v>648</v>
      </c>
      <c r="G2248" s="10">
        <v>14</v>
      </c>
      <c r="H2248" s="10">
        <v>16868</v>
      </c>
      <c r="I2248" s="10">
        <v>236152</v>
      </c>
      <c r="J2248" t="s">
        <v>37</v>
      </c>
      <c r="K2248" s="11">
        <v>648.20000000000005</v>
      </c>
      <c r="L2248" s="12">
        <v>364.32</v>
      </c>
    </row>
    <row r="2249" spans="1:12" x14ac:dyDescent="0.2">
      <c r="A2249" s="9">
        <v>46247</v>
      </c>
      <c r="B2249" t="s">
        <v>235</v>
      </c>
      <c r="C2249" t="s">
        <v>236</v>
      </c>
      <c r="D2249" t="s">
        <v>50</v>
      </c>
      <c r="E2249" t="s">
        <v>651</v>
      </c>
      <c r="F2249" t="s">
        <v>652</v>
      </c>
      <c r="G2249" s="10">
        <v>97</v>
      </c>
      <c r="H2249" s="10">
        <v>9579</v>
      </c>
      <c r="I2249" s="10">
        <v>929163</v>
      </c>
      <c r="J2249" t="s">
        <v>51</v>
      </c>
      <c r="K2249" s="11">
        <v>648.20000000000005</v>
      </c>
      <c r="L2249" s="12">
        <v>1433.45</v>
      </c>
    </row>
    <row r="2250" spans="1:12" x14ac:dyDescent="0.2">
      <c r="A2250" s="9">
        <v>46247</v>
      </c>
      <c r="B2250" t="s">
        <v>235</v>
      </c>
      <c r="C2250" t="s">
        <v>236</v>
      </c>
      <c r="D2250" t="s">
        <v>50</v>
      </c>
      <c r="E2250" t="s">
        <v>649</v>
      </c>
      <c r="F2250" t="s">
        <v>650</v>
      </c>
      <c r="G2250" s="10">
        <v>14</v>
      </c>
      <c r="H2250" s="10">
        <v>19209</v>
      </c>
      <c r="I2250" s="10">
        <v>268926</v>
      </c>
      <c r="J2250" t="s">
        <v>51</v>
      </c>
      <c r="K2250" s="11">
        <v>648.20000000000005</v>
      </c>
      <c r="L2250" s="12">
        <v>414.88</v>
      </c>
    </row>
    <row r="2251" spans="1:12" x14ac:dyDescent="0.2">
      <c r="A2251" s="9">
        <v>46247</v>
      </c>
      <c r="B2251" t="s">
        <v>235</v>
      </c>
      <c r="C2251" t="s">
        <v>236</v>
      </c>
      <c r="D2251" t="s">
        <v>50</v>
      </c>
      <c r="E2251" t="s">
        <v>649</v>
      </c>
      <c r="F2251" t="s">
        <v>663</v>
      </c>
      <c r="G2251" s="10">
        <v>5</v>
      </c>
      <c r="H2251" s="10">
        <v>2000</v>
      </c>
      <c r="I2251" s="10">
        <v>10000</v>
      </c>
      <c r="J2251" t="s">
        <v>51</v>
      </c>
      <c r="K2251" s="11">
        <v>648.20000000000005</v>
      </c>
      <c r="L2251" s="12">
        <v>15.43</v>
      </c>
    </row>
    <row r="2252" spans="1:12" x14ac:dyDescent="0.2">
      <c r="A2252" s="9">
        <v>46247</v>
      </c>
      <c r="B2252" t="s">
        <v>235</v>
      </c>
      <c r="C2252" t="s">
        <v>236</v>
      </c>
      <c r="D2252" t="s">
        <v>50</v>
      </c>
      <c r="E2252" t="s">
        <v>647</v>
      </c>
      <c r="F2252" t="s">
        <v>668</v>
      </c>
      <c r="G2252" s="10">
        <v>15</v>
      </c>
      <c r="H2252" s="10">
        <v>25957</v>
      </c>
      <c r="I2252" s="10">
        <v>389355</v>
      </c>
      <c r="J2252" t="s">
        <v>51</v>
      </c>
      <c r="K2252" s="11">
        <v>648.20000000000005</v>
      </c>
      <c r="L2252" s="12">
        <v>600.66999999999996</v>
      </c>
    </row>
    <row r="2253" spans="1:12" x14ac:dyDescent="0.2">
      <c r="A2253" s="9">
        <v>46247</v>
      </c>
      <c r="B2253" t="s">
        <v>235</v>
      </c>
      <c r="C2253" t="s">
        <v>236</v>
      </c>
      <c r="D2253" t="s">
        <v>50</v>
      </c>
      <c r="E2253" t="s">
        <v>655</v>
      </c>
      <c r="F2253" t="s">
        <v>656</v>
      </c>
      <c r="G2253" s="10">
        <v>18</v>
      </c>
      <c r="H2253" s="10">
        <v>554</v>
      </c>
      <c r="I2253" s="10">
        <v>9972</v>
      </c>
      <c r="J2253" t="s">
        <v>51</v>
      </c>
      <c r="K2253" s="11">
        <v>648.20000000000005</v>
      </c>
      <c r="L2253" s="12">
        <v>15.38</v>
      </c>
    </row>
    <row r="2254" spans="1:12" x14ac:dyDescent="0.2">
      <c r="A2254" s="9">
        <v>46247</v>
      </c>
      <c r="B2254" t="s">
        <v>244</v>
      </c>
      <c r="C2254" t="s">
        <v>245</v>
      </c>
      <c r="D2254" t="s">
        <v>75</v>
      </c>
      <c r="E2254" t="s">
        <v>653</v>
      </c>
      <c r="F2254" t="s">
        <v>658</v>
      </c>
      <c r="G2254" s="10">
        <v>5</v>
      </c>
      <c r="H2254" s="10">
        <v>13214</v>
      </c>
      <c r="I2254" s="10">
        <v>66070</v>
      </c>
      <c r="J2254" t="s">
        <v>42</v>
      </c>
      <c r="K2254" s="11">
        <v>3145.8</v>
      </c>
      <c r="L2254" s="12">
        <v>21</v>
      </c>
    </row>
    <row r="2255" spans="1:12" x14ac:dyDescent="0.2">
      <c r="A2255" s="9">
        <v>46247</v>
      </c>
      <c r="B2255" t="s">
        <v>244</v>
      </c>
      <c r="C2255" t="s">
        <v>245</v>
      </c>
      <c r="D2255" t="s">
        <v>75</v>
      </c>
      <c r="E2255" t="s">
        <v>651</v>
      </c>
      <c r="F2255" t="s">
        <v>652</v>
      </c>
      <c r="G2255" s="10">
        <v>7</v>
      </c>
      <c r="H2255" s="10">
        <v>46577</v>
      </c>
      <c r="I2255" s="10">
        <v>326039</v>
      </c>
      <c r="J2255" t="s">
        <v>42</v>
      </c>
      <c r="K2255" s="11">
        <v>3145.8</v>
      </c>
      <c r="L2255" s="12">
        <v>103.64</v>
      </c>
    </row>
    <row r="2256" spans="1:12" x14ac:dyDescent="0.2">
      <c r="A2256" s="9">
        <v>46247</v>
      </c>
      <c r="B2256" t="s">
        <v>244</v>
      </c>
      <c r="C2256" t="s">
        <v>245</v>
      </c>
      <c r="D2256" t="s">
        <v>75</v>
      </c>
      <c r="E2256" t="s">
        <v>651</v>
      </c>
      <c r="F2256" t="s">
        <v>664</v>
      </c>
      <c r="G2256" s="10">
        <v>35</v>
      </c>
      <c r="H2256" s="10">
        <v>56283</v>
      </c>
      <c r="I2256" s="10">
        <v>1969905</v>
      </c>
      <c r="J2256" t="s">
        <v>42</v>
      </c>
      <c r="K2256" s="11">
        <v>3145.8</v>
      </c>
      <c r="L2256" s="12">
        <v>626.20000000000005</v>
      </c>
    </row>
    <row r="2257" spans="1:12" x14ac:dyDescent="0.2">
      <c r="A2257" s="9">
        <v>46247</v>
      </c>
      <c r="B2257" t="s">
        <v>244</v>
      </c>
      <c r="C2257" t="s">
        <v>245</v>
      </c>
      <c r="D2257" t="s">
        <v>75</v>
      </c>
      <c r="E2257" t="s">
        <v>655</v>
      </c>
      <c r="F2257" t="s">
        <v>665</v>
      </c>
      <c r="G2257" s="10">
        <v>10</v>
      </c>
      <c r="H2257" s="10">
        <v>3403</v>
      </c>
      <c r="I2257" s="10">
        <v>34030</v>
      </c>
      <c r="J2257" t="s">
        <v>42</v>
      </c>
      <c r="K2257" s="11">
        <v>3145.8</v>
      </c>
      <c r="L2257" s="12">
        <v>10.82</v>
      </c>
    </row>
    <row r="2258" spans="1:12" x14ac:dyDescent="0.2">
      <c r="A2258" s="9">
        <v>46247</v>
      </c>
      <c r="B2258" t="s">
        <v>247</v>
      </c>
      <c r="C2258" t="s">
        <v>248</v>
      </c>
      <c r="D2258" t="s">
        <v>75</v>
      </c>
      <c r="E2258" t="s">
        <v>653</v>
      </c>
      <c r="F2258" t="s">
        <v>658</v>
      </c>
      <c r="G2258" s="10">
        <v>7</v>
      </c>
      <c r="H2258" s="10">
        <v>13419</v>
      </c>
      <c r="I2258" s="10">
        <v>93933</v>
      </c>
      <c r="J2258" t="s">
        <v>42</v>
      </c>
      <c r="K2258" s="11">
        <v>3145.8</v>
      </c>
      <c r="L2258" s="12">
        <v>29.86</v>
      </c>
    </row>
    <row r="2259" spans="1:12" x14ac:dyDescent="0.2">
      <c r="A2259" s="9">
        <v>46247</v>
      </c>
      <c r="B2259" t="s">
        <v>250</v>
      </c>
      <c r="C2259" t="s">
        <v>251</v>
      </c>
      <c r="D2259" t="s">
        <v>46</v>
      </c>
      <c r="E2259" t="s">
        <v>660</v>
      </c>
      <c r="F2259" t="s">
        <v>669</v>
      </c>
      <c r="G2259" s="10">
        <v>5</v>
      </c>
      <c r="H2259" s="10">
        <v>2595</v>
      </c>
      <c r="I2259" s="10">
        <v>12975</v>
      </c>
      <c r="J2259" t="s">
        <v>37</v>
      </c>
      <c r="K2259" s="11">
        <v>648.20000000000005</v>
      </c>
      <c r="L2259" s="12">
        <v>20.02</v>
      </c>
    </row>
    <row r="2260" spans="1:12" x14ac:dyDescent="0.2">
      <c r="A2260" s="9">
        <v>46247</v>
      </c>
      <c r="B2260" t="s">
        <v>253</v>
      </c>
      <c r="C2260" t="s">
        <v>254</v>
      </c>
      <c r="D2260" t="s">
        <v>50</v>
      </c>
      <c r="E2260" t="s">
        <v>651</v>
      </c>
      <c r="F2260" t="s">
        <v>664</v>
      </c>
      <c r="G2260" s="10">
        <v>6</v>
      </c>
      <c r="H2260" s="10">
        <v>11454</v>
      </c>
      <c r="I2260" s="10">
        <v>68724</v>
      </c>
      <c r="J2260" t="s">
        <v>51</v>
      </c>
      <c r="K2260" s="11">
        <v>648.20000000000005</v>
      </c>
      <c r="L2260" s="12">
        <v>106.02</v>
      </c>
    </row>
    <row r="2261" spans="1:12" x14ac:dyDescent="0.2">
      <c r="A2261" s="9">
        <v>46247</v>
      </c>
      <c r="B2261" t="s">
        <v>258</v>
      </c>
      <c r="C2261" t="s">
        <v>259</v>
      </c>
      <c r="D2261" t="s">
        <v>50</v>
      </c>
      <c r="E2261" t="s">
        <v>653</v>
      </c>
      <c r="F2261" t="s">
        <v>658</v>
      </c>
      <c r="G2261" s="10">
        <v>10</v>
      </c>
      <c r="H2261" s="10">
        <v>2728</v>
      </c>
      <c r="I2261" s="10">
        <v>27280</v>
      </c>
      <c r="J2261" t="s">
        <v>51</v>
      </c>
      <c r="K2261" s="11">
        <v>648.20000000000005</v>
      </c>
      <c r="L2261" s="12">
        <v>42.09</v>
      </c>
    </row>
    <row r="2262" spans="1:12" x14ac:dyDescent="0.2">
      <c r="A2262" s="9">
        <v>46247</v>
      </c>
      <c r="B2262" t="s">
        <v>261</v>
      </c>
      <c r="C2262" t="s">
        <v>262</v>
      </c>
      <c r="D2262" t="s">
        <v>41</v>
      </c>
      <c r="E2262" t="s">
        <v>649</v>
      </c>
      <c r="F2262" t="s">
        <v>650</v>
      </c>
      <c r="G2262" s="10">
        <v>16</v>
      </c>
      <c r="H2262" s="10">
        <v>90220</v>
      </c>
      <c r="I2262" s="10">
        <v>1443520</v>
      </c>
      <c r="J2262" t="s">
        <v>42</v>
      </c>
      <c r="K2262" s="11">
        <v>3145.8</v>
      </c>
      <c r="L2262" s="12">
        <v>458.87</v>
      </c>
    </row>
    <row r="2263" spans="1:12" x14ac:dyDescent="0.2">
      <c r="A2263" s="9">
        <v>46247</v>
      </c>
      <c r="B2263" t="s">
        <v>267</v>
      </c>
      <c r="C2263" t="s">
        <v>268</v>
      </c>
      <c r="D2263" t="s">
        <v>46</v>
      </c>
      <c r="E2263" t="s">
        <v>653</v>
      </c>
      <c r="F2263" t="s">
        <v>658</v>
      </c>
      <c r="G2263" s="10">
        <v>22</v>
      </c>
      <c r="H2263" s="10">
        <v>2753</v>
      </c>
      <c r="I2263" s="10">
        <v>60566</v>
      </c>
      <c r="J2263" t="s">
        <v>37</v>
      </c>
      <c r="K2263" s="11">
        <v>648.20000000000005</v>
      </c>
      <c r="L2263" s="12">
        <v>93.44</v>
      </c>
    </row>
    <row r="2264" spans="1:12" x14ac:dyDescent="0.2">
      <c r="A2264" s="9">
        <v>46247</v>
      </c>
      <c r="B2264" t="s">
        <v>267</v>
      </c>
      <c r="C2264" t="s">
        <v>268</v>
      </c>
      <c r="D2264" t="s">
        <v>46</v>
      </c>
      <c r="E2264" t="s">
        <v>653</v>
      </c>
      <c r="F2264" t="s">
        <v>658</v>
      </c>
      <c r="G2264" s="10">
        <v>22</v>
      </c>
      <c r="H2264" s="10">
        <v>2762</v>
      </c>
      <c r="I2264" s="10">
        <v>60764</v>
      </c>
      <c r="J2264" t="s">
        <v>37</v>
      </c>
      <c r="K2264" s="11">
        <v>648.20000000000005</v>
      </c>
      <c r="L2264" s="12">
        <v>93.74</v>
      </c>
    </row>
    <row r="2265" spans="1:12" x14ac:dyDescent="0.2">
      <c r="A2265" s="9">
        <v>46247</v>
      </c>
      <c r="B2265" t="s">
        <v>267</v>
      </c>
      <c r="C2265" t="s">
        <v>268</v>
      </c>
      <c r="D2265" t="s">
        <v>46</v>
      </c>
      <c r="E2265" t="s">
        <v>655</v>
      </c>
      <c r="F2265" t="s">
        <v>662</v>
      </c>
      <c r="G2265" s="10">
        <v>31</v>
      </c>
      <c r="H2265" s="10">
        <v>1124</v>
      </c>
      <c r="I2265" s="10">
        <v>34844</v>
      </c>
      <c r="J2265" t="s">
        <v>37</v>
      </c>
      <c r="K2265" s="11">
        <v>648.20000000000005</v>
      </c>
      <c r="L2265" s="12">
        <v>53.76</v>
      </c>
    </row>
    <row r="2266" spans="1:12" x14ac:dyDescent="0.2">
      <c r="A2266" s="9">
        <v>46247</v>
      </c>
      <c r="B2266" t="s">
        <v>267</v>
      </c>
      <c r="C2266" t="s">
        <v>268</v>
      </c>
      <c r="D2266" t="s">
        <v>46</v>
      </c>
      <c r="E2266" t="s">
        <v>660</v>
      </c>
      <c r="F2266" t="s">
        <v>661</v>
      </c>
      <c r="G2266" s="10">
        <v>72</v>
      </c>
      <c r="H2266" s="10">
        <v>4077</v>
      </c>
      <c r="I2266" s="10">
        <v>293544</v>
      </c>
      <c r="J2266" t="s">
        <v>37</v>
      </c>
      <c r="K2266" s="11">
        <v>648.20000000000005</v>
      </c>
      <c r="L2266" s="12">
        <v>452.86</v>
      </c>
    </row>
    <row r="2267" spans="1:12" x14ac:dyDescent="0.2">
      <c r="A2267" s="9">
        <v>46247</v>
      </c>
      <c r="B2267" t="s">
        <v>273</v>
      </c>
      <c r="C2267" t="s">
        <v>274</v>
      </c>
      <c r="D2267" t="s">
        <v>41</v>
      </c>
      <c r="E2267" t="s">
        <v>655</v>
      </c>
      <c r="F2267" t="s">
        <v>662</v>
      </c>
      <c r="G2267" s="10">
        <v>1</v>
      </c>
      <c r="H2267" s="10">
        <v>5637</v>
      </c>
      <c r="I2267" s="10">
        <v>5637</v>
      </c>
      <c r="J2267" t="s">
        <v>42</v>
      </c>
      <c r="K2267" s="11">
        <v>3145.8</v>
      </c>
      <c r="L2267" s="12">
        <v>1.79</v>
      </c>
    </row>
    <row r="2268" spans="1:12" x14ac:dyDescent="0.2">
      <c r="A2268" s="9">
        <v>46247</v>
      </c>
      <c r="B2268" t="s">
        <v>276</v>
      </c>
      <c r="C2268" t="s">
        <v>277</v>
      </c>
      <c r="D2268" t="s">
        <v>46</v>
      </c>
      <c r="E2268" t="s">
        <v>651</v>
      </c>
      <c r="F2268" t="s">
        <v>652</v>
      </c>
      <c r="G2268" s="10">
        <v>5</v>
      </c>
      <c r="H2268" s="10">
        <v>9832</v>
      </c>
      <c r="I2268" s="10">
        <v>49160</v>
      </c>
      <c r="J2268" t="s">
        <v>37</v>
      </c>
      <c r="K2268" s="11">
        <v>648.20000000000005</v>
      </c>
      <c r="L2268" s="12">
        <v>75.84</v>
      </c>
    </row>
    <row r="2269" spans="1:12" x14ac:dyDescent="0.2">
      <c r="A2269" s="9">
        <v>46247</v>
      </c>
      <c r="B2269" t="s">
        <v>279</v>
      </c>
      <c r="C2269" t="s">
        <v>280</v>
      </c>
      <c r="D2269" t="s">
        <v>68</v>
      </c>
      <c r="E2269" t="s">
        <v>653</v>
      </c>
      <c r="F2269" t="s">
        <v>658</v>
      </c>
      <c r="G2269" s="10">
        <v>25</v>
      </c>
      <c r="H2269" s="10">
        <v>2716</v>
      </c>
      <c r="I2269" s="10">
        <v>67900</v>
      </c>
      <c r="J2269" t="s">
        <v>51</v>
      </c>
      <c r="K2269" s="11">
        <v>648.20000000000005</v>
      </c>
      <c r="L2269" s="12">
        <v>104.75</v>
      </c>
    </row>
    <row r="2270" spans="1:12" x14ac:dyDescent="0.2">
      <c r="A2270" s="9">
        <v>46247</v>
      </c>
      <c r="B2270" t="s">
        <v>279</v>
      </c>
      <c r="C2270" t="s">
        <v>280</v>
      </c>
      <c r="D2270" t="s">
        <v>68</v>
      </c>
      <c r="E2270" t="s">
        <v>647</v>
      </c>
      <c r="F2270" t="s">
        <v>668</v>
      </c>
      <c r="G2270" s="10">
        <v>32</v>
      </c>
      <c r="H2270" s="10">
        <v>25165</v>
      </c>
      <c r="I2270" s="10">
        <v>805280</v>
      </c>
      <c r="J2270" t="s">
        <v>51</v>
      </c>
      <c r="K2270" s="11">
        <v>648.20000000000005</v>
      </c>
      <c r="L2270" s="12">
        <v>1242.33</v>
      </c>
    </row>
    <row r="2271" spans="1:12" x14ac:dyDescent="0.2">
      <c r="A2271" s="9">
        <v>46247</v>
      </c>
      <c r="B2271" t="s">
        <v>282</v>
      </c>
      <c r="C2271" t="s">
        <v>283</v>
      </c>
      <c r="D2271" t="s">
        <v>41</v>
      </c>
      <c r="E2271" t="s">
        <v>649</v>
      </c>
      <c r="F2271" t="s">
        <v>663</v>
      </c>
      <c r="G2271" s="10">
        <v>7</v>
      </c>
      <c r="H2271" s="10">
        <v>10049</v>
      </c>
      <c r="I2271" s="10">
        <v>70343</v>
      </c>
      <c r="J2271" t="s">
        <v>42</v>
      </c>
      <c r="K2271" s="11">
        <v>3145.8</v>
      </c>
      <c r="L2271" s="12">
        <v>22.36</v>
      </c>
    </row>
    <row r="2272" spans="1:12" x14ac:dyDescent="0.2">
      <c r="A2272" s="9">
        <v>46247</v>
      </c>
      <c r="B2272" t="s">
        <v>282</v>
      </c>
      <c r="C2272" t="s">
        <v>283</v>
      </c>
      <c r="D2272" t="s">
        <v>41</v>
      </c>
      <c r="E2272" t="s">
        <v>649</v>
      </c>
      <c r="F2272" t="s">
        <v>659</v>
      </c>
      <c r="G2272" s="10">
        <v>4</v>
      </c>
      <c r="H2272" s="10">
        <v>43855</v>
      </c>
      <c r="I2272" s="10">
        <v>175420</v>
      </c>
      <c r="J2272" t="s">
        <v>42</v>
      </c>
      <c r="K2272" s="11">
        <v>3145.8</v>
      </c>
      <c r="L2272" s="12">
        <v>55.76</v>
      </c>
    </row>
    <row r="2273" spans="1:12" x14ac:dyDescent="0.2">
      <c r="A2273" s="9">
        <v>46247</v>
      </c>
      <c r="B2273" t="s">
        <v>282</v>
      </c>
      <c r="C2273" t="s">
        <v>283</v>
      </c>
      <c r="D2273" t="s">
        <v>41</v>
      </c>
      <c r="E2273" t="s">
        <v>660</v>
      </c>
      <c r="F2273" t="s">
        <v>661</v>
      </c>
      <c r="G2273" s="10">
        <v>1</v>
      </c>
      <c r="H2273" s="10">
        <v>21089</v>
      </c>
      <c r="I2273" s="10">
        <v>21089</v>
      </c>
      <c r="J2273" t="s">
        <v>42</v>
      </c>
      <c r="K2273" s="11">
        <v>3145.8</v>
      </c>
      <c r="L2273" s="12">
        <v>6.7</v>
      </c>
    </row>
    <row r="2274" spans="1:12" x14ac:dyDescent="0.2">
      <c r="A2274" s="9">
        <v>46247</v>
      </c>
      <c r="B2274" t="s">
        <v>282</v>
      </c>
      <c r="C2274" t="s">
        <v>283</v>
      </c>
      <c r="D2274" t="s">
        <v>41</v>
      </c>
      <c r="E2274" t="s">
        <v>660</v>
      </c>
      <c r="F2274" t="s">
        <v>661</v>
      </c>
      <c r="G2274" s="10">
        <v>5</v>
      </c>
      <c r="H2274" s="10">
        <v>19704</v>
      </c>
      <c r="I2274" s="10">
        <v>98520</v>
      </c>
      <c r="J2274" t="s">
        <v>42</v>
      </c>
      <c r="K2274" s="11">
        <v>3145.8</v>
      </c>
      <c r="L2274" s="12">
        <v>31.32</v>
      </c>
    </row>
    <row r="2275" spans="1:12" x14ac:dyDescent="0.2">
      <c r="A2275" s="9">
        <v>46247</v>
      </c>
      <c r="B2275" t="s">
        <v>288</v>
      </c>
      <c r="C2275" t="s">
        <v>289</v>
      </c>
      <c r="D2275" t="s">
        <v>41</v>
      </c>
      <c r="E2275" t="s">
        <v>647</v>
      </c>
      <c r="F2275" t="s">
        <v>668</v>
      </c>
      <c r="G2275" s="10">
        <v>8</v>
      </c>
      <c r="H2275" s="10">
        <v>123007</v>
      </c>
      <c r="I2275" s="10">
        <v>984056</v>
      </c>
      <c r="J2275" t="s">
        <v>42</v>
      </c>
      <c r="K2275" s="11">
        <v>3145.8</v>
      </c>
      <c r="L2275" s="12">
        <v>312.82</v>
      </c>
    </row>
    <row r="2276" spans="1:12" x14ac:dyDescent="0.2">
      <c r="A2276" s="9">
        <v>46247</v>
      </c>
      <c r="B2276" t="s">
        <v>291</v>
      </c>
      <c r="C2276" t="s">
        <v>292</v>
      </c>
      <c r="D2276" t="s">
        <v>68</v>
      </c>
      <c r="E2276" t="s">
        <v>647</v>
      </c>
      <c r="F2276" t="s">
        <v>668</v>
      </c>
      <c r="G2276" s="10">
        <v>11</v>
      </c>
      <c r="H2276" s="10">
        <v>24835</v>
      </c>
      <c r="I2276" s="10">
        <v>273185</v>
      </c>
      <c r="J2276" t="s">
        <v>51</v>
      </c>
      <c r="K2276" s="11">
        <v>648.20000000000005</v>
      </c>
      <c r="L2276" s="12">
        <v>421.45</v>
      </c>
    </row>
    <row r="2277" spans="1:12" x14ac:dyDescent="0.2">
      <c r="A2277" s="9">
        <v>46247</v>
      </c>
      <c r="B2277" t="s">
        <v>291</v>
      </c>
      <c r="C2277" t="s">
        <v>292</v>
      </c>
      <c r="D2277" t="s">
        <v>68</v>
      </c>
      <c r="E2277" t="s">
        <v>655</v>
      </c>
      <c r="F2277" t="s">
        <v>656</v>
      </c>
      <c r="G2277" s="10">
        <v>1</v>
      </c>
      <c r="H2277" s="10">
        <v>594</v>
      </c>
      <c r="I2277" s="10">
        <v>594</v>
      </c>
      <c r="J2277" t="s">
        <v>51</v>
      </c>
      <c r="K2277" s="11">
        <v>648.20000000000005</v>
      </c>
      <c r="L2277" s="12">
        <v>0.92</v>
      </c>
    </row>
    <row r="2278" spans="1:12" x14ac:dyDescent="0.2">
      <c r="A2278" s="9">
        <v>46247</v>
      </c>
      <c r="B2278" t="s">
        <v>294</v>
      </c>
      <c r="C2278" t="s">
        <v>295</v>
      </c>
      <c r="D2278" t="s">
        <v>41</v>
      </c>
      <c r="E2278" t="s">
        <v>660</v>
      </c>
      <c r="F2278" t="s">
        <v>669</v>
      </c>
      <c r="G2278" s="10">
        <v>13</v>
      </c>
      <c r="H2278" s="10">
        <v>12625</v>
      </c>
      <c r="I2278" s="10">
        <v>164125</v>
      </c>
      <c r="J2278" t="s">
        <v>42</v>
      </c>
      <c r="K2278" s="11">
        <v>3145.8</v>
      </c>
      <c r="L2278" s="12">
        <v>52.17</v>
      </c>
    </row>
    <row r="2279" spans="1:12" x14ac:dyDescent="0.2">
      <c r="A2279" s="9">
        <v>46247</v>
      </c>
      <c r="B2279" t="s">
        <v>294</v>
      </c>
      <c r="C2279" t="s">
        <v>295</v>
      </c>
      <c r="D2279" t="s">
        <v>41</v>
      </c>
      <c r="E2279" t="s">
        <v>655</v>
      </c>
      <c r="F2279" t="s">
        <v>656</v>
      </c>
      <c r="G2279" s="10">
        <v>4</v>
      </c>
      <c r="H2279" s="10">
        <v>2819</v>
      </c>
      <c r="I2279" s="10">
        <v>11276</v>
      </c>
      <c r="J2279" t="s">
        <v>42</v>
      </c>
      <c r="K2279" s="11">
        <v>3145.8</v>
      </c>
      <c r="L2279" s="12">
        <v>3.58</v>
      </c>
    </row>
    <row r="2280" spans="1:12" x14ac:dyDescent="0.2">
      <c r="A2280" s="9">
        <v>46247</v>
      </c>
      <c r="B2280" t="s">
        <v>297</v>
      </c>
      <c r="C2280" t="s">
        <v>298</v>
      </c>
      <c r="D2280" t="s">
        <v>36</v>
      </c>
      <c r="E2280" t="s">
        <v>660</v>
      </c>
      <c r="F2280" t="s">
        <v>670</v>
      </c>
      <c r="G2280" s="10">
        <v>6</v>
      </c>
      <c r="H2280" s="10">
        <v>14331</v>
      </c>
      <c r="I2280" s="10">
        <v>85986</v>
      </c>
      <c r="J2280" t="s">
        <v>37</v>
      </c>
      <c r="K2280" s="11">
        <v>648.20000000000005</v>
      </c>
      <c r="L2280" s="12">
        <v>132.65</v>
      </c>
    </row>
    <row r="2281" spans="1:12" x14ac:dyDescent="0.2">
      <c r="A2281" s="9">
        <v>46247</v>
      </c>
      <c r="B2281" t="s">
        <v>297</v>
      </c>
      <c r="C2281" t="s">
        <v>298</v>
      </c>
      <c r="D2281" t="s">
        <v>36</v>
      </c>
      <c r="E2281" t="s">
        <v>660</v>
      </c>
      <c r="F2281" t="s">
        <v>670</v>
      </c>
      <c r="G2281" s="10">
        <v>10</v>
      </c>
      <c r="H2281" s="10">
        <v>14286</v>
      </c>
      <c r="I2281" s="10">
        <v>142860</v>
      </c>
      <c r="J2281" t="s">
        <v>37</v>
      </c>
      <c r="K2281" s="11">
        <v>648.20000000000005</v>
      </c>
      <c r="L2281" s="12">
        <v>220.39</v>
      </c>
    </row>
    <row r="2282" spans="1:12" x14ac:dyDescent="0.2">
      <c r="A2282" s="9">
        <v>46247</v>
      </c>
      <c r="B2282" t="s">
        <v>303</v>
      </c>
      <c r="C2282" t="s">
        <v>304</v>
      </c>
      <c r="D2282" t="s">
        <v>36</v>
      </c>
      <c r="E2282" t="s">
        <v>647</v>
      </c>
      <c r="F2282" t="s">
        <v>667</v>
      </c>
      <c r="G2282" s="10">
        <v>13</v>
      </c>
      <c r="H2282" s="10">
        <v>7299</v>
      </c>
      <c r="I2282" s="10">
        <v>94887</v>
      </c>
      <c r="J2282" t="s">
        <v>37</v>
      </c>
      <c r="K2282" s="11">
        <v>648.20000000000005</v>
      </c>
      <c r="L2282" s="12">
        <v>146.38999999999999</v>
      </c>
    </row>
    <row r="2283" spans="1:12" x14ac:dyDescent="0.2">
      <c r="A2283" s="9">
        <v>46247</v>
      </c>
      <c r="B2283" t="s">
        <v>306</v>
      </c>
      <c r="C2283" t="s">
        <v>307</v>
      </c>
      <c r="D2283" t="s">
        <v>36</v>
      </c>
      <c r="E2283" t="s">
        <v>649</v>
      </c>
      <c r="F2283" t="s">
        <v>650</v>
      </c>
      <c r="G2283" s="10">
        <v>7</v>
      </c>
      <c r="H2283" s="10">
        <v>19682</v>
      </c>
      <c r="I2283" s="10">
        <v>137774</v>
      </c>
      <c r="J2283" t="s">
        <v>37</v>
      </c>
      <c r="K2283" s="11">
        <v>648.20000000000005</v>
      </c>
      <c r="L2283" s="12">
        <v>212.55</v>
      </c>
    </row>
    <row r="2284" spans="1:12" x14ac:dyDescent="0.2">
      <c r="A2284" s="9">
        <v>46247</v>
      </c>
      <c r="B2284" t="s">
        <v>312</v>
      </c>
      <c r="C2284" t="s">
        <v>313</v>
      </c>
      <c r="D2284" t="s">
        <v>41</v>
      </c>
      <c r="E2284" t="s">
        <v>647</v>
      </c>
      <c r="F2284" t="s">
        <v>668</v>
      </c>
      <c r="G2284" s="10">
        <v>9</v>
      </c>
      <c r="H2284" s="10">
        <v>119866</v>
      </c>
      <c r="I2284" s="10">
        <v>1078794</v>
      </c>
      <c r="J2284" t="s">
        <v>42</v>
      </c>
      <c r="K2284" s="11">
        <v>3145.8</v>
      </c>
      <c r="L2284" s="12">
        <v>342.93</v>
      </c>
    </row>
    <row r="2285" spans="1:12" x14ac:dyDescent="0.2">
      <c r="A2285" s="9">
        <v>46247</v>
      </c>
      <c r="B2285" t="s">
        <v>312</v>
      </c>
      <c r="C2285" t="s">
        <v>313</v>
      </c>
      <c r="D2285" t="s">
        <v>41</v>
      </c>
      <c r="E2285" t="s">
        <v>651</v>
      </c>
      <c r="F2285" t="s">
        <v>664</v>
      </c>
      <c r="G2285" s="10">
        <v>8</v>
      </c>
      <c r="H2285" s="10">
        <v>56732</v>
      </c>
      <c r="I2285" s="10">
        <v>453856</v>
      </c>
      <c r="J2285" t="s">
        <v>42</v>
      </c>
      <c r="K2285" s="11">
        <v>3145.8</v>
      </c>
      <c r="L2285" s="12">
        <v>144.27000000000001</v>
      </c>
    </row>
    <row r="2286" spans="1:12" x14ac:dyDescent="0.2">
      <c r="A2286" s="9">
        <v>46247</v>
      </c>
      <c r="B2286" t="s">
        <v>318</v>
      </c>
      <c r="C2286" t="s">
        <v>319</v>
      </c>
      <c r="D2286" t="s">
        <v>41</v>
      </c>
      <c r="E2286" t="s">
        <v>653</v>
      </c>
      <c r="F2286" t="s">
        <v>658</v>
      </c>
      <c r="G2286" s="10">
        <v>7</v>
      </c>
      <c r="H2286" s="10">
        <v>13584</v>
      </c>
      <c r="I2286" s="10">
        <v>95088</v>
      </c>
      <c r="J2286" t="s">
        <v>42</v>
      </c>
      <c r="K2286" s="11">
        <v>3145.8</v>
      </c>
      <c r="L2286" s="12">
        <v>30.23</v>
      </c>
    </row>
    <row r="2287" spans="1:12" x14ac:dyDescent="0.2">
      <c r="A2287" s="9">
        <v>46247</v>
      </c>
      <c r="B2287" t="s">
        <v>324</v>
      </c>
      <c r="C2287" t="s">
        <v>325</v>
      </c>
      <c r="D2287" t="s">
        <v>46</v>
      </c>
      <c r="E2287" t="s">
        <v>660</v>
      </c>
      <c r="F2287" t="s">
        <v>670</v>
      </c>
      <c r="G2287" s="10">
        <v>7</v>
      </c>
      <c r="H2287" s="10">
        <v>14916</v>
      </c>
      <c r="I2287" s="10">
        <v>104412</v>
      </c>
      <c r="J2287" t="s">
        <v>37</v>
      </c>
      <c r="K2287" s="11">
        <v>648.20000000000005</v>
      </c>
      <c r="L2287" s="12">
        <v>161.08000000000001</v>
      </c>
    </row>
    <row r="2288" spans="1:12" x14ac:dyDescent="0.2">
      <c r="A2288" s="9">
        <v>46247</v>
      </c>
      <c r="B2288" t="s">
        <v>324</v>
      </c>
      <c r="C2288" t="s">
        <v>325</v>
      </c>
      <c r="D2288" t="s">
        <v>46</v>
      </c>
      <c r="E2288" t="s">
        <v>660</v>
      </c>
      <c r="F2288" t="s">
        <v>661</v>
      </c>
      <c r="G2288" s="10">
        <v>7</v>
      </c>
      <c r="H2288" s="10">
        <v>4152</v>
      </c>
      <c r="I2288" s="10">
        <v>29064</v>
      </c>
      <c r="J2288" t="s">
        <v>37</v>
      </c>
      <c r="K2288" s="11">
        <v>648.20000000000005</v>
      </c>
      <c r="L2288" s="12">
        <v>44.84</v>
      </c>
    </row>
    <row r="2289" spans="1:12" x14ac:dyDescent="0.2">
      <c r="A2289" s="9">
        <v>46247</v>
      </c>
      <c r="B2289" t="s">
        <v>330</v>
      </c>
      <c r="C2289" t="s">
        <v>331</v>
      </c>
      <c r="D2289" t="s">
        <v>68</v>
      </c>
      <c r="E2289" t="s">
        <v>655</v>
      </c>
      <c r="F2289" t="s">
        <v>662</v>
      </c>
      <c r="G2289" s="10">
        <v>36</v>
      </c>
      <c r="H2289" s="10">
        <v>1114</v>
      </c>
      <c r="I2289" s="10">
        <v>40104</v>
      </c>
      <c r="J2289" t="s">
        <v>51</v>
      </c>
      <c r="K2289" s="11">
        <v>648.20000000000005</v>
      </c>
      <c r="L2289" s="12">
        <v>61.87</v>
      </c>
    </row>
    <row r="2290" spans="1:12" x14ac:dyDescent="0.2">
      <c r="A2290" s="9">
        <v>46247</v>
      </c>
      <c r="B2290" t="s">
        <v>330</v>
      </c>
      <c r="C2290" t="s">
        <v>331</v>
      </c>
      <c r="D2290" t="s">
        <v>68</v>
      </c>
      <c r="E2290" t="s">
        <v>660</v>
      </c>
      <c r="F2290" t="s">
        <v>670</v>
      </c>
      <c r="G2290" s="10">
        <v>15</v>
      </c>
      <c r="H2290" s="10">
        <v>14920</v>
      </c>
      <c r="I2290" s="10">
        <v>223800</v>
      </c>
      <c r="J2290" t="s">
        <v>51</v>
      </c>
      <c r="K2290" s="11">
        <v>648.20000000000005</v>
      </c>
      <c r="L2290" s="12">
        <v>345.26</v>
      </c>
    </row>
    <row r="2291" spans="1:12" x14ac:dyDescent="0.2">
      <c r="A2291" s="9">
        <v>46247</v>
      </c>
      <c r="B2291" t="s">
        <v>330</v>
      </c>
      <c r="C2291" t="s">
        <v>331</v>
      </c>
      <c r="D2291" t="s">
        <v>68</v>
      </c>
      <c r="E2291" t="s">
        <v>660</v>
      </c>
      <c r="F2291" t="s">
        <v>661</v>
      </c>
      <c r="G2291" s="10">
        <v>64</v>
      </c>
      <c r="H2291" s="10">
        <v>4217</v>
      </c>
      <c r="I2291" s="10">
        <v>269888</v>
      </c>
      <c r="J2291" t="s">
        <v>51</v>
      </c>
      <c r="K2291" s="11">
        <v>648.20000000000005</v>
      </c>
      <c r="L2291" s="12">
        <v>416.37</v>
      </c>
    </row>
    <row r="2292" spans="1:12" x14ac:dyDescent="0.2">
      <c r="A2292" s="9">
        <v>46247</v>
      </c>
      <c r="B2292" t="s">
        <v>333</v>
      </c>
      <c r="C2292" t="s">
        <v>334</v>
      </c>
      <c r="D2292" t="s">
        <v>68</v>
      </c>
      <c r="E2292" t="s">
        <v>660</v>
      </c>
      <c r="F2292" t="s">
        <v>670</v>
      </c>
      <c r="G2292" s="10">
        <v>5</v>
      </c>
      <c r="H2292" s="10">
        <v>14591</v>
      </c>
      <c r="I2292" s="10">
        <v>72955</v>
      </c>
      <c r="J2292" t="s">
        <v>51</v>
      </c>
      <c r="K2292" s="11">
        <v>648.20000000000005</v>
      </c>
      <c r="L2292" s="12">
        <v>112.55</v>
      </c>
    </row>
    <row r="2293" spans="1:12" x14ac:dyDescent="0.2">
      <c r="A2293" s="9">
        <v>46247</v>
      </c>
      <c r="B2293" t="s">
        <v>336</v>
      </c>
      <c r="C2293" t="s">
        <v>337</v>
      </c>
      <c r="D2293" t="s">
        <v>68</v>
      </c>
      <c r="E2293" t="s">
        <v>655</v>
      </c>
      <c r="F2293" t="s">
        <v>656</v>
      </c>
      <c r="G2293" s="10">
        <v>1</v>
      </c>
      <c r="H2293" s="10">
        <v>577</v>
      </c>
      <c r="I2293" s="10">
        <v>577</v>
      </c>
      <c r="J2293" t="s">
        <v>51</v>
      </c>
      <c r="K2293" s="11">
        <v>648.20000000000005</v>
      </c>
      <c r="L2293" s="12">
        <v>0.89</v>
      </c>
    </row>
    <row r="2294" spans="1:12" x14ac:dyDescent="0.2">
      <c r="A2294" s="9">
        <v>46247</v>
      </c>
      <c r="B2294" t="s">
        <v>342</v>
      </c>
      <c r="C2294" t="s">
        <v>343</v>
      </c>
      <c r="D2294" t="s">
        <v>41</v>
      </c>
      <c r="E2294" t="s">
        <v>655</v>
      </c>
      <c r="F2294" t="s">
        <v>656</v>
      </c>
      <c r="G2294" s="10">
        <v>77</v>
      </c>
      <c r="H2294" s="10">
        <v>2695</v>
      </c>
      <c r="I2294" s="10">
        <v>207515</v>
      </c>
      <c r="J2294" t="s">
        <v>42</v>
      </c>
      <c r="K2294" s="11">
        <v>3145.8</v>
      </c>
      <c r="L2294" s="12">
        <v>65.97</v>
      </c>
    </row>
    <row r="2295" spans="1:12" x14ac:dyDescent="0.2">
      <c r="A2295" s="9">
        <v>46247</v>
      </c>
      <c r="B2295" t="s">
        <v>348</v>
      </c>
      <c r="C2295" t="s">
        <v>349</v>
      </c>
      <c r="D2295" t="s">
        <v>36</v>
      </c>
      <c r="E2295" t="s">
        <v>653</v>
      </c>
      <c r="F2295" t="s">
        <v>666</v>
      </c>
      <c r="G2295" s="10">
        <v>95</v>
      </c>
      <c r="H2295" s="10">
        <v>1513</v>
      </c>
      <c r="I2295" s="10">
        <v>143735</v>
      </c>
      <c r="J2295" t="s">
        <v>37</v>
      </c>
      <c r="K2295" s="11">
        <v>648.20000000000005</v>
      </c>
      <c r="L2295" s="12">
        <v>221.74</v>
      </c>
    </row>
    <row r="2296" spans="1:12" x14ac:dyDescent="0.2">
      <c r="A2296" s="9">
        <v>46247</v>
      </c>
      <c r="B2296" t="s">
        <v>348</v>
      </c>
      <c r="C2296" t="s">
        <v>349</v>
      </c>
      <c r="D2296" t="s">
        <v>36</v>
      </c>
      <c r="E2296" t="s">
        <v>660</v>
      </c>
      <c r="F2296" t="s">
        <v>669</v>
      </c>
      <c r="G2296" s="10">
        <v>7</v>
      </c>
      <c r="H2296" s="10">
        <v>2644</v>
      </c>
      <c r="I2296" s="10">
        <v>18508</v>
      </c>
      <c r="J2296" t="s">
        <v>37</v>
      </c>
      <c r="K2296" s="11">
        <v>648.20000000000005</v>
      </c>
      <c r="L2296" s="12">
        <v>28.55</v>
      </c>
    </row>
    <row r="2297" spans="1:12" x14ac:dyDescent="0.2">
      <c r="A2297" s="9">
        <v>46247</v>
      </c>
      <c r="B2297" t="s">
        <v>348</v>
      </c>
      <c r="C2297" t="s">
        <v>349</v>
      </c>
      <c r="D2297" t="s">
        <v>36</v>
      </c>
      <c r="E2297" t="s">
        <v>647</v>
      </c>
      <c r="F2297" t="s">
        <v>648</v>
      </c>
      <c r="G2297" s="10">
        <v>33</v>
      </c>
      <c r="H2297" s="10">
        <v>16569</v>
      </c>
      <c r="I2297" s="10">
        <v>546777</v>
      </c>
      <c r="J2297" t="s">
        <v>37</v>
      </c>
      <c r="K2297" s="11">
        <v>648.20000000000005</v>
      </c>
      <c r="L2297" s="12">
        <v>843.53</v>
      </c>
    </row>
    <row r="2298" spans="1:12" x14ac:dyDescent="0.2">
      <c r="A2298" s="9">
        <v>46247</v>
      </c>
      <c r="B2298" t="s">
        <v>348</v>
      </c>
      <c r="C2298" t="s">
        <v>349</v>
      </c>
      <c r="D2298" t="s">
        <v>36</v>
      </c>
      <c r="E2298" t="s">
        <v>647</v>
      </c>
      <c r="F2298" t="s">
        <v>648</v>
      </c>
      <c r="G2298" s="10">
        <v>8</v>
      </c>
      <c r="H2298" s="10">
        <v>16270</v>
      </c>
      <c r="I2298" s="10">
        <v>130160</v>
      </c>
      <c r="J2298" t="s">
        <v>37</v>
      </c>
      <c r="K2298" s="11">
        <v>648.20000000000005</v>
      </c>
      <c r="L2298" s="12">
        <v>200.8</v>
      </c>
    </row>
    <row r="2299" spans="1:12" x14ac:dyDescent="0.2">
      <c r="A2299" s="9">
        <v>46247</v>
      </c>
      <c r="B2299" t="s">
        <v>351</v>
      </c>
      <c r="C2299" t="s">
        <v>352</v>
      </c>
      <c r="D2299" t="s">
        <v>41</v>
      </c>
      <c r="E2299" t="s">
        <v>647</v>
      </c>
      <c r="F2299" t="s">
        <v>667</v>
      </c>
      <c r="G2299" s="10">
        <v>5</v>
      </c>
      <c r="H2299" s="10">
        <v>36540</v>
      </c>
      <c r="I2299" s="10">
        <v>182700</v>
      </c>
      <c r="J2299" t="s">
        <v>42</v>
      </c>
      <c r="K2299" s="11">
        <v>3145.8</v>
      </c>
      <c r="L2299" s="12">
        <v>58.08</v>
      </c>
    </row>
    <row r="2300" spans="1:12" x14ac:dyDescent="0.2">
      <c r="A2300" s="9">
        <v>46247</v>
      </c>
      <c r="B2300" t="s">
        <v>351</v>
      </c>
      <c r="C2300" t="s">
        <v>352</v>
      </c>
      <c r="D2300" t="s">
        <v>41</v>
      </c>
      <c r="E2300" t="s">
        <v>655</v>
      </c>
      <c r="F2300" t="s">
        <v>656</v>
      </c>
      <c r="G2300" s="10">
        <v>2</v>
      </c>
      <c r="H2300" s="10">
        <v>2880</v>
      </c>
      <c r="I2300" s="10">
        <v>5760</v>
      </c>
      <c r="J2300" t="s">
        <v>42</v>
      </c>
      <c r="K2300" s="11">
        <v>3145.8</v>
      </c>
      <c r="L2300" s="12">
        <v>1.83</v>
      </c>
    </row>
    <row r="2301" spans="1:12" x14ac:dyDescent="0.2">
      <c r="A2301" s="9">
        <v>46247</v>
      </c>
      <c r="B2301" t="s">
        <v>357</v>
      </c>
      <c r="C2301" t="s">
        <v>358</v>
      </c>
      <c r="D2301" t="s">
        <v>36</v>
      </c>
      <c r="E2301" t="s">
        <v>649</v>
      </c>
      <c r="F2301" t="s">
        <v>663</v>
      </c>
      <c r="G2301" s="10">
        <v>90</v>
      </c>
      <c r="H2301" s="10">
        <v>2064</v>
      </c>
      <c r="I2301" s="10">
        <v>185760</v>
      </c>
      <c r="J2301" t="s">
        <v>37</v>
      </c>
      <c r="K2301" s="11">
        <v>648.20000000000005</v>
      </c>
      <c r="L2301" s="12">
        <v>286.58</v>
      </c>
    </row>
    <row r="2302" spans="1:12" x14ac:dyDescent="0.2">
      <c r="A2302" s="9">
        <v>46247</v>
      </c>
      <c r="B2302" t="s">
        <v>357</v>
      </c>
      <c r="C2302" t="s">
        <v>358</v>
      </c>
      <c r="D2302" t="s">
        <v>36</v>
      </c>
      <c r="E2302" t="s">
        <v>660</v>
      </c>
      <c r="F2302" t="s">
        <v>661</v>
      </c>
      <c r="G2302" s="10">
        <v>51</v>
      </c>
      <c r="H2302" s="10">
        <v>4047</v>
      </c>
      <c r="I2302" s="10">
        <v>206397</v>
      </c>
      <c r="J2302" t="s">
        <v>37</v>
      </c>
      <c r="K2302" s="11">
        <v>648.20000000000005</v>
      </c>
      <c r="L2302" s="12">
        <v>318.42</v>
      </c>
    </row>
    <row r="2303" spans="1:12" x14ac:dyDescent="0.2">
      <c r="A2303" s="9">
        <v>46247</v>
      </c>
      <c r="B2303" t="s">
        <v>357</v>
      </c>
      <c r="C2303" t="s">
        <v>358</v>
      </c>
      <c r="D2303" t="s">
        <v>36</v>
      </c>
      <c r="E2303" t="s">
        <v>660</v>
      </c>
      <c r="F2303" t="s">
        <v>661</v>
      </c>
      <c r="G2303" s="10">
        <v>31</v>
      </c>
      <c r="H2303" s="10">
        <v>4038</v>
      </c>
      <c r="I2303" s="10">
        <v>125178</v>
      </c>
      <c r="J2303" t="s">
        <v>37</v>
      </c>
      <c r="K2303" s="11">
        <v>648.20000000000005</v>
      </c>
      <c r="L2303" s="12">
        <v>193.12</v>
      </c>
    </row>
    <row r="2304" spans="1:12" x14ac:dyDescent="0.2">
      <c r="A2304" s="9">
        <v>46247</v>
      </c>
      <c r="B2304" t="s">
        <v>357</v>
      </c>
      <c r="C2304" t="s">
        <v>358</v>
      </c>
      <c r="D2304" t="s">
        <v>36</v>
      </c>
      <c r="E2304" t="s">
        <v>653</v>
      </c>
      <c r="F2304" t="s">
        <v>654</v>
      </c>
      <c r="G2304" s="10">
        <v>20</v>
      </c>
      <c r="H2304" s="10">
        <v>5664</v>
      </c>
      <c r="I2304" s="10">
        <v>113280</v>
      </c>
      <c r="J2304" t="s">
        <v>37</v>
      </c>
      <c r="K2304" s="11">
        <v>648.20000000000005</v>
      </c>
      <c r="L2304" s="12">
        <v>174.76</v>
      </c>
    </row>
    <row r="2305" spans="1:12" x14ac:dyDescent="0.2">
      <c r="A2305" s="9">
        <v>46247</v>
      </c>
      <c r="B2305" t="s">
        <v>357</v>
      </c>
      <c r="C2305" t="s">
        <v>358</v>
      </c>
      <c r="D2305" t="s">
        <v>36</v>
      </c>
      <c r="E2305" t="s">
        <v>655</v>
      </c>
      <c r="F2305" t="s">
        <v>665</v>
      </c>
      <c r="G2305" s="10">
        <v>27</v>
      </c>
      <c r="H2305" s="10">
        <v>667</v>
      </c>
      <c r="I2305" s="10">
        <v>18009</v>
      </c>
      <c r="J2305" t="s">
        <v>37</v>
      </c>
      <c r="K2305" s="11">
        <v>648.20000000000005</v>
      </c>
      <c r="L2305" s="12">
        <v>27.78</v>
      </c>
    </row>
    <row r="2306" spans="1:12" x14ac:dyDescent="0.2">
      <c r="A2306" s="9">
        <v>46247</v>
      </c>
      <c r="B2306" t="s">
        <v>372</v>
      </c>
      <c r="C2306" t="s">
        <v>373</v>
      </c>
      <c r="D2306" t="s">
        <v>75</v>
      </c>
      <c r="E2306" t="s">
        <v>653</v>
      </c>
      <c r="F2306" t="s">
        <v>666</v>
      </c>
      <c r="G2306" s="10">
        <v>34</v>
      </c>
      <c r="H2306" s="10">
        <v>7066</v>
      </c>
      <c r="I2306" s="10">
        <v>240244</v>
      </c>
      <c r="J2306" t="s">
        <v>42</v>
      </c>
      <c r="K2306" s="11">
        <v>3145.8</v>
      </c>
      <c r="L2306" s="12">
        <v>76.37</v>
      </c>
    </row>
    <row r="2307" spans="1:12" x14ac:dyDescent="0.2">
      <c r="A2307" s="9">
        <v>46247</v>
      </c>
      <c r="B2307" t="s">
        <v>375</v>
      </c>
      <c r="C2307" t="s">
        <v>376</v>
      </c>
      <c r="D2307" t="s">
        <v>36</v>
      </c>
      <c r="E2307" t="s">
        <v>647</v>
      </c>
      <c r="F2307" t="s">
        <v>668</v>
      </c>
      <c r="G2307" s="10">
        <v>6</v>
      </c>
      <c r="H2307" s="10">
        <v>25892</v>
      </c>
      <c r="I2307" s="10">
        <v>155352</v>
      </c>
      <c r="J2307" t="s">
        <v>37</v>
      </c>
      <c r="K2307" s="11">
        <v>648.20000000000005</v>
      </c>
      <c r="L2307" s="12">
        <v>239.67</v>
      </c>
    </row>
    <row r="2308" spans="1:12" x14ac:dyDescent="0.2">
      <c r="A2308" s="9">
        <v>46247</v>
      </c>
      <c r="B2308" t="s">
        <v>378</v>
      </c>
      <c r="C2308" t="s">
        <v>379</v>
      </c>
      <c r="D2308" t="s">
        <v>50</v>
      </c>
      <c r="E2308" t="s">
        <v>649</v>
      </c>
      <c r="F2308" t="s">
        <v>659</v>
      </c>
      <c r="G2308" s="10">
        <v>22</v>
      </c>
      <c r="H2308" s="10">
        <v>8849</v>
      </c>
      <c r="I2308" s="10">
        <v>194678</v>
      </c>
      <c r="J2308" t="s">
        <v>51</v>
      </c>
      <c r="K2308" s="11">
        <v>648.20000000000005</v>
      </c>
      <c r="L2308" s="12">
        <v>300.33999999999997</v>
      </c>
    </row>
    <row r="2309" spans="1:12" x14ac:dyDescent="0.2">
      <c r="A2309" s="9">
        <v>46247</v>
      </c>
      <c r="B2309" t="s">
        <v>381</v>
      </c>
      <c r="C2309" t="s">
        <v>382</v>
      </c>
      <c r="D2309" t="s">
        <v>36</v>
      </c>
      <c r="E2309" t="s">
        <v>647</v>
      </c>
      <c r="F2309" t="s">
        <v>648</v>
      </c>
      <c r="G2309" s="10">
        <v>19</v>
      </c>
      <c r="H2309" s="10">
        <v>15800</v>
      </c>
      <c r="I2309" s="10">
        <v>300200</v>
      </c>
      <c r="J2309" t="s">
        <v>37</v>
      </c>
      <c r="K2309" s="11">
        <v>648.20000000000005</v>
      </c>
      <c r="L2309" s="12">
        <v>463.13</v>
      </c>
    </row>
    <row r="2310" spans="1:12" x14ac:dyDescent="0.2">
      <c r="A2310" s="9">
        <v>46247</v>
      </c>
      <c r="B2310" t="s">
        <v>390</v>
      </c>
      <c r="C2310" t="s">
        <v>391</v>
      </c>
      <c r="D2310" t="s">
        <v>46</v>
      </c>
      <c r="E2310" t="s">
        <v>653</v>
      </c>
      <c r="F2310" t="s">
        <v>654</v>
      </c>
      <c r="G2310" s="10">
        <v>23</v>
      </c>
      <c r="H2310" s="10">
        <v>5677</v>
      </c>
      <c r="I2310" s="10">
        <v>130571</v>
      </c>
      <c r="J2310" t="s">
        <v>37</v>
      </c>
      <c r="K2310" s="11">
        <v>648.20000000000005</v>
      </c>
      <c r="L2310" s="12">
        <v>201.44</v>
      </c>
    </row>
    <row r="2311" spans="1:12" x14ac:dyDescent="0.2">
      <c r="A2311" s="9">
        <v>46247</v>
      </c>
      <c r="B2311" t="s">
        <v>393</v>
      </c>
      <c r="C2311" t="s">
        <v>307</v>
      </c>
      <c r="D2311" t="s">
        <v>68</v>
      </c>
      <c r="E2311" t="s">
        <v>649</v>
      </c>
      <c r="F2311" t="s">
        <v>659</v>
      </c>
      <c r="G2311" s="10">
        <v>36</v>
      </c>
      <c r="H2311" s="10">
        <v>8947</v>
      </c>
      <c r="I2311" s="10">
        <v>322092</v>
      </c>
      <c r="J2311" t="s">
        <v>51</v>
      </c>
      <c r="K2311" s="11">
        <v>648.20000000000005</v>
      </c>
      <c r="L2311" s="12">
        <v>496.9</v>
      </c>
    </row>
    <row r="2312" spans="1:12" x14ac:dyDescent="0.2">
      <c r="A2312" s="9">
        <v>46247</v>
      </c>
      <c r="B2312" t="s">
        <v>393</v>
      </c>
      <c r="C2312" t="s">
        <v>307</v>
      </c>
      <c r="D2312" t="s">
        <v>68</v>
      </c>
      <c r="E2312" t="s">
        <v>649</v>
      </c>
      <c r="F2312" t="s">
        <v>659</v>
      </c>
      <c r="G2312" s="10">
        <v>4</v>
      </c>
      <c r="H2312" s="10">
        <v>9169</v>
      </c>
      <c r="I2312" s="10">
        <v>36676</v>
      </c>
      <c r="J2312" t="s">
        <v>51</v>
      </c>
      <c r="K2312" s="11">
        <v>648.20000000000005</v>
      </c>
      <c r="L2312" s="12">
        <v>56.58</v>
      </c>
    </row>
    <row r="2313" spans="1:12" x14ac:dyDescent="0.2">
      <c r="A2313" s="9">
        <v>46247</v>
      </c>
      <c r="B2313" t="s">
        <v>393</v>
      </c>
      <c r="C2313" t="s">
        <v>307</v>
      </c>
      <c r="D2313" t="s">
        <v>68</v>
      </c>
      <c r="E2313" t="s">
        <v>655</v>
      </c>
      <c r="F2313" t="s">
        <v>656</v>
      </c>
      <c r="G2313" s="10">
        <v>52</v>
      </c>
      <c r="H2313" s="10">
        <v>556</v>
      </c>
      <c r="I2313" s="10">
        <v>28912</v>
      </c>
      <c r="J2313" t="s">
        <v>51</v>
      </c>
      <c r="K2313" s="11">
        <v>648.20000000000005</v>
      </c>
      <c r="L2313" s="12">
        <v>44.6</v>
      </c>
    </row>
    <row r="2314" spans="1:12" x14ac:dyDescent="0.2">
      <c r="A2314" s="9">
        <v>46247</v>
      </c>
      <c r="B2314" t="s">
        <v>395</v>
      </c>
      <c r="C2314" t="s">
        <v>396</v>
      </c>
      <c r="D2314" t="s">
        <v>46</v>
      </c>
      <c r="E2314" t="s">
        <v>647</v>
      </c>
      <c r="F2314" t="s">
        <v>667</v>
      </c>
      <c r="G2314" s="10">
        <v>11</v>
      </c>
      <c r="H2314" s="10">
        <v>7287</v>
      </c>
      <c r="I2314" s="10">
        <v>80157</v>
      </c>
      <c r="J2314" t="s">
        <v>37</v>
      </c>
      <c r="K2314" s="11">
        <v>648.20000000000005</v>
      </c>
      <c r="L2314" s="12">
        <v>123.66</v>
      </c>
    </row>
    <row r="2315" spans="1:12" x14ac:dyDescent="0.2">
      <c r="A2315" s="9">
        <v>46247</v>
      </c>
      <c r="B2315" t="s">
        <v>395</v>
      </c>
      <c r="C2315" t="s">
        <v>396</v>
      </c>
      <c r="D2315" t="s">
        <v>46</v>
      </c>
      <c r="E2315" t="s">
        <v>651</v>
      </c>
      <c r="F2315" t="s">
        <v>664</v>
      </c>
      <c r="G2315" s="10">
        <v>3</v>
      </c>
      <c r="H2315" s="10">
        <v>11510</v>
      </c>
      <c r="I2315" s="10">
        <v>34530</v>
      </c>
      <c r="J2315" t="s">
        <v>37</v>
      </c>
      <c r="K2315" s="11">
        <v>648.20000000000005</v>
      </c>
      <c r="L2315" s="12">
        <v>53.27</v>
      </c>
    </row>
    <row r="2316" spans="1:12" x14ac:dyDescent="0.2">
      <c r="A2316" s="9">
        <v>46247</v>
      </c>
      <c r="B2316" t="s">
        <v>398</v>
      </c>
      <c r="C2316" t="s">
        <v>399</v>
      </c>
      <c r="D2316" t="s">
        <v>46</v>
      </c>
      <c r="E2316" t="s">
        <v>649</v>
      </c>
      <c r="F2316" t="s">
        <v>659</v>
      </c>
      <c r="G2316" s="10">
        <v>5</v>
      </c>
      <c r="H2316" s="10">
        <v>8960</v>
      </c>
      <c r="I2316" s="10">
        <v>44800</v>
      </c>
      <c r="J2316" t="s">
        <v>37</v>
      </c>
      <c r="K2316" s="11">
        <v>648.20000000000005</v>
      </c>
      <c r="L2316" s="12">
        <v>69.11</v>
      </c>
    </row>
    <row r="2317" spans="1:12" x14ac:dyDescent="0.2">
      <c r="A2317" s="9">
        <v>46247</v>
      </c>
      <c r="B2317" t="s">
        <v>398</v>
      </c>
      <c r="C2317" t="s">
        <v>399</v>
      </c>
      <c r="D2317" t="s">
        <v>46</v>
      </c>
      <c r="E2317" t="s">
        <v>655</v>
      </c>
      <c r="F2317" t="s">
        <v>656</v>
      </c>
      <c r="G2317" s="10">
        <v>25</v>
      </c>
      <c r="H2317" s="10">
        <v>598</v>
      </c>
      <c r="I2317" s="10">
        <v>14950</v>
      </c>
      <c r="J2317" t="s">
        <v>37</v>
      </c>
      <c r="K2317" s="11">
        <v>648.20000000000005</v>
      </c>
      <c r="L2317" s="12">
        <v>23.06</v>
      </c>
    </row>
    <row r="2318" spans="1:12" x14ac:dyDescent="0.2">
      <c r="A2318" s="9">
        <v>46247</v>
      </c>
      <c r="B2318" t="s">
        <v>398</v>
      </c>
      <c r="C2318" t="s">
        <v>399</v>
      </c>
      <c r="D2318" t="s">
        <v>46</v>
      </c>
      <c r="E2318" t="s">
        <v>651</v>
      </c>
      <c r="F2318" t="s">
        <v>657</v>
      </c>
      <c r="G2318" s="10">
        <v>3</v>
      </c>
      <c r="H2318" s="10">
        <v>6641</v>
      </c>
      <c r="I2318" s="10">
        <v>19923</v>
      </c>
      <c r="J2318" t="s">
        <v>37</v>
      </c>
      <c r="K2318" s="11">
        <v>648.20000000000005</v>
      </c>
      <c r="L2318" s="12">
        <v>30.74</v>
      </c>
    </row>
    <row r="2319" spans="1:12" x14ac:dyDescent="0.2">
      <c r="A2319" s="9">
        <v>46247</v>
      </c>
      <c r="B2319" t="s">
        <v>401</v>
      </c>
      <c r="C2319" t="s">
        <v>402</v>
      </c>
      <c r="D2319" t="s">
        <v>36</v>
      </c>
      <c r="E2319" t="s">
        <v>647</v>
      </c>
      <c r="F2319" t="s">
        <v>668</v>
      </c>
      <c r="G2319" s="10">
        <v>8</v>
      </c>
      <c r="H2319" s="10">
        <v>25170</v>
      </c>
      <c r="I2319" s="10">
        <v>201360</v>
      </c>
      <c r="J2319" t="s">
        <v>37</v>
      </c>
      <c r="K2319" s="11">
        <v>648.20000000000005</v>
      </c>
      <c r="L2319" s="12">
        <v>310.64</v>
      </c>
    </row>
    <row r="2320" spans="1:12" x14ac:dyDescent="0.2">
      <c r="A2320" s="9">
        <v>46247</v>
      </c>
      <c r="B2320" t="s">
        <v>401</v>
      </c>
      <c r="C2320" t="s">
        <v>402</v>
      </c>
      <c r="D2320" t="s">
        <v>36</v>
      </c>
      <c r="E2320" t="s">
        <v>655</v>
      </c>
      <c r="F2320" t="s">
        <v>665</v>
      </c>
      <c r="G2320" s="10">
        <v>19</v>
      </c>
      <c r="H2320" s="10">
        <v>660</v>
      </c>
      <c r="I2320" s="10">
        <v>12540</v>
      </c>
      <c r="J2320" t="s">
        <v>37</v>
      </c>
      <c r="K2320" s="11">
        <v>648.20000000000005</v>
      </c>
      <c r="L2320" s="12">
        <v>19.350000000000001</v>
      </c>
    </row>
    <row r="2321" spans="1:12" x14ac:dyDescent="0.2">
      <c r="A2321" s="9">
        <v>46247</v>
      </c>
      <c r="B2321" t="s">
        <v>404</v>
      </c>
      <c r="C2321" t="s">
        <v>405</v>
      </c>
      <c r="D2321" t="s">
        <v>46</v>
      </c>
      <c r="E2321" t="s">
        <v>651</v>
      </c>
      <c r="F2321" t="s">
        <v>657</v>
      </c>
      <c r="G2321" s="10">
        <v>15</v>
      </c>
      <c r="H2321" s="10">
        <v>6390</v>
      </c>
      <c r="I2321" s="10">
        <v>95850</v>
      </c>
      <c r="J2321" t="s">
        <v>37</v>
      </c>
      <c r="K2321" s="11">
        <v>648.20000000000005</v>
      </c>
      <c r="L2321" s="12">
        <v>147.87</v>
      </c>
    </row>
    <row r="2322" spans="1:12" x14ac:dyDescent="0.2">
      <c r="A2322" s="9">
        <v>46247</v>
      </c>
      <c r="B2322" t="s">
        <v>407</v>
      </c>
      <c r="C2322" t="s">
        <v>408</v>
      </c>
      <c r="D2322" t="s">
        <v>75</v>
      </c>
      <c r="E2322" t="s">
        <v>653</v>
      </c>
      <c r="F2322" t="s">
        <v>658</v>
      </c>
      <c r="G2322" s="10">
        <v>2</v>
      </c>
      <c r="H2322" s="10">
        <v>13377</v>
      </c>
      <c r="I2322" s="10">
        <v>26754</v>
      </c>
      <c r="J2322" t="s">
        <v>42</v>
      </c>
      <c r="K2322" s="11">
        <v>3145.8</v>
      </c>
      <c r="L2322" s="12">
        <v>8.5</v>
      </c>
    </row>
    <row r="2323" spans="1:12" x14ac:dyDescent="0.2">
      <c r="A2323" s="9">
        <v>46247</v>
      </c>
      <c r="B2323" t="s">
        <v>407</v>
      </c>
      <c r="C2323" t="s">
        <v>408</v>
      </c>
      <c r="D2323" t="s">
        <v>75</v>
      </c>
      <c r="E2323" t="s">
        <v>660</v>
      </c>
      <c r="F2323" t="s">
        <v>661</v>
      </c>
      <c r="G2323" s="10">
        <v>1</v>
      </c>
      <c r="H2323" s="10">
        <v>20914</v>
      </c>
      <c r="I2323" s="10">
        <v>20914</v>
      </c>
      <c r="J2323" t="s">
        <v>42</v>
      </c>
      <c r="K2323" s="11">
        <v>3145.8</v>
      </c>
      <c r="L2323" s="12">
        <v>6.65</v>
      </c>
    </row>
    <row r="2324" spans="1:12" x14ac:dyDescent="0.2">
      <c r="A2324" s="9">
        <v>46247</v>
      </c>
      <c r="B2324" t="s">
        <v>407</v>
      </c>
      <c r="C2324" t="s">
        <v>408</v>
      </c>
      <c r="D2324" t="s">
        <v>75</v>
      </c>
      <c r="E2324" t="s">
        <v>647</v>
      </c>
      <c r="F2324" t="s">
        <v>667</v>
      </c>
      <c r="G2324" s="10">
        <v>6</v>
      </c>
      <c r="H2324" s="10">
        <v>36628</v>
      </c>
      <c r="I2324" s="10">
        <v>219768</v>
      </c>
      <c r="J2324" t="s">
        <v>42</v>
      </c>
      <c r="K2324" s="11">
        <v>3145.8</v>
      </c>
      <c r="L2324" s="12">
        <v>69.86</v>
      </c>
    </row>
    <row r="2325" spans="1:12" x14ac:dyDescent="0.2">
      <c r="A2325" s="9">
        <v>46247</v>
      </c>
      <c r="B2325" t="s">
        <v>413</v>
      </c>
      <c r="C2325" t="s">
        <v>414</v>
      </c>
      <c r="D2325" t="s">
        <v>41</v>
      </c>
      <c r="E2325" t="s">
        <v>649</v>
      </c>
      <c r="F2325" t="s">
        <v>663</v>
      </c>
      <c r="G2325" s="10">
        <v>1</v>
      </c>
      <c r="H2325" s="10">
        <v>9633</v>
      </c>
      <c r="I2325" s="10">
        <v>9633</v>
      </c>
      <c r="J2325" t="s">
        <v>42</v>
      </c>
      <c r="K2325" s="11">
        <v>3145.8</v>
      </c>
      <c r="L2325" s="12">
        <v>3.06</v>
      </c>
    </row>
    <row r="2326" spans="1:12" x14ac:dyDescent="0.2">
      <c r="A2326" s="9">
        <v>46247</v>
      </c>
      <c r="B2326" t="s">
        <v>416</v>
      </c>
      <c r="C2326" t="s">
        <v>417</v>
      </c>
      <c r="D2326" t="s">
        <v>36</v>
      </c>
      <c r="E2326" t="s">
        <v>647</v>
      </c>
      <c r="F2326" t="s">
        <v>667</v>
      </c>
      <c r="G2326" s="10">
        <v>3</v>
      </c>
      <c r="H2326" s="10">
        <v>7342</v>
      </c>
      <c r="I2326" s="10">
        <v>22026</v>
      </c>
      <c r="J2326" t="s">
        <v>37</v>
      </c>
      <c r="K2326" s="11">
        <v>648.20000000000005</v>
      </c>
      <c r="L2326" s="12">
        <v>33.979999999999997</v>
      </c>
    </row>
    <row r="2327" spans="1:12" x14ac:dyDescent="0.2">
      <c r="A2327" s="9">
        <v>46247</v>
      </c>
      <c r="B2327" t="s">
        <v>419</v>
      </c>
      <c r="C2327" t="s">
        <v>420</v>
      </c>
      <c r="D2327" t="s">
        <v>46</v>
      </c>
      <c r="E2327" t="s">
        <v>655</v>
      </c>
      <c r="F2327" t="s">
        <v>662</v>
      </c>
      <c r="G2327" s="10">
        <v>9</v>
      </c>
      <c r="H2327" s="10">
        <v>1148</v>
      </c>
      <c r="I2327" s="10">
        <v>10332</v>
      </c>
      <c r="J2327" t="s">
        <v>37</v>
      </c>
      <c r="K2327" s="11">
        <v>648.20000000000005</v>
      </c>
      <c r="L2327" s="12">
        <v>15.94</v>
      </c>
    </row>
    <row r="2328" spans="1:12" x14ac:dyDescent="0.2">
      <c r="A2328" s="9">
        <v>46247</v>
      </c>
      <c r="B2328" t="s">
        <v>436</v>
      </c>
      <c r="C2328" t="s">
        <v>437</v>
      </c>
      <c r="D2328" t="s">
        <v>50</v>
      </c>
      <c r="E2328" t="s">
        <v>647</v>
      </c>
      <c r="F2328" t="s">
        <v>668</v>
      </c>
      <c r="G2328" s="10">
        <v>1</v>
      </c>
      <c r="H2328" s="10">
        <v>25018</v>
      </c>
      <c r="I2328" s="10">
        <v>25018</v>
      </c>
      <c r="J2328" t="s">
        <v>51</v>
      </c>
      <c r="K2328" s="11">
        <v>648.20000000000005</v>
      </c>
      <c r="L2328" s="12">
        <v>38.6</v>
      </c>
    </row>
    <row r="2329" spans="1:12" x14ac:dyDescent="0.2">
      <c r="A2329" s="9">
        <v>46247</v>
      </c>
      <c r="B2329" t="s">
        <v>442</v>
      </c>
      <c r="C2329" t="s">
        <v>443</v>
      </c>
      <c r="D2329" t="s">
        <v>41</v>
      </c>
      <c r="E2329" t="s">
        <v>647</v>
      </c>
      <c r="F2329" t="s">
        <v>648</v>
      </c>
      <c r="G2329" s="10">
        <v>7</v>
      </c>
      <c r="H2329" s="10">
        <v>78137</v>
      </c>
      <c r="I2329" s="10">
        <v>546959</v>
      </c>
      <c r="J2329" t="s">
        <v>42</v>
      </c>
      <c r="K2329" s="11">
        <v>3145.8</v>
      </c>
      <c r="L2329" s="12">
        <v>173.87</v>
      </c>
    </row>
    <row r="2330" spans="1:12" x14ac:dyDescent="0.2">
      <c r="A2330" s="9">
        <v>46247</v>
      </c>
      <c r="B2330" t="s">
        <v>445</v>
      </c>
      <c r="C2330" t="s">
        <v>446</v>
      </c>
      <c r="D2330" t="s">
        <v>68</v>
      </c>
      <c r="E2330" t="s">
        <v>655</v>
      </c>
      <c r="F2330" t="s">
        <v>662</v>
      </c>
      <c r="G2330" s="10">
        <v>7</v>
      </c>
      <c r="H2330" s="10">
        <v>1147</v>
      </c>
      <c r="I2330" s="10">
        <v>8029</v>
      </c>
      <c r="J2330" t="s">
        <v>51</v>
      </c>
      <c r="K2330" s="11">
        <v>648.20000000000005</v>
      </c>
      <c r="L2330" s="12">
        <v>12.39</v>
      </c>
    </row>
    <row r="2331" spans="1:12" x14ac:dyDescent="0.2">
      <c r="A2331" s="9">
        <v>46247</v>
      </c>
      <c r="B2331" t="s">
        <v>445</v>
      </c>
      <c r="C2331" t="s">
        <v>446</v>
      </c>
      <c r="D2331" t="s">
        <v>68</v>
      </c>
      <c r="E2331" t="s">
        <v>660</v>
      </c>
      <c r="F2331" t="s">
        <v>661</v>
      </c>
      <c r="G2331" s="10">
        <v>65</v>
      </c>
      <c r="H2331" s="10">
        <v>4314</v>
      </c>
      <c r="I2331" s="10">
        <v>280410</v>
      </c>
      <c r="J2331" t="s">
        <v>51</v>
      </c>
      <c r="K2331" s="11">
        <v>648.20000000000005</v>
      </c>
      <c r="L2331" s="12">
        <v>432.6</v>
      </c>
    </row>
    <row r="2332" spans="1:12" x14ac:dyDescent="0.2">
      <c r="A2332" s="9">
        <v>46247</v>
      </c>
      <c r="B2332" t="s">
        <v>445</v>
      </c>
      <c r="C2332" t="s">
        <v>446</v>
      </c>
      <c r="D2332" t="s">
        <v>68</v>
      </c>
      <c r="E2332" t="s">
        <v>647</v>
      </c>
      <c r="F2332" t="s">
        <v>648</v>
      </c>
      <c r="G2332" s="10">
        <v>13</v>
      </c>
      <c r="H2332" s="10">
        <v>16610</v>
      </c>
      <c r="I2332" s="10">
        <v>215930</v>
      </c>
      <c r="J2332" t="s">
        <v>51</v>
      </c>
      <c r="K2332" s="11">
        <v>648.20000000000005</v>
      </c>
      <c r="L2332" s="12">
        <v>333.12</v>
      </c>
    </row>
    <row r="2333" spans="1:12" x14ac:dyDescent="0.2">
      <c r="A2333" s="9">
        <v>46247</v>
      </c>
      <c r="B2333" t="s">
        <v>448</v>
      </c>
      <c r="C2333" t="s">
        <v>449</v>
      </c>
      <c r="D2333" t="s">
        <v>75</v>
      </c>
      <c r="E2333" t="s">
        <v>660</v>
      </c>
      <c r="F2333" t="s">
        <v>661</v>
      </c>
      <c r="G2333" s="10">
        <v>30</v>
      </c>
      <c r="H2333" s="10">
        <v>19977</v>
      </c>
      <c r="I2333" s="10">
        <v>599310</v>
      </c>
      <c r="J2333" t="s">
        <v>42</v>
      </c>
      <c r="K2333" s="11">
        <v>3145.8</v>
      </c>
      <c r="L2333" s="12">
        <v>190.51</v>
      </c>
    </row>
    <row r="2334" spans="1:12" x14ac:dyDescent="0.2">
      <c r="A2334" s="9">
        <v>46247</v>
      </c>
      <c r="B2334" t="s">
        <v>454</v>
      </c>
      <c r="C2334" t="s">
        <v>455</v>
      </c>
      <c r="D2334" t="s">
        <v>41</v>
      </c>
      <c r="E2334" t="s">
        <v>647</v>
      </c>
      <c r="F2334" t="s">
        <v>668</v>
      </c>
      <c r="G2334" s="10">
        <v>10</v>
      </c>
      <c r="H2334" s="10">
        <v>122121</v>
      </c>
      <c r="I2334" s="10">
        <v>1221210</v>
      </c>
      <c r="J2334" t="s">
        <v>42</v>
      </c>
      <c r="K2334" s="11">
        <v>3145.8</v>
      </c>
      <c r="L2334" s="12">
        <v>388.2</v>
      </c>
    </row>
    <row r="2335" spans="1:12" x14ac:dyDescent="0.2">
      <c r="A2335" s="9">
        <v>46247</v>
      </c>
      <c r="B2335" t="s">
        <v>457</v>
      </c>
      <c r="C2335" t="s">
        <v>458</v>
      </c>
      <c r="D2335" t="s">
        <v>46</v>
      </c>
      <c r="E2335" t="s">
        <v>660</v>
      </c>
      <c r="F2335" t="s">
        <v>669</v>
      </c>
      <c r="G2335" s="10">
        <v>113</v>
      </c>
      <c r="H2335" s="10">
        <v>2528</v>
      </c>
      <c r="I2335" s="10">
        <v>285664</v>
      </c>
      <c r="J2335" t="s">
        <v>37</v>
      </c>
      <c r="K2335" s="11">
        <v>648.20000000000005</v>
      </c>
      <c r="L2335" s="12">
        <v>440.7</v>
      </c>
    </row>
    <row r="2336" spans="1:12" x14ac:dyDescent="0.2">
      <c r="A2336" s="9">
        <v>46247</v>
      </c>
      <c r="B2336" t="s">
        <v>457</v>
      </c>
      <c r="C2336" t="s">
        <v>458</v>
      </c>
      <c r="D2336" t="s">
        <v>46</v>
      </c>
      <c r="E2336" t="s">
        <v>651</v>
      </c>
      <c r="F2336" t="s">
        <v>664</v>
      </c>
      <c r="G2336" s="10">
        <v>21</v>
      </c>
      <c r="H2336" s="10">
        <v>12086</v>
      </c>
      <c r="I2336" s="10">
        <v>253806</v>
      </c>
      <c r="J2336" t="s">
        <v>37</v>
      </c>
      <c r="K2336" s="11">
        <v>648.20000000000005</v>
      </c>
      <c r="L2336" s="12">
        <v>391.56</v>
      </c>
    </row>
    <row r="2337" spans="1:12" x14ac:dyDescent="0.2">
      <c r="A2337" s="9">
        <v>46247</v>
      </c>
      <c r="B2337" t="s">
        <v>460</v>
      </c>
      <c r="C2337" t="s">
        <v>461</v>
      </c>
      <c r="D2337" t="s">
        <v>75</v>
      </c>
      <c r="E2337" t="s">
        <v>660</v>
      </c>
      <c r="F2337" t="s">
        <v>669</v>
      </c>
      <c r="G2337" s="10">
        <v>245</v>
      </c>
      <c r="H2337" s="10">
        <v>12675</v>
      </c>
      <c r="I2337" s="10">
        <v>3105375</v>
      </c>
      <c r="J2337" t="s">
        <v>42</v>
      </c>
      <c r="K2337" s="11">
        <v>3145.8</v>
      </c>
      <c r="L2337" s="12">
        <v>987.15</v>
      </c>
    </row>
    <row r="2338" spans="1:12" x14ac:dyDescent="0.2">
      <c r="A2338" s="9">
        <v>46247</v>
      </c>
      <c r="B2338" t="s">
        <v>460</v>
      </c>
      <c r="C2338" t="s">
        <v>461</v>
      </c>
      <c r="D2338" t="s">
        <v>75</v>
      </c>
      <c r="E2338" t="s">
        <v>660</v>
      </c>
      <c r="F2338" t="s">
        <v>661</v>
      </c>
      <c r="G2338" s="10">
        <v>16</v>
      </c>
      <c r="H2338" s="10">
        <v>20051</v>
      </c>
      <c r="I2338" s="10">
        <v>320816</v>
      </c>
      <c r="J2338" t="s">
        <v>42</v>
      </c>
      <c r="K2338" s="11">
        <v>3145.8</v>
      </c>
      <c r="L2338" s="12">
        <v>101.98</v>
      </c>
    </row>
    <row r="2339" spans="1:12" x14ac:dyDescent="0.2">
      <c r="A2339" s="9">
        <v>46247</v>
      </c>
      <c r="B2339" t="s">
        <v>460</v>
      </c>
      <c r="C2339" t="s">
        <v>461</v>
      </c>
      <c r="D2339" t="s">
        <v>75</v>
      </c>
      <c r="E2339" t="s">
        <v>653</v>
      </c>
      <c r="F2339" t="s">
        <v>654</v>
      </c>
      <c r="G2339" s="10">
        <v>39</v>
      </c>
      <c r="H2339" s="10">
        <v>28661</v>
      </c>
      <c r="I2339" s="10">
        <v>1117779</v>
      </c>
      <c r="J2339" t="s">
        <v>42</v>
      </c>
      <c r="K2339" s="11">
        <v>3145.8</v>
      </c>
      <c r="L2339" s="12">
        <v>355.32</v>
      </c>
    </row>
    <row r="2340" spans="1:12" x14ac:dyDescent="0.2">
      <c r="A2340" s="9">
        <v>46247</v>
      </c>
      <c r="B2340" t="s">
        <v>460</v>
      </c>
      <c r="C2340" t="s">
        <v>461</v>
      </c>
      <c r="D2340" t="s">
        <v>75</v>
      </c>
      <c r="E2340" t="s">
        <v>647</v>
      </c>
      <c r="F2340" t="s">
        <v>668</v>
      </c>
      <c r="G2340" s="10">
        <v>33</v>
      </c>
      <c r="H2340" s="10">
        <v>122944</v>
      </c>
      <c r="I2340" s="10">
        <v>4057152</v>
      </c>
      <c r="J2340" t="s">
        <v>42</v>
      </c>
      <c r="K2340" s="11">
        <v>3145.8</v>
      </c>
      <c r="L2340" s="12">
        <v>1289.7</v>
      </c>
    </row>
    <row r="2341" spans="1:12" x14ac:dyDescent="0.2">
      <c r="A2341" s="9">
        <v>46247</v>
      </c>
      <c r="B2341" t="s">
        <v>463</v>
      </c>
      <c r="C2341" t="s">
        <v>464</v>
      </c>
      <c r="D2341" t="s">
        <v>36</v>
      </c>
      <c r="E2341" t="s">
        <v>653</v>
      </c>
      <c r="F2341" t="s">
        <v>658</v>
      </c>
      <c r="G2341" s="10">
        <v>2</v>
      </c>
      <c r="H2341" s="10">
        <v>2805</v>
      </c>
      <c r="I2341" s="10">
        <v>5610</v>
      </c>
      <c r="J2341" t="s">
        <v>37</v>
      </c>
      <c r="K2341" s="11">
        <v>648.20000000000005</v>
      </c>
      <c r="L2341" s="12">
        <v>8.65</v>
      </c>
    </row>
    <row r="2342" spans="1:12" x14ac:dyDescent="0.2">
      <c r="A2342" s="9">
        <v>46247</v>
      </c>
      <c r="B2342" t="s">
        <v>463</v>
      </c>
      <c r="C2342" t="s">
        <v>464</v>
      </c>
      <c r="D2342" t="s">
        <v>36</v>
      </c>
      <c r="E2342" t="s">
        <v>655</v>
      </c>
      <c r="F2342" t="s">
        <v>662</v>
      </c>
      <c r="G2342" s="10">
        <v>8</v>
      </c>
      <c r="H2342" s="10">
        <v>1097</v>
      </c>
      <c r="I2342" s="10">
        <v>8776</v>
      </c>
      <c r="J2342" t="s">
        <v>37</v>
      </c>
      <c r="K2342" s="11">
        <v>648.20000000000005</v>
      </c>
      <c r="L2342" s="12">
        <v>13.54</v>
      </c>
    </row>
    <row r="2343" spans="1:12" x14ac:dyDescent="0.2">
      <c r="A2343" s="9">
        <v>46247</v>
      </c>
      <c r="B2343" t="s">
        <v>466</v>
      </c>
      <c r="C2343" t="s">
        <v>467</v>
      </c>
      <c r="D2343" t="s">
        <v>50</v>
      </c>
      <c r="E2343" t="s">
        <v>651</v>
      </c>
      <c r="F2343" t="s">
        <v>657</v>
      </c>
      <c r="G2343" s="10">
        <v>19</v>
      </c>
      <c r="H2343" s="10">
        <v>6450</v>
      </c>
      <c r="I2343" s="10">
        <v>122550</v>
      </c>
      <c r="J2343" t="s">
        <v>51</v>
      </c>
      <c r="K2343" s="11">
        <v>648.20000000000005</v>
      </c>
      <c r="L2343" s="12">
        <v>189.06</v>
      </c>
    </row>
    <row r="2344" spans="1:12" x14ac:dyDescent="0.2">
      <c r="A2344" s="9">
        <v>46247</v>
      </c>
      <c r="B2344" t="s">
        <v>469</v>
      </c>
      <c r="C2344" t="s">
        <v>470</v>
      </c>
      <c r="D2344" t="s">
        <v>41</v>
      </c>
      <c r="E2344" t="s">
        <v>660</v>
      </c>
      <c r="F2344" t="s">
        <v>661</v>
      </c>
      <c r="G2344" s="10">
        <v>8</v>
      </c>
      <c r="H2344" s="10">
        <v>21028</v>
      </c>
      <c r="I2344" s="10">
        <v>168224</v>
      </c>
      <c r="J2344" t="s">
        <v>42</v>
      </c>
      <c r="K2344" s="11">
        <v>3145.8</v>
      </c>
      <c r="L2344" s="12">
        <v>53.48</v>
      </c>
    </row>
    <row r="2345" spans="1:12" x14ac:dyDescent="0.2">
      <c r="A2345" s="9">
        <v>46247</v>
      </c>
      <c r="B2345" t="s">
        <v>469</v>
      </c>
      <c r="C2345" t="s">
        <v>470</v>
      </c>
      <c r="D2345" t="s">
        <v>41</v>
      </c>
      <c r="E2345" t="s">
        <v>660</v>
      </c>
      <c r="F2345" t="s">
        <v>661</v>
      </c>
      <c r="G2345" s="10">
        <v>9</v>
      </c>
      <c r="H2345" s="10">
        <v>20328</v>
      </c>
      <c r="I2345" s="10">
        <v>182952</v>
      </c>
      <c r="J2345" t="s">
        <v>42</v>
      </c>
      <c r="K2345" s="11">
        <v>3145.8</v>
      </c>
      <c r="L2345" s="12">
        <v>58.16</v>
      </c>
    </row>
    <row r="2346" spans="1:12" x14ac:dyDescent="0.2">
      <c r="A2346" s="9">
        <v>46247</v>
      </c>
      <c r="B2346" t="s">
        <v>469</v>
      </c>
      <c r="C2346" t="s">
        <v>470</v>
      </c>
      <c r="D2346" t="s">
        <v>41</v>
      </c>
      <c r="E2346" t="s">
        <v>653</v>
      </c>
      <c r="F2346" t="s">
        <v>654</v>
      </c>
      <c r="G2346" s="10">
        <v>6</v>
      </c>
      <c r="H2346" s="10">
        <v>27587</v>
      </c>
      <c r="I2346" s="10">
        <v>165522</v>
      </c>
      <c r="J2346" t="s">
        <v>42</v>
      </c>
      <c r="K2346" s="11">
        <v>3145.8</v>
      </c>
      <c r="L2346" s="12">
        <v>52.62</v>
      </c>
    </row>
    <row r="2347" spans="1:12" x14ac:dyDescent="0.2">
      <c r="A2347" s="9">
        <v>46247</v>
      </c>
      <c r="B2347" t="s">
        <v>469</v>
      </c>
      <c r="C2347" t="s">
        <v>470</v>
      </c>
      <c r="D2347" t="s">
        <v>41</v>
      </c>
      <c r="E2347" t="s">
        <v>647</v>
      </c>
      <c r="F2347" t="s">
        <v>668</v>
      </c>
      <c r="G2347" s="10">
        <v>15</v>
      </c>
      <c r="H2347" s="10">
        <v>125270</v>
      </c>
      <c r="I2347" s="10">
        <v>1879050</v>
      </c>
      <c r="J2347" t="s">
        <v>42</v>
      </c>
      <c r="K2347" s="11">
        <v>3145.8</v>
      </c>
      <c r="L2347" s="12">
        <v>597.32000000000005</v>
      </c>
    </row>
    <row r="2348" spans="1:12" x14ac:dyDescent="0.2">
      <c r="A2348" s="9">
        <v>46247</v>
      </c>
      <c r="B2348" t="s">
        <v>469</v>
      </c>
      <c r="C2348" t="s">
        <v>470</v>
      </c>
      <c r="D2348" t="s">
        <v>41</v>
      </c>
      <c r="E2348" t="s">
        <v>647</v>
      </c>
      <c r="F2348" t="s">
        <v>668</v>
      </c>
      <c r="G2348" s="10">
        <v>14</v>
      </c>
      <c r="H2348" s="10">
        <v>119756</v>
      </c>
      <c r="I2348" s="10">
        <v>1676584</v>
      </c>
      <c r="J2348" t="s">
        <v>42</v>
      </c>
      <c r="K2348" s="11">
        <v>3145.8</v>
      </c>
      <c r="L2348" s="12">
        <v>532.96</v>
      </c>
    </row>
    <row r="2349" spans="1:12" x14ac:dyDescent="0.2">
      <c r="A2349" s="9">
        <v>46247</v>
      </c>
      <c r="B2349" t="s">
        <v>472</v>
      </c>
      <c r="C2349" t="s">
        <v>473</v>
      </c>
      <c r="D2349" t="s">
        <v>68</v>
      </c>
      <c r="E2349" t="s">
        <v>660</v>
      </c>
      <c r="F2349" t="s">
        <v>669</v>
      </c>
      <c r="G2349" s="10">
        <v>4</v>
      </c>
      <c r="H2349" s="10">
        <v>2642</v>
      </c>
      <c r="I2349" s="10">
        <v>10568</v>
      </c>
      <c r="J2349" t="s">
        <v>51</v>
      </c>
      <c r="K2349" s="11">
        <v>648.20000000000005</v>
      </c>
      <c r="L2349" s="12">
        <v>16.3</v>
      </c>
    </row>
    <row r="2350" spans="1:12" x14ac:dyDescent="0.2">
      <c r="A2350" s="9">
        <v>46247</v>
      </c>
      <c r="B2350" t="s">
        <v>472</v>
      </c>
      <c r="C2350" t="s">
        <v>473</v>
      </c>
      <c r="D2350" t="s">
        <v>68</v>
      </c>
      <c r="E2350" t="s">
        <v>660</v>
      </c>
      <c r="F2350" t="s">
        <v>669</v>
      </c>
      <c r="G2350" s="10">
        <v>4</v>
      </c>
      <c r="H2350" s="10">
        <v>2550</v>
      </c>
      <c r="I2350" s="10">
        <v>10200</v>
      </c>
      <c r="J2350" t="s">
        <v>51</v>
      </c>
      <c r="K2350" s="11">
        <v>648.20000000000005</v>
      </c>
      <c r="L2350" s="12">
        <v>15.74</v>
      </c>
    </row>
    <row r="2351" spans="1:12" x14ac:dyDescent="0.2">
      <c r="A2351" s="9">
        <v>46247</v>
      </c>
      <c r="B2351" t="s">
        <v>472</v>
      </c>
      <c r="C2351" t="s">
        <v>473</v>
      </c>
      <c r="D2351" t="s">
        <v>68</v>
      </c>
      <c r="E2351" t="s">
        <v>660</v>
      </c>
      <c r="F2351" t="s">
        <v>669</v>
      </c>
      <c r="G2351" s="10">
        <v>4</v>
      </c>
      <c r="H2351" s="10">
        <v>2663</v>
      </c>
      <c r="I2351" s="10">
        <v>10652</v>
      </c>
      <c r="J2351" t="s">
        <v>51</v>
      </c>
      <c r="K2351" s="11">
        <v>648.20000000000005</v>
      </c>
      <c r="L2351" s="12">
        <v>16.43</v>
      </c>
    </row>
    <row r="2352" spans="1:12" x14ac:dyDescent="0.2">
      <c r="A2352" s="9">
        <v>46247</v>
      </c>
      <c r="B2352" t="s">
        <v>472</v>
      </c>
      <c r="C2352" t="s">
        <v>473</v>
      </c>
      <c r="D2352" t="s">
        <v>68</v>
      </c>
      <c r="E2352" t="s">
        <v>647</v>
      </c>
      <c r="F2352" t="s">
        <v>668</v>
      </c>
      <c r="G2352" s="10">
        <v>5</v>
      </c>
      <c r="H2352" s="10">
        <v>25500</v>
      </c>
      <c r="I2352" s="10">
        <v>127500</v>
      </c>
      <c r="J2352" t="s">
        <v>51</v>
      </c>
      <c r="K2352" s="11">
        <v>648.20000000000005</v>
      </c>
      <c r="L2352" s="12">
        <v>196.7</v>
      </c>
    </row>
    <row r="2353" spans="1:12" x14ac:dyDescent="0.2">
      <c r="A2353" s="9">
        <v>46247</v>
      </c>
      <c r="B2353" t="s">
        <v>475</v>
      </c>
      <c r="C2353" t="s">
        <v>476</v>
      </c>
      <c r="D2353" t="s">
        <v>75</v>
      </c>
      <c r="E2353" t="s">
        <v>660</v>
      </c>
      <c r="F2353" t="s">
        <v>669</v>
      </c>
      <c r="G2353" s="10">
        <v>17</v>
      </c>
      <c r="H2353" s="10">
        <v>12763</v>
      </c>
      <c r="I2353" s="10">
        <v>216971</v>
      </c>
      <c r="J2353" t="s">
        <v>42</v>
      </c>
      <c r="K2353" s="11">
        <v>3145.8</v>
      </c>
      <c r="L2353" s="12">
        <v>68.97</v>
      </c>
    </row>
    <row r="2354" spans="1:12" x14ac:dyDescent="0.2">
      <c r="A2354" s="9">
        <v>46247</v>
      </c>
      <c r="B2354" t="s">
        <v>481</v>
      </c>
      <c r="C2354" t="s">
        <v>78</v>
      </c>
      <c r="D2354" t="s">
        <v>41</v>
      </c>
      <c r="E2354" t="s">
        <v>651</v>
      </c>
      <c r="F2354" t="s">
        <v>652</v>
      </c>
      <c r="G2354" s="10">
        <v>8</v>
      </c>
      <c r="H2354" s="10">
        <v>48143</v>
      </c>
      <c r="I2354" s="10">
        <v>385144</v>
      </c>
      <c r="J2354" t="s">
        <v>42</v>
      </c>
      <c r="K2354" s="11">
        <v>3145.8</v>
      </c>
      <c r="L2354" s="12">
        <v>122.43</v>
      </c>
    </row>
    <row r="2355" spans="1:12" x14ac:dyDescent="0.2">
      <c r="A2355" s="9">
        <v>46247</v>
      </c>
      <c r="B2355" t="s">
        <v>485</v>
      </c>
      <c r="C2355" t="s">
        <v>486</v>
      </c>
      <c r="D2355" t="s">
        <v>41</v>
      </c>
      <c r="E2355" t="s">
        <v>649</v>
      </c>
      <c r="F2355" t="s">
        <v>650</v>
      </c>
      <c r="G2355" s="10">
        <v>21</v>
      </c>
      <c r="H2355" s="10">
        <v>91999</v>
      </c>
      <c r="I2355" s="10">
        <v>1931979</v>
      </c>
      <c r="J2355" t="s">
        <v>42</v>
      </c>
      <c r="K2355" s="11">
        <v>3145.8</v>
      </c>
      <c r="L2355" s="12">
        <v>614.15</v>
      </c>
    </row>
    <row r="2356" spans="1:12" x14ac:dyDescent="0.2">
      <c r="A2356" s="9">
        <v>46247</v>
      </c>
      <c r="B2356" t="s">
        <v>488</v>
      </c>
      <c r="C2356" t="s">
        <v>489</v>
      </c>
      <c r="D2356" t="s">
        <v>46</v>
      </c>
      <c r="E2356" t="s">
        <v>649</v>
      </c>
      <c r="F2356" t="s">
        <v>659</v>
      </c>
      <c r="G2356" s="10">
        <v>20</v>
      </c>
      <c r="H2356" s="10">
        <v>9181</v>
      </c>
      <c r="I2356" s="10">
        <v>183620</v>
      </c>
      <c r="J2356" t="s">
        <v>37</v>
      </c>
      <c r="K2356" s="11">
        <v>648.20000000000005</v>
      </c>
      <c r="L2356" s="12">
        <v>283.27999999999997</v>
      </c>
    </row>
    <row r="2357" spans="1:12" x14ac:dyDescent="0.2">
      <c r="A2357" s="9">
        <v>46247</v>
      </c>
      <c r="B2357" t="s">
        <v>493</v>
      </c>
      <c r="C2357" t="s">
        <v>494</v>
      </c>
      <c r="D2357" t="s">
        <v>46</v>
      </c>
      <c r="E2357" t="s">
        <v>653</v>
      </c>
      <c r="F2357" t="s">
        <v>654</v>
      </c>
      <c r="G2357" s="10">
        <v>1</v>
      </c>
      <c r="H2357" s="10">
        <v>5672</v>
      </c>
      <c r="I2357" s="10">
        <v>5672</v>
      </c>
      <c r="J2357" t="s">
        <v>37</v>
      </c>
      <c r="K2357" s="11">
        <v>648.20000000000005</v>
      </c>
      <c r="L2357" s="12">
        <v>8.75</v>
      </c>
    </row>
    <row r="2358" spans="1:12" x14ac:dyDescent="0.2">
      <c r="A2358" s="9">
        <v>46247</v>
      </c>
      <c r="B2358" t="s">
        <v>496</v>
      </c>
      <c r="C2358" t="s">
        <v>497</v>
      </c>
      <c r="D2358" t="s">
        <v>41</v>
      </c>
      <c r="E2358" t="s">
        <v>649</v>
      </c>
      <c r="F2358" t="s">
        <v>659</v>
      </c>
      <c r="G2358" s="10">
        <v>15</v>
      </c>
      <c r="H2358" s="10">
        <v>43751</v>
      </c>
      <c r="I2358" s="10">
        <v>656265</v>
      </c>
      <c r="J2358" t="s">
        <v>42</v>
      </c>
      <c r="K2358" s="11">
        <v>3145.8</v>
      </c>
      <c r="L2358" s="12">
        <v>208.62</v>
      </c>
    </row>
    <row r="2359" spans="1:12" x14ac:dyDescent="0.2">
      <c r="A2359" s="9">
        <v>46247</v>
      </c>
      <c r="B2359" t="s">
        <v>496</v>
      </c>
      <c r="C2359" t="s">
        <v>497</v>
      </c>
      <c r="D2359" t="s">
        <v>41</v>
      </c>
      <c r="E2359" t="s">
        <v>647</v>
      </c>
      <c r="F2359" t="s">
        <v>668</v>
      </c>
      <c r="G2359" s="10">
        <v>23</v>
      </c>
      <c r="H2359" s="10">
        <v>127044</v>
      </c>
      <c r="I2359" s="10">
        <v>2922012</v>
      </c>
      <c r="J2359" t="s">
        <v>42</v>
      </c>
      <c r="K2359" s="11">
        <v>3145.8</v>
      </c>
      <c r="L2359" s="12">
        <v>928.86</v>
      </c>
    </row>
    <row r="2360" spans="1:12" x14ac:dyDescent="0.2">
      <c r="A2360" s="9">
        <v>46247</v>
      </c>
      <c r="B2360" t="s">
        <v>496</v>
      </c>
      <c r="C2360" t="s">
        <v>497</v>
      </c>
      <c r="D2360" t="s">
        <v>41</v>
      </c>
      <c r="E2360" t="s">
        <v>655</v>
      </c>
      <c r="F2360" t="s">
        <v>665</v>
      </c>
      <c r="G2360" s="10">
        <v>40</v>
      </c>
      <c r="H2360" s="10">
        <v>3450</v>
      </c>
      <c r="I2360" s="10">
        <v>138000</v>
      </c>
      <c r="J2360" t="s">
        <v>42</v>
      </c>
      <c r="K2360" s="11">
        <v>3145.8</v>
      </c>
      <c r="L2360" s="12">
        <v>43.87</v>
      </c>
    </row>
    <row r="2361" spans="1:12" x14ac:dyDescent="0.2">
      <c r="A2361" s="9">
        <v>46247</v>
      </c>
      <c r="B2361" t="s">
        <v>499</v>
      </c>
      <c r="C2361" t="s">
        <v>500</v>
      </c>
      <c r="D2361" t="s">
        <v>41</v>
      </c>
      <c r="E2361" t="s">
        <v>649</v>
      </c>
      <c r="F2361" t="s">
        <v>650</v>
      </c>
      <c r="G2361" s="10">
        <v>14</v>
      </c>
      <c r="H2361" s="10">
        <v>95244</v>
      </c>
      <c r="I2361" s="10">
        <v>1333416</v>
      </c>
      <c r="J2361" t="s">
        <v>42</v>
      </c>
      <c r="K2361" s="11">
        <v>3145.8</v>
      </c>
      <c r="L2361" s="12">
        <v>423.87</v>
      </c>
    </row>
    <row r="2362" spans="1:12" x14ac:dyDescent="0.2">
      <c r="A2362" s="9">
        <v>46247</v>
      </c>
      <c r="B2362" t="s">
        <v>502</v>
      </c>
      <c r="C2362" t="s">
        <v>503</v>
      </c>
      <c r="D2362" t="s">
        <v>41</v>
      </c>
      <c r="E2362" t="s">
        <v>660</v>
      </c>
      <c r="F2362" t="s">
        <v>670</v>
      </c>
      <c r="G2362" s="10">
        <v>2</v>
      </c>
      <c r="H2362" s="10">
        <v>72596</v>
      </c>
      <c r="I2362" s="10">
        <v>145192</v>
      </c>
      <c r="J2362" t="s">
        <v>42</v>
      </c>
      <c r="K2362" s="11">
        <v>3145.8</v>
      </c>
      <c r="L2362" s="12">
        <v>46.15</v>
      </c>
    </row>
    <row r="2363" spans="1:12" x14ac:dyDescent="0.2">
      <c r="A2363" s="9">
        <v>46247</v>
      </c>
      <c r="B2363" t="s">
        <v>508</v>
      </c>
      <c r="C2363" t="s">
        <v>509</v>
      </c>
      <c r="D2363" t="s">
        <v>68</v>
      </c>
      <c r="E2363" t="s">
        <v>653</v>
      </c>
      <c r="F2363" t="s">
        <v>666</v>
      </c>
      <c r="G2363" s="10">
        <v>3</v>
      </c>
      <c r="H2363" s="10">
        <v>1557</v>
      </c>
      <c r="I2363" s="10">
        <v>4671</v>
      </c>
      <c r="J2363" t="s">
        <v>51</v>
      </c>
      <c r="K2363" s="11">
        <v>648.20000000000005</v>
      </c>
      <c r="L2363" s="12">
        <v>7.21</v>
      </c>
    </row>
    <row r="2364" spans="1:12" x14ac:dyDescent="0.2">
      <c r="A2364" s="9">
        <v>46247</v>
      </c>
      <c r="B2364" t="s">
        <v>517</v>
      </c>
      <c r="C2364" t="s">
        <v>518</v>
      </c>
      <c r="D2364" t="s">
        <v>41</v>
      </c>
      <c r="E2364" t="s">
        <v>660</v>
      </c>
      <c r="F2364" t="s">
        <v>669</v>
      </c>
      <c r="G2364" s="10">
        <v>19</v>
      </c>
      <c r="H2364" s="10">
        <v>12566</v>
      </c>
      <c r="I2364" s="10">
        <v>238754</v>
      </c>
      <c r="J2364" t="s">
        <v>42</v>
      </c>
      <c r="K2364" s="11">
        <v>3145.8</v>
      </c>
      <c r="L2364" s="12">
        <v>75.900000000000006</v>
      </c>
    </row>
    <row r="2365" spans="1:12" x14ac:dyDescent="0.2">
      <c r="A2365" s="9">
        <v>46247</v>
      </c>
      <c r="B2365" t="s">
        <v>517</v>
      </c>
      <c r="C2365" t="s">
        <v>518</v>
      </c>
      <c r="D2365" t="s">
        <v>41</v>
      </c>
      <c r="E2365" t="s">
        <v>660</v>
      </c>
      <c r="F2365" t="s">
        <v>669</v>
      </c>
      <c r="G2365" s="10">
        <v>21</v>
      </c>
      <c r="H2365" s="10">
        <v>12216</v>
      </c>
      <c r="I2365" s="10">
        <v>256536</v>
      </c>
      <c r="J2365" t="s">
        <v>42</v>
      </c>
      <c r="K2365" s="11">
        <v>3145.8</v>
      </c>
      <c r="L2365" s="12">
        <v>81.55</v>
      </c>
    </row>
    <row r="2366" spans="1:12" x14ac:dyDescent="0.2">
      <c r="A2366" s="9">
        <v>46247</v>
      </c>
      <c r="B2366" t="s">
        <v>517</v>
      </c>
      <c r="C2366" t="s">
        <v>518</v>
      </c>
      <c r="D2366" t="s">
        <v>41</v>
      </c>
      <c r="E2366" t="s">
        <v>647</v>
      </c>
      <c r="F2366" t="s">
        <v>667</v>
      </c>
      <c r="G2366" s="10">
        <v>13</v>
      </c>
      <c r="H2366" s="10">
        <v>35126</v>
      </c>
      <c r="I2366" s="10">
        <v>456638</v>
      </c>
      <c r="J2366" t="s">
        <v>42</v>
      </c>
      <c r="K2366" s="11">
        <v>3145.8</v>
      </c>
      <c r="L2366" s="12">
        <v>145.16</v>
      </c>
    </row>
    <row r="2367" spans="1:12" x14ac:dyDescent="0.2">
      <c r="A2367" s="9">
        <v>46247</v>
      </c>
      <c r="B2367" t="s">
        <v>522</v>
      </c>
      <c r="C2367" t="s">
        <v>523</v>
      </c>
      <c r="D2367" t="s">
        <v>50</v>
      </c>
      <c r="E2367" t="s">
        <v>651</v>
      </c>
      <c r="F2367" t="s">
        <v>652</v>
      </c>
      <c r="G2367" s="10">
        <v>18</v>
      </c>
      <c r="H2367" s="10">
        <v>9776</v>
      </c>
      <c r="I2367" s="10">
        <v>175968</v>
      </c>
      <c r="J2367" t="s">
        <v>51</v>
      </c>
      <c r="K2367" s="11">
        <v>648.20000000000005</v>
      </c>
      <c r="L2367" s="12">
        <v>271.47000000000003</v>
      </c>
    </row>
    <row r="2368" spans="1:12" x14ac:dyDescent="0.2">
      <c r="A2368" s="9">
        <v>46247</v>
      </c>
      <c r="B2368" t="s">
        <v>522</v>
      </c>
      <c r="C2368" t="s">
        <v>523</v>
      </c>
      <c r="D2368" t="s">
        <v>50</v>
      </c>
      <c r="E2368" t="s">
        <v>655</v>
      </c>
      <c r="F2368" t="s">
        <v>656</v>
      </c>
      <c r="G2368" s="10">
        <v>19</v>
      </c>
      <c r="H2368" s="10">
        <v>581</v>
      </c>
      <c r="I2368" s="10">
        <v>11039</v>
      </c>
      <c r="J2368" t="s">
        <v>51</v>
      </c>
      <c r="K2368" s="11">
        <v>648.20000000000005</v>
      </c>
      <c r="L2368" s="12">
        <v>17.03</v>
      </c>
    </row>
    <row r="2369" spans="1:12" x14ac:dyDescent="0.2">
      <c r="A2369" s="9">
        <v>46247</v>
      </c>
      <c r="B2369" t="s">
        <v>528</v>
      </c>
      <c r="C2369" t="s">
        <v>529</v>
      </c>
      <c r="D2369" t="s">
        <v>46</v>
      </c>
      <c r="E2369" t="s">
        <v>660</v>
      </c>
      <c r="F2369" t="s">
        <v>670</v>
      </c>
      <c r="G2369" s="10">
        <v>15</v>
      </c>
      <c r="H2369" s="10">
        <v>14468</v>
      </c>
      <c r="I2369" s="10">
        <v>217020</v>
      </c>
      <c r="J2369" t="s">
        <v>37</v>
      </c>
      <c r="K2369" s="11">
        <v>648.20000000000005</v>
      </c>
      <c r="L2369" s="12">
        <v>334.8</v>
      </c>
    </row>
    <row r="2370" spans="1:12" x14ac:dyDescent="0.2">
      <c r="A2370" s="9">
        <v>46247</v>
      </c>
      <c r="B2370" t="s">
        <v>528</v>
      </c>
      <c r="C2370" t="s">
        <v>529</v>
      </c>
      <c r="D2370" t="s">
        <v>46</v>
      </c>
      <c r="E2370" t="s">
        <v>660</v>
      </c>
      <c r="F2370" t="s">
        <v>661</v>
      </c>
      <c r="G2370" s="10">
        <v>48</v>
      </c>
      <c r="H2370" s="10">
        <v>4223</v>
      </c>
      <c r="I2370" s="10">
        <v>202704</v>
      </c>
      <c r="J2370" t="s">
        <v>37</v>
      </c>
      <c r="K2370" s="11">
        <v>648.20000000000005</v>
      </c>
      <c r="L2370" s="12">
        <v>312.72000000000003</v>
      </c>
    </row>
    <row r="2371" spans="1:12" x14ac:dyDescent="0.2">
      <c r="A2371" s="9">
        <v>46247</v>
      </c>
      <c r="B2371" t="s">
        <v>531</v>
      </c>
      <c r="C2371" t="s">
        <v>532</v>
      </c>
      <c r="D2371" t="s">
        <v>50</v>
      </c>
      <c r="E2371" t="s">
        <v>649</v>
      </c>
      <c r="F2371" t="s">
        <v>659</v>
      </c>
      <c r="G2371" s="10">
        <v>18</v>
      </c>
      <c r="H2371" s="10">
        <v>8639</v>
      </c>
      <c r="I2371" s="10">
        <v>155502</v>
      </c>
      <c r="J2371" t="s">
        <v>51</v>
      </c>
      <c r="K2371" s="11">
        <v>648.20000000000005</v>
      </c>
      <c r="L2371" s="12">
        <v>239.9</v>
      </c>
    </row>
    <row r="2372" spans="1:12" x14ac:dyDescent="0.2">
      <c r="A2372" s="9">
        <v>46247</v>
      </c>
      <c r="B2372" t="s">
        <v>531</v>
      </c>
      <c r="C2372" t="s">
        <v>532</v>
      </c>
      <c r="D2372" t="s">
        <v>50</v>
      </c>
      <c r="E2372" t="s">
        <v>655</v>
      </c>
      <c r="F2372" t="s">
        <v>662</v>
      </c>
      <c r="G2372" s="10">
        <v>134</v>
      </c>
      <c r="H2372" s="10">
        <v>1158</v>
      </c>
      <c r="I2372" s="10">
        <v>155172</v>
      </c>
      <c r="J2372" t="s">
        <v>51</v>
      </c>
      <c r="K2372" s="11">
        <v>648.20000000000005</v>
      </c>
      <c r="L2372" s="12">
        <v>239.39</v>
      </c>
    </row>
    <row r="2373" spans="1:12" x14ac:dyDescent="0.2">
      <c r="A2373" s="9">
        <v>46247</v>
      </c>
      <c r="B2373" t="s">
        <v>531</v>
      </c>
      <c r="C2373" t="s">
        <v>532</v>
      </c>
      <c r="D2373" t="s">
        <v>50</v>
      </c>
      <c r="E2373" t="s">
        <v>660</v>
      </c>
      <c r="F2373" t="s">
        <v>669</v>
      </c>
      <c r="G2373" s="10">
        <v>91</v>
      </c>
      <c r="H2373" s="10">
        <v>2503</v>
      </c>
      <c r="I2373" s="10">
        <v>227773</v>
      </c>
      <c r="J2373" t="s">
        <v>51</v>
      </c>
      <c r="K2373" s="11">
        <v>648.20000000000005</v>
      </c>
      <c r="L2373" s="12">
        <v>351.39</v>
      </c>
    </row>
    <row r="2374" spans="1:12" x14ac:dyDescent="0.2">
      <c r="A2374" s="9">
        <v>46247</v>
      </c>
      <c r="B2374" t="s">
        <v>531</v>
      </c>
      <c r="C2374" t="s">
        <v>532</v>
      </c>
      <c r="D2374" t="s">
        <v>50</v>
      </c>
      <c r="E2374" t="s">
        <v>655</v>
      </c>
      <c r="F2374" t="s">
        <v>656</v>
      </c>
      <c r="G2374" s="10">
        <v>47</v>
      </c>
      <c r="H2374" s="10">
        <v>574</v>
      </c>
      <c r="I2374" s="10">
        <v>26978</v>
      </c>
      <c r="J2374" t="s">
        <v>51</v>
      </c>
      <c r="K2374" s="11">
        <v>648.20000000000005</v>
      </c>
      <c r="L2374" s="12">
        <v>41.62</v>
      </c>
    </row>
    <row r="2375" spans="1:12" x14ac:dyDescent="0.2">
      <c r="A2375" s="9">
        <v>46247</v>
      </c>
      <c r="B2375" t="s">
        <v>537</v>
      </c>
      <c r="C2375" t="s">
        <v>538</v>
      </c>
      <c r="D2375" t="s">
        <v>68</v>
      </c>
      <c r="E2375" t="s">
        <v>649</v>
      </c>
      <c r="F2375" t="s">
        <v>659</v>
      </c>
      <c r="G2375" s="10">
        <v>38</v>
      </c>
      <c r="H2375" s="10">
        <v>8871</v>
      </c>
      <c r="I2375" s="10">
        <v>337098</v>
      </c>
      <c r="J2375" t="s">
        <v>51</v>
      </c>
      <c r="K2375" s="11">
        <v>648.20000000000005</v>
      </c>
      <c r="L2375" s="12">
        <v>520.04999999999995</v>
      </c>
    </row>
    <row r="2376" spans="1:12" x14ac:dyDescent="0.2">
      <c r="A2376" s="9">
        <v>46247</v>
      </c>
      <c r="B2376" t="s">
        <v>540</v>
      </c>
      <c r="C2376" t="s">
        <v>541</v>
      </c>
      <c r="D2376" t="s">
        <v>41</v>
      </c>
      <c r="E2376" t="s">
        <v>647</v>
      </c>
      <c r="F2376" t="s">
        <v>668</v>
      </c>
      <c r="G2376" s="10">
        <v>8</v>
      </c>
      <c r="H2376" s="10">
        <v>118957</v>
      </c>
      <c r="I2376" s="10">
        <v>951656</v>
      </c>
      <c r="J2376" t="s">
        <v>42</v>
      </c>
      <c r="K2376" s="11">
        <v>3145.8</v>
      </c>
      <c r="L2376" s="12">
        <v>302.52</v>
      </c>
    </row>
    <row r="2377" spans="1:12" x14ac:dyDescent="0.2">
      <c r="A2377" s="9">
        <v>46247</v>
      </c>
      <c r="B2377" t="s">
        <v>540</v>
      </c>
      <c r="C2377" t="s">
        <v>541</v>
      </c>
      <c r="D2377" t="s">
        <v>41</v>
      </c>
      <c r="E2377" t="s">
        <v>647</v>
      </c>
      <c r="F2377" t="s">
        <v>668</v>
      </c>
      <c r="G2377" s="10">
        <v>11</v>
      </c>
      <c r="H2377" s="10">
        <v>120540</v>
      </c>
      <c r="I2377" s="10">
        <v>1325940</v>
      </c>
      <c r="J2377" t="s">
        <v>42</v>
      </c>
      <c r="K2377" s="11">
        <v>3145.8</v>
      </c>
      <c r="L2377" s="12">
        <v>421.5</v>
      </c>
    </row>
    <row r="2378" spans="1:12" x14ac:dyDescent="0.2">
      <c r="A2378" s="9">
        <v>46247</v>
      </c>
      <c r="B2378" t="s">
        <v>540</v>
      </c>
      <c r="C2378" t="s">
        <v>541</v>
      </c>
      <c r="D2378" t="s">
        <v>41</v>
      </c>
      <c r="E2378" t="s">
        <v>655</v>
      </c>
      <c r="F2378" t="s">
        <v>665</v>
      </c>
      <c r="G2378" s="10">
        <v>5</v>
      </c>
      <c r="H2378" s="10">
        <v>3293</v>
      </c>
      <c r="I2378" s="10">
        <v>16465</v>
      </c>
      <c r="J2378" t="s">
        <v>42</v>
      </c>
      <c r="K2378" s="11">
        <v>3145.8</v>
      </c>
      <c r="L2378" s="12">
        <v>5.23</v>
      </c>
    </row>
    <row r="2379" spans="1:12" x14ac:dyDescent="0.2">
      <c r="A2379" s="9">
        <v>46247</v>
      </c>
      <c r="B2379" t="s">
        <v>546</v>
      </c>
      <c r="C2379" t="s">
        <v>547</v>
      </c>
      <c r="D2379" t="s">
        <v>41</v>
      </c>
      <c r="E2379" t="s">
        <v>653</v>
      </c>
      <c r="F2379" t="s">
        <v>658</v>
      </c>
      <c r="G2379" s="10">
        <v>4</v>
      </c>
      <c r="H2379" s="10">
        <v>12949</v>
      </c>
      <c r="I2379" s="10">
        <v>51796</v>
      </c>
      <c r="J2379" t="s">
        <v>42</v>
      </c>
      <c r="K2379" s="11">
        <v>3145.8</v>
      </c>
      <c r="L2379" s="12">
        <v>16.47</v>
      </c>
    </row>
    <row r="2380" spans="1:12" x14ac:dyDescent="0.2">
      <c r="A2380" s="9">
        <v>46247</v>
      </c>
      <c r="B2380" t="s">
        <v>546</v>
      </c>
      <c r="C2380" t="s">
        <v>547</v>
      </c>
      <c r="D2380" t="s">
        <v>41</v>
      </c>
      <c r="E2380" t="s">
        <v>649</v>
      </c>
      <c r="F2380" t="s">
        <v>663</v>
      </c>
      <c r="G2380" s="10">
        <v>5</v>
      </c>
      <c r="H2380" s="10">
        <v>10057</v>
      </c>
      <c r="I2380" s="10">
        <v>50285</v>
      </c>
      <c r="J2380" t="s">
        <v>42</v>
      </c>
      <c r="K2380" s="11">
        <v>3145.8</v>
      </c>
      <c r="L2380" s="12">
        <v>15.98</v>
      </c>
    </row>
    <row r="2381" spans="1:12" x14ac:dyDescent="0.2">
      <c r="A2381" s="9">
        <v>46247</v>
      </c>
      <c r="B2381" t="s">
        <v>546</v>
      </c>
      <c r="C2381" t="s">
        <v>547</v>
      </c>
      <c r="D2381" t="s">
        <v>41</v>
      </c>
      <c r="E2381" t="s">
        <v>649</v>
      </c>
      <c r="F2381" t="s">
        <v>659</v>
      </c>
      <c r="G2381" s="10">
        <v>6</v>
      </c>
      <c r="H2381" s="10">
        <v>42826</v>
      </c>
      <c r="I2381" s="10">
        <v>256956</v>
      </c>
      <c r="J2381" t="s">
        <v>42</v>
      </c>
      <c r="K2381" s="11">
        <v>3145.8</v>
      </c>
      <c r="L2381" s="12">
        <v>81.680000000000007</v>
      </c>
    </row>
    <row r="2382" spans="1:12" x14ac:dyDescent="0.2">
      <c r="A2382" s="9">
        <v>46247</v>
      </c>
      <c r="B2382" t="s">
        <v>546</v>
      </c>
      <c r="C2382" t="s">
        <v>547</v>
      </c>
      <c r="D2382" t="s">
        <v>41</v>
      </c>
      <c r="E2382" t="s">
        <v>660</v>
      </c>
      <c r="F2382" t="s">
        <v>661</v>
      </c>
      <c r="G2382" s="10">
        <v>7</v>
      </c>
      <c r="H2382" s="10">
        <v>20759</v>
      </c>
      <c r="I2382" s="10">
        <v>145313</v>
      </c>
      <c r="J2382" t="s">
        <v>42</v>
      </c>
      <c r="K2382" s="11">
        <v>3145.8</v>
      </c>
      <c r="L2382" s="12">
        <v>46.19</v>
      </c>
    </row>
    <row r="2383" spans="1:12" x14ac:dyDescent="0.2">
      <c r="A2383" s="9">
        <v>46247</v>
      </c>
      <c r="B2383" t="s">
        <v>549</v>
      </c>
      <c r="C2383" t="s">
        <v>550</v>
      </c>
      <c r="D2383" t="s">
        <v>41</v>
      </c>
      <c r="E2383" t="s">
        <v>647</v>
      </c>
      <c r="F2383" t="s">
        <v>668</v>
      </c>
      <c r="G2383" s="10">
        <v>41</v>
      </c>
      <c r="H2383" s="10">
        <v>119714</v>
      </c>
      <c r="I2383" s="10">
        <v>4908274</v>
      </c>
      <c r="J2383" t="s">
        <v>42</v>
      </c>
      <c r="K2383" s="11">
        <v>3145.8</v>
      </c>
      <c r="L2383" s="12">
        <v>1560.26</v>
      </c>
    </row>
    <row r="2384" spans="1:12" x14ac:dyDescent="0.2">
      <c r="A2384" s="9">
        <v>46247</v>
      </c>
      <c r="B2384" t="s">
        <v>552</v>
      </c>
      <c r="C2384" t="s">
        <v>553</v>
      </c>
      <c r="D2384" t="s">
        <v>41</v>
      </c>
      <c r="E2384" t="s">
        <v>649</v>
      </c>
      <c r="F2384" t="s">
        <v>650</v>
      </c>
      <c r="G2384" s="10">
        <v>2</v>
      </c>
      <c r="H2384" s="10">
        <v>93494</v>
      </c>
      <c r="I2384" s="10">
        <v>186988</v>
      </c>
      <c r="J2384" t="s">
        <v>42</v>
      </c>
      <c r="K2384" s="11">
        <v>3145.8</v>
      </c>
      <c r="L2384" s="12">
        <v>59.44</v>
      </c>
    </row>
    <row r="2385" spans="1:12" x14ac:dyDescent="0.2">
      <c r="A2385" s="9">
        <v>46247</v>
      </c>
      <c r="B2385" t="s">
        <v>552</v>
      </c>
      <c r="C2385" t="s">
        <v>553</v>
      </c>
      <c r="D2385" t="s">
        <v>41</v>
      </c>
      <c r="E2385" t="s">
        <v>647</v>
      </c>
      <c r="F2385" t="s">
        <v>667</v>
      </c>
      <c r="G2385" s="10">
        <v>15</v>
      </c>
      <c r="H2385" s="10">
        <v>35114</v>
      </c>
      <c r="I2385" s="10">
        <v>526710</v>
      </c>
      <c r="J2385" t="s">
        <v>42</v>
      </c>
      <c r="K2385" s="11">
        <v>3145.8</v>
      </c>
      <c r="L2385" s="12">
        <v>167.43</v>
      </c>
    </row>
    <row r="2386" spans="1:12" x14ac:dyDescent="0.2">
      <c r="A2386" s="9">
        <v>46247</v>
      </c>
      <c r="B2386" t="s">
        <v>552</v>
      </c>
      <c r="C2386" t="s">
        <v>553</v>
      </c>
      <c r="D2386" t="s">
        <v>41</v>
      </c>
      <c r="E2386" t="s">
        <v>651</v>
      </c>
      <c r="F2386" t="s">
        <v>657</v>
      </c>
      <c r="G2386" s="10">
        <v>36</v>
      </c>
      <c r="H2386" s="10">
        <v>31791</v>
      </c>
      <c r="I2386" s="10">
        <v>1144476</v>
      </c>
      <c r="J2386" t="s">
        <v>42</v>
      </c>
      <c r="K2386" s="11">
        <v>3145.8</v>
      </c>
      <c r="L2386" s="12">
        <v>363.81</v>
      </c>
    </row>
    <row r="2387" spans="1:12" x14ac:dyDescent="0.2">
      <c r="A2387" s="9">
        <v>46247</v>
      </c>
      <c r="B2387" t="s">
        <v>555</v>
      </c>
      <c r="C2387" t="s">
        <v>556</v>
      </c>
      <c r="D2387" t="s">
        <v>41</v>
      </c>
      <c r="E2387" t="s">
        <v>660</v>
      </c>
      <c r="F2387" t="s">
        <v>661</v>
      </c>
      <c r="G2387" s="10">
        <v>24</v>
      </c>
      <c r="H2387" s="10">
        <v>20363</v>
      </c>
      <c r="I2387" s="10">
        <v>488712</v>
      </c>
      <c r="J2387" t="s">
        <v>42</v>
      </c>
      <c r="K2387" s="11">
        <v>3145.8</v>
      </c>
      <c r="L2387" s="12">
        <v>155.35</v>
      </c>
    </row>
    <row r="2388" spans="1:12" x14ac:dyDescent="0.2">
      <c r="A2388" s="9">
        <v>46247</v>
      </c>
      <c r="B2388" t="s">
        <v>555</v>
      </c>
      <c r="C2388" t="s">
        <v>556</v>
      </c>
      <c r="D2388" t="s">
        <v>41</v>
      </c>
      <c r="E2388" t="s">
        <v>655</v>
      </c>
      <c r="F2388" t="s">
        <v>656</v>
      </c>
      <c r="G2388" s="10">
        <v>1</v>
      </c>
      <c r="H2388" s="10">
        <v>2763</v>
      </c>
      <c r="I2388" s="10">
        <v>2763</v>
      </c>
      <c r="J2388" t="s">
        <v>42</v>
      </c>
      <c r="K2388" s="11">
        <v>3145.8</v>
      </c>
      <c r="L2388" s="12">
        <v>0.88</v>
      </c>
    </row>
    <row r="2389" spans="1:12" x14ac:dyDescent="0.2">
      <c r="A2389" s="9">
        <v>46247</v>
      </c>
      <c r="B2389" t="s">
        <v>558</v>
      </c>
      <c r="C2389" t="s">
        <v>559</v>
      </c>
      <c r="D2389" t="s">
        <v>75</v>
      </c>
      <c r="E2389" t="s">
        <v>660</v>
      </c>
      <c r="F2389" t="s">
        <v>669</v>
      </c>
      <c r="G2389" s="10">
        <v>5</v>
      </c>
      <c r="H2389" s="10">
        <v>12276</v>
      </c>
      <c r="I2389" s="10">
        <v>61380</v>
      </c>
      <c r="J2389" t="s">
        <v>42</v>
      </c>
      <c r="K2389" s="11">
        <v>3145.8</v>
      </c>
      <c r="L2389" s="12">
        <v>19.510000000000002</v>
      </c>
    </row>
    <row r="2390" spans="1:12" x14ac:dyDescent="0.2">
      <c r="A2390" s="9">
        <v>46247</v>
      </c>
      <c r="B2390" t="s">
        <v>558</v>
      </c>
      <c r="C2390" t="s">
        <v>559</v>
      </c>
      <c r="D2390" t="s">
        <v>75</v>
      </c>
      <c r="E2390" t="s">
        <v>651</v>
      </c>
      <c r="F2390" t="s">
        <v>657</v>
      </c>
      <c r="G2390" s="10">
        <v>9</v>
      </c>
      <c r="H2390" s="10">
        <v>31077</v>
      </c>
      <c r="I2390" s="10">
        <v>279693</v>
      </c>
      <c r="J2390" t="s">
        <v>42</v>
      </c>
      <c r="K2390" s="11">
        <v>3145.8</v>
      </c>
      <c r="L2390" s="12">
        <v>88.91</v>
      </c>
    </row>
    <row r="2391" spans="1:12" x14ac:dyDescent="0.2">
      <c r="A2391" s="9">
        <v>46247</v>
      </c>
      <c r="B2391" t="s">
        <v>561</v>
      </c>
      <c r="C2391" t="s">
        <v>562</v>
      </c>
      <c r="D2391" t="s">
        <v>46</v>
      </c>
      <c r="E2391" t="s">
        <v>653</v>
      </c>
      <c r="F2391" t="s">
        <v>658</v>
      </c>
      <c r="G2391" s="10">
        <v>31</v>
      </c>
      <c r="H2391" s="10">
        <v>2642</v>
      </c>
      <c r="I2391" s="10">
        <v>81902</v>
      </c>
      <c r="J2391" t="s">
        <v>37</v>
      </c>
      <c r="K2391" s="11">
        <v>648.20000000000005</v>
      </c>
      <c r="L2391" s="12">
        <v>126.35</v>
      </c>
    </row>
    <row r="2392" spans="1:12" x14ac:dyDescent="0.2">
      <c r="A2392" s="9">
        <v>46247</v>
      </c>
      <c r="B2392" t="s">
        <v>561</v>
      </c>
      <c r="C2392" t="s">
        <v>562</v>
      </c>
      <c r="D2392" t="s">
        <v>46</v>
      </c>
      <c r="E2392" t="s">
        <v>660</v>
      </c>
      <c r="F2392" t="s">
        <v>669</v>
      </c>
      <c r="G2392" s="10">
        <v>21</v>
      </c>
      <c r="H2392" s="10">
        <v>2560</v>
      </c>
      <c r="I2392" s="10">
        <v>53760</v>
      </c>
      <c r="J2392" t="s">
        <v>37</v>
      </c>
      <c r="K2392" s="11">
        <v>648.20000000000005</v>
      </c>
      <c r="L2392" s="12">
        <v>82.94</v>
      </c>
    </row>
    <row r="2393" spans="1:12" x14ac:dyDescent="0.2">
      <c r="A2393" s="9">
        <v>46247</v>
      </c>
      <c r="B2393" t="s">
        <v>561</v>
      </c>
      <c r="C2393" t="s">
        <v>562</v>
      </c>
      <c r="D2393" t="s">
        <v>46</v>
      </c>
      <c r="E2393" t="s">
        <v>660</v>
      </c>
      <c r="F2393" t="s">
        <v>661</v>
      </c>
      <c r="G2393" s="10">
        <v>34</v>
      </c>
      <c r="H2393" s="10">
        <v>4091</v>
      </c>
      <c r="I2393" s="10">
        <v>139094</v>
      </c>
      <c r="J2393" t="s">
        <v>37</v>
      </c>
      <c r="K2393" s="11">
        <v>648.20000000000005</v>
      </c>
      <c r="L2393" s="12">
        <v>214.59</v>
      </c>
    </row>
    <row r="2394" spans="1:12" x14ac:dyDescent="0.2">
      <c r="A2394" s="9">
        <v>46247</v>
      </c>
      <c r="B2394" t="s">
        <v>564</v>
      </c>
      <c r="C2394" t="s">
        <v>565</v>
      </c>
      <c r="D2394" t="s">
        <v>41</v>
      </c>
      <c r="E2394" t="s">
        <v>660</v>
      </c>
      <c r="F2394" t="s">
        <v>670</v>
      </c>
      <c r="G2394" s="10">
        <v>15</v>
      </c>
      <c r="H2394" s="10">
        <v>72925</v>
      </c>
      <c r="I2394" s="10">
        <v>1093875</v>
      </c>
      <c r="J2394" t="s">
        <v>42</v>
      </c>
      <c r="K2394" s="11">
        <v>3145.8</v>
      </c>
      <c r="L2394" s="12">
        <v>347.73</v>
      </c>
    </row>
    <row r="2395" spans="1:12" x14ac:dyDescent="0.2">
      <c r="A2395" s="9">
        <v>46247</v>
      </c>
      <c r="B2395" t="s">
        <v>567</v>
      </c>
      <c r="C2395" t="s">
        <v>568</v>
      </c>
      <c r="D2395" t="s">
        <v>41</v>
      </c>
      <c r="E2395" t="s">
        <v>647</v>
      </c>
      <c r="F2395" t="s">
        <v>668</v>
      </c>
      <c r="G2395" s="10">
        <v>6</v>
      </c>
      <c r="H2395" s="10">
        <v>118788</v>
      </c>
      <c r="I2395" s="10">
        <v>712728</v>
      </c>
      <c r="J2395" t="s">
        <v>42</v>
      </c>
      <c r="K2395" s="11">
        <v>3145.8</v>
      </c>
      <c r="L2395" s="12">
        <v>226.56</v>
      </c>
    </row>
    <row r="2396" spans="1:12" x14ac:dyDescent="0.2">
      <c r="A2396" s="9">
        <v>46247</v>
      </c>
      <c r="B2396" t="s">
        <v>570</v>
      </c>
      <c r="C2396" t="s">
        <v>571</v>
      </c>
      <c r="D2396" t="s">
        <v>68</v>
      </c>
      <c r="E2396" t="s">
        <v>647</v>
      </c>
      <c r="F2396" t="s">
        <v>667</v>
      </c>
      <c r="G2396" s="10">
        <v>4</v>
      </c>
      <c r="H2396" s="10">
        <v>7055</v>
      </c>
      <c r="I2396" s="10">
        <v>28220</v>
      </c>
      <c r="J2396" t="s">
        <v>51</v>
      </c>
      <c r="K2396" s="11">
        <v>648.20000000000005</v>
      </c>
      <c r="L2396" s="12">
        <v>43.54</v>
      </c>
    </row>
    <row r="2397" spans="1:12" x14ac:dyDescent="0.2">
      <c r="A2397" s="9">
        <v>46247</v>
      </c>
      <c r="B2397" t="s">
        <v>579</v>
      </c>
      <c r="C2397" t="s">
        <v>580</v>
      </c>
      <c r="D2397" t="s">
        <v>75</v>
      </c>
      <c r="E2397" t="s">
        <v>660</v>
      </c>
      <c r="F2397" t="s">
        <v>661</v>
      </c>
      <c r="G2397" s="10">
        <v>4</v>
      </c>
      <c r="H2397" s="10">
        <v>20332</v>
      </c>
      <c r="I2397" s="10">
        <v>81328</v>
      </c>
      <c r="J2397" t="s">
        <v>42</v>
      </c>
      <c r="K2397" s="11">
        <v>3145.8</v>
      </c>
      <c r="L2397" s="12">
        <v>25.85</v>
      </c>
    </row>
    <row r="2398" spans="1:12" x14ac:dyDescent="0.2">
      <c r="A2398" s="9">
        <v>46247</v>
      </c>
      <c r="B2398" t="s">
        <v>579</v>
      </c>
      <c r="C2398" t="s">
        <v>580</v>
      </c>
      <c r="D2398" t="s">
        <v>75</v>
      </c>
      <c r="E2398" t="s">
        <v>647</v>
      </c>
      <c r="F2398" t="s">
        <v>648</v>
      </c>
      <c r="G2398" s="10">
        <v>3</v>
      </c>
      <c r="H2398" s="10">
        <v>79439</v>
      </c>
      <c r="I2398" s="10">
        <v>238317</v>
      </c>
      <c r="J2398" t="s">
        <v>42</v>
      </c>
      <c r="K2398" s="11">
        <v>3145.8</v>
      </c>
      <c r="L2398" s="12">
        <v>75.760000000000005</v>
      </c>
    </row>
    <row r="2399" spans="1:12" x14ac:dyDescent="0.2">
      <c r="A2399" s="9">
        <v>46247</v>
      </c>
      <c r="B2399" t="s">
        <v>582</v>
      </c>
      <c r="C2399" t="s">
        <v>583</v>
      </c>
      <c r="D2399" t="s">
        <v>36</v>
      </c>
      <c r="E2399" t="s">
        <v>647</v>
      </c>
      <c r="F2399" t="s">
        <v>668</v>
      </c>
      <c r="G2399" s="10">
        <v>19</v>
      </c>
      <c r="H2399" s="10">
        <v>25604</v>
      </c>
      <c r="I2399" s="10">
        <v>486476</v>
      </c>
      <c r="J2399" t="s">
        <v>37</v>
      </c>
      <c r="K2399" s="11">
        <v>648.20000000000005</v>
      </c>
      <c r="L2399" s="12">
        <v>750.5</v>
      </c>
    </row>
    <row r="2400" spans="1:12" x14ac:dyDescent="0.2">
      <c r="A2400" s="9">
        <v>46247</v>
      </c>
      <c r="B2400" t="s">
        <v>590</v>
      </c>
      <c r="C2400" t="s">
        <v>591</v>
      </c>
      <c r="D2400" t="s">
        <v>41</v>
      </c>
      <c r="E2400" t="s">
        <v>647</v>
      </c>
      <c r="F2400" t="s">
        <v>668</v>
      </c>
      <c r="G2400" s="10">
        <v>15</v>
      </c>
      <c r="H2400" s="10">
        <v>121358</v>
      </c>
      <c r="I2400" s="10">
        <v>1820370</v>
      </c>
      <c r="J2400" t="s">
        <v>42</v>
      </c>
      <c r="K2400" s="11">
        <v>3145.8</v>
      </c>
      <c r="L2400" s="12">
        <v>578.66999999999996</v>
      </c>
    </row>
    <row r="2401" spans="1:12" x14ac:dyDescent="0.2">
      <c r="A2401" s="9">
        <v>46247</v>
      </c>
      <c r="B2401" t="s">
        <v>599</v>
      </c>
      <c r="C2401" t="s">
        <v>600</v>
      </c>
      <c r="D2401" t="s">
        <v>75</v>
      </c>
      <c r="E2401" t="s">
        <v>649</v>
      </c>
      <c r="F2401" t="s">
        <v>663</v>
      </c>
      <c r="G2401" s="10">
        <v>13</v>
      </c>
      <c r="H2401" s="10">
        <v>9971</v>
      </c>
      <c r="I2401" s="10">
        <v>129623</v>
      </c>
      <c r="J2401" t="s">
        <v>42</v>
      </c>
      <c r="K2401" s="11">
        <v>3145.8</v>
      </c>
      <c r="L2401" s="12">
        <v>41.21</v>
      </c>
    </row>
    <row r="2402" spans="1:12" x14ac:dyDescent="0.2">
      <c r="A2402" s="9">
        <v>46247</v>
      </c>
      <c r="B2402" t="s">
        <v>602</v>
      </c>
      <c r="C2402" t="s">
        <v>603</v>
      </c>
      <c r="D2402" t="s">
        <v>50</v>
      </c>
      <c r="E2402" t="s">
        <v>653</v>
      </c>
      <c r="F2402" t="s">
        <v>666</v>
      </c>
      <c r="G2402" s="10">
        <v>59</v>
      </c>
      <c r="H2402" s="10">
        <v>1520</v>
      </c>
      <c r="I2402" s="10">
        <v>89680</v>
      </c>
      <c r="J2402" t="s">
        <v>51</v>
      </c>
      <c r="K2402" s="11">
        <v>648.20000000000005</v>
      </c>
      <c r="L2402" s="12">
        <v>138.35</v>
      </c>
    </row>
    <row r="2403" spans="1:12" x14ac:dyDescent="0.2">
      <c r="A2403" s="9">
        <v>46247</v>
      </c>
      <c r="B2403" t="s">
        <v>602</v>
      </c>
      <c r="C2403" t="s">
        <v>603</v>
      </c>
      <c r="D2403" t="s">
        <v>50</v>
      </c>
      <c r="E2403" t="s">
        <v>651</v>
      </c>
      <c r="F2403" t="s">
        <v>657</v>
      </c>
      <c r="G2403" s="10">
        <v>8</v>
      </c>
      <c r="H2403" s="10">
        <v>6315</v>
      </c>
      <c r="I2403" s="10">
        <v>50520</v>
      </c>
      <c r="J2403" t="s">
        <v>51</v>
      </c>
      <c r="K2403" s="11">
        <v>648.20000000000005</v>
      </c>
      <c r="L2403" s="12">
        <v>77.94</v>
      </c>
    </row>
    <row r="2404" spans="1:12" x14ac:dyDescent="0.2">
      <c r="A2404" s="9">
        <v>46247</v>
      </c>
      <c r="B2404" t="s">
        <v>614</v>
      </c>
      <c r="C2404" t="s">
        <v>615</v>
      </c>
      <c r="D2404" t="s">
        <v>68</v>
      </c>
      <c r="E2404" t="s">
        <v>660</v>
      </c>
      <c r="F2404" t="s">
        <v>670</v>
      </c>
      <c r="G2404" s="10">
        <v>13</v>
      </c>
      <c r="H2404" s="10">
        <v>14403</v>
      </c>
      <c r="I2404" s="10">
        <v>187239</v>
      </c>
      <c r="J2404" t="s">
        <v>51</v>
      </c>
      <c r="K2404" s="11">
        <v>648.20000000000005</v>
      </c>
      <c r="L2404" s="12">
        <v>288.86</v>
      </c>
    </row>
    <row r="2405" spans="1:12" x14ac:dyDescent="0.2">
      <c r="A2405" s="9">
        <v>46247</v>
      </c>
      <c r="B2405" t="s">
        <v>620</v>
      </c>
      <c r="C2405" t="s">
        <v>621</v>
      </c>
      <c r="D2405" t="s">
        <v>50</v>
      </c>
      <c r="E2405" t="s">
        <v>647</v>
      </c>
      <c r="F2405" t="s">
        <v>648</v>
      </c>
      <c r="G2405" s="10">
        <v>2</v>
      </c>
      <c r="H2405" s="10">
        <v>16687</v>
      </c>
      <c r="I2405" s="10">
        <v>33374</v>
      </c>
      <c r="J2405" t="s">
        <v>51</v>
      </c>
      <c r="K2405" s="11">
        <v>648.20000000000005</v>
      </c>
      <c r="L2405" s="12">
        <v>51.49</v>
      </c>
    </row>
    <row r="2406" spans="1:12" x14ac:dyDescent="0.2">
      <c r="A2406" s="9">
        <v>46247</v>
      </c>
      <c r="B2406" t="s">
        <v>623</v>
      </c>
      <c r="C2406" t="s">
        <v>624</v>
      </c>
      <c r="D2406" t="s">
        <v>68</v>
      </c>
      <c r="E2406" t="s">
        <v>647</v>
      </c>
      <c r="F2406" t="s">
        <v>648</v>
      </c>
      <c r="G2406" s="10">
        <v>24</v>
      </c>
      <c r="H2406" s="10">
        <v>16714</v>
      </c>
      <c r="I2406" s="10">
        <v>401136</v>
      </c>
      <c r="J2406" t="s">
        <v>51</v>
      </c>
      <c r="K2406" s="11">
        <v>648.20000000000005</v>
      </c>
      <c r="L2406" s="12">
        <v>618.85</v>
      </c>
    </row>
    <row r="2407" spans="1:12" x14ac:dyDescent="0.2">
      <c r="A2407" s="9">
        <v>46247</v>
      </c>
      <c r="B2407" t="s">
        <v>629</v>
      </c>
      <c r="C2407" t="s">
        <v>630</v>
      </c>
      <c r="D2407" t="s">
        <v>46</v>
      </c>
      <c r="E2407" t="s">
        <v>653</v>
      </c>
      <c r="F2407" t="s">
        <v>666</v>
      </c>
      <c r="G2407" s="10">
        <v>3</v>
      </c>
      <c r="H2407" s="10">
        <v>1458</v>
      </c>
      <c r="I2407" s="10">
        <v>4374</v>
      </c>
      <c r="J2407" t="s">
        <v>37</v>
      </c>
      <c r="K2407" s="11">
        <v>648.20000000000005</v>
      </c>
      <c r="L2407" s="12">
        <v>6.75</v>
      </c>
    </row>
    <row r="2408" spans="1:12" x14ac:dyDescent="0.2">
      <c r="A2408" s="9">
        <v>46247</v>
      </c>
      <c r="B2408" t="s">
        <v>629</v>
      </c>
      <c r="C2408" t="s">
        <v>630</v>
      </c>
      <c r="D2408" t="s">
        <v>46</v>
      </c>
      <c r="E2408" t="s">
        <v>649</v>
      </c>
      <c r="F2408" t="s">
        <v>650</v>
      </c>
      <c r="G2408" s="10">
        <v>8</v>
      </c>
      <c r="H2408" s="10">
        <v>19018</v>
      </c>
      <c r="I2408" s="10">
        <v>152144</v>
      </c>
      <c r="J2408" t="s">
        <v>37</v>
      </c>
      <c r="K2408" s="11">
        <v>648.20000000000005</v>
      </c>
      <c r="L2408" s="12">
        <v>234.72</v>
      </c>
    </row>
    <row r="2409" spans="1:12" x14ac:dyDescent="0.2">
      <c r="A2409" s="9">
        <v>46247</v>
      </c>
      <c r="B2409" t="s">
        <v>632</v>
      </c>
      <c r="C2409" t="s">
        <v>633</v>
      </c>
      <c r="D2409" t="s">
        <v>68</v>
      </c>
      <c r="E2409" t="s">
        <v>647</v>
      </c>
      <c r="F2409" t="s">
        <v>648</v>
      </c>
      <c r="G2409" s="10">
        <v>15</v>
      </c>
      <c r="H2409" s="10">
        <v>15844</v>
      </c>
      <c r="I2409" s="10">
        <v>237660</v>
      </c>
      <c r="J2409" t="s">
        <v>51</v>
      </c>
      <c r="K2409" s="11">
        <v>648.20000000000005</v>
      </c>
      <c r="L2409" s="12">
        <v>366.65</v>
      </c>
    </row>
    <row r="2410" spans="1:12" x14ac:dyDescent="0.2">
      <c r="A2410" s="9">
        <v>46247</v>
      </c>
      <c r="B2410" t="s">
        <v>635</v>
      </c>
      <c r="C2410" t="s">
        <v>636</v>
      </c>
      <c r="D2410" t="s">
        <v>41</v>
      </c>
      <c r="E2410" t="s">
        <v>660</v>
      </c>
      <c r="F2410" t="s">
        <v>670</v>
      </c>
      <c r="G2410" s="10">
        <v>7</v>
      </c>
      <c r="H2410" s="10">
        <v>69369</v>
      </c>
      <c r="I2410" s="10">
        <v>485583</v>
      </c>
      <c r="J2410" t="s">
        <v>42</v>
      </c>
      <c r="K2410" s="11">
        <v>3145.8</v>
      </c>
      <c r="L2410" s="12">
        <v>154.36000000000001</v>
      </c>
    </row>
    <row r="2411" spans="1:12" x14ac:dyDescent="0.2">
      <c r="A2411" s="9">
        <v>46248</v>
      </c>
      <c r="B2411" t="s">
        <v>48</v>
      </c>
      <c r="C2411" t="s">
        <v>49</v>
      </c>
      <c r="D2411" t="s">
        <v>50</v>
      </c>
      <c r="E2411" t="s">
        <v>647</v>
      </c>
      <c r="F2411" t="s">
        <v>667</v>
      </c>
      <c r="G2411" s="10">
        <v>14</v>
      </c>
      <c r="H2411" s="10">
        <v>7165</v>
      </c>
      <c r="I2411" s="10">
        <v>100310</v>
      </c>
      <c r="J2411" t="s">
        <v>51</v>
      </c>
      <c r="K2411" s="11">
        <v>648.20000000000005</v>
      </c>
      <c r="L2411" s="12">
        <v>154.75</v>
      </c>
    </row>
    <row r="2412" spans="1:12" x14ac:dyDescent="0.2">
      <c r="A2412" s="9">
        <v>46248</v>
      </c>
      <c r="B2412" t="s">
        <v>53</v>
      </c>
      <c r="C2412" t="s">
        <v>54</v>
      </c>
      <c r="D2412" t="s">
        <v>41</v>
      </c>
      <c r="E2412" t="s">
        <v>653</v>
      </c>
      <c r="F2412" t="s">
        <v>666</v>
      </c>
      <c r="G2412" s="10">
        <v>11</v>
      </c>
      <c r="H2412" s="10">
        <v>7272</v>
      </c>
      <c r="I2412" s="10">
        <v>79992</v>
      </c>
      <c r="J2412" t="s">
        <v>42</v>
      </c>
      <c r="K2412" s="11">
        <v>3145.8</v>
      </c>
      <c r="L2412" s="12">
        <v>25.43</v>
      </c>
    </row>
    <row r="2413" spans="1:12" x14ac:dyDescent="0.2">
      <c r="A2413" s="9">
        <v>46248</v>
      </c>
      <c r="B2413" t="s">
        <v>56</v>
      </c>
      <c r="C2413" t="s">
        <v>57</v>
      </c>
      <c r="D2413" t="s">
        <v>46</v>
      </c>
      <c r="E2413" t="s">
        <v>649</v>
      </c>
      <c r="F2413" t="s">
        <v>659</v>
      </c>
      <c r="G2413" s="10">
        <v>5</v>
      </c>
      <c r="H2413" s="10">
        <v>8933</v>
      </c>
      <c r="I2413" s="10">
        <v>44665</v>
      </c>
      <c r="J2413" t="s">
        <v>37</v>
      </c>
      <c r="K2413" s="11">
        <v>648.20000000000005</v>
      </c>
      <c r="L2413" s="12">
        <v>68.91</v>
      </c>
    </row>
    <row r="2414" spans="1:12" x14ac:dyDescent="0.2">
      <c r="A2414" s="9">
        <v>46248</v>
      </c>
      <c r="B2414" t="s">
        <v>66</v>
      </c>
      <c r="C2414" t="s">
        <v>67</v>
      </c>
      <c r="D2414" t="s">
        <v>68</v>
      </c>
      <c r="E2414" t="s">
        <v>649</v>
      </c>
      <c r="F2414" t="s">
        <v>659</v>
      </c>
      <c r="G2414" s="10">
        <v>25</v>
      </c>
      <c r="H2414" s="10">
        <v>8635</v>
      </c>
      <c r="I2414" s="10">
        <v>215875</v>
      </c>
      <c r="J2414" t="s">
        <v>51</v>
      </c>
      <c r="K2414" s="11">
        <v>648.20000000000005</v>
      </c>
      <c r="L2414" s="12">
        <v>333.04</v>
      </c>
    </row>
    <row r="2415" spans="1:12" x14ac:dyDescent="0.2">
      <c r="A2415" s="9">
        <v>46248</v>
      </c>
      <c r="B2415" t="s">
        <v>70</v>
      </c>
      <c r="C2415" t="s">
        <v>71</v>
      </c>
      <c r="D2415" t="s">
        <v>46</v>
      </c>
      <c r="E2415" t="s">
        <v>647</v>
      </c>
      <c r="F2415" t="s">
        <v>667</v>
      </c>
      <c r="G2415" s="10">
        <v>4</v>
      </c>
      <c r="H2415" s="10">
        <v>7137</v>
      </c>
      <c r="I2415" s="10">
        <v>28548</v>
      </c>
      <c r="J2415" t="s">
        <v>37</v>
      </c>
      <c r="K2415" s="11">
        <v>648.20000000000005</v>
      </c>
      <c r="L2415" s="12">
        <v>44.04</v>
      </c>
    </row>
    <row r="2416" spans="1:12" x14ac:dyDescent="0.2">
      <c r="A2416" s="9">
        <v>46248</v>
      </c>
      <c r="B2416" t="s">
        <v>73</v>
      </c>
      <c r="C2416" t="s">
        <v>74</v>
      </c>
      <c r="D2416" t="s">
        <v>75</v>
      </c>
      <c r="E2416" t="s">
        <v>660</v>
      </c>
      <c r="F2416" t="s">
        <v>670</v>
      </c>
      <c r="G2416" s="10">
        <v>24</v>
      </c>
      <c r="H2416" s="10">
        <v>69993</v>
      </c>
      <c r="I2416" s="10">
        <v>1679832</v>
      </c>
      <c r="J2416" t="s">
        <v>42</v>
      </c>
      <c r="K2416" s="11">
        <v>3145.8</v>
      </c>
      <c r="L2416" s="12">
        <v>533.99</v>
      </c>
    </row>
    <row r="2417" spans="1:12" x14ac:dyDescent="0.2">
      <c r="A2417" s="9">
        <v>46248</v>
      </c>
      <c r="B2417" t="s">
        <v>73</v>
      </c>
      <c r="C2417" t="s">
        <v>74</v>
      </c>
      <c r="D2417" t="s">
        <v>75</v>
      </c>
      <c r="E2417" t="s">
        <v>647</v>
      </c>
      <c r="F2417" t="s">
        <v>648</v>
      </c>
      <c r="G2417" s="10">
        <v>209</v>
      </c>
      <c r="H2417" s="10">
        <v>80569</v>
      </c>
      <c r="I2417" s="10">
        <v>16838921</v>
      </c>
      <c r="J2417" t="s">
        <v>42</v>
      </c>
      <c r="K2417" s="11">
        <v>3145.8</v>
      </c>
      <c r="L2417" s="12">
        <v>5352.83</v>
      </c>
    </row>
    <row r="2418" spans="1:12" x14ac:dyDescent="0.2">
      <c r="A2418" s="9">
        <v>46248</v>
      </c>
      <c r="B2418" t="s">
        <v>73</v>
      </c>
      <c r="C2418" t="s">
        <v>74</v>
      </c>
      <c r="D2418" t="s">
        <v>75</v>
      </c>
      <c r="E2418" t="s">
        <v>647</v>
      </c>
      <c r="F2418" t="s">
        <v>667</v>
      </c>
      <c r="G2418" s="10">
        <v>15</v>
      </c>
      <c r="H2418" s="10">
        <v>36092</v>
      </c>
      <c r="I2418" s="10">
        <v>541380</v>
      </c>
      <c r="J2418" t="s">
        <v>42</v>
      </c>
      <c r="K2418" s="11">
        <v>3145.8</v>
      </c>
      <c r="L2418" s="12">
        <v>172.1</v>
      </c>
    </row>
    <row r="2419" spans="1:12" x14ac:dyDescent="0.2">
      <c r="A2419" s="9">
        <v>46248</v>
      </c>
      <c r="B2419" t="s">
        <v>77</v>
      </c>
      <c r="C2419" t="s">
        <v>78</v>
      </c>
      <c r="D2419" t="s">
        <v>50</v>
      </c>
      <c r="E2419" t="s">
        <v>649</v>
      </c>
      <c r="F2419" t="s">
        <v>663</v>
      </c>
      <c r="G2419" s="10">
        <v>5</v>
      </c>
      <c r="H2419" s="10">
        <v>2042</v>
      </c>
      <c r="I2419" s="10">
        <v>10210</v>
      </c>
      <c r="J2419" t="s">
        <v>51</v>
      </c>
      <c r="K2419" s="11">
        <v>648.20000000000005</v>
      </c>
      <c r="L2419" s="12">
        <v>15.75</v>
      </c>
    </row>
    <row r="2420" spans="1:12" x14ac:dyDescent="0.2">
      <c r="A2420" s="9">
        <v>46248</v>
      </c>
      <c r="B2420" t="s">
        <v>77</v>
      </c>
      <c r="C2420" t="s">
        <v>78</v>
      </c>
      <c r="D2420" t="s">
        <v>50</v>
      </c>
      <c r="E2420" t="s">
        <v>647</v>
      </c>
      <c r="F2420" t="s">
        <v>648</v>
      </c>
      <c r="G2420" s="10">
        <v>58</v>
      </c>
      <c r="H2420" s="10">
        <v>15896</v>
      </c>
      <c r="I2420" s="10">
        <v>921968</v>
      </c>
      <c r="J2420" t="s">
        <v>51</v>
      </c>
      <c r="K2420" s="11">
        <v>648.20000000000005</v>
      </c>
      <c r="L2420" s="12">
        <v>1422.35</v>
      </c>
    </row>
    <row r="2421" spans="1:12" x14ac:dyDescent="0.2">
      <c r="A2421" s="9">
        <v>46248</v>
      </c>
      <c r="B2421" t="s">
        <v>83</v>
      </c>
      <c r="C2421" t="s">
        <v>84</v>
      </c>
      <c r="D2421" t="s">
        <v>41</v>
      </c>
      <c r="E2421" t="s">
        <v>647</v>
      </c>
      <c r="F2421" t="s">
        <v>667</v>
      </c>
      <c r="G2421" s="10">
        <v>26</v>
      </c>
      <c r="H2421" s="10">
        <v>35163</v>
      </c>
      <c r="I2421" s="10">
        <v>914238</v>
      </c>
      <c r="J2421" t="s">
        <v>42</v>
      </c>
      <c r="K2421" s="11">
        <v>3145.8</v>
      </c>
      <c r="L2421" s="12">
        <v>290.62</v>
      </c>
    </row>
    <row r="2422" spans="1:12" x14ac:dyDescent="0.2">
      <c r="A2422" s="9">
        <v>46248</v>
      </c>
      <c r="B2422" t="s">
        <v>86</v>
      </c>
      <c r="C2422" t="s">
        <v>87</v>
      </c>
      <c r="D2422" t="s">
        <v>50</v>
      </c>
      <c r="E2422" t="s">
        <v>653</v>
      </c>
      <c r="F2422" t="s">
        <v>666</v>
      </c>
      <c r="G2422" s="10">
        <v>8</v>
      </c>
      <c r="H2422" s="10">
        <v>1461</v>
      </c>
      <c r="I2422" s="10">
        <v>11688</v>
      </c>
      <c r="J2422" t="s">
        <v>51</v>
      </c>
      <c r="K2422" s="11">
        <v>648.20000000000005</v>
      </c>
      <c r="L2422" s="12">
        <v>18.03</v>
      </c>
    </row>
    <row r="2423" spans="1:12" x14ac:dyDescent="0.2">
      <c r="A2423" s="9">
        <v>46248</v>
      </c>
      <c r="B2423" t="s">
        <v>86</v>
      </c>
      <c r="C2423" t="s">
        <v>87</v>
      </c>
      <c r="D2423" t="s">
        <v>50</v>
      </c>
      <c r="E2423" t="s">
        <v>649</v>
      </c>
      <c r="F2423" t="s">
        <v>650</v>
      </c>
      <c r="G2423" s="10">
        <v>27</v>
      </c>
      <c r="H2423" s="10">
        <v>19813</v>
      </c>
      <c r="I2423" s="10">
        <v>534951</v>
      </c>
      <c r="J2423" t="s">
        <v>51</v>
      </c>
      <c r="K2423" s="11">
        <v>648.20000000000005</v>
      </c>
      <c r="L2423" s="12">
        <v>825.29</v>
      </c>
    </row>
    <row r="2424" spans="1:12" x14ac:dyDescent="0.2">
      <c r="A2424" s="9">
        <v>46248</v>
      </c>
      <c r="B2424" t="s">
        <v>86</v>
      </c>
      <c r="C2424" t="s">
        <v>87</v>
      </c>
      <c r="D2424" t="s">
        <v>50</v>
      </c>
      <c r="E2424" t="s">
        <v>655</v>
      </c>
      <c r="F2424" t="s">
        <v>662</v>
      </c>
      <c r="G2424" s="10">
        <v>23</v>
      </c>
      <c r="H2424" s="10">
        <v>1145</v>
      </c>
      <c r="I2424" s="10">
        <v>26335</v>
      </c>
      <c r="J2424" t="s">
        <v>51</v>
      </c>
      <c r="K2424" s="11">
        <v>648.20000000000005</v>
      </c>
      <c r="L2424" s="12">
        <v>40.630000000000003</v>
      </c>
    </row>
    <row r="2425" spans="1:12" x14ac:dyDescent="0.2">
      <c r="A2425" s="9">
        <v>46248</v>
      </c>
      <c r="B2425" t="s">
        <v>86</v>
      </c>
      <c r="C2425" t="s">
        <v>87</v>
      </c>
      <c r="D2425" t="s">
        <v>50</v>
      </c>
      <c r="E2425" t="s">
        <v>647</v>
      </c>
      <c r="F2425" t="s">
        <v>648</v>
      </c>
      <c r="G2425" s="10">
        <v>10</v>
      </c>
      <c r="H2425" s="10">
        <v>16169</v>
      </c>
      <c r="I2425" s="10">
        <v>161690</v>
      </c>
      <c r="J2425" t="s">
        <v>51</v>
      </c>
      <c r="K2425" s="11">
        <v>648.20000000000005</v>
      </c>
      <c r="L2425" s="12">
        <v>249.44</v>
      </c>
    </row>
    <row r="2426" spans="1:12" x14ac:dyDescent="0.2">
      <c r="A2426" s="9">
        <v>46248</v>
      </c>
      <c r="B2426" t="s">
        <v>89</v>
      </c>
      <c r="C2426" t="s">
        <v>90</v>
      </c>
      <c r="D2426" t="s">
        <v>68</v>
      </c>
      <c r="E2426" t="s">
        <v>653</v>
      </c>
      <c r="F2426" t="s">
        <v>654</v>
      </c>
      <c r="G2426" s="10">
        <v>36</v>
      </c>
      <c r="H2426" s="10">
        <v>5920</v>
      </c>
      <c r="I2426" s="10">
        <v>213120</v>
      </c>
      <c r="J2426" t="s">
        <v>51</v>
      </c>
      <c r="K2426" s="11">
        <v>648.20000000000005</v>
      </c>
      <c r="L2426" s="12">
        <v>328.79</v>
      </c>
    </row>
    <row r="2427" spans="1:12" x14ac:dyDescent="0.2">
      <c r="A2427" s="9">
        <v>46248</v>
      </c>
      <c r="B2427" t="s">
        <v>89</v>
      </c>
      <c r="C2427" t="s">
        <v>90</v>
      </c>
      <c r="D2427" t="s">
        <v>68</v>
      </c>
      <c r="E2427" t="s">
        <v>647</v>
      </c>
      <c r="F2427" t="s">
        <v>667</v>
      </c>
      <c r="G2427" s="10">
        <v>9</v>
      </c>
      <c r="H2427" s="10">
        <v>7160</v>
      </c>
      <c r="I2427" s="10">
        <v>64440</v>
      </c>
      <c r="J2427" t="s">
        <v>51</v>
      </c>
      <c r="K2427" s="11">
        <v>648.20000000000005</v>
      </c>
      <c r="L2427" s="12">
        <v>99.41</v>
      </c>
    </row>
    <row r="2428" spans="1:12" x14ac:dyDescent="0.2">
      <c r="A2428" s="9">
        <v>46248</v>
      </c>
      <c r="B2428" t="s">
        <v>102</v>
      </c>
      <c r="C2428" t="s">
        <v>103</v>
      </c>
      <c r="D2428" t="s">
        <v>41</v>
      </c>
      <c r="E2428" t="s">
        <v>660</v>
      </c>
      <c r="F2428" t="s">
        <v>661</v>
      </c>
      <c r="G2428" s="10">
        <v>14</v>
      </c>
      <c r="H2428" s="10">
        <v>20708</v>
      </c>
      <c r="I2428" s="10">
        <v>289912</v>
      </c>
      <c r="J2428" t="s">
        <v>42</v>
      </c>
      <c r="K2428" s="11">
        <v>3145.8</v>
      </c>
      <c r="L2428" s="12">
        <v>92.16</v>
      </c>
    </row>
    <row r="2429" spans="1:12" x14ac:dyDescent="0.2">
      <c r="A2429" s="9">
        <v>46248</v>
      </c>
      <c r="B2429" t="s">
        <v>105</v>
      </c>
      <c r="C2429" t="s">
        <v>106</v>
      </c>
      <c r="D2429" t="s">
        <v>41</v>
      </c>
      <c r="E2429" t="s">
        <v>649</v>
      </c>
      <c r="F2429" t="s">
        <v>663</v>
      </c>
      <c r="G2429" s="10">
        <v>1</v>
      </c>
      <c r="H2429" s="10">
        <v>10095</v>
      </c>
      <c r="I2429" s="10">
        <v>10095</v>
      </c>
      <c r="J2429" t="s">
        <v>42</v>
      </c>
      <c r="K2429" s="11">
        <v>3145.8</v>
      </c>
      <c r="L2429" s="12">
        <v>3.21</v>
      </c>
    </row>
    <row r="2430" spans="1:12" x14ac:dyDescent="0.2">
      <c r="A2430" s="9">
        <v>46248</v>
      </c>
      <c r="B2430" t="s">
        <v>111</v>
      </c>
      <c r="C2430" t="s">
        <v>112</v>
      </c>
      <c r="D2430" t="s">
        <v>41</v>
      </c>
      <c r="E2430" t="s">
        <v>647</v>
      </c>
      <c r="F2430" t="s">
        <v>667</v>
      </c>
      <c r="G2430" s="10">
        <v>62</v>
      </c>
      <c r="H2430" s="10">
        <v>34511</v>
      </c>
      <c r="I2430" s="10">
        <v>2139682</v>
      </c>
      <c r="J2430" t="s">
        <v>42</v>
      </c>
      <c r="K2430" s="11">
        <v>3145.8</v>
      </c>
      <c r="L2430" s="12">
        <v>680.17</v>
      </c>
    </row>
    <row r="2431" spans="1:12" x14ac:dyDescent="0.2">
      <c r="A2431" s="9">
        <v>46248</v>
      </c>
      <c r="B2431" t="s">
        <v>115</v>
      </c>
      <c r="C2431" t="s">
        <v>116</v>
      </c>
      <c r="D2431" t="s">
        <v>41</v>
      </c>
      <c r="E2431" t="s">
        <v>651</v>
      </c>
      <c r="F2431" t="s">
        <v>652</v>
      </c>
      <c r="G2431" s="10">
        <v>9</v>
      </c>
      <c r="H2431" s="10">
        <v>44970</v>
      </c>
      <c r="I2431" s="10">
        <v>404730</v>
      </c>
      <c r="J2431" t="s">
        <v>42</v>
      </c>
      <c r="K2431" s="11">
        <v>3145.8</v>
      </c>
      <c r="L2431" s="12">
        <v>128.66</v>
      </c>
    </row>
    <row r="2432" spans="1:12" x14ac:dyDescent="0.2">
      <c r="A2432" s="9">
        <v>46248</v>
      </c>
      <c r="B2432" t="s">
        <v>115</v>
      </c>
      <c r="C2432" t="s">
        <v>116</v>
      </c>
      <c r="D2432" t="s">
        <v>41</v>
      </c>
      <c r="E2432" t="s">
        <v>660</v>
      </c>
      <c r="F2432" t="s">
        <v>669</v>
      </c>
      <c r="G2432" s="10">
        <v>27</v>
      </c>
      <c r="H2432" s="10">
        <v>12089</v>
      </c>
      <c r="I2432" s="10">
        <v>326403</v>
      </c>
      <c r="J2432" t="s">
        <v>42</v>
      </c>
      <c r="K2432" s="11">
        <v>3145.8</v>
      </c>
      <c r="L2432" s="12">
        <v>103.76</v>
      </c>
    </row>
    <row r="2433" spans="1:12" x14ac:dyDescent="0.2">
      <c r="A2433" s="9">
        <v>46248</v>
      </c>
      <c r="B2433" t="s">
        <v>121</v>
      </c>
      <c r="C2433" t="s">
        <v>122</v>
      </c>
      <c r="D2433" t="s">
        <v>75</v>
      </c>
      <c r="E2433" t="s">
        <v>655</v>
      </c>
      <c r="F2433" t="s">
        <v>662</v>
      </c>
      <c r="G2433" s="10">
        <v>9</v>
      </c>
      <c r="H2433" s="10">
        <v>5253</v>
      </c>
      <c r="I2433" s="10">
        <v>47277</v>
      </c>
      <c r="J2433" t="s">
        <v>42</v>
      </c>
      <c r="K2433" s="11">
        <v>3145.8</v>
      </c>
      <c r="L2433" s="12">
        <v>15.03</v>
      </c>
    </row>
    <row r="2434" spans="1:12" x14ac:dyDescent="0.2">
      <c r="A2434" s="9">
        <v>46248</v>
      </c>
      <c r="B2434" t="s">
        <v>121</v>
      </c>
      <c r="C2434" t="s">
        <v>122</v>
      </c>
      <c r="D2434" t="s">
        <v>75</v>
      </c>
      <c r="E2434" t="s">
        <v>655</v>
      </c>
      <c r="F2434" t="s">
        <v>656</v>
      </c>
      <c r="G2434" s="10">
        <v>4</v>
      </c>
      <c r="H2434" s="10">
        <v>2816</v>
      </c>
      <c r="I2434" s="10">
        <v>11264</v>
      </c>
      <c r="J2434" t="s">
        <v>42</v>
      </c>
      <c r="K2434" s="11">
        <v>3145.8</v>
      </c>
      <c r="L2434" s="12">
        <v>3.58</v>
      </c>
    </row>
    <row r="2435" spans="1:12" x14ac:dyDescent="0.2">
      <c r="A2435" s="9">
        <v>46248</v>
      </c>
      <c r="B2435" t="s">
        <v>121</v>
      </c>
      <c r="C2435" t="s">
        <v>122</v>
      </c>
      <c r="D2435" t="s">
        <v>75</v>
      </c>
      <c r="E2435" t="s">
        <v>651</v>
      </c>
      <c r="F2435" t="s">
        <v>657</v>
      </c>
      <c r="G2435" s="10">
        <v>5</v>
      </c>
      <c r="H2435" s="10">
        <v>30413</v>
      </c>
      <c r="I2435" s="10">
        <v>152065</v>
      </c>
      <c r="J2435" t="s">
        <v>42</v>
      </c>
      <c r="K2435" s="11">
        <v>3145.8</v>
      </c>
      <c r="L2435" s="12">
        <v>48.34</v>
      </c>
    </row>
    <row r="2436" spans="1:12" x14ac:dyDescent="0.2">
      <c r="A2436" s="9">
        <v>46248</v>
      </c>
      <c r="B2436" t="s">
        <v>127</v>
      </c>
      <c r="C2436" t="s">
        <v>128</v>
      </c>
      <c r="D2436" t="s">
        <v>41</v>
      </c>
      <c r="E2436" t="s">
        <v>653</v>
      </c>
      <c r="F2436" t="s">
        <v>654</v>
      </c>
      <c r="G2436" s="10">
        <v>6</v>
      </c>
      <c r="H2436" s="10">
        <v>28332</v>
      </c>
      <c r="I2436" s="10">
        <v>169992</v>
      </c>
      <c r="J2436" t="s">
        <v>42</v>
      </c>
      <c r="K2436" s="11">
        <v>3145.8</v>
      </c>
      <c r="L2436" s="12">
        <v>54.04</v>
      </c>
    </row>
    <row r="2437" spans="1:12" x14ac:dyDescent="0.2">
      <c r="A2437" s="9">
        <v>46248</v>
      </c>
      <c r="B2437" t="s">
        <v>127</v>
      </c>
      <c r="C2437" t="s">
        <v>128</v>
      </c>
      <c r="D2437" t="s">
        <v>41</v>
      </c>
      <c r="E2437" t="s">
        <v>647</v>
      </c>
      <c r="F2437" t="s">
        <v>648</v>
      </c>
      <c r="G2437" s="10">
        <v>24</v>
      </c>
      <c r="H2437" s="10">
        <v>81077</v>
      </c>
      <c r="I2437" s="10">
        <v>1945848</v>
      </c>
      <c r="J2437" t="s">
        <v>42</v>
      </c>
      <c r="K2437" s="11">
        <v>3145.8</v>
      </c>
      <c r="L2437" s="12">
        <v>618.54999999999995</v>
      </c>
    </row>
    <row r="2438" spans="1:12" x14ac:dyDescent="0.2">
      <c r="A2438" s="9">
        <v>46248</v>
      </c>
      <c r="B2438" t="s">
        <v>130</v>
      </c>
      <c r="C2438" t="s">
        <v>131</v>
      </c>
      <c r="D2438" t="s">
        <v>46</v>
      </c>
      <c r="E2438" t="s">
        <v>651</v>
      </c>
      <c r="F2438" t="s">
        <v>657</v>
      </c>
      <c r="G2438" s="10">
        <v>4</v>
      </c>
      <c r="H2438" s="10">
        <v>6371</v>
      </c>
      <c r="I2438" s="10">
        <v>25484</v>
      </c>
      <c r="J2438" t="s">
        <v>37</v>
      </c>
      <c r="K2438" s="11">
        <v>648.20000000000005</v>
      </c>
      <c r="L2438" s="12">
        <v>39.32</v>
      </c>
    </row>
    <row r="2439" spans="1:12" x14ac:dyDescent="0.2">
      <c r="A2439" s="9">
        <v>46248</v>
      </c>
      <c r="B2439" t="s">
        <v>133</v>
      </c>
      <c r="C2439" t="s">
        <v>134</v>
      </c>
      <c r="D2439" t="s">
        <v>41</v>
      </c>
      <c r="E2439" t="s">
        <v>660</v>
      </c>
      <c r="F2439" t="s">
        <v>669</v>
      </c>
      <c r="G2439" s="10">
        <v>6</v>
      </c>
      <c r="H2439" s="10">
        <v>12952</v>
      </c>
      <c r="I2439" s="10">
        <v>77712</v>
      </c>
      <c r="J2439" t="s">
        <v>42</v>
      </c>
      <c r="K2439" s="11">
        <v>3145.8</v>
      </c>
      <c r="L2439" s="12">
        <v>24.7</v>
      </c>
    </row>
    <row r="2440" spans="1:12" x14ac:dyDescent="0.2">
      <c r="A2440" s="9">
        <v>46248</v>
      </c>
      <c r="B2440" t="s">
        <v>136</v>
      </c>
      <c r="C2440" t="s">
        <v>137</v>
      </c>
      <c r="D2440" t="s">
        <v>41</v>
      </c>
      <c r="E2440" t="s">
        <v>649</v>
      </c>
      <c r="F2440" t="s">
        <v>650</v>
      </c>
      <c r="G2440" s="10">
        <v>64</v>
      </c>
      <c r="H2440" s="10">
        <v>91449</v>
      </c>
      <c r="I2440" s="10">
        <v>5852736</v>
      </c>
      <c r="J2440" t="s">
        <v>42</v>
      </c>
      <c r="K2440" s="11">
        <v>3145.8</v>
      </c>
      <c r="L2440" s="12">
        <v>1860.49</v>
      </c>
    </row>
    <row r="2441" spans="1:12" x14ac:dyDescent="0.2">
      <c r="A2441" s="9">
        <v>46248</v>
      </c>
      <c r="B2441" t="s">
        <v>136</v>
      </c>
      <c r="C2441" t="s">
        <v>137</v>
      </c>
      <c r="D2441" t="s">
        <v>41</v>
      </c>
      <c r="E2441" t="s">
        <v>647</v>
      </c>
      <c r="F2441" t="s">
        <v>667</v>
      </c>
      <c r="G2441" s="10">
        <v>8</v>
      </c>
      <c r="H2441" s="10">
        <v>34496</v>
      </c>
      <c r="I2441" s="10">
        <v>275968</v>
      </c>
      <c r="J2441" t="s">
        <v>42</v>
      </c>
      <c r="K2441" s="11">
        <v>3145.8</v>
      </c>
      <c r="L2441" s="12">
        <v>87.73</v>
      </c>
    </row>
    <row r="2442" spans="1:12" x14ac:dyDescent="0.2">
      <c r="A2442" s="9">
        <v>46248</v>
      </c>
      <c r="B2442" t="s">
        <v>136</v>
      </c>
      <c r="C2442" t="s">
        <v>137</v>
      </c>
      <c r="D2442" t="s">
        <v>41</v>
      </c>
      <c r="E2442" t="s">
        <v>651</v>
      </c>
      <c r="F2442" t="s">
        <v>664</v>
      </c>
      <c r="G2442" s="10">
        <v>19</v>
      </c>
      <c r="H2442" s="10">
        <v>57797</v>
      </c>
      <c r="I2442" s="10">
        <v>1098143</v>
      </c>
      <c r="J2442" t="s">
        <v>42</v>
      </c>
      <c r="K2442" s="11">
        <v>3145.8</v>
      </c>
      <c r="L2442" s="12">
        <v>349.08</v>
      </c>
    </row>
    <row r="2443" spans="1:12" x14ac:dyDescent="0.2">
      <c r="A2443" s="9">
        <v>46248</v>
      </c>
      <c r="B2443" t="s">
        <v>142</v>
      </c>
      <c r="C2443" t="s">
        <v>143</v>
      </c>
      <c r="D2443" t="s">
        <v>75</v>
      </c>
      <c r="E2443" t="s">
        <v>649</v>
      </c>
      <c r="F2443" t="s">
        <v>650</v>
      </c>
      <c r="G2443" s="10">
        <v>23</v>
      </c>
      <c r="H2443" s="10">
        <v>93024</v>
      </c>
      <c r="I2443" s="10">
        <v>2139552</v>
      </c>
      <c r="J2443" t="s">
        <v>42</v>
      </c>
      <c r="K2443" s="11">
        <v>3145.8</v>
      </c>
      <c r="L2443" s="12">
        <v>680.13</v>
      </c>
    </row>
    <row r="2444" spans="1:12" x14ac:dyDescent="0.2">
      <c r="A2444" s="9">
        <v>46248</v>
      </c>
      <c r="B2444" t="s">
        <v>142</v>
      </c>
      <c r="C2444" t="s">
        <v>143</v>
      </c>
      <c r="D2444" t="s">
        <v>75</v>
      </c>
      <c r="E2444" t="s">
        <v>647</v>
      </c>
      <c r="F2444" t="s">
        <v>668</v>
      </c>
      <c r="G2444" s="10">
        <v>19</v>
      </c>
      <c r="H2444" s="10">
        <v>121633</v>
      </c>
      <c r="I2444" s="10">
        <v>2311027</v>
      </c>
      <c r="J2444" t="s">
        <v>42</v>
      </c>
      <c r="K2444" s="11">
        <v>3145.8</v>
      </c>
      <c r="L2444" s="12">
        <v>734.64</v>
      </c>
    </row>
    <row r="2445" spans="1:12" x14ac:dyDescent="0.2">
      <c r="A2445" s="9">
        <v>46248</v>
      </c>
      <c r="B2445" t="s">
        <v>142</v>
      </c>
      <c r="C2445" t="s">
        <v>143</v>
      </c>
      <c r="D2445" t="s">
        <v>75</v>
      </c>
      <c r="E2445" t="s">
        <v>647</v>
      </c>
      <c r="F2445" t="s">
        <v>668</v>
      </c>
      <c r="G2445" s="10">
        <v>7</v>
      </c>
      <c r="H2445" s="10">
        <v>118322</v>
      </c>
      <c r="I2445" s="10">
        <v>828254</v>
      </c>
      <c r="J2445" t="s">
        <v>42</v>
      </c>
      <c r="K2445" s="11">
        <v>3145.8</v>
      </c>
      <c r="L2445" s="12">
        <v>263.29000000000002</v>
      </c>
    </row>
    <row r="2446" spans="1:12" x14ac:dyDescent="0.2">
      <c r="A2446" s="9">
        <v>46248</v>
      </c>
      <c r="B2446" t="s">
        <v>145</v>
      </c>
      <c r="C2446" t="s">
        <v>146</v>
      </c>
      <c r="D2446" t="s">
        <v>68</v>
      </c>
      <c r="E2446" t="s">
        <v>651</v>
      </c>
      <c r="F2446" t="s">
        <v>664</v>
      </c>
      <c r="G2446" s="10">
        <v>7</v>
      </c>
      <c r="H2446" s="10">
        <v>12097</v>
      </c>
      <c r="I2446" s="10">
        <v>84679</v>
      </c>
      <c r="J2446" t="s">
        <v>51</v>
      </c>
      <c r="K2446" s="11">
        <v>648.20000000000005</v>
      </c>
      <c r="L2446" s="12">
        <v>130.63999999999999</v>
      </c>
    </row>
    <row r="2447" spans="1:12" x14ac:dyDescent="0.2">
      <c r="A2447" s="9">
        <v>46248</v>
      </c>
      <c r="B2447" t="s">
        <v>145</v>
      </c>
      <c r="C2447" t="s">
        <v>146</v>
      </c>
      <c r="D2447" t="s">
        <v>68</v>
      </c>
      <c r="E2447" t="s">
        <v>655</v>
      </c>
      <c r="F2447" t="s">
        <v>665</v>
      </c>
      <c r="G2447" s="10">
        <v>8</v>
      </c>
      <c r="H2447" s="10">
        <v>704</v>
      </c>
      <c r="I2447" s="10">
        <v>5632</v>
      </c>
      <c r="J2447" t="s">
        <v>51</v>
      </c>
      <c r="K2447" s="11">
        <v>648.20000000000005</v>
      </c>
      <c r="L2447" s="12">
        <v>8.69</v>
      </c>
    </row>
    <row r="2448" spans="1:12" x14ac:dyDescent="0.2">
      <c r="A2448" s="9">
        <v>46248</v>
      </c>
      <c r="B2448" t="s">
        <v>149</v>
      </c>
      <c r="C2448" t="s">
        <v>150</v>
      </c>
      <c r="D2448" t="s">
        <v>50</v>
      </c>
      <c r="E2448" t="s">
        <v>660</v>
      </c>
      <c r="F2448" t="s">
        <v>670</v>
      </c>
      <c r="G2448" s="10">
        <v>14</v>
      </c>
      <c r="H2448" s="10">
        <v>14386</v>
      </c>
      <c r="I2448" s="10">
        <v>201404</v>
      </c>
      <c r="J2448" t="s">
        <v>51</v>
      </c>
      <c r="K2448" s="11">
        <v>648.20000000000005</v>
      </c>
      <c r="L2448" s="12">
        <v>310.70999999999998</v>
      </c>
    </row>
    <row r="2449" spans="1:12" x14ac:dyDescent="0.2">
      <c r="A2449" s="9">
        <v>46248</v>
      </c>
      <c r="B2449" t="s">
        <v>149</v>
      </c>
      <c r="C2449" t="s">
        <v>150</v>
      </c>
      <c r="D2449" t="s">
        <v>50</v>
      </c>
      <c r="E2449" t="s">
        <v>651</v>
      </c>
      <c r="F2449" t="s">
        <v>664</v>
      </c>
      <c r="G2449" s="10">
        <v>7</v>
      </c>
      <c r="H2449" s="10">
        <v>12092</v>
      </c>
      <c r="I2449" s="10">
        <v>84644</v>
      </c>
      <c r="J2449" t="s">
        <v>51</v>
      </c>
      <c r="K2449" s="11">
        <v>648.20000000000005</v>
      </c>
      <c r="L2449" s="12">
        <v>130.58000000000001</v>
      </c>
    </row>
    <row r="2450" spans="1:12" x14ac:dyDescent="0.2">
      <c r="A2450" s="9">
        <v>46248</v>
      </c>
      <c r="B2450" t="s">
        <v>152</v>
      </c>
      <c r="C2450" t="s">
        <v>153</v>
      </c>
      <c r="D2450" t="s">
        <v>75</v>
      </c>
      <c r="E2450" t="s">
        <v>660</v>
      </c>
      <c r="F2450" t="s">
        <v>669</v>
      </c>
      <c r="G2450" s="10">
        <v>19</v>
      </c>
      <c r="H2450" s="10">
        <v>12333</v>
      </c>
      <c r="I2450" s="10">
        <v>234327</v>
      </c>
      <c r="J2450" t="s">
        <v>42</v>
      </c>
      <c r="K2450" s="11">
        <v>3145.8</v>
      </c>
      <c r="L2450" s="12">
        <v>74.489999999999995</v>
      </c>
    </row>
    <row r="2451" spans="1:12" x14ac:dyDescent="0.2">
      <c r="A2451" s="9">
        <v>46248</v>
      </c>
      <c r="B2451" t="s">
        <v>152</v>
      </c>
      <c r="C2451" t="s">
        <v>153</v>
      </c>
      <c r="D2451" t="s">
        <v>75</v>
      </c>
      <c r="E2451" t="s">
        <v>655</v>
      </c>
      <c r="F2451" t="s">
        <v>665</v>
      </c>
      <c r="G2451" s="10">
        <v>23</v>
      </c>
      <c r="H2451" s="10">
        <v>3259</v>
      </c>
      <c r="I2451" s="10">
        <v>74957</v>
      </c>
      <c r="J2451" t="s">
        <v>42</v>
      </c>
      <c r="K2451" s="11">
        <v>3145.8</v>
      </c>
      <c r="L2451" s="12">
        <v>23.83</v>
      </c>
    </row>
    <row r="2452" spans="1:12" x14ac:dyDescent="0.2">
      <c r="A2452" s="9">
        <v>46248</v>
      </c>
      <c r="B2452" t="s">
        <v>163</v>
      </c>
      <c r="C2452" t="s">
        <v>164</v>
      </c>
      <c r="D2452" t="s">
        <v>41</v>
      </c>
      <c r="E2452" t="s">
        <v>653</v>
      </c>
      <c r="F2452" t="s">
        <v>658</v>
      </c>
      <c r="G2452" s="10">
        <v>4</v>
      </c>
      <c r="H2452" s="10">
        <v>12672</v>
      </c>
      <c r="I2452" s="10">
        <v>50688</v>
      </c>
      <c r="J2452" t="s">
        <v>42</v>
      </c>
      <c r="K2452" s="11">
        <v>3145.8</v>
      </c>
      <c r="L2452" s="12">
        <v>16.11</v>
      </c>
    </row>
    <row r="2453" spans="1:12" x14ac:dyDescent="0.2">
      <c r="A2453" s="9">
        <v>46248</v>
      </c>
      <c r="B2453" t="s">
        <v>163</v>
      </c>
      <c r="C2453" t="s">
        <v>164</v>
      </c>
      <c r="D2453" t="s">
        <v>41</v>
      </c>
      <c r="E2453" t="s">
        <v>660</v>
      </c>
      <c r="F2453" t="s">
        <v>669</v>
      </c>
      <c r="G2453" s="10">
        <v>36</v>
      </c>
      <c r="H2453" s="10">
        <v>12432</v>
      </c>
      <c r="I2453" s="10">
        <v>447552</v>
      </c>
      <c r="J2453" t="s">
        <v>42</v>
      </c>
      <c r="K2453" s="11">
        <v>3145.8</v>
      </c>
      <c r="L2453" s="12">
        <v>142.27000000000001</v>
      </c>
    </row>
    <row r="2454" spans="1:12" x14ac:dyDescent="0.2">
      <c r="A2454" s="9">
        <v>46248</v>
      </c>
      <c r="B2454" t="s">
        <v>166</v>
      </c>
      <c r="C2454" t="s">
        <v>167</v>
      </c>
      <c r="D2454" t="s">
        <v>46</v>
      </c>
      <c r="E2454" t="s">
        <v>655</v>
      </c>
      <c r="F2454" t="s">
        <v>662</v>
      </c>
      <c r="G2454" s="10">
        <v>1</v>
      </c>
      <c r="H2454" s="10">
        <v>1131</v>
      </c>
      <c r="I2454" s="10">
        <v>1131</v>
      </c>
      <c r="J2454" t="s">
        <v>37</v>
      </c>
      <c r="K2454" s="11">
        <v>648.20000000000005</v>
      </c>
      <c r="L2454" s="12">
        <v>1.74</v>
      </c>
    </row>
    <row r="2455" spans="1:12" x14ac:dyDescent="0.2">
      <c r="A2455" s="9">
        <v>46248</v>
      </c>
      <c r="B2455" t="s">
        <v>166</v>
      </c>
      <c r="C2455" t="s">
        <v>167</v>
      </c>
      <c r="D2455" t="s">
        <v>46</v>
      </c>
      <c r="E2455" t="s">
        <v>660</v>
      </c>
      <c r="F2455" t="s">
        <v>669</v>
      </c>
      <c r="G2455" s="10">
        <v>2</v>
      </c>
      <c r="H2455" s="10">
        <v>2539</v>
      </c>
      <c r="I2455" s="10">
        <v>5078</v>
      </c>
      <c r="J2455" t="s">
        <v>37</v>
      </c>
      <c r="K2455" s="11">
        <v>648.20000000000005</v>
      </c>
      <c r="L2455" s="12">
        <v>7.83</v>
      </c>
    </row>
    <row r="2456" spans="1:12" x14ac:dyDescent="0.2">
      <c r="A2456" s="9">
        <v>46248</v>
      </c>
      <c r="B2456" t="s">
        <v>166</v>
      </c>
      <c r="C2456" t="s">
        <v>167</v>
      </c>
      <c r="D2456" t="s">
        <v>46</v>
      </c>
      <c r="E2456" t="s">
        <v>647</v>
      </c>
      <c r="F2456" t="s">
        <v>667</v>
      </c>
      <c r="G2456" s="10">
        <v>10</v>
      </c>
      <c r="H2456" s="10">
        <v>7356</v>
      </c>
      <c r="I2456" s="10">
        <v>73560</v>
      </c>
      <c r="J2456" t="s">
        <v>37</v>
      </c>
      <c r="K2456" s="11">
        <v>648.20000000000005</v>
      </c>
      <c r="L2456" s="12">
        <v>113.48</v>
      </c>
    </row>
    <row r="2457" spans="1:12" x14ac:dyDescent="0.2">
      <c r="A2457" s="9">
        <v>46248</v>
      </c>
      <c r="B2457" t="s">
        <v>172</v>
      </c>
      <c r="C2457" t="s">
        <v>173</v>
      </c>
      <c r="D2457" t="s">
        <v>41</v>
      </c>
      <c r="E2457" t="s">
        <v>647</v>
      </c>
      <c r="F2457" t="s">
        <v>648</v>
      </c>
      <c r="G2457" s="10">
        <v>6</v>
      </c>
      <c r="H2457" s="10">
        <v>78044</v>
      </c>
      <c r="I2457" s="10">
        <v>468264</v>
      </c>
      <c r="J2457" t="s">
        <v>42</v>
      </c>
      <c r="K2457" s="11">
        <v>3145.8</v>
      </c>
      <c r="L2457" s="12">
        <v>148.85</v>
      </c>
    </row>
    <row r="2458" spans="1:12" x14ac:dyDescent="0.2">
      <c r="A2458" s="9">
        <v>46248</v>
      </c>
      <c r="B2458" t="s">
        <v>178</v>
      </c>
      <c r="C2458" t="s">
        <v>179</v>
      </c>
      <c r="D2458" t="s">
        <v>50</v>
      </c>
      <c r="E2458" t="s">
        <v>647</v>
      </c>
      <c r="F2458" t="s">
        <v>668</v>
      </c>
      <c r="G2458" s="10">
        <v>3</v>
      </c>
      <c r="H2458" s="10">
        <v>25875</v>
      </c>
      <c r="I2458" s="10">
        <v>77625</v>
      </c>
      <c r="J2458" t="s">
        <v>51</v>
      </c>
      <c r="K2458" s="11">
        <v>648.20000000000005</v>
      </c>
      <c r="L2458" s="12">
        <v>119.75</v>
      </c>
    </row>
    <row r="2459" spans="1:12" x14ac:dyDescent="0.2">
      <c r="A2459" s="9">
        <v>46248</v>
      </c>
      <c r="B2459" t="s">
        <v>190</v>
      </c>
      <c r="C2459" t="s">
        <v>191</v>
      </c>
      <c r="D2459" t="s">
        <v>68</v>
      </c>
      <c r="E2459" t="s">
        <v>649</v>
      </c>
      <c r="F2459" t="s">
        <v>659</v>
      </c>
      <c r="G2459" s="10">
        <v>24</v>
      </c>
      <c r="H2459" s="10">
        <v>9153</v>
      </c>
      <c r="I2459" s="10">
        <v>219672</v>
      </c>
      <c r="J2459" t="s">
        <v>51</v>
      </c>
      <c r="K2459" s="11">
        <v>648.20000000000005</v>
      </c>
      <c r="L2459" s="12">
        <v>338.9</v>
      </c>
    </row>
    <row r="2460" spans="1:12" x14ac:dyDescent="0.2">
      <c r="A2460" s="9">
        <v>46248</v>
      </c>
      <c r="B2460" t="s">
        <v>190</v>
      </c>
      <c r="C2460" t="s">
        <v>191</v>
      </c>
      <c r="D2460" t="s">
        <v>68</v>
      </c>
      <c r="E2460" t="s">
        <v>660</v>
      </c>
      <c r="F2460" t="s">
        <v>661</v>
      </c>
      <c r="G2460" s="10">
        <v>10</v>
      </c>
      <c r="H2460" s="10">
        <v>4273</v>
      </c>
      <c r="I2460" s="10">
        <v>42730</v>
      </c>
      <c r="J2460" t="s">
        <v>51</v>
      </c>
      <c r="K2460" s="11">
        <v>648.20000000000005</v>
      </c>
      <c r="L2460" s="12">
        <v>65.92</v>
      </c>
    </row>
    <row r="2461" spans="1:12" x14ac:dyDescent="0.2">
      <c r="A2461" s="9">
        <v>46248</v>
      </c>
      <c r="B2461" t="s">
        <v>199</v>
      </c>
      <c r="C2461" t="s">
        <v>200</v>
      </c>
      <c r="D2461" t="s">
        <v>46</v>
      </c>
      <c r="E2461" t="s">
        <v>655</v>
      </c>
      <c r="F2461" t="s">
        <v>662</v>
      </c>
      <c r="G2461" s="10">
        <v>30</v>
      </c>
      <c r="H2461" s="10">
        <v>1120</v>
      </c>
      <c r="I2461" s="10">
        <v>33600</v>
      </c>
      <c r="J2461" t="s">
        <v>37</v>
      </c>
      <c r="K2461" s="11">
        <v>648.20000000000005</v>
      </c>
      <c r="L2461" s="12">
        <v>51.84</v>
      </c>
    </row>
    <row r="2462" spans="1:12" x14ac:dyDescent="0.2">
      <c r="A2462" s="9">
        <v>46248</v>
      </c>
      <c r="B2462" t="s">
        <v>202</v>
      </c>
      <c r="C2462" t="s">
        <v>203</v>
      </c>
      <c r="D2462" t="s">
        <v>68</v>
      </c>
      <c r="E2462" t="s">
        <v>649</v>
      </c>
      <c r="F2462" t="s">
        <v>663</v>
      </c>
      <c r="G2462" s="10">
        <v>9</v>
      </c>
      <c r="H2462" s="10">
        <v>1973</v>
      </c>
      <c r="I2462" s="10">
        <v>17757</v>
      </c>
      <c r="J2462" t="s">
        <v>51</v>
      </c>
      <c r="K2462" s="11">
        <v>648.20000000000005</v>
      </c>
      <c r="L2462" s="12">
        <v>27.39</v>
      </c>
    </row>
    <row r="2463" spans="1:12" x14ac:dyDescent="0.2">
      <c r="A2463" s="9">
        <v>46248</v>
      </c>
      <c r="B2463" t="s">
        <v>205</v>
      </c>
      <c r="C2463" t="s">
        <v>206</v>
      </c>
      <c r="D2463" t="s">
        <v>50</v>
      </c>
      <c r="E2463" t="s">
        <v>647</v>
      </c>
      <c r="F2463" t="s">
        <v>668</v>
      </c>
      <c r="G2463" s="10">
        <v>4</v>
      </c>
      <c r="H2463" s="10">
        <v>25213</v>
      </c>
      <c r="I2463" s="10">
        <v>100852</v>
      </c>
      <c r="J2463" t="s">
        <v>51</v>
      </c>
      <c r="K2463" s="11">
        <v>648.20000000000005</v>
      </c>
      <c r="L2463" s="12">
        <v>155.59</v>
      </c>
    </row>
    <row r="2464" spans="1:12" x14ac:dyDescent="0.2">
      <c r="A2464" s="9">
        <v>46248</v>
      </c>
      <c r="B2464" t="s">
        <v>205</v>
      </c>
      <c r="C2464" t="s">
        <v>206</v>
      </c>
      <c r="D2464" t="s">
        <v>50</v>
      </c>
      <c r="E2464" t="s">
        <v>655</v>
      </c>
      <c r="F2464" t="s">
        <v>656</v>
      </c>
      <c r="G2464" s="10">
        <v>1</v>
      </c>
      <c r="H2464" s="10">
        <v>597</v>
      </c>
      <c r="I2464" s="10">
        <v>597</v>
      </c>
      <c r="J2464" t="s">
        <v>51</v>
      </c>
      <c r="K2464" s="11">
        <v>648.20000000000005</v>
      </c>
      <c r="L2464" s="12">
        <v>0.92</v>
      </c>
    </row>
    <row r="2465" spans="1:12" x14ac:dyDescent="0.2">
      <c r="A2465" s="9">
        <v>46248</v>
      </c>
      <c r="B2465" t="s">
        <v>211</v>
      </c>
      <c r="C2465" t="s">
        <v>212</v>
      </c>
      <c r="D2465" t="s">
        <v>46</v>
      </c>
      <c r="E2465" t="s">
        <v>649</v>
      </c>
      <c r="F2465" t="s">
        <v>663</v>
      </c>
      <c r="G2465" s="10">
        <v>5</v>
      </c>
      <c r="H2465" s="10">
        <v>1958</v>
      </c>
      <c r="I2465" s="10">
        <v>9790</v>
      </c>
      <c r="J2465" t="s">
        <v>37</v>
      </c>
      <c r="K2465" s="11">
        <v>648.20000000000005</v>
      </c>
      <c r="L2465" s="12">
        <v>15.1</v>
      </c>
    </row>
    <row r="2466" spans="1:12" x14ac:dyDescent="0.2">
      <c r="A2466" s="9">
        <v>46248</v>
      </c>
      <c r="B2466" t="s">
        <v>211</v>
      </c>
      <c r="C2466" t="s">
        <v>212</v>
      </c>
      <c r="D2466" t="s">
        <v>46</v>
      </c>
      <c r="E2466" t="s">
        <v>660</v>
      </c>
      <c r="F2466" t="s">
        <v>669</v>
      </c>
      <c r="G2466" s="10">
        <v>3</v>
      </c>
      <c r="H2466" s="10">
        <v>2542</v>
      </c>
      <c r="I2466" s="10">
        <v>7626</v>
      </c>
      <c r="J2466" t="s">
        <v>37</v>
      </c>
      <c r="K2466" s="11">
        <v>648.20000000000005</v>
      </c>
      <c r="L2466" s="12">
        <v>11.76</v>
      </c>
    </row>
    <row r="2467" spans="1:12" x14ac:dyDescent="0.2">
      <c r="A2467" s="9">
        <v>46248</v>
      </c>
      <c r="B2467" t="s">
        <v>214</v>
      </c>
      <c r="C2467" t="s">
        <v>215</v>
      </c>
      <c r="D2467" t="s">
        <v>46</v>
      </c>
      <c r="E2467" t="s">
        <v>647</v>
      </c>
      <c r="F2467" t="s">
        <v>668</v>
      </c>
      <c r="G2467" s="10">
        <v>13</v>
      </c>
      <c r="H2467" s="10">
        <v>25013</v>
      </c>
      <c r="I2467" s="10">
        <v>325169</v>
      </c>
      <c r="J2467" t="s">
        <v>37</v>
      </c>
      <c r="K2467" s="11">
        <v>648.20000000000005</v>
      </c>
      <c r="L2467" s="12">
        <v>501.65</v>
      </c>
    </row>
    <row r="2468" spans="1:12" x14ac:dyDescent="0.2">
      <c r="A2468" s="9">
        <v>46248</v>
      </c>
      <c r="B2468" t="s">
        <v>214</v>
      </c>
      <c r="C2468" t="s">
        <v>215</v>
      </c>
      <c r="D2468" t="s">
        <v>46</v>
      </c>
      <c r="E2468" t="s">
        <v>651</v>
      </c>
      <c r="F2468" t="s">
        <v>657</v>
      </c>
      <c r="G2468" s="10">
        <v>2</v>
      </c>
      <c r="H2468" s="10">
        <v>6288</v>
      </c>
      <c r="I2468" s="10">
        <v>12576</v>
      </c>
      <c r="J2468" t="s">
        <v>37</v>
      </c>
      <c r="K2468" s="11">
        <v>648.20000000000005</v>
      </c>
      <c r="L2468" s="12">
        <v>19.399999999999999</v>
      </c>
    </row>
    <row r="2469" spans="1:12" x14ac:dyDescent="0.2">
      <c r="A2469" s="9">
        <v>46248</v>
      </c>
      <c r="B2469" t="s">
        <v>214</v>
      </c>
      <c r="C2469" t="s">
        <v>215</v>
      </c>
      <c r="D2469" t="s">
        <v>46</v>
      </c>
      <c r="E2469" t="s">
        <v>655</v>
      </c>
      <c r="F2469" t="s">
        <v>665</v>
      </c>
      <c r="G2469" s="10">
        <v>8</v>
      </c>
      <c r="H2469" s="10">
        <v>666</v>
      </c>
      <c r="I2469" s="10">
        <v>5328</v>
      </c>
      <c r="J2469" t="s">
        <v>37</v>
      </c>
      <c r="K2469" s="11">
        <v>648.20000000000005</v>
      </c>
      <c r="L2469" s="12">
        <v>8.2200000000000006</v>
      </c>
    </row>
    <row r="2470" spans="1:12" x14ac:dyDescent="0.2">
      <c r="A2470" s="9">
        <v>46248</v>
      </c>
      <c r="B2470" t="s">
        <v>226</v>
      </c>
      <c r="C2470" t="s">
        <v>227</v>
      </c>
      <c r="D2470" t="s">
        <v>41</v>
      </c>
      <c r="E2470" t="s">
        <v>649</v>
      </c>
      <c r="F2470" t="s">
        <v>650</v>
      </c>
      <c r="G2470" s="10">
        <v>45</v>
      </c>
      <c r="H2470" s="10">
        <v>91533</v>
      </c>
      <c r="I2470" s="10">
        <v>4118985</v>
      </c>
      <c r="J2470" t="s">
        <v>42</v>
      </c>
      <c r="K2470" s="11">
        <v>3145.8</v>
      </c>
      <c r="L2470" s="12">
        <v>1309.3599999999999</v>
      </c>
    </row>
    <row r="2471" spans="1:12" x14ac:dyDescent="0.2">
      <c r="A2471" s="9">
        <v>46248</v>
      </c>
      <c r="B2471" t="s">
        <v>226</v>
      </c>
      <c r="C2471" t="s">
        <v>227</v>
      </c>
      <c r="D2471" t="s">
        <v>41</v>
      </c>
      <c r="E2471" t="s">
        <v>647</v>
      </c>
      <c r="F2471" t="s">
        <v>668</v>
      </c>
      <c r="G2471" s="10">
        <v>10</v>
      </c>
      <c r="H2471" s="10">
        <v>119029</v>
      </c>
      <c r="I2471" s="10">
        <v>1190290</v>
      </c>
      <c r="J2471" t="s">
        <v>42</v>
      </c>
      <c r="K2471" s="11">
        <v>3145.8</v>
      </c>
      <c r="L2471" s="12">
        <v>378.37</v>
      </c>
    </row>
    <row r="2472" spans="1:12" x14ac:dyDescent="0.2">
      <c r="A2472" s="9">
        <v>46248</v>
      </c>
      <c r="B2472" t="s">
        <v>226</v>
      </c>
      <c r="C2472" t="s">
        <v>227</v>
      </c>
      <c r="D2472" t="s">
        <v>41</v>
      </c>
      <c r="E2472" t="s">
        <v>651</v>
      </c>
      <c r="F2472" t="s">
        <v>657</v>
      </c>
      <c r="G2472" s="10">
        <v>81</v>
      </c>
      <c r="H2472" s="10">
        <v>31422</v>
      </c>
      <c r="I2472" s="10">
        <v>2545182</v>
      </c>
      <c r="J2472" t="s">
        <v>42</v>
      </c>
      <c r="K2472" s="11">
        <v>3145.8</v>
      </c>
      <c r="L2472" s="12">
        <v>809.07</v>
      </c>
    </row>
    <row r="2473" spans="1:12" x14ac:dyDescent="0.2">
      <c r="A2473" s="9">
        <v>46248</v>
      </c>
      <c r="B2473" t="s">
        <v>235</v>
      </c>
      <c r="C2473" t="s">
        <v>236</v>
      </c>
      <c r="D2473" t="s">
        <v>50</v>
      </c>
      <c r="E2473" t="s">
        <v>649</v>
      </c>
      <c r="F2473" t="s">
        <v>650</v>
      </c>
      <c r="G2473" s="10">
        <v>27</v>
      </c>
      <c r="H2473" s="10">
        <v>19773</v>
      </c>
      <c r="I2473" s="10">
        <v>533871</v>
      </c>
      <c r="J2473" t="s">
        <v>51</v>
      </c>
      <c r="K2473" s="11">
        <v>648.20000000000005</v>
      </c>
      <c r="L2473" s="12">
        <v>823.62</v>
      </c>
    </row>
    <row r="2474" spans="1:12" x14ac:dyDescent="0.2">
      <c r="A2474" s="9">
        <v>46248</v>
      </c>
      <c r="B2474" t="s">
        <v>235</v>
      </c>
      <c r="C2474" t="s">
        <v>236</v>
      </c>
      <c r="D2474" t="s">
        <v>50</v>
      </c>
      <c r="E2474" t="s">
        <v>647</v>
      </c>
      <c r="F2474" t="s">
        <v>668</v>
      </c>
      <c r="G2474" s="10">
        <v>13</v>
      </c>
      <c r="H2474" s="10">
        <v>24581</v>
      </c>
      <c r="I2474" s="10">
        <v>319553</v>
      </c>
      <c r="J2474" t="s">
        <v>51</v>
      </c>
      <c r="K2474" s="11">
        <v>648.20000000000005</v>
      </c>
      <c r="L2474" s="12">
        <v>492.99</v>
      </c>
    </row>
    <row r="2475" spans="1:12" x14ac:dyDescent="0.2">
      <c r="A2475" s="9">
        <v>46248</v>
      </c>
      <c r="B2475" t="s">
        <v>244</v>
      </c>
      <c r="C2475" t="s">
        <v>245</v>
      </c>
      <c r="D2475" t="s">
        <v>75</v>
      </c>
      <c r="E2475" t="s">
        <v>653</v>
      </c>
      <c r="F2475" t="s">
        <v>658</v>
      </c>
      <c r="G2475" s="10">
        <v>16</v>
      </c>
      <c r="H2475" s="10">
        <v>13284</v>
      </c>
      <c r="I2475" s="10">
        <v>212544</v>
      </c>
      <c r="J2475" t="s">
        <v>42</v>
      </c>
      <c r="K2475" s="11">
        <v>3145.8</v>
      </c>
      <c r="L2475" s="12">
        <v>67.56</v>
      </c>
    </row>
    <row r="2476" spans="1:12" x14ac:dyDescent="0.2">
      <c r="A2476" s="9">
        <v>46248</v>
      </c>
      <c r="B2476" t="s">
        <v>244</v>
      </c>
      <c r="C2476" t="s">
        <v>245</v>
      </c>
      <c r="D2476" t="s">
        <v>75</v>
      </c>
      <c r="E2476" t="s">
        <v>647</v>
      </c>
      <c r="F2476" t="s">
        <v>648</v>
      </c>
      <c r="G2476" s="10">
        <v>42</v>
      </c>
      <c r="H2476" s="10">
        <v>76944</v>
      </c>
      <c r="I2476" s="10">
        <v>3231648</v>
      </c>
      <c r="J2476" t="s">
        <v>42</v>
      </c>
      <c r="K2476" s="11">
        <v>3145.8</v>
      </c>
      <c r="L2476" s="12">
        <v>1027.29</v>
      </c>
    </row>
    <row r="2477" spans="1:12" x14ac:dyDescent="0.2">
      <c r="A2477" s="9">
        <v>46248</v>
      </c>
      <c r="B2477" t="s">
        <v>247</v>
      </c>
      <c r="C2477" t="s">
        <v>248</v>
      </c>
      <c r="D2477" t="s">
        <v>75</v>
      </c>
      <c r="E2477" t="s">
        <v>649</v>
      </c>
      <c r="F2477" t="s">
        <v>659</v>
      </c>
      <c r="G2477" s="10">
        <v>4</v>
      </c>
      <c r="H2477" s="10">
        <v>43679</v>
      </c>
      <c r="I2477" s="10">
        <v>174716</v>
      </c>
      <c r="J2477" t="s">
        <v>42</v>
      </c>
      <c r="K2477" s="11">
        <v>3145.8</v>
      </c>
      <c r="L2477" s="12">
        <v>55.54</v>
      </c>
    </row>
    <row r="2478" spans="1:12" x14ac:dyDescent="0.2">
      <c r="A2478" s="9">
        <v>46248</v>
      </c>
      <c r="B2478" t="s">
        <v>264</v>
      </c>
      <c r="C2478" t="s">
        <v>265</v>
      </c>
      <c r="D2478" t="s">
        <v>41</v>
      </c>
      <c r="E2478" t="s">
        <v>651</v>
      </c>
      <c r="F2478" t="s">
        <v>664</v>
      </c>
      <c r="G2478" s="10">
        <v>3</v>
      </c>
      <c r="H2478" s="10">
        <v>55786</v>
      </c>
      <c r="I2478" s="10">
        <v>167358</v>
      </c>
      <c r="J2478" t="s">
        <v>42</v>
      </c>
      <c r="K2478" s="11">
        <v>3145.8</v>
      </c>
      <c r="L2478" s="12">
        <v>53.2</v>
      </c>
    </row>
    <row r="2479" spans="1:12" x14ac:dyDescent="0.2">
      <c r="A2479" s="9">
        <v>46248</v>
      </c>
      <c r="B2479" t="s">
        <v>267</v>
      </c>
      <c r="C2479" t="s">
        <v>268</v>
      </c>
      <c r="D2479" t="s">
        <v>46</v>
      </c>
      <c r="E2479" t="s">
        <v>653</v>
      </c>
      <c r="F2479" t="s">
        <v>666</v>
      </c>
      <c r="G2479" s="10">
        <v>17</v>
      </c>
      <c r="H2479" s="10">
        <v>1473</v>
      </c>
      <c r="I2479" s="10">
        <v>25041</v>
      </c>
      <c r="J2479" t="s">
        <v>37</v>
      </c>
      <c r="K2479" s="11">
        <v>648.20000000000005</v>
      </c>
      <c r="L2479" s="12">
        <v>38.630000000000003</v>
      </c>
    </row>
    <row r="2480" spans="1:12" x14ac:dyDescent="0.2">
      <c r="A2480" s="9">
        <v>46248</v>
      </c>
      <c r="B2480" t="s">
        <v>267</v>
      </c>
      <c r="C2480" t="s">
        <v>268</v>
      </c>
      <c r="D2480" t="s">
        <v>46</v>
      </c>
      <c r="E2480" t="s">
        <v>660</v>
      </c>
      <c r="F2480" t="s">
        <v>669</v>
      </c>
      <c r="G2480" s="10">
        <v>19</v>
      </c>
      <c r="H2480" s="10">
        <v>2608</v>
      </c>
      <c r="I2480" s="10">
        <v>49552</v>
      </c>
      <c r="J2480" t="s">
        <v>37</v>
      </c>
      <c r="K2480" s="11">
        <v>648.20000000000005</v>
      </c>
      <c r="L2480" s="12">
        <v>76.45</v>
      </c>
    </row>
    <row r="2481" spans="1:12" x14ac:dyDescent="0.2">
      <c r="A2481" s="9">
        <v>46248</v>
      </c>
      <c r="B2481" t="s">
        <v>267</v>
      </c>
      <c r="C2481" t="s">
        <v>268</v>
      </c>
      <c r="D2481" t="s">
        <v>46</v>
      </c>
      <c r="E2481" t="s">
        <v>647</v>
      </c>
      <c r="F2481" t="s">
        <v>668</v>
      </c>
      <c r="G2481" s="10">
        <v>42</v>
      </c>
      <c r="H2481" s="10">
        <v>24909</v>
      </c>
      <c r="I2481" s="10">
        <v>1046178</v>
      </c>
      <c r="J2481" t="s">
        <v>37</v>
      </c>
      <c r="K2481" s="11">
        <v>648.20000000000005</v>
      </c>
      <c r="L2481" s="12">
        <v>1613.97</v>
      </c>
    </row>
    <row r="2482" spans="1:12" x14ac:dyDescent="0.2">
      <c r="A2482" s="9">
        <v>46248</v>
      </c>
      <c r="B2482" t="s">
        <v>276</v>
      </c>
      <c r="C2482" t="s">
        <v>277</v>
      </c>
      <c r="D2482" t="s">
        <v>46</v>
      </c>
      <c r="E2482" t="s">
        <v>660</v>
      </c>
      <c r="F2482" t="s">
        <v>670</v>
      </c>
      <c r="G2482" s="10">
        <v>5</v>
      </c>
      <c r="H2482" s="10">
        <v>14652</v>
      </c>
      <c r="I2482" s="10">
        <v>73260</v>
      </c>
      <c r="J2482" t="s">
        <v>37</v>
      </c>
      <c r="K2482" s="11">
        <v>648.20000000000005</v>
      </c>
      <c r="L2482" s="12">
        <v>113.02</v>
      </c>
    </row>
    <row r="2483" spans="1:12" x14ac:dyDescent="0.2">
      <c r="A2483" s="9">
        <v>46248</v>
      </c>
      <c r="B2483" t="s">
        <v>276</v>
      </c>
      <c r="C2483" t="s">
        <v>277</v>
      </c>
      <c r="D2483" t="s">
        <v>46</v>
      </c>
      <c r="E2483" t="s">
        <v>653</v>
      </c>
      <c r="F2483" t="s">
        <v>654</v>
      </c>
      <c r="G2483" s="10">
        <v>3</v>
      </c>
      <c r="H2483" s="10">
        <v>5891</v>
      </c>
      <c r="I2483" s="10">
        <v>17673</v>
      </c>
      <c r="J2483" t="s">
        <v>37</v>
      </c>
      <c r="K2483" s="11">
        <v>648.20000000000005</v>
      </c>
      <c r="L2483" s="12">
        <v>27.26</v>
      </c>
    </row>
    <row r="2484" spans="1:12" x14ac:dyDescent="0.2">
      <c r="A2484" s="9">
        <v>46248</v>
      </c>
      <c r="B2484" t="s">
        <v>276</v>
      </c>
      <c r="C2484" t="s">
        <v>277</v>
      </c>
      <c r="D2484" t="s">
        <v>46</v>
      </c>
      <c r="E2484" t="s">
        <v>647</v>
      </c>
      <c r="F2484" t="s">
        <v>667</v>
      </c>
      <c r="G2484" s="10">
        <v>6</v>
      </c>
      <c r="H2484" s="10">
        <v>7526</v>
      </c>
      <c r="I2484" s="10">
        <v>45156</v>
      </c>
      <c r="J2484" t="s">
        <v>37</v>
      </c>
      <c r="K2484" s="11">
        <v>648.20000000000005</v>
      </c>
      <c r="L2484" s="12">
        <v>69.66</v>
      </c>
    </row>
    <row r="2485" spans="1:12" x14ac:dyDescent="0.2">
      <c r="A2485" s="9">
        <v>46248</v>
      </c>
      <c r="B2485" t="s">
        <v>282</v>
      </c>
      <c r="C2485" t="s">
        <v>283</v>
      </c>
      <c r="D2485" t="s">
        <v>41</v>
      </c>
      <c r="E2485" t="s">
        <v>647</v>
      </c>
      <c r="F2485" t="s">
        <v>648</v>
      </c>
      <c r="G2485" s="10">
        <v>2</v>
      </c>
      <c r="H2485" s="10">
        <v>77939</v>
      </c>
      <c r="I2485" s="10">
        <v>155878</v>
      </c>
      <c r="J2485" t="s">
        <v>42</v>
      </c>
      <c r="K2485" s="11">
        <v>3145.8</v>
      </c>
      <c r="L2485" s="12">
        <v>49.55</v>
      </c>
    </row>
    <row r="2486" spans="1:12" x14ac:dyDescent="0.2">
      <c r="A2486" s="9">
        <v>46248</v>
      </c>
      <c r="B2486" t="s">
        <v>285</v>
      </c>
      <c r="C2486" t="s">
        <v>286</v>
      </c>
      <c r="D2486" t="s">
        <v>68</v>
      </c>
      <c r="E2486" t="s">
        <v>647</v>
      </c>
      <c r="F2486" t="s">
        <v>667</v>
      </c>
      <c r="G2486" s="10">
        <v>1</v>
      </c>
      <c r="H2486" s="10">
        <v>7507</v>
      </c>
      <c r="I2486" s="10">
        <v>7507</v>
      </c>
      <c r="J2486" t="s">
        <v>51</v>
      </c>
      <c r="K2486" s="11">
        <v>648.20000000000005</v>
      </c>
      <c r="L2486" s="12">
        <v>11.58</v>
      </c>
    </row>
    <row r="2487" spans="1:12" x14ac:dyDescent="0.2">
      <c r="A2487" s="9">
        <v>46248</v>
      </c>
      <c r="B2487" t="s">
        <v>288</v>
      </c>
      <c r="C2487" t="s">
        <v>289</v>
      </c>
      <c r="D2487" t="s">
        <v>41</v>
      </c>
      <c r="E2487" t="s">
        <v>653</v>
      </c>
      <c r="F2487" t="s">
        <v>658</v>
      </c>
      <c r="G2487" s="10">
        <v>9</v>
      </c>
      <c r="H2487" s="10">
        <v>12740</v>
      </c>
      <c r="I2487" s="10">
        <v>114660</v>
      </c>
      <c r="J2487" t="s">
        <v>42</v>
      </c>
      <c r="K2487" s="11">
        <v>3145.8</v>
      </c>
      <c r="L2487" s="12">
        <v>36.450000000000003</v>
      </c>
    </row>
    <row r="2488" spans="1:12" x14ac:dyDescent="0.2">
      <c r="A2488" s="9">
        <v>46248</v>
      </c>
      <c r="B2488" t="s">
        <v>288</v>
      </c>
      <c r="C2488" t="s">
        <v>289</v>
      </c>
      <c r="D2488" t="s">
        <v>41</v>
      </c>
      <c r="E2488" t="s">
        <v>653</v>
      </c>
      <c r="F2488" t="s">
        <v>666</v>
      </c>
      <c r="G2488" s="10">
        <v>8</v>
      </c>
      <c r="H2488" s="10">
        <v>7289</v>
      </c>
      <c r="I2488" s="10">
        <v>58312</v>
      </c>
      <c r="J2488" t="s">
        <v>42</v>
      </c>
      <c r="K2488" s="11">
        <v>3145.8</v>
      </c>
      <c r="L2488" s="12">
        <v>18.54</v>
      </c>
    </row>
    <row r="2489" spans="1:12" x14ac:dyDescent="0.2">
      <c r="A2489" s="9">
        <v>46248</v>
      </c>
      <c r="B2489" t="s">
        <v>297</v>
      </c>
      <c r="C2489" t="s">
        <v>298</v>
      </c>
      <c r="D2489" t="s">
        <v>36</v>
      </c>
      <c r="E2489" t="s">
        <v>660</v>
      </c>
      <c r="F2489" t="s">
        <v>670</v>
      </c>
      <c r="G2489" s="10">
        <v>10</v>
      </c>
      <c r="H2489" s="10">
        <v>14422</v>
      </c>
      <c r="I2489" s="10">
        <v>144220</v>
      </c>
      <c r="J2489" t="s">
        <v>37</v>
      </c>
      <c r="K2489" s="11">
        <v>648.20000000000005</v>
      </c>
      <c r="L2489" s="12">
        <v>222.49</v>
      </c>
    </row>
    <row r="2490" spans="1:12" x14ac:dyDescent="0.2">
      <c r="A2490" s="9">
        <v>46248</v>
      </c>
      <c r="B2490" t="s">
        <v>297</v>
      </c>
      <c r="C2490" t="s">
        <v>298</v>
      </c>
      <c r="D2490" t="s">
        <v>36</v>
      </c>
      <c r="E2490" t="s">
        <v>647</v>
      </c>
      <c r="F2490" t="s">
        <v>648</v>
      </c>
      <c r="G2490" s="10">
        <v>11</v>
      </c>
      <c r="H2490" s="10">
        <v>16086</v>
      </c>
      <c r="I2490" s="10">
        <v>176946</v>
      </c>
      <c r="J2490" t="s">
        <v>37</v>
      </c>
      <c r="K2490" s="11">
        <v>648.20000000000005</v>
      </c>
      <c r="L2490" s="12">
        <v>272.98</v>
      </c>
    </row>
    <row r="2491" spans="1:12" x14ac:dyDescent="0.2">
      <c r="A2491" s="9">
        <v>46248</v>
      </c>
      <c r="B2491" t="s">
        <v>300</v>
      </c>
      <c r="C2491" t="s">
        <v>301</v>
      </c>
      <c r="D2491" t="s">
        <v>41</v>
      </c>
      <c r="E2491" t="s">
        <v>649</v>
      </c>
      <c r="F2491" t="s">
        <v>650</v>
      </c>
      <c r="G2491" s="10">
        <v>12</v>
      </c>
      <c r="H2491" s="10">
        <v>91991</v>
      </c>
      <c r="I2491" s="10">
        <v>1103892</v>
      </c>
      <c r="J2491" t="s">
        <v>42</v>
      </c>
      <c r="K2491" s="11">
        <v>3145.8</v>
      </c>
      <c r="L2491" s="12">
        <v>350.91</v>
      </c>
    </row>
    <row r="2492" spans="1:12" x14ac:dyDescent="0.2">
      <c r="A2492" s="9">
        <v>46248</v>
      </c>
      <c r="B2492" t="s">
        <v>303</v>
      </c>
      <c r="C2492" t="s">
        <v>304</v>
      </c>
      <c r="D2492" t="s">
        <v>36</v>
      </c>
      <c r="E2492" t="s">
        <v>660</v>
      </c>
      <c r="F2492" t="s">
        <v>661</v>
      </c>
      <c r="G2492" s="10">
        <v>13</v>
      </c>
      <c r="H2492" s="10">
        <v>4149</v>
      </c>
      <c r="I2492" s="10">
        <v>53937</v>
      </c>
      <c r="J2492" t="s">
        <v>37</v>
      </c>
      <c r="K2492" s="11">
        <v>648.20000000000005</v>
      </c>
      <c r="L2492" s="12">
        <v>83.21</v>
      </c>
    </row>
    <row r="2493" spans="1:12" x14ac:dyDescent="0.2">
      <c r="A2493" s="9">
        <v>46248</v>
      </c>
      <c r="B2493" t="s">
        <v>309</v>
      </c>
      <c r="C2493" t="s">
        <v>310</v>
      </c>
      <c r="D2493" t="s">
        <v>41</v>
      </c>
      <c r="E2493" t="s">
        <v>653</v>
      </c>
      <c r="F2493" t="s">
        <v>658</v>
      </c>
      <c r="G2493" s="10">
        <v>29</v>
      </c>
      <c r="H2493" s="10">
        <v>13438</v>
      </c>
      <c r="I2493" s="10">
        <v>389702</v>
      </c>
      <c r="J2493" t="s">
        <v>42</v>
      </c>
      <c r="K2493" s="11">
        <v>3145.8</v>
      </c>
      <c r="L2493" s="12">
        <v>123.88</v>
      </c>
    </row>
    <row r="2494" spans="1:12" x14ac:dyDescent="0.2">
      <c r="A2494" s="9">
        <v>46248</v>
      </c>
      <c r="B2494" t="s">
        <v>309</v>
      </c>
      <c r="C2494" t="s">
        <v>310</v>
      </c>
      <c r="D2494" t="s">
        <v>41</v>
      </c>
      <c r="E2494" t="s">
        <v>647</v>
      </c>
      <c r="F2494" t="s">
        <v>668</v>
      </c>
      <c r="G2494" s="10">
        <v>48</v>
      </c>
      <c r="H2494" s="10">
        <v>121657</v>
      </c>
      <c r="I2494" s="10">
        <v>5839536</v>
      </c>
      <c r="J2494" t="s">
        <v>42</v>
      </c>
      <c r="K2494" s="11">
        <v>3145.8</v>
      </c>
      <c r="L2494" s="12">
        <v>1856.3</v>
      </c>
    </row>
    <row r="2495" spans="1:12" x14ac:dyDescent="0.2">
      <c r="A2495" s="9">
        <v>46248</v>
      </c>
      <c r="B2495" t="s">
        <v>309</v>
      </c>
      <c r="C2495" t="s">
        <v>310</v>
      </c>
      <c r="D2495" t="s">
        <v>41</v>
      </c>
      <c r="E2495" t="s">
        <v>651</v>
      </c>
      <c r="F2495" t="s">
        <v>657</v>
      </c>
      <c r="G2495" s="10">
        <v>8</v>
      </c>
      <c r="H2495" s="10">
        <v>30314</v>
      </c>
      <c r="I2495" s="10">
        <v>242512</v>
      </c>
      <c r="J2495" t="s">
        <v>42</v>
      </c>
      <c r="K2495" s="11">
        <v>3145.8</v>
      </c>
      <c r="L2495" s="12">
        <v>77.09</v>
      </c>
    </row>
    <row r="2496" spans="1:12" x14ac:dyDescent="0.2">
      <c r="A2496" s="9">
        <v>46248</v>
      </c>
      <c r="B2496" t="s">
        <v>312</v>
      </c>
      <c r="C2496" t="s">
        <v>313</v>
      </c>
      <c r="D2496" t="s">
        <v>41</v>
      </c>
      <c r="E2496" t="s">
        <v>647</v>
      </c>
      <c r="F2496" t="s">
        <v>668</v>
      </c>
      <c r="G2496" s="10">
        <v>1</v>
      </c>
      <c r="H2496" s="10">
        <v>119705</v>
      </c>
      <c r="I2496" s="10">
        <v>119705</v>
      </c>
      <c r="J2496" t="s">
        <v>42</v>
      </c>
      <c r="K2496" s="11">
        <v>3145.8</v>
      </c>
      <c r="L2496" s="12">
        <v>38.049999999999997</v>
      </c>
    </row>
    <row r="2497" spans="1:12" x14ac:dyDescent="0.2">
      <c r="A2497" s="9">
        <v>46248</v>
      </c>
      <c r="B2497" t="s">
        <v>315</v>
      </c>
      <c r="C2497" t="s">
        <v>316</v>
      </c>
      <c r="D2497" t="s">
        <v>46</v>
      </c>
      <c r="E2497" t="s">
        <v>647</v>
      </c>
      <c r="F2497" t="s">
        <v>648</v>
      </c>
      <c r="G2497" s="10">
        <v>20</v>
      </c>
      <c r="H2497" s="10">
        <v>16714</v>
      </c>
      <c r="I2497" s="10">
        <v>334280</v>
      </c>
      <c r="J2497" t="s">
        <v>37</v>
      </c>
      <c r="K2497" s="11">
        <v>648.20000000000005</v>
      </c>
      <c r="L2497" s="12">
        <v>515.71</v>
      </c>
    </row>
    <row r="2498" spans="1:12" x14ac:dyDescent="0.2">
      <c r="A2498" s="9">
        <v>46248</v>
      </c>
      <c r="B2498" t="s">
        <v>315</v>
      </c>
      <c r="C2498" t="s">
        <v>316</v>
      </c>
      <c r="D2498" t="s">
        <v>46</v>
      </c>
      <c r="E2498" t="s">
        <v>647</v>
      </c>
      <c r="F2498" t="s">
        <v>667</v>
      </c>
      <c r="G2498" s="10">
        <v>17</v>
      </c>
      <c r="H2498" s="10">
        <v>7616</v>
      </c>
      <c r="I2498" s="10">
        <v>129472</v>
      </c>
      <c r="J2498" t="s">
        <v>37</v>
      </c>
      <c r="K2498" s="11">
        <v>648.20000000000005</v>
      </c>
      <c r="L2498" s="12">
        <v>199.74</v>
      </c>
    </row>
    <row r="2499" spans="1:12" x14ac:dyDescent="0.2">
      <c r="A2499" s="9">
        <v>46248</v>
      </c>
      <c r="B2499" t="s">
        <v>324</v>
      </c>
      <c r="C2499" t="s">
        <v>325</v>
      </c>
      <c r="D2499" t="s">
        <v>46</v>
      </c>
      <c r="E2499" t="s">
        <v>649</v>
      </c>
      <c r="F2499" t="s">
        <v>650</v>
      </c>
      <c r="G2499" s="10">
        <v>10</v>
      </c>
      <c r="H2499" s="10">
        <v>19051</v>
      </c>
      <c r="I2499" s="10">
        <v>190510</v>
      </c>
      <c r="J2499" t="s">
        <v>37</v>
      </c>
      <c r="K2499" s="11">
        <v>648.20000000000005</v>
      </c>
      <c r="L2499" s="12">
        <v>293.91000000000003</v>
      </c>
    </row>
    <row r="2500" spans="1:12" x14ac:dyDescent="0.2">
      <c r="A2500" s="9">
        <v>46248</v>
      </c>
      <c r="B2500" t="s">
        <v>324</v>
      </c>
      <c r="C2500" t="s">
        <v>325</v>
      </c>
      <c r="D2500" t="s">
        <v>46</v>
      </c>
      <c r="E2500" t="s">
        <v>647</v>
      </c>
      <c r="F2500" t="s">
        <v>667</v>
      </c>
      <c r="G2500" s="10">
        <v>5</v>
      </c>
      <c r="H2500" s="10">
        <v>7243</v>
      </c>
      <c r="I2500" s="10">
        <v>36215</v>
      </c>
      <c r="J2500" t="s">
        <v>37</v>
      </c>
      <c r="K2500" s="11">
        <v>648.20000000000005</v>
      </c>
      <c r="L2500" s="12">
        <v>55.87</v>
      </c>
    </row>
    <row r="2501" spans="1:12" x14ac:dyDescent="0.2">
      <c r="A2501" s="9">
        <v>46248</v>
      </c>
      <c r="B2501" t="s">
        <v>327</v>
      </c>
      <c r="C2501" t="s">
        <v>328</v>
      </c>
      <c r="D2501" t="s">
        <v>46</v>
      </c>
      <c r="E2501" t="s">
        <v>660</v>
      </c>
      <c r="F2501" t="s">
        <v>669</v>
      </c>
      <c r="G2501" s="10">
        <v>8</v>
      </c>
      <c r="H2501" s="10">
        <v>2533</v>
      </c>
      <c r="I2501" s="10">
        <v>20264</v>
      </c>
      <c r="J2501" t="s">
        <v>37</v>
      </c>
      <c r="K2501" s="11">
        <v>648.20000000000005</v>
      </c>
      <c r="L2501" s="12">
        <v>31.26</v>
      </c>
    </row>
    <row r="2502" spans="1:12" x14ac:dyDescent="0.2">
      <c r="A2502" s="9">
        <v>46248</v>
      </c>
      <c r="B2502" t="s">
        <v>333</v>
      </c>
      <c r="C2502" t="s">
        <v>334</v>
      </c>
      <c r="D2502" t="s">
        <v>68</v>
      </c>
      <c r="E2502" t="s">
        <v>647</v>
      </c>
      <c r="F2502" t="s">
        <v>668</v>
      </c>
      <c r="G2502" s="10">
        <v>7</v>
      </c>
      <c r="H2502" s="10">
        <v>25689</v>
      </c>
      <c r="I2502" s="10">
        <v>179823</v>
      </c>
      <c r="J2502" t="s">
        <v>51</v>
      </c>
      <c r="K2502" s="11">
        <v>648.20000000000005</v>
      </c>
      <c r="L2502" s="12">
        <v>277.42</v>
      </c>
    </row>
    <row r="2503" spans="1:12" x14ac:dyDescent="0.2">
      <c r="A2503" s="9">
        <v>46248</v>
      </c>
      <c r="B2503" t="s">
        <v>333</v>
      </c>
      <c r="C2503" t="s">
        <v>334</v>
      </c>
      <c r="D2503" t="s">
        <v>68</v>
      </c>
      <c r="E2503" t="s">
        <v>647</v>
      </c>
      <c r="F2503" t="s">
        <v>667</v>
      </c>
      <c r="G2503" s="10">
        <v>6</v>
      </c>
      <c r="H2503" s="10">
        <v>7382</v>
      </c>
      <c r="I2503" s="10">
        <v>44292</v>
      </c>
      <c r="J2503" t="s">
        <v>51</v>
      </c>
      <c r="K2503" s="11">
        <v>648.20000000000005</v>
      </c>
      <c r="L2503" s="12">
        <v>68.33</v>
      </c>
    </row>
    <row r="2504" spans="1:12" x14ac:dyDescent="0.2">
      <c r="A2504" s="9">
        <v>46248</v>
      </c>
      <c r="B2504" t="s">
        <v>339</v>
      </c>
      <c r="C2504" t="s">
        <v>340</v>
      </c>
      <c r="D2504" t="s">
        <v>68</v>
      </c>
      <c r="E2504" t="s">
        <v>660</v>
      </c>
      <c r="F2504" t="s">
        <v>670</v>
      </c>
      <c r="G2504" s="10">
        <v>22</v>
      </c>
      <c r="H2504" s="10">
        <v>13923</v>
      </c>
      <c r="I2504" s="10">
        <v>306306</v>
      </c>
      <c r="J2504" t="s">
        <v>51</v>
      </c>
      <c r="K2504" s="11">
        <v>648.20000000000005</v>
      </c>
      <c r="L2504" s="12">
        <v>472.55</v>
      </c>
    </row>
    <row r="2505" spans="1:12" x14ac:dyDescent="0.2">
      <c r="A2505" s="9">
        <v>46248</v>
      </c>
      <c r="B2505" t="s">
        <v>339</v>
      </c>
      <c r="C2505" t="s">
        <v>340</v>
      </c>
      <c r="D2505" t="s">
        <v>68</v>
      </c>
      <c r="E2505" t="s">
        <v>651</v>
      </c>
      <c r="F2505" t="s">
        <v>657</v>
      </c>
      <c r="G2505" s="10">
        <v>6</v>
      </c>
      <c r="H2505" s="10">
        <v>6463</v>
      </c>
      <c r="I2505" s="10">
        <v>38778</v>
      </c>
      <c r="J2505" t="s">
        <v>51</v>
      </c>
      <c r="K2505" s="11">
        <v>648.20000000000005</v>
      </c>
      <c r="L2505" s="12">
        <v>59.82</v>
      </c>
    </row>
    <row r="2506" spans="1:12" x14ac:dyDescent="0.2">
      <c r="A2506" s="9">
        <v>46248</v>
      </c>
      <c r="B2506" t="s">
        <v>342</v>
      </c>
      <c r="C2506" t="s">
        <v>343</v>
      </c>
      <c r="D2506" t="s">
        <v>41</v>
      </c>
      <c r="E2506" t="s">
        <v>649</v>
      </c>
      <c r="F2506" t="s">
        <v>659</v>
      </c>
      <c r="G2506" s="10">
        <v>36</v>
      </c>
      <c r="H2506" s="10">
        <v>42839</v>
      </c>
      <c r="I2506" s="10">
        <v>1542204</v>
      </c>
      <c r="J2506" t="s">
        <v>42</v>
      </c>
      <c r="K2506" s="11">
        <v>3145.8</v>
      </c>
      <c r="L2506" s="12">
        <v>490.24</v>
      </c>
    </row>
    <row r="2507" spans="1:12" x14ac:dyDescent="0.2">
      <c r="A2507" s="9">
        <v>46248</v>
      </c>
      <c r="B2507" t="s">
        <v>342</v>
      </c>
      <c r="C2507" t="s">
        <v>343</v>
      </c>
      <c r="D2507" t="s">
        <v>41</v>
      </c>
      <c r="E2507" t="s">
        <v>660</v>
      </c>
      <c r="F2507" t="s">
        <v>661</v>
      </c>
      <c r="G2507" s="10">
        <v>11</v>
      </c>
      <c r="H2507" s="10">
        <v>20436</v>
      </c>
      <c r="I2507" s="10">
        <v>224796</v>
      </c>
      <c r="J2507" t="s">
        <v>42</v>
      </c>
      <c r="K2507" s="11">
        <v>3145.8</v>
      </c>
      <c r="L2507" s="12">
        <v>71.459999999999994</v>
      </c>
    </row>
    <row r="2508" spans="1:12" x14ac:dyDescent="0.2">
      <c r="A2508" s="9">
        <v>46248</v>
      </c>
      <c r="B2508" t="s">
        <v>342</v>
      </c>
      <c r="C2508" t="s">
        <v>343</v>
      </c>
      <c r="D2508" t="s">
        <v>41</v>
      </c>
      <c r="E2508" t="s">
        <v>647</v>
      </c>
      <c r="F2508" t="s">
        <v>648</v>
      </c>
      <c r="G2508" s="10">
        <v>8</v>
      </c>
      <c r="H2508" s="10">
        <v>80950</v>
      </c>
      <c r="I2508" s="10">
        <v>647600</v>
      </c>
      <c r="J2508" t="s">
        <v>42</v>
      </c>
      <c r="K2508" s="11">
        <v>3145.8</v>
      </c>
      <c r="L2508" s="12">
        <v>205.86</v>
      </c>
    </row>
    <row r="2509" spans="1:12" x14ac:dyDescent="0.2">
      <c r="A2509" s="9">
        <v>46248</v>
      </c>
      <c r="B2509" t="s">
        <v>345</v>
      </c>
      <c r="C2509" t="s">
        <v>346</v>
      </c>
      <c r="D2509" t="s">
        <v>68</v>
      </c>
      <c r="E2509" t="s">
        <v>649</v>
      </c>
      <c r="F2509" t="s">
        <v>650</v>
      </c>
      <c r="G2509" s="10">
        <v>12</v>
      </c>
      <c r="H2509" s="10">
        <v>18607</v>
      </c>
      <c r="I2509" s="10">
        <v>223284</v>
      </c>
      <c r="J2509" t="s">
        <v>51</v>
      </c>
      <c r="K2509" s="11">
        <v>648.20000000000005</v>
      </c>
      <c r="L2509" s="12">
        <v>344.47</v>
      </c>
    </row>
    <row r="2510" spans="1:12" x14ac:dyDescent="0.2">
      <c r="A2510" s="9">
        <v>46248</v>
      </c>
      <c r="B2510" t="s">
        <v>348</v>
      </c>
      <c r="C2510" t="s">
        <v>349</v>
      </c>
      <c r="D2510" t="s">
        <v>36</v>
      </c>
      <c r="E2510" t="s">
        <v>653</v>
      </c>
      <c r="F2510" t="s">
        <v>666</v>
      </c>
      <c r="G2510" s="10">
        <v>19</v>
      </c>
      <c r="H2510" s="10">
        <v>1459</v>
      </c>
      <c r="I2510" s="10">
        <v>27721</v>
      </c>
      <c r="J2510" t="s">
        <v>37</v>
      </c>
      <c r="K2510" s="11">
        <v>648.20000000000005</v>
      </c>
      <c r="L2510" s="12">
        <v>42.77</v>
      </c>
    </row>
    <row r="2511" spans="1:12" x14ac:dyDescent="0.2">
      <c r="A2511" s="9">
        <v>46248</v>
      </c>
      <c r="B2511" t="s">
        <v>357</v>
      </c>
      <c r="C2511" t="s">
        <v>358</v>
      </c>
      <c r="D2511" t="s">
        <v>36</v>
      </c>
      <c r="E2511" t="s">
        <v>655</v>
      </c>
      <c r="F2511" t="s">
        <v>662</v>
      </c>
      <c r="G2511" s="10">
        <v>62</v>
      </c>
      <c r="H2511" s="10">
        <v>1164</v>
      </c>
      <c r="I2511" s="10">
        <v>72168</v>
      </c>
      <c r="J2511" t="s">
        <v>37</v>
      </c>
      <c r="K2511" s="11">
        <v>648.20000000000005</v>
      </c>
      <c r="L2511" s="12">
        <v>111.34</v>
      </c>
    </row>
    <row r="2512" spans="1:12" x14ac:dyDescent="0.2">
      <c r="A2512" s="9">
        <v>46248</v>
      </c>
      <c r="B2512" t="s">
        <v>357</v>
      </c>
      <c r="C2512" t="s">
        <v>358</v>
      </c>
      <c r="D2512" t="s">
        <v>36</v>
      </c>
      <c r="E2512" t="s">
        <v>660</v>
      </c>
      <c r="F2512" t="s">
        <v>669</v>
      </c>
      <c r="G2512" s="10">
        <v>113</v>
      </c>
      <c r="H2512" s="10">
        <v>2551</v>
      </c>
      <c r="I2512" s="10">
        <v>288263</v>
      </c>
      <c r="J2512" t="s">
        <v>37</v>
      </c>
      <c r="K2512" s="11">
        <v>648.20000000000005</v>
      </c>
      <c r="L2512" s="12">
        <v>444.71</v>
      </c>
    </row>
    <row r="2513" spans="1:12" x14ac:dyDescent="0.2">
      <c r="A2513" s="9">
        <v>46248</v>
      </c>
      <c r="B2513" t="s">
        <v>357</v>
      </c>
      <c r="C2513" t="s">
        <v>358</v>
      </c>
      <c r="D2513" t="s">
        <v>36</v>
      </c>
      <c r="E2513" t="s">
        <v>660</v>
      </c>
      <c r="F2513" t="s">
        <v>670</v>
      </c>
      <c r="G2513" s="10">
        <v>100</v>
      </c>
      <c r="H2513" s="10">
        <v>14302</v>
      </c>
      <c r="I2513" s="10">
        <v>1430200</v>
      </c>
      <c r="J2513" t="s">
        <v>37</v>
      </c>
      <c r="K2513" s="11">
        <v>648.20000000000005</v>
      </c>
      <c r="L2513" s="12">
        <v>2206.42</v>
      </c>
    </row>
    <row r="2514" spans="1:12" x14ac:dyDescent="0.2">
      <c r="A2514" s="9">
        <v>46248</v>
      </c>
      <c r="B2514" t="s">
        <v>357</v>
      </c>
      <c r="C2514" t="s">
        <v>358</v>
      </c>
      <c r="D2514" t="s">
        <v>36</v>
      </c>
      <c r="E2514" t="s">
        <v>647</v>
      </c>
      <c r="F2514" t="s">
        <v>648</v>
      </c>
      <c r="G2514" s="10">
        <v>46</v>
      </c>
      <c r="H2514" s="10">
        <v>15713</v>
      </c>
      <c r="I2514" s="10">
        <v>722798</v>
      </c>
      <c r="J2514" t="s">
        <v>37</v>
      </c>
      <c r="K2514" s="11">
        <v>648.20000000000005</v>
      </c>
      <c r="L2514" s="12">
        <v>1115.08</v>
      </c>
    </row>
    <row r="2515" spans="1:12" x14ac:dyDescent="0.2">
      <c r="A2515" s="9">
        <v>46248</v>
      </c>
      <c r="B2515" t="s">
        <v>363</v>
      </c>
      <c r="C2515" t="s">
        <v>364</v>
      </c>
      <c r="D2515" t="s">
        <v>46</v>
      </c>
      <c r="E2515" t="s">
        <v>655</v>
      </c>
      <c r="F2515" t="s">
        <v>662</v>
      </c>
      <c r="G2515" s="10">
        <v>13</v>
      </c>
      <c r="H2515" s="10">
        <v>1142</v>
      </c>
      <c r="I2515" s="10">
        <v>14846</v>
      </c>
      <c r="J2515" t="s">
        <v>37</v>
      </c>
      <c r="K2515" s="11">
        <v>648.20000000000005</v>
      </c>
      <c r="L2515" s="12">
        <v>22.9</v>
      </c>
    </row>
    <row r="2516" spans="1:12" x14ac:dyDescent="0.2">
      <c r="A2516" s="9">
        <v>46248</v>
      </c>
      <c r="B2516" t="s">
        <v>363</v>
      </c>
      <c r="C2516" t="s">
        <v>364</v>
      </c>
      <c r="D2516" t="s">
        <v>46</v>
      </c>
      <c r="E2516" t="s">
        <v>653</v>
      </c>
      <c r="F2516" t="s">
        <v>654</v>
      </c>
      <c r="G2516" s="10">
        <v>138</v>
      </c>
      <c r="H2516" s="10">
        <v>5681</v>
      </c>
      <c r="I2516" s="10">
        <v>783978</v>
      </c>
      <c r="J2516" t="s">
        <v>37</v>
      </c>
      <c r="K2516" s="11">
        <v>648.20000000000005</v>
      </c>
      <c r="L2516" s="12">
        <v>1209.47</v>
      </c>
    </row>
    <row r="2517" spans="1:12" x14ac:dyDescent="0.2">
      <c r="A2517" s="9">
        <v>46248</v>
      </c>
      <c r="B2517" t="s">
        <v>363</v>
      </c>
      <c r="C2517" t="s">
        <v>364</v>
      </c>
      <c r="D2517" t="s">
        <v>46</v>
      </c>
      <c r="E2517" t="s">
        <v>651</v>
      </c>
      <c r="F2517" t="s">
        <v>657</v>
      </c>
      <c r="G2517" s="10">
        <v>31</v>
      </c>
      <c r="H2517" s="10">
        <v>6668</v>
      </c>
      <c r="I2517" s="10">
        <v>206708</v>
      </c>
      <c r="J2517" t="s">
        <v>37</v>
      </c>
      <c r="K2517" s="11">
        <v>648.20000000000005</v>
      </c>
      <c r="L2517" s="12">
        <v>318.89999999999998</v>
      </c>
    </row>
    <row r="2518" spans="1:12" x14ac:dyDescent="0.2">
      <c r="A2518" s="9">
        <v>46248</v>
      </c>
      <c r="B2518" t="s">
        <v>372</v>
      </c>
      <c r="C2518" t="s">
        <v>373</v>
      </c>
      <c r="D2518" t="s">
        <v>75</v>
      </c>
      <c r="E2518" t="s">
        <v>649</v>
      </c>
      <c r="F2518" t="s">
        <v>650</v>
      </c>
      <c r="G2518" s="10">
        <v>66</v>
      </c>
      <c r="H2518" s="10">
        <v>96069</v>
      </c>
      <c r="I2518" s="10">
        <v>6340554</v>
      </c>
      <c r="J2518" t="s">
        <v>42</v>
      </c>
      <c r="K2518" s="11">
        <v>3145.8</v>
      </c>
      <c r="L2518" s="12">
        <v>2015.56</v>
      </c>
    </row>
    <row r="2519" spans="1:12" x14ac:dyDescent="0.2">
      <c r="A2519" s="9">
        <v>46248</v>
      </c>
      <c r="B2519" t="s">
        <v>372</v>
      </c>
      <c r="C2519" t="s">
        <v>373</v>
      </c>
      <c r="D2519" t="s">
        <v>75</v>
      </c>
      <c r="E2519" t="s">
        <v>649</v>
      </c>
      <c r="F2519" t="s">
        <v>659</v>
      </c>
      <c r="G2519" s="10">
        <v>7</v>
      </c>
      <c r="H2519" s="10">
        <v>41562</v>
      </c>
      <c r="I2519" s="10">
        <v>290934</v>
      </c>
      <c r="J2519" t="s">
        <v>42</v>
      </c>
      <c r="K2519" s="11">
        <v>3145.8</v>
      </c>
      <c r="L2519" s="12">
        <v>92.48</v>
      </c>
    </row>
    <row r="2520" spans="1:12" x14ac:dyDescent="0.2">
      <c r="A2520" s="9">
        <v>46248</v>
      </c>
      <c r="B2520" t="s">
        <v>378</v>
      </c>
      <c r="C2520" t="s">
        <v>379</v>
      </c>
      <c r="D2520" t="s">
        <v>50</v>
      </c>
      <c r="E2520" t="s">
        <v>649</v>
      </c>
      <c r="F2520" t="s">
        <v>650</v>
      </c>
      <c r="G2520" s="10">
        <v>5</v>
      </c>
      <c r="H2520" s="10">
        <v>18541</v>
      </c>
      <c r="I2520" s="10">
        <v>92705</v>
      </c>
      <c r="J2520" t="s">
        <v>51</v>
      </c>
      <c r="K2520" s="11">
        <v>648.20000000000005</v>
      </c>
      <c r="L2520" s="12">
        <v>143.02000000000001</v>
      </c>
    </row>
    <row r="2521" spans="1:12" x14ac:dyDescent="0.2">
      <c r="A2521" s="9">
        <v>46248</v>
      </c>
      <c r="B2521" t="s">
        <v>378</v>
      </c>
      <c r="C2521" t="s">
        <v>379</v>
      </c>
      <c r="D2521" t="s">
        <v>50</v>
      </c>
      <c r="E2521" t="s">
        <v>647</v>
      </c>
      <c r="F2521" t="s">
        <v>668</v>
      </c>
      <c r="G2521" s="10">
        <v>12</v>
      </c>
      <c r="H2521" s="10">
        <v>25095</v>
      </c>
      <c r="I2521" s="10">
        <v>301140</v>
      </c>
      <c r="J2521" t="s">
        <v>51</v>
      </c>
      <c r="K2521" s="11">
        <v>648.20000000000005</v>
      </c>
      <c r="L2521" s="12">
        <v>464.58</v>
      </c>
    </row>
    <row r="2522" spans="1:12" x14ac:dyDescent="0.2">
      <c r="A2522" s="9">
        <v>46248</v>
      </c>
      <c r="B2522" t="s">
        <v>378</v>
      </c>
      <c r="C2522" t="s">
        <v>379</v>
      </c>
      <c r="D2522" t="s">
        <v>50</v>
      </c>
      <c r="E2522" t="s">
        <v>647</v>
      </c>
      <c r="F2522" t="s">
        <v>648</v>
      </c>
      <c r="G2522" s="10">
        <v>2</v>
      </c>
      <c r="H2522" s="10">
        <v>16146</v>
      </c>
      <c r="I2522" s="10">
        <v>32292</v>
      </c>
      <c r="J2522" t="s">
        <v>51</v>
      </c>
      <c r="K2522" s="11">
        <v>648.20000000000005</v>
      </c>
      <c r="L2522" s="12">
        <v>49.82</v>
      </c>
    </row>
    <row r="2523" spans="1:12" x14ac:dyDescent="0.2">
      <c r="A2523" s="9">
        <v>46248</v>
      </c>
      <c r="B2523" t="s">
        <v>387</v>
      </c>
      <c r="C2523" t="s">
        <v>388</v>
      </c>
      <c r="D2523" t="s">
        <v>50</v>
      </c>
      <c r="E2523" t="s">
        <v>649</v>
      </c>
      <c r="F2523" t="s">
        <v>663</v>
      </c>
      <c r="G2523" s="10">
        <v>6</v>
      </c>
      <c r="H2523" s="10">
        <v>2002</v>
      </c>
      <c r="I2523" s="10">
        <v>12012</v>
      </c>
      <c r="J2523" t="s">
        <v>51</v>
      </c>
      <c r="K2523" s="11">
        <v>648.20000000000005</v>
      </c>
      <c r="L2523" s="12">
        <v>18.53</v>
      </c>
    </row>
    <row r="2524" spans="1:12" x14ac:dyDescent="0.2">
      <c r="A2524" s="9">
        <v>46248</v>
      </c>
      <c r="B2524" t="s">
        <v>393</v>
      </c>
      <c r="C2524" t="s">
        <v>307</v>
      </c>
      <c r="D2524" t="s">
        <v>68</v>
      </c>
      <c r="E2524" t="s">
        <v>651</v>
      </c>
      <c r="F2524" t="s">
        <v>652</v>
      </c>
      <c r="G2524" s="10">
        <v>68</v>
      </c>
      <c r="H2524" s="10">
        <v>9311</v>
      </c>
      <c r="I2524" s="10">
        <v>633148</v>
      </c>
      <c r="J2524" t="s">
        <v>51</v>
      </c>
      <c r="K2524" s="11">
        <v>648.20000000000005</v>
      </c>
      <c r="L2524" s="12">
        <v>976.78</v>
      </c>
    </row>
    <row r="2525" spans="1:12" x14ac:dyDescent="0.2">
      <c r="A2525" s="9">
        <v>46248</v>
      </c>
      <c r="B2525" t="s">
        <v>393</v>
      </c>
      <c r="C2525" t="s">
        <v>307</v>
      </c>
      <c r="D2525" t="s">
        <v>68</v>
      </c>
      <c r="E2525" t="s">
        <v>653</v>
      </c>
      <c r="F2525" t="s">
        <v>654</v>
      </c>
      <c r="G2525" s="10">
        <v>217</v>
      </c>
      <c r="H2525" s="10">
        <v>5643</v>
      </c>
      <c r="I2525" s="10">
        <v>1224531</v>
      </c>
      <c r="J2525" t="s">
        <v>51</v>
      </c>
      <c r="K2525" s="11">
        <v>648.20000000000005</v>
      </c>
      <c r="L2525" s="12">
        <v>1889.13</v>
      </c>
    </row>
    <row r="2526" spans="1:12" x14ac:dyDescent="0.2">
      <c r="A2526" s="9">
        <v>46248</v>
      </c>
      <c r="B2526" t="s">
        <v>398</v>
      </c>
      <c r="C2526" t="s">
        <v>399</v>
      </c>
      <c r="D2526" t="s">
        <v>46</v>
      </c>
      <c r="E2526" t="s">
        <v>655</v>
      </c>
      <c r="F2526" t="s">
        <v>662</v>
      </c>
      <c r="G2526" s="10">
        <v>30</v>
      </c>
      <c r="H2526" s="10">
        <v>1163</v>
      </c>
      <c r="I2526" s="10">
        <v>34890</v>
      </c>
      <c r="J2526" t="s">
        <v>37</v>
      </c>
      <c r="K2526" s="11">
        <v>648.20000000000005</v>
      </c>
      <c r="L2526" s="12">
        <v>53.83</v>
      </c>
    </row>
    <row r="2527" spans="1:12" x14ac:dyDescent="0.2">
      <c r="A2527" s="9">
        <v>46248</v>
      </c>
      <c r="B2527" t="s">
        <v>398</v>
      </c>
      <c r="C2527" t="s">
        <v>399</v>
      </c>
      <c r="D2527" t="s">
        <v>46</v>
      </c>
      <c r="E2527" t="s">
        <v>660</v>
      </c>
      <c r="F2527" t="s">
        <v>670</v>
      </c>
      <c r="G2527" s="10">
        <v>24</v>
      </c>
      <c r="H2527" s="10">
        <v>14036</v>
      </c>
      <c r="I2527" s="10">
        <v>336864</v>
      </c>
      <c r="J2527" t="s">
        <v>37</v>
      </c>
      <c r="K2527" s="11">
        <v>648.20000000000005</v>
      </c>
      <c r="L2527" s="12">
        <v>519.69000000000005</v>
      </c>
    </row>
    <row r="2528" spans="1:12" x14ac:dyDescent="0.2">
      <c r="A2528" s="9">
        <v>46248</v>
      </c>
      <c r="B2528" t="s">
        <v>401</v>
      </c>
      <c r="C2528" t="s">
        <v>402</v>
      </c>
      <c r="D2528" t="s">
        <v>36</v>
      </c>
      <c r="E2528" t="s">
        <v>651</v>
      </c>
      <c r="F2528" t="s">
        <v>657</v>
      </c>
      <c r="G2528" s="10">
        <v>11</v>
      </c>
      <c r="H2528" s="10">
        <v>6305</v>
      </c>
      <c r="I2528" s="10">
        <v>69355</v>
      </c>
      <c r="J2528" t="s">
        <v>37</v>
      </c>
      <c r="K2528" s="11">
        <v>648.20000000000005</v>
      </c>
      <c r="L2528" s="12">
        <v>107</v>
      </c>
    </row>
    <row r="2529" spans="1:12" x14ac:dyDescent="0.2">
      <c r="A2529" s="9">
        <v>46248</v>
      </c>
      <c r="B2529" t="s">
        <v>404</v>
      </c>
      <c r="C2529" t="s">
        <v>405</v>
      </c>
      <c r="D2529" t="s">
        <v>46</v>
      </c>
      <c r="E2529" t="s">
        <v>660</v>
      </c>
      <c r="F2529" t="s">
        <v>670</v>
      </c>
      <c r="G2529" s="10">
        <v>15</v>
      </c>
      <c r="H2529" s="10">
        <v>14865</v>
      </c>
      <c r="I2529" s="10">
        <v>222975</v>
      </c>
      <c r="J2529" t="s">
        <v>37</v>
      </c>
      <c r="K2529" s="11">
        <v>648.20000000000005</v>
      </c>
      <c r="L2529" s="12">
        <v>343.99</v>
      </c>
    </row>
    <row r="2530" spans="1:12" x14ac:dyDescent="0.2">
      <c r="A2530" s="9">
        <v>46248</v>
      </c>
      <c r="B2530" t="s">
        <v>425</v>
      </c>
      <c r="C2530" t="s">
        <v>426</v>
      </c>
      <c r="D2530" t="s">
        <v>50</v>
      </c>
      <c r="E2530" t="s">
        <v>649</v>
      </c>
      <c r="F2530" t="s">
        <v>650</v>
      </c>
      <c r="G2530" s="10">
        <v>30</v>
      </c>
      <c r="H2530" s="10">
        <v>19406</v>
      </c>
      <c r="I2530" s="10">
        <v>582180</v>
      </c>
      <c r="J2530" t="s">
        <v>51</v>
      </c>
      <c r="K2530" s="11">
        <v>648.20000000000005</v>
      </c>
      <c r="L2530" s="12">
        <v>898.15</v>
      </c>
    </row>
    <row r="2531" spans="1:12" x14ac:dyDescent="0.2">
      <c r="A2531" s="9">
        <v>46248</v>
      </c>
      <c r="B2531" t="s">
        <v>425</v>
      </c>
      <c r="C2531" t="s">
        <v>426</v>
      </c>
      <c r="D2531" t="s">
        <v>50</v>
      </c>
      <c r="E2531" t="s">
        <v>647</v>
      </c>
      <c r="F2531" t="s">
        <v>668</v>
      </c>
      <c r="G2531" s="10">
        <v>3</v>
      </c>
      <c r="H2531" s="10">
        <v>25739</v>
      </c>
      <c r="I2531" s="10">
        <v>77217</v>
      </c>
      <c r="J2531" t="s">
        <v>51</v>
      </c>
      <c r="K2531" s="11">
        <v>648.20000000000005</v>
      </c>
      <c r="L2531" s="12">
        <v>119.13</v>
      </c>
    </row>
    <row r="2532" spans="1:12" x14ac:dyDescent="0.2">
      <c r="A2532" s="9">
        <v>46248</v>
      </c>
      <c r="B2532" t="s">
        <v>439</v>
      </c>
      <c r="C2532" t="s">
        <v>440</v>
      </c>
      <c r="D2532" t="s">
        <v>50</v>
      </c>
      <c r="E2532" t="s">
        <v>660</v>
      </c>
      <c r="F2532" t="s">
        <v>669</v>
      </c>
      <c r="G2532" s="10">
        <v>11</v>
      </c>
      <c r="H2532" s="10">
        <v>2648</v>
      </c>
      <c r="I2532" s="10">
        <v>29128</v>
      </c>
      <c r="J2532" t="s">
        <v>51</v>
      </c>
      <c r="K2532" s="11">
        <v>648.20000000000005</v>
      </c>
      <c r="L2532" s="12">
        <v>44.94</v>
      </c>
    </row>
    <row r="2533" spans="1:12" x14ac:dyDescent="0.2">
      <c r="A2533" s="9">
        <v>46248</v>
      </c>
      <c r="B2533" t="s">
        <v>442</v>
      </c>
      <c r="C2533" t="s">
        <v>443</v>
      </c>
      <c r="D2533" t="s">
        <v>41</v>
      </c>
      <c r="E2533" t="s">
        <v>655</v>
      </c>
      <c r="F2533" t="s">
        <v>662</v>
      </c>
      <c r="G2533" s="10">
        <v>6</v>
      </c>
      <c r="H2533" s="10">
        <v>5262</v>
      </c>
      <c r="I2533" s="10">
        <v>31572</v>
      </c>
      <c r="J2533" t="s">
        <v>42</v>
      </c>
      <c r="K2533" s="11">
        <v>3145.8</v>
      </c>
      <c r="L2533" s="12">
        <v>10.039999999999999</v>
      </c>
    </row>
    <row r="2534" spans="1:12" x14ac:dyDescent="0.2">
      <c r="A2534" s="9">
        <v>46248</v>
      </c>
      <c r="B2534" t="s">
        <v>442</v>
      </c>
      <c r="C2534" t="s">
        <v>443</v>
      </c>
      <c r="D2534" t="s">
        <v>41</v>
      </c>
      <c r="E2534" t="s">
        <v>660</v>
      </c>
      <c r="F2534" t="s">
        <v>669</v>
      </c>
      <c r="G2534" s="10">
        <v>3</v>
      </c>
      <c r="H2534" s="10">
        <v>12997</v>
      </c>
      <c r="I2534" s="10">
        <v>38991</v>
      </c>
      <c r="J2534" t="s">
        <v>42</v>
      </c>
      <c r="K2534" s="11">
        <v>3145.8</v>
      </c>
      <c r="L2534" s="12">
        <v>12.39</v>
      </c>
    </row>
    <row r="2535" spans="1:12" x14ac:dyDescent="0.2">
      <c r="A2535" s="9">
        <v>46248</v>
      </c>
      <c r="B2535" t="s">
        <v>442</v>
      </c>
      <c r="C2535" t="s">
        <v>443</v>
      </c>
      <c r="D2535" t="s">
        <v>41</v>
      </c>
      <c r="E2535" t="s">
        <v>647</v>
      </c>
      <c r="F2535" t="s">
        <v>667</v>
      </c>
      <c r="G2535" s="10">
        <v>2</v>
      </c>
      <c r="H2535" s="10">
        <v>35854</v>
      </c>
      <c r="I2535" s="10">
        <v>71708</v>
      </c>
      <c r="J2535" t="s">
        <v>42</v>
      </c>
      <c r="K2535" s="11">
        <v>3145.8</v>
      </c>
      <c r="L2535" s="12">
        <v>22.79</v>
      </c>
    </row>
    <row r="2536" spans="1:12" x14ac:dyDescent="0.2">
      <c r="A2536" s="9">
        <v>46248</v>
      </c>
      <c r="B2536" t="s">
        <v>445</v>
      </c>
      <c r="C2536" t="s">
        <v>446</v>
      </c>
      <c r="D2536" t="s">
        <v>68</v>
      </c>
      <c r="E2536" t="s">
        <v>649</v>
      </c>
      <c r="F2536" t="s">
        <v>663</v>
      </c>
      <c r="G2536" s="10">
        <v>3</v>
      </c>
      <c r="H2536" s="10">
        <v>2034</v>
      </c>
      <c r="I2536" s="10">
        <v>6102</v>
      </c>
      <c r="J2536" t="s">
        <v>51</v>
      </c>
      <c r="K2536" s="11">
        <v>648.20000000000005</v>
      </c>
      <c r="L2536" s="12">
        <v>9.41</v>
      </c>
    </row>
    <row r="2537" spans="1:12" x14ac:dyDescent="0.2">
      <c r="A2537" s="9">
        <v>46248</v>
      </c>
      <c r="B2537" t="s">
        <v>445</v>
      </c>
      <c r="C2537" t="s">
        <v>446</v>
      </c>
      <c r="D2537" t="s">
        <v>68</v>
      </c>
      <c r="E2537" t="s">
        <v>655</v>
      </c>
      <c r="F2537" t="s">
        <v>665</v>
      </c>
      <c r="G2537" s="10">
        <v>5</v>
      </c>
      <c r="H2537" s="10">
        <v>672</v>
      </c>
      <c r="I2537" s="10">
        <v>3360</v>
      </c>
      <c r="J2537" t="s">
        <v>51</v>
      </c>
      <c r="K2537" s="11">
        <v>648.20000000000005</v>
      </c>
      <c r="L2537" s="12">
        <v>5.18</v>
      </c>
    </row>
    <row r="2538" spans="1:12" x14ac:dyDescent="0.2">
      <c r="A2538" s="9">
        <v>46248</v>
      </c>
      <c r="B2538" t="s">
        <v>448</v>
      </c>
      <c r="C2538" t="s">
        <v>449</v>
      </c>
      <c r="D2538" t="s">
        <v>75</v>
      </c>
      <c r="E2538" t="s">
        <v>651</v>
      </c>
      <c r="F2538" t="s">
        <v>664</v>
      </c>
      <c r="G2538" s="10">
        <v>8</v>
      </c>
      <c r="H2538" s="10">
        <v>56802</v>
      </c>
      <c r="I2538" s="10">
        <v>454416</v>
      </c>
      <c r="J2538" t="s">
        <v>42</v>
      </c>
      <c r="K2538" s="11">
        <v>3145.8</v>
      </c>
      <c r="L2538" s="12">
        <v>144.44999999999999</v>
      </c>
    </row>
    <row r="2539" spans="1:12" x14ac:dyDescent="0.2">
      <c r="A2539" s="9">
        <v>46248</v>
      </c>
      <c r="B2539" t="s">
        <v>451</v>
      </c>
      <c r="C2539" t="s">
        <v>452</v>
      </c>
      <c r="D2539" t="s">
        <v>68</v>
      </c>
      <c r="E2539" t="s">
        <v>660</v>
      </c>
      <c r="F2539" t="s">
        <v>661</v>
      </c>
      <c r="G2539" s="10">
        <v>1</v>
      </c>
      <c r="H2539" s="10">
        <v>4240</v>
      </c>
      <c r="I2539" s="10">
        <v>4240</v>
      </c>
      <c r="J2539" t="s">
        <v>51</v>
      </c>
      <c r="K2539" s="11">
        <v>648.20000000000005</v>
      </c>
      <c r="L2539" s="12">
        <v>6.54</v>
      </c>
    </row>
    <row r="2540" spans="1:12" x14ac:dyDescent="0.2">
      <c r="A2540" s="9">
        <v>46248</v>
      </c>
      <c r="B2540" t="s">
        <v>454</v>
      </c>
      <c r="C2540" t="s">
        <v>455</v>
      </c>
      <c r="D2540" t="s">
        <v>41</v>
      </c>
      <c r="E2540" t="s">
        <v>660</v>
      </c>
      <c r="F2540" t="s">
        <v>670</v>
      </c>
      <c r="G2540" s="10">
        <v>14</v>
      </c>
      <c r="H2540" s="10">
        <v>70138</v>
      </c>
      <c r="I2540" s="10">
        <v>981932</v>
      </c>
      <c r="J2540" t="s">
        <v>42</v>
      </c>
      <c r="K2540" s="11">
        <v>3145.8</v>
      </c>
      <c r="L2540" s="12">
        <v>312.14</v>
      </c>
    </row>
    <row r="2541" spans="1:12" x14ac:dyDescent="0.2">
      <c r="A2541" s="9">
        <v>46248</v>
      </c>
      <c r="B2541" t="s">
        <v>457</v>
      </c>
      <c r="C2541" t="s">
        <v>458</v>
      </c>
      <c r="D2541" t="s">
        <v>46</v>
      </c>
      <c r="E2541" t="s">
        <v>649</v>
      </c>
      <c r="F2541" t="s">
        <v>650</v>
      </c>
      <c r="G2541" s="10">
        <v>19</v>
      </c>
      <c r="H2541" s="10">
        <v>18723</v>
      </c>
      <c r="I2541" s="10">
        <v>355737</v>
      </c>
      <c r="J2541" t="s">
        <v>37</v>
      </c>
      <c r="K2541" s="11">
        <v>648.20000000000005</v>
      </c>
      <c r="L2541" s="12">
        <v>548.80999999999995</v>
      </c>
    </row>
    <row r="2542" spans="1:12" x14ac:dyDescent="0.2">
      <c r="A2542" s="9">
        <v>46248</v>
      </c>
      <c r="B2542" t="s">
        <v>457</v>
      </c>
      <c r="C2542" t="s">
        <v>458</v>
      </c>
      <c r="D2542" t="s">
        <v>46</v>
      </c>
      <c r="E2542" t="s">
        <v>649</v>
      </c>
      <c r="F2542" t="s">
        <v>659</v>
      </c>
      <c r="G2542" s="10">
        <v>17</v>
      </c>
      <c r="H2542" s="10">
        <v>9114</v>
      </c>
      <c r="I2542" s="10">
        <v>154938</v>
      </c>
      <c r="J2542" t="s">
        <v>37</v>
      </c>
      <c r="K2542" s="11">
        <v>648.20000000000005</v>
      </c>
      <c r="L2542" s="12">
        <v>239.03</v>
      </c>
    </row>
    <row r="2543" spans="1:12" x14ac:dyDescent="0.2">
      <c r="A2543" s="9">
        <v>46248</v>
      </c>
      <c r="B2543" t="s">
        <v>457</v>
      </c>
      <c r="C2543" t="s">
        <v>458</v>
      </c>
      <c r="D2543" t="s">
        <v>46</v>
      </c>
      <c r="E2543" t="s">
        <v>660</v>
      </c>
      <c r="F2543" t="s">
        <v>669</v>
      </c>
      <c r="G2543" s="10">
        <v>41</v>
      </c>
      <c r="H2543" s="10">
        <v>2534</v>
      </c>
      <c r="I2543" s="10">
        <v>103894</v>
      </c>
      <c r="J2543" t="s">
        <v>37</v>
      </c>
      <c r="K2543" s="11">
        <v>648.20000000000005</v>
      </c>
      <c r="L2543" s="12">
        <v>160.28</v>
      </c>
    </row>
    <row r="2544" spans="1:12" x14ac:dyDescent="0.2">
      <c r="A2544" s="9">
        <v>46248</v>
      </c>
      <c r="B2544" t="s">
        <v>457</v>
      </c>
      <c r="C2544" t="s">
        <v>458</v>
      </c>
      <c r="D2544" t="s">
        <v>46</v>
      </c>
      <c r="E2544" t="s">
        <v>660</v>
      </c>
      <c r="F2544" t="s">
        <v>661</v>
      </c>
      <c r="G2544" s="10">
        <v>6</v>
      </c>
      <c r="H2544" s="10">
        <v>4268</v>
      </c>
      <c r="I2544" s="10">
        <v>25608</v>
      </c>
      <c r="J2544" t="s">
        <v>37</v>
      </c>
      <c r="K2544" s="11">
        <v>648.20000000000005</v>
      </c>
      <c r="L2544" s="12">
        <v>39.51</v>
      </c>
    </row>
    <row r="2545" spans="1:12" x14ac:dyDescent="0.2">
      <c r="A2545" s="9">
        <v>46248</v>
      </c>
      <c r="B2545" t="s">
        <v>457</v>
      </c>
      <c r="C2545" t="s">
        <v>458</v>
      </c>
      <c r="D2545" t="s">
        <v>46</v>
      </c>
      <c r="E2545" t="s">
        <v>660</v>
      </c>
      <c r="F2545" t="s">
        <v>661</v>
      </c>
      <c r="G2545" s="10">
        <v>23</v>
      </c>
      <c r="H2545" s="10">
        <v>4250</v>
      </c>
      <c r="I2545" s="10">
        <v>97750</v>
      </c>
      <c r="J2545" t="s">
        <v>37</v>
      </c>
      <c r="K2545" s="11">
        <v>648.20000000000005</v>
      </c>
      <c r="L2545" s="12">
        <v>150.80000000000001</v>
      </c>
    </row>
    <row r="2546" spans="1:12" x14ac:dyDescent="0.2">
      <c r="A2546" s="9">
        <v>46248</v>
      </c>
      <c r="B2546" t="s">
        <v>457</v>
      </c>
      <c r="C2546" t="s">
        <v>458</v>
      </c>
      <c r="D2546" t="s">
        <v>46</v>
      </c>
      <c r="E2546" t="s">
        <v>660</v>
      </c>
      <c r="F2546" t="s">
        <v>661</v>
      </c>
      <c r="G2546" s="10">
        <v>28</v>
      </c>
      <c r="H2546" s="10">
        <v>4194</v>
      </c>
      <c r="I2546" s="10">
        <v>117432</v>
      </c>
      <c r="J2546" t="s">
        <v>37</v>
      </c>
      <c r="K2546" s="11">
        <v>648.20000000000005</v>
      </c>
      <c r="L2546" s="12">
        <v>181.17</v>
      </c>
    </row>
    <row r="2547" spans="1:12" x14ac:dyDescent="0.2">
      <c r="A2547" s="9">
        <v>46248</v>
      </c>
      <c r="B2547" t="s">
        <v>457</v>
      </c>
      <c r="C2547" t="s">
        <v>458</v>
      </c>
      <c r="D2547" t="s">
        <v>46</v>
      </c>
      <c r="E2547" t="s">
        <v>647</v>
      </c>
      <c r="F2547" t="s">
        <v>667</v>
      </c>
      <c r="G2547" s="10">
        <v>8</v>
      </c>
      <c r="H2547" s="10">
        <v>7148</v>
      </c>
      <c r="I2547" s="10">
        <v>57184</v>
      </c>
      <c r="J2547" t="s">
        <v>37</v>
      </c>
      <c r="K2547" s="11">
        <v>648.20000000000005</v>
      </c>
      <c r="L2547" s="12">
        <v>88.22</v>
      </c>
    </row>
    <row r="2548" spans="1:12" x14ac:dyDescent="0.2">
      <c r="A2548" s="9">
        <v>46248</v>
      </c>
      <c r="B2548" t="s">
        <v>457</v>
      </c>
      <c r="C2548" t="s">
        <v>458</v>
      </c>
      <c r="D2548" t="s">
        <v>46</v>
      </c>
      <c r="E2548" t="s">
        <v>655</v>
      </c>
      <c r="F2548" t="s">
        <v>656</v>
      </c>
      <c r="G2548" s="10">
        <v>44</v>
      </c>
      <c r="H2548" s="10">
        <v>554</v>
      </c>
      <c r="I2548" s="10">
        <v>24376</v>
      </c>
      <c r="J2548" t="s">
        <v>37</v>
      </c>
      <c r="K2548" s="11">
        <v>648.20000000000005</v>
      </c>
      <c r="L2548" s="12">
        <v>37.61</v>
      </c>
    </row>
    <row r="2549" spans="1:12" x14ac:dyDescent="0.2">
      <c r="A2549" s="9">
        <v>46248</v>
      </c>
      <c r="B2549" t="s">
        <v>460</v>
      </c>
      <c r="C2549" t="s">
        <v>461</v>
      </c>
      <c r="D2549" t="s">
        <v>75</v>
      </c>
      <c r="E2549" t="s">
        <v>660</v>
      </c>
      <c r="F2549" t="s">
        <v>669</v>
      </c>
      <c r="G2549" s="10">
        <v>19</v>
      </c>
      <c r="H2549" s="10">
        <v>12553</v>
      </c>
      <c r="I2549" s="10">
        <v>238507</v>
      </c>
      <c r="J2549" t="s">
        <v>42</v>
      </c>
      <c r="K2549" s="11">
        <v>3145.8</v>
      </c>
      <c r="L2549" s="12">
        <v>75.819999999999993</v>
      </c>
    </row>
    <row r="2550" spans="1:12" x14ac:dyDescent="0.2">
      <c r="A2550" s="9">
        <v>46248</v>
      </c>
      <c r="B2550" t="s">
        <v>460</v>
      </c>
      <c r="C2550" t="s">
        <v>461</v>
      </c>
      <c r="D2550" t="s">
        <v>75</v>
      </c>
      <c r="E2550" t="s">
        <v>647</v>
      </c>
      <c r="F2550" t="s">
        <v>668</v>
      </c>
      <c r="G2550" s="10">
        <v>49</v>
      </c>
      <c r="H2550" s="10">
        <v>121296</v>
      </c>
      <c r="I2550" s="10">
        <v>5943504</v>
      </c>
      <c r="J2550" t="s">
        <v>42</v>
      </c>
      <c r="K2550" s="11">
        <v>3145.8</v>
      </c>
      <c r="L2550" s="12">
        <v>1889.35</v>
      </c>
    </row>
    <row r="2551" spans="1:12" x14ac:dyDescent="0.2">
      <c r="A2551" s="9">
        <v>46248</v>
      </c>
      <c r="B2551" t="s">
        <v>463</v>
      </c>
      <c r="C2551" t="s">
        <v>464</v>
      </c>
      <c r="D2551" t="s">
        <v>36</v>
      </c>
      <c r="E2551" t="s">
        <v>649</v>
      </c>
      <c r="F2551" t="s">
        <v>659</v>
      </c>
      <c r="G2551" s="10">
        <v>18</v>
      </c>
      <c r="H2551" s="10">
        <v>8615</v>
      </c>
      <c r="I2551" s="10">
        <v>155070</v>
      </c>
      <c r="J2551" t="s">
        <v>37</v>
      </c>
      <c r="K2551" s="11">
        <v>648.20000000000005</v>
      </c>
      <c r="L2551" s="12">
        <v>239.23</v>
      </c>
    </row>
    <row r="2552" spans="1:12" x14ac:dyDescent="0.2">
      <c r="A2552" s="9">
        <v>46248</v>
      </c>
      <c r="B2552" t="s">
        <v>469</v>
      </c>
      <c r="C2552" t="s">
        <v>470</v>
      </c>
      <c r="D2552" t="s">
        <v>41</v>
      </c>
      <c r="E2552" t="s">
        <v>660</v>
      </c>
      <c r="F2552" t="s">
        <v>669</v>
      </c>
      <c r="G2552" s="10">
        <v>8</v>
      </c>
      <c r="H2552" s="10">
        <v>12757</v>
      </c>
      <c r="I2552" s="10">
        <v>102056</v>
      </c>
      <c r="J2552" t="s">
        <v>42</v>
      </c>
      <c r="K2552" s="11">
        <v>3145.8</v>
      </c>
      <c r="L2552" s="12">
        <v>32.44</v>
      </c>
    </row>
    <row r="2553" spans="1:12" x14ac:dyDescent="0.2">
      <c r="A2553" s="9">
        <v>46248</v>
      </c>
      <c r="B2553" t="s">
        <v>475</v>
      </c>
      <c r="C2553" t="s">
        <v>476</v>
      </c>
      <c r="D2553" t="s">
        <v>75</v>
      </c>
      <c r="E2553" t="s">
        <v>649</v>
      </c>
      <c r="F2553" t="s">
        <v>650</v>
      </c>
      <c r="G2553" s="10">
        <v>45</v>
      </c>
      <c r="H2553" s="10">
        <v>92785</v>
      </c>
      <c r="I2553" s="10">
        <v>4175325</v>
      </c>
      <c r="J2553" t="s">
        <v>42</v>
      </c>
      <c r="K2553" s="11">
        <v>3145.8</v>
      </c>
      <c r="L2553" s="12">
        <v>1327.27</v>
      </c>
    </row>
    <row r="2554" spans="1:12" x14ac:dyDescent="0.2">
      <c r="A2554" s="9">
        <v>46248</v>
      </c>
      <c r="B2554" t="s">
        <v>475</v>
      </c>
      <c r="C2554" t="s">
        <v>476</v>
      </c>
      <c r="D2554" t="s">
        <v>75</v>
      </c>
      <c r="E2554" t="s">
        <v>647</v>
      </c>
      <c r="F2554" t="s">
        <v>668</v>
      </c>
      <c r="G2554" s="10">
        <v>56</v>
      </c>
      <c r="H2554" s="10">
        <v>120465</v>
      </c>
      <c r="I2554" s="10">
        <v>6746040</v>
      </c>
      <c r="J2554" t="s">
        <v>42</v>
      </c>
      <c r="K2554" s="11">
        <v>3145.8</v>
      </c>
      <c r="L2554" s="12">
        <v>2144.46</v>
      </c>
    </row>
    <row r="2555" spans="1:12" x14ac:dyDescent="0.2">
      <c r="A2555" s="9">
        <v>46248</v>
      </c>
      <c r="B2555" t="s">
        <v>475</v>
      </c>
      <c r="C2555" t="s">
        <v>476</v>
      </c>
      <c r="D2555" t="s">
        <v>75</v>
      </c>
      <c r="E2555" t="s">
        <v>647</v>
      </c>
      <c r="F2555" t="s">
        <v>648</v>
      </c>
      <c r="G2555" s="10">
        <v>16</v>
      </c>
      <c r="H2555" s="10">
        <v>79585</v>
      </c>
      <c r="I2555" s="10">
        <v>1273360</v>
      </c>
      <c r="J2555" t="s">
        <v>42</v>
      </c>
      <c r="K2555" s="11">
        <v>3145.8</v>
      </c>
      <c r="L2555" s="12">
        <v>404.78</v>
      </c>
    </row>
    <row r="2556" spans="1:12" x14ac:dyDescent="0.2">
      <c r="A2556" s="9">
        <v>46248</v>
      </c>
      <c r="B2556" t="s">
        <v>475</v>
      </c>
      <c r="C2556" t="s">
        <v>476</v>
      </c>
      <c r="D2556" t="s">
        <v>75</v>
      </c>
      <c r="E2556" t="s">
        <v>647</v>
      </c>
      <c r="F2556" t="s">
        <v>667</v>
      </c>
      <c r="G2556" s="10">
        <v>38</v>
      </c>
      <c r="H2556" s="10">
        <v>36450</v>
      </c>
      <c r="I2556" s="10">
        <v>1385100</v>
      </c>
      <c r="J2556" t="s">
        <v>42</v>
      </c>
      <c r="K2556" s="11">
        <v>3145.8</v>
      </c>
      <c r="L2556" s="12">
        <v>440.3</v>
      </c>
    </row>
    <row r="2557" spans="1:12" x14ac:dyDescent="0.2">
      <c r="A2557" s="9">
        <v>46248</v>
      </c>
      <c r="B2557" t="s">
        <v>481</v>
      </c>
      <c r="C2557" t="s">
        <v>78</v>
      </c>
      <c r="D2557" t="s">
        <v>41</v>
      </c>
      <c r="E2557" t="s">
        <v>660</v>
      </c>
      <c r="F2557" t="s">
        <v>670</v>
      </c>
      <c r="G2557" s="10">
        <v>33</v>
      </c>
      <c r="H2557" s="10">
        <v>70181</v>
      </c>
      <c r="I2557" s="10">
        <v>2315973</v>
      </c>
      <c r="J2557" t="s">
        <v>42</v>
      </c>
      <c r="K2557" s="11">
        <v>3145.8</v>
      </c>
      <c r="L2557" s="12">
        <v>736.21</v>
      </c>
    </row>
    <row r="2558" spans="1:12" x14ac:dyDescent="0.2">
      <c r="A2558" s="9">
        <v>46248</v>
      </c>
      <c r="B2558" t="s">
        <v>481</v>
      </c>
      <c r="C2558" t="s">
        <v>78</v>
      </c>
      <c r="D2558" t="s">
        <v>41</v>
      </c>
      <c r="E2558" t="s">
        <v>660</v>
      </c>
      <c r="F2558" t="s">
        <v>661</v>
      </c>
      <c r="G2558" s="10">
        <v>23</v>
      </c>
      <c r="H2558" s="10">
        <v>20483</v>
      </c>
      <c r="I2558" s="10">
        <v>471109</v>
      </c>
      <c r="J2558" t="s">
        <v>42</v>
      </c>
      <c r="K2558" s="11">
        <v>3145.8</v>
      </c>
      <c r="L2558" s="12">
        <v>149.76</v>
      </c>
    </row>
    <row r="2559" spans="1:12" x14ac:dyDescent="0.2">
      <c r="A2559" s="9">
        <v>46248</v>
      </c>
      <c r="B2559" t="s">
        <v>481</v>
      </c>
      <c r="C2559" t="s">
        <v>78</v>
      </c>
      <c r="D2559" t="s">
        <v>41</v>
      </c>
      <c r="E2559" t="s">
        <v>653</v>
      </c>
      <c r="F2559" t="s">
        <v>654</v>
      </c>
      <c r="G2559" s="10">
        <v>6</v>
      </c>
      <c r="H2559" s="10">
        <v>28498</v>
      </c>
      <c r="I2559" s="10">
        <v>170988</v>
      </c>
      <c r="J2559" t="s">
        <v>42</v>
      </c>
      <c r="K2559" s="11">
        <v>3145.8</v>
      </c>
      <c r="L2559" s="12">
        <v>54.35</v>
      </c>
    </row>
    <row r="2560" spans="1:12" x14ac:dyDescent="0.2">
      <c r="A2560" s="9">
        <v>46248</v>
      </c>
      <c r="B2560" t="s">
        <v>483</v>
      </c>
      <c r="C2560" t="s">
        <v>340</v>
      </c>
      <c r="D2560" t="s">
        <v>46</v>
      </c>
      <c r="E2560" t="s">
        <v>647</v>
      </c>
      <c r="F2560" t="s">
        <v>668</v>
      </c>
      <c r="G2560" s="10">
        <v>5</v>
      </c>
      <c r="H2560" s="10">
        <v>24456</v>
      </c>
      <c r="I2560" s="10">
        <v>122280</v>
      </c>
      <c r="J2560" t="s">
        <v>37</v>
      </c>
      <c r="K2560" s="11">
        <v>648.20000000000005</v>
      </c>
      <c r="L2560" s="12">
        <v>188.65</v>
      </c>
    </row>
    <row r="2561" spans="1:12" x14ac:dyDescent="0.2">
      <c r="A2561" s="9">
        <v>46248</v>
      </c>
      <c r="B2561" t="s">
        <v>485</v>
      </c>
      <c r="C2561" t="s">
        <v>486</v>
      </c>
      <c r="D2561" t="s">
        <v>41</v>
      </c>
      <c r="E2561" t="s">
        <v>647</v>
      </c>
      <c r="F2561" t="s">
        <v>667</v>
      </c>
      <c r="G2561" s="10">
        <v>5</v>
      </c>
      <c r="H2561" s="10">
        <v>36947</v>
      </c>
      <c r="I2561" s="10">
        <v>184735</v>
      </c>
      <c r="J2561" t="s">
        <v>42</v>
      </c>
      <c r="K2561" s="11">
        <v>3145.8</v>
      </c>
      <c r="L2561" s="12">
        <v>58.72</v>
      </c>
    </row>
    <row r="2562" spans="1:12" x14ac:dyDescent="0.2">
      <c r="A2562" s="9">
        <v>46248</v>
      </c>
      <c r="B2562" t="s">
        <v>491</v>
      </c>
      <c r="C2562" t="s">
        <v>125</v>
      </c>
      <c r="D2562" t="s">
        <v>75</v>
      </c>
      <c r="E2562" t="s">
        <v>653</v>
      </c>
      <c r="F2562" t="s">
        <v>658</v>
      </c>
      <c r="G2562" s="10">
        <v>13</v>
      </c>
      <c r="H2562" s="10">
        <v>13357</v>
      </c>
      <c r="I2562" s="10">
        <v>173641</v>
      </c>
      <c r="J2562" t="s">
        <v>42</v>
      </c>
      <c r="K2562" s="11">
        <v>3145.8</v>
      </c>
      <c r="L2562" s="12">
        <v>55.2</v>
      </c>
    </row>
    <row r="2563" spans="1:12" x14ac:dyDescent="0.2">
      <c r="A2563" s="9">
        <v>46248</v>
      </c>
      <c r="B2563" t="s">
        <v>496</v>
      </c>
      <c r="C2563" t="s">
        <v>497</v>
      </c>
      <c r="D2563" t="s">
        <v>41</v>
      </c>
      <c r="E2563" t="s">
        <v>651</v>
      </c>
      <c r="F2563" t="s">
        <v>664</v>
      </c>
      <c r="G2563" s="10">
        <v>9</v>
      </c>
      <c r="H2563" s="10">
        <v>58681</v>
      </c>
      <c r="I2563" s="10">
        <v>528129</v>
      </c>
      <c r="J2563" t="s">
        <v>42</v>
      </c>
      <c r="K2563" s="11">
        <v>3145.8</v>
      </c>
      <c r="L2563" s="12">
        <v>167.88</v>
      </c>
    </row>
    <row r="2564" spans="1:12" x14ac:dyDescent="0.2">
      <c r="A2564" s="9">
        <v>46248</v>
      </c>
      <c r="B2564" t="s">
        <v>499</v>
      </c>
      <c r="C2564" t="s">
        <v>500</v>
      </c>
      <c r="D2564" t="s">
        <v>41</v>
      </c>
      <c r="E2564" t="s">
        <v>651</v>
      </c>
      <c r="F2564" t="s">
        <v>652</v>
      </c>
      <c r="G2564" s="10">
        <v>11</v>
      </c>
      <c r="H2564" s="10">
        <v>47184</v>
      </c>
      <c r="I2564" s="10">
        <v>519024</v>
      </c>
      <c r="J2564" t="s">
        <v>42</v>
      </c>
      <c r="K2564" s="11">
        <v>3145.8</v>
      </c>
      <c r="L2564" s="12">
        <v>164.99</v>
      </c>
    </row>
    <row r="2565" spans="1:12" x14ac:dyDescent="0.2">
      <c r="A2565" s="9">
        <v>46248</v>
      </c>
      <c r="B2565" t="s">
        <v>499</v>
      </c>
      <c r="C2565" t="s">
        <v>500</v>
      </c>
      <c r="D2565" t="s">
        <v>41</v>
      </c>
      <c r="E2565" t="s">
        <v>653</v>
      </c>
      <c r="F2565" t="s">
        <v>666</v>
      </c>
      <c r="G2565" s="10">
        <v>15</v>
      </c>
      <c r="H2565" s="10">
        <v>7035</v>
      </c>
      <c r="I2565" s="10">
        <v>105525</v>
      </c>
      <c r="J2565" t="s">
        <v>42</v>
      </c>
      <c r="K2565" s="11">
        <v>3145.8</v>
      </c>
      <c r="L2565" s="12">
        <v>33.54</v>
      </c>
    </row>
    <row r="2566" spans="1:12" x14ac:dyDescent="0.2">
      <c r="A2566" s="9">
        <v>46248</v>
      </c>
      <c r="B2566" t="s">
        <v>505</v>
      </c>
      <c r="C2566" t="s">
        <v>506</v>
      </c>
      <c r="D2566" t="s">
        <v>36</v>
      </c>
      <c r="E2566" t="s">
        <v>653</v>
      </c>
      <c r="F2566" t="s">
        <v>666</v>
      </c>
      <c r="G2566" s="10">
        <v>43</v>
      </c>
      <c r="H2566" s="10">
        <v>1474</v>
      </c>
      <c r="I2566" s="10">
        <v>63382</v>
      </c>
      <c r="J2566" t="s">
        <v>37</v>
      </c>
      <c r="K2566" s="11">
        <v>648.20000000000005</v>
      </c>
      <c r="L2566" s="12">
        <v>97.78</v>
      </c>
    </row>
    <row r="2567" spans="1:12" x14ac:dyDescent="0.2">
      <c r="A2567" s="9">
        <v>46248</v>
      </c>
      <c r="B2567" t="s">
        <v>508</v>
      </c>
      <c r="C2567" t="s">
        <v>509</v>
      </c>
      <c r="D2567" t="s">
        <v>68</v>
      </c>
      <c r="E2567" t="s">
        <v>647</v>
      </c>
      <c r="F2567" t="s">
        <v>648</v>
      </c>
      <c r="G2567" s="10">
        <v>2</v>
      </c>
      <c r="H2567" s="10">
        <v>16468</v>
      </c>
      <c r="I2567" s="10">
        <v>32936</v>
      </c>
      <c r="J2567" t="s">
        <v>51</v>
      </c>
      <c r="K2567" s="11">
        <v>648.20000000000005</v>
      </c>
      <c r="L2567" s="12">
        <v>50.81</v>
      </c>
    </row>
    <row r="2568" spans="1:12" x14ac:dyDescent="0.2">
      <c r="A2568" s="9">
        <v>46248</v>
      </c>
      <c r="B2568" t="s">
        <v>511</v>
      </c>
      <c r="C2568" t="s">
        <v>512</v>
      </c>
      <c r="D2568" t="s">
        <v>75</v>
      </c>
      <c r="E2568" t="s">
        <v>647</v>
      </c>
      <c r="F2568" t="s">
        <v>667</v>
      </c>
      <c r="G2568" s="10">
        <v>12</v>
      </c>
      <c r="H2568" s="10">
        <v>34748</v>
      </c>
      <c r="I2568" s="10">
        <v>416976</v>
      </c>
      <c r="J2568" t="s">
        <v>42</v>
      </c>
      <c r="K2568" s="11">
        <v>3145.8</v>
      </c>
      <c r="L2568" s="12">
        <v>132.55000000000001</v>
      </c>
    </row>
    <row r="2569" spans="1:12" x14ac:dyDescent="0.2">
      <c r="A2569" s="9">
        <v>46248</v>
      </c>
      <c r="B2569" t="s">
        <v>514</v>
      </c>
      <c r="C2569" t="s">
        <v>515</v>
      </c>
      <c r="D2569" t="s">
        <v>41</v>
      </c>
      <c r="E2569" t="s">
        <v>655</v>
      </c>
      <c r="F2569" t="s">
        <v>656</v>
      </c>
      <c r="G2569" s="10">
        <v>6</v>
      </c>
      <c r="H2569" s="10">
        <v>2858</v>
      </c>
      <c r="I2569" s="10">
        <v>17148</v>
      </c>
      <c r="J2569" t="s">
        <v>42</v>
      </c>
      <c r="K2569" s="11">
        <v>3145.8</v>
      </c>
      <c r="L2569" s="12">
        <v>5.45</v>
      </c>
    </row>
    <row r="2570" spans="1:12" x14ac:dyDescent="0.2">
      <c r="A2570" s="9">
        <v>46248</v>
      </c>
      <c r="B2570" t="s">
        <v>522</v>
      </c>
      <c r="C2570" t="s">
        <v>523</v>
      </c>
      <c r="D2570" t="s">
        <v>50</v>
      </c>
      <c r="E2570" t="s">
        <v>653</v>
      </c>
      <c r="F2570" t="s">
        <v>658</v>
      </c>
      <c r="G2570" s="10">
        <v>58</v>
      </c>
      <c r="H2570" s="10">
        <v>2725</v>
      </c>
      <c r="I2570" s="10">
        <v>158050</v>
      </c>
      <c r="J2570" t="s">
        <v>51</v>
      </c>
      <c r="K2570" s="11">
        <v>648.20000000000005</v>
      </c>
      <c r="L2570" s="12">
        <v>243.83</v>
      </c>
    </row>
    <row r="2571" spans="1:12" x14ac:dyDescent="0.2">
      <c r="A2571" s="9">
        <v>46248</v>
      </c>
      <c r="B2571" t="s">
        <v>522</v>
      </c>
      <c r="C2571" t="s">
        <v>523</v>
      </c>
      <c r="D2571" t="s">
        <v>50</v>
      </c>
      <c r="E2571" t="s">
        <v>660</v>
      </c>
      <c r="F2571" t="s">
        <v>669</v>
      </c>
      <c r="G2571" s="10">
        <v>27</v>
      </c>
      <c r="H2571" s="10">
        <v>2545</v>
      </c>
      <c r="I2571" s="10">
        <v>68715</v>
      </c>
      <c r="J2571" t="s">
        <v>51</v>
      </c>
      <c r="K2571" s="11">
        <v>648.20000000000005</v>
      </c>
      <c r="L2571" s="12">
        <v>106.01</v>
      </c>
    </row>
    <row r="2572" spans="1:12" x14ac:dyDescent="0.2">
      <c r="A2572" s="9">
        <v>46248</v>
      </c>
      <c r="B2572" t="s">
        <v>522</v>
      </c>
      <c r="C2572" t="s">
        <v>523</v>
      </c>
      <c r="D2572" t="s">
        <v>50</v>
      </c>
      <c r="E2572" t="s">
        <v>660</v>
      </c>
      <c r="F2572" t="s">
        <v>669</v>
      </c>
      <c r="G2572" s="10">
        <v>34</v>
      </c>
      <c r="H2572" s="10">
        <v>2654</v>
      </c>
      <c r="I2572" s="10">
        <v>90236</v>
      </c>
      <c r="J2572" t="s">
        <v>51</v>
      </c>
      <c r="K2572" s="11">
        <v>648.20000000000005</v>
      </c>
      <c r="L2572" s="12">
        <v>139.21</v>
      </c>
    </row>
    <row r="2573" spans="1:12" x14ac:dyDescent="0.2">
      <c r="A2573" s="9">
        <v>46248</v>
      </c>
      <c r="B2573" t="s">
        <v>525</v>
      </c>
      <c r="C2573" t="s">
        <v>526</v>
      </c>
      <c r="D2573" t="s">
        <v>46</v>
      </c>
      <c r="E2573" t="s">
        <v>649</v>
      </c>
      <c r="F2573" t="s">
        <v>659</v>
      </c>
      <c r="G2573" s="10">
        <v>23</v>
      </c>
      <c r="H2573" s="10">
        <v>8737</v>
      </c>
      <c r="I2573" s="10">
        <v>200951</v>
      </c>
      <c r="J2573" t="s">
        <v>37</v>
      </c>
      <c r="K2573" s="11">
        <v>648.20000000000005</v>
      </c>
      <c r="L2573" s="12">
        <v>310.01</v>
      </c>
    </row>
    <row r="2574" spans="1:12" x14ac:dyDescent="0.2">
      <c r="A2574" s="9">
        <v>46248</v>
      </c>
      <c r="B2574" t="s">
        <v>528</v>
      </c>
      <c r="C2574" t="s">
        <v>529</v>
      </c>
      <c r="D2574" t="s">
        <v>46</v>
      </c>
      <c r="E2574" t="s">
        <v>647</v>
      </c>
      <c r="F2574" t="s">
        <v>668</v>
      </c>
      <c r="G2574" s="10">
        <v>24</v>
      </c>
      <c r="H2574" s="10">
        <v>24519</v>
      </c>
      <c r="I2574" s="10">
        <v>588456</v>
      </c>
      <c r="J2574" t="s">
        <v>37</v>
      </c>
      <c r="K2574" s="11">
        <v>648.20000000000005</v>
      </c>
      <c r="L2574" s="12">
        <v>907.83</v>
      </c>
    </row>
    <row r="2575" spans="1:12" x14ac:dyDescent="0.2">
      <c r="A2575" s="9">
        <v>46248</v>
      </c>
      <c r="B2575" t="s">
        <v>531</v>
      </c>
      <c r="C2575" t="s">
        <v>532</v>
      </c>
      <c r="D2575" t="s">
        <v>50</v>
      </c>
      <c r="E2575" t="s">
        <v>647</v>
      </c>
      <c r="F2575" t="s">
        <v>667</v>
      </c>
      <c r="G2575" s="10">
        <v>65</v>
      </c>
      <c r="H2575" s="10">
        <v>7374</v>
      </c>
      <c r="I2575" s="10">
        <v>479310</v>
      </c>
      <c r="J2575" t="s">
        <v>51</v>
      </c>
      <c r="K2575" s="11">
        <v>648.20000000000005</v>
      </c>
      <c r="L2575" s="12">
        <v>739.45</v>
      </c>
    </row>
    <row r="2576" spans="1:12" x14ac:dyDescent="0.2">
      <c r="A2576" s="9">
        <v>46248</v>
      </c>
      <c r="B2576" t="s">
        <v>534</v>
      </c>
      <c r="C2576" t="s">
        <v>535</v>
      </c>
      <c r="D2576" t="s">
        <v>36</v>
      </c>
      <c r="E2576" t="s">
        <v>653</v>
      </c>
      <c r="F2576" t="s">
        <v>654</v>
      </c>
      <c r="G2576" s="10">
        <v>4</v>
      </c>
      <c r="H2576" s="10">
        <v>5622</v>
      </c>
      <c r="I2576" s="10">
        <v>22488</v>
      </c>
      <c r="J2576" t="s">
        <v>37</v>
      </c>
      <c r="K2576" s="11">
        <v>648.20000000000005</v>
      </c>
      <c r="L2576" s="12">
        <v>34.69</v>
      </c>
    </row>
    <row r="2577" spans="1:12" x14ac:dyDescent="0.2">
      <c r="A2577" s="9">
        <v>46248</v>
      </c>
      <c r="B2577" t="s">
        <v>540</v>
      </c>
      <c r="C2577" t="s">
        <v>541</v>
      </c>
      <c r="D2577" t="s">
        <v>41</v>
      </c>
      <c r="E2577" t="s">
        <v>655</v>
      </c>
      <c r="F2577" t="s">
        <v>656</v>
      </c>
      <c r="G2577" s="10">
        <v>14</v>
      </c>
      <c r="H2577" s="10">
        <v>2688</v>
      </c>
      <c r="I2577" s="10">
        <v>37632</v>
      </c>
      <c r="J2577" t="s">
        <v>42</v>
      </c>
      <c r="K2577" s="11">
        <v>3145.8</v>
      </c>
      <c r="L2577" s="12">
        <v>11.96</v>
      </c>
    </row>
    <row r="2578" spans="1:12" x14ac:dyDescent="0.2">
      <c r="A2578" s="9">
        <v>46248</v>
      </c>
      <c r="B2578" t="s">
        <v>543</v>
      </c>
      <c r="C2578" t="s">
        <v>544</v>
      </c>
      <c r="D2578" t="s">
        <v>68</v>
      </c>
      <c r="E2578" t="s">
        <v>653</v>
      </c>
      <c r="F2578" t="s">
        <v>658</v>
      </c>
      <c r="G2578" s="10">
        <v>4</v>
      </c>
      <c r="H2578" s="10">
        <v>2632</v>
      </c>
      <c r="I2578" s="10">
        <v>10528</v>
      </c>
      <c r="J2578" t="s">
        <v>51</v>
      </c>
      <c r="K2578" s="11">
        <v>648.20000000000005</v>
      </c>
      <c r="L2578" s="12">
        <v>16.239999999999998</v>
      </c>
    </row>
    <row r="2579" spans="1:12" x14ac:dyDescent="0.2">
      <c r="A2579" s="9">
        <v>46248</v>
      </c>
      <c r="B2579" t="s">
        <v>543</v>
      </c>
      <c r="C2579" t="s">
        <v>544</v>
      </c>
      <c r="D2579" t="s">
        <v>68</v>
      </c>
      <c r="E2579" t="s">
        <v>660</v>
      </c>
      <c r="F2579" t="s">
        <v>669</v>
      </c>
      <c r="G2579" s="10">
        <v>18</v>
      </c>
      <c r="H2579" s="10">
        <v>2606</v>
      </c>
      <c r="I2579" s="10">
        <v>46908</v>
      </c>
      <c r="J2579" t="s">
        <v>51</v>
      </c>
      <c r="K2579" s="11">
        <v>648.20000000000005</v>
      </c>
      <c r="L2579" s="12">
        <v>72.37</v>
      </c>
    </row>
    <row r="2580" spans="1:12" x14ac:dyDescent="0.2">
      <c r="A2580" s="9">
        <v>46248</v>
      </c>
      <c r="B2580" t="s">
        <v>546</v>
      </c>
      <c r="C2580" t="s">
        <v>547</v>
      </c>
      <c r="D2580" t="s">
        <v>41</v>
      </c>
      <c r="E2580" t="s">
        <v>660</v>
      </c>
      <c r="F2580" t="s">
        <v>661</v>
      </c>
      <c r="G2580" s="10">
        <v>45</v>
      </c>
      <c r="H2580" s="10">
        <v>21103</v>
      </c>
      <c r="I2580" s="10">
        <v>949635</v>
      </c>
      <c r="J2580" t="s">
        <v>42</v>
      </c>
      <c r="K2580" s="11">
        <v>3145.8</v>
      </c>
      <c r="L2580" s="12">
        <v>301.87</v>
      </c>
    </row>
    <row r="2581" spans="1:12" x14ac:dyDescent="0.2">
      <c r="A2581" s="9">
        <v>46248</v>
      </c>
      <c r="B2581" t="s">
        <v>552</v>
      </c>
      <c r="C2581" t="s">
        <v>553</v>
      </c>
      <c r="D2581" t="s">
        <v>41</v>
      </c>
      <c r="E2581" t="s">
        <v>647</v>
      </c>
      <c r="F2581" t="s">
        <v>667</v>
      </c>
      <c r="G2581" s="10">
        <v>5</v>
      </c>
      <c r="H2581" s="10">
        <v>36129</v>
      </c>
      <c r="I2581" s="10">
        <v>180645</v>
      </c>
      <c r="J2581" t="s">
        <v>42</v>
      </c>
      <c r="K2581" s="11">
        <v>3145.8</v>
      </c>
      <c r="L2581" s="12">
        <v>57.42</v>
      </c>
    </row>
    <row r="2582" spans="1:12" x14ac:dyDescent="0.2">
      <c r="A2582" s="9">
        <v>46248</v>
      </c>
      <c r="B2582" t="s">
        <v>561</v>
      </c>
      <c r="C2582" t="s">
        <v>562</v>
      </c>
      <c r="D2582" t="s">
        <v>46</v>
      </c>
      <c r="E2582" t="s">
        <v>653</v>
      </c>
      <c r="F2582" t="s">
        <v>666</v>
      </c>
      <c r="G2582" s="10">
        <v>36</v>
      </c>
      <c r="H2582" s="10">
        <v>1448</v>
      </c>
      <c r="I2582" s="10">
        <v>52128</v>
      </c>
      <c r="J2582" t="s">
        <v>37</v>
      </c>
      <c r="K2582" s="11">
        <v>648.20000000000005</v>
      </c>
      <c r="L2582" s="12">
        <v>80.42</v>
      </c>
    </row>
    <row r="2583" spans="1:12" x14ac:dyDescent="0.2">
      <c r="A2583" s="9">
        <v>46248</v>
      </c>
      <c r="B2583" t="s">
        <v>561</v>
      </c>
      <c r="C2583" t="s">
        <v>562</v>
      </c>
      <c r="D2583" t="s">
        <v>46</v>
      </c>
      <c r="E2583" t="s">
        <v>647</v>
      </c>
      <c r="F2583" t="s">
        <v>648</v>
      </c>
      <c r="G2583" s="10">
        <v>4</v>
      </c>
      <c r="H2583" s="10">
        <v>15861</v>
      </c>
      <c r="I2583" s="10">
        <v>63444</v>
      </c>
      <c r="J2583" t="s">
        <v>37</v>
      </c>
      <c r="K2583" s="11">
        <v>648.20000000000005</v>
      </c>
      <c r="L2583" s="12">
        <v>97.88</v>
      </c>
    </row>
    <row r="2584" spans="1:12" x14ac:dyDescent="0.2">
      <c r="A2584" s="9">
        <v>46248</v>
      </c>
      <c r="B2584" t="s">
        <v>561</v>
      </c>
      <c r="C2584" t="s">
        <v>562</v>
      </c>
      <c r="D2584" t="s">
        <v>46</v>
      </c>
      <c r="E2584" t="s">
        <v>655</v>
      </c>
      <c r="F2584" t="s">
        <v>665</v>
      </c>
      <c r="G2584" s="10">
        <v>25</v>
      </c>
      <c r="H2584" s="10">
        <v>703</v>
      </c>
      <c r="I2584" s="10">
        <v>17575</v>
      </c>
      <c r="J2584" t="s">
        <v>37</v>
      </c>
      <c r="K2584" s="11">
        <v>648.20000000000005</v>
      </c>
      <c r="L2584" s="12">
        <v>27.11</v>
      </c>
    </row>
    <row r="2585" spans="1:12" x14ac:dyDescent="0.2">
      <c r="A2585" s="9">
        <v>46248</v>
      </c>
      <c r="B2585" t="s">
        <v>564</v>
      </c>
      <c r="C2585" t="s">
        <v>565</v>
      </c>
      <c r="D2585" t="s">
        <v>41</v>
      </c>
      <c r="E2585" t="s">
        <v>653</v>
      </c>
      <c r="F2585" t="s">
        <v>658</v>
      </c>
      <c r="G2585" s="10">
        <v>15</v>
      </c>
      <c r="H2585" s="10">
        <v>12837</v>
      </c>
      <c r="I2585" s="10">
        <v>192555</v>
      </c>
      <c r="J2585" t="s">
        <v>42</v>
      </c>
      <c r="K2585" s="11">
        <v>3145.8</v>
      </c>
      <c r="L2585" s="12">
        <v>61.21</v>
      </c>
    </row>
    <row r="2586" spans="1:12" x14ac:dyDescent="0.2">
      <c r="A2586" s="9">
        <v>46248</v>
      </c>
      <c r="B2586" t="s">
        <v>564</v>
      </c>
      <c r="C2586" t="s">
        <v>565</v>
      </c>
      <c r="D2586" t="s">
        <v>41</v>
      </c>
      <c r="E2586" t="s">
        <v>660</v>
      </c>
      <c r="F2586" t="s">
        <v>669</v>
      </c>
      <c r="G2586" s="10">
        <v>10</v>
      </c>
      <c r="H2586" s="10">
        <v>12899</v>
      </c>
      <c r="I2586" s="10">
        <v>128990</v>
      </c>
      <c r="J2586" t="s">
        <v>42</v>
      </c>
      <c r="K2586" s="11">
        <v>3145.8</v>
      </c>
      <c r="L2586" s="12">
        <v>41</v>
      </c>
    </row>
    <row r="2587" spans="1:12" x14ac:dyDescent="0.2">
      <c r="A2587" s="9">
        <v>46248</v>
      </c>
      <c r="B2587" t="s">
        <v>564</v>
      </c>
      <c r="C2587" t="s">
        <v>565</v>
      </c>
      <c r="D2587" t="s">
        <v>41</v>
      </c>
      <c r="E2587" t="s">
        <v>660</v>
      </c>
      <c r="F2587" t="s">
        <v>669</v>
      </c>
      <c r="G2587" s="10">
        <v>78</v>
      </c>
      <c r="H2587" s="10">
        <v>12710</v>
      </c>
      <c r="I2587" s="10">
        <v>991380</v>
      </c>
      <c r="J2587" t="s">
        <v>42</v>
      </c>
      <c r="K2587" s="11">
        <v>3145.8</v>
      </c>
      <c r="L2587" s="12">
        <v>315.14</v>
      </c>
    </row>
    <row r="2588" spans="1:12" x14ac:dyDescent="0.2">
      <c r="A2588" s="9">
        <v>46248</v>
      </c>
      <c r="B2588" t="s">
        <v>564</v>
      </c>
      <c r="C2588" t="s">
        <v>565</v>
      </c>
      <c r="D2588" t="s">
        <v>41</v>
      </c>
      <c r="E2588" t="s">
        <v>647</v>
      </c>
      <c r="F2588" t="s">
        <v>648</v>
      </c>
      <c r="G2588" s="10">
        <v>99</v>
      </c>
      <c r="H2588" s="10">
        <v>79335</v>
      </c>
      <c r="I2588" s="10">
        <v>7854165</v>
      </c>
      <c r="J2588" t="s">
        <v>42</v>
      </c>
      <c r="K2588" s="11">
        <v>3145.8</v>
      </c>
      <c r="L2588" s="12">
        <v>2496.71</v>
      </c>
    </row>
    <row r="2589" spans="1:12" x14ac:dyDescent="0.2">
      <c r="A2589" s="9">
        <v>46248</v>
      </c>
      <c r="B2589" t="s">
        <v>564</v>
      </c>
      <c r="C2589" t="s">
        <v>565</v>
      </c>
      <c r="D2589" t="s">
        <v>41</v>
      </c>
      <c r="E2589" t="s">
        <v>647</v>
      </c>
      <c r="F2589" t="s">
        <v>648</v>
      </c>
      <c r="G2589" s="10">
        <v>18</v>
      </c>
      <c r="H2589" s="10">
        <v>80342</v>
      </c>
      <c r="I2589" s="10">
        <v>1446156</v>
      </c>
      <c r="J2589" t="s">
        <v>42</v>
      </c>
      <c r="K2589" s="11">
        <v>3145.8</v>
      </c>
      <c r="L2589" s="12">
        <v>459.71</v>
      </c>
    </row>
    <row r="2590" spans="1:12" x14ac:dyDescent="0.2">
      <c r="A2590" s="9">
        <v>46248</v>
      </c>
      <c r="B2590" t="s">
        <v>567</v>
      </c>
      <c r="C2590" t="s">
        <v>568</v>
      </c>
      <c r="D2590" t="s">
        <v>41</v>
      </c>
      <c r="E2590" t="s">
        <v>660</v>
      </c>
      <c r="F2590" t="s">
        <v>661</v>
      </c>
      <c r="G2590" s="10">
        <v>34</v>
      </c>
      <c r="H2590" s="10">
        <v>19695</v>
      </c>
      <c r="I2590" s="10">
        <v>669630</v>
      </c>
      <c r="J2590" t="s">
        <v>42</v>
      </c>
      <c r="K2590" s="11">
        <v>3145.8</v>
      </c>
      <c r="L2590" s="12">
        <v>212.86</v>
      </c>
    </row>
    <row r="2591" spans="1:12" x14ac:dyDescent="0.2">
      <c r="A2591" s="9">
        <v>46248</v>
      </c>
      <c r="B2591" t="s">
        <v>570</v>
      </c>
      <c r="C2591" t="s">
        <v>571</v>
      </c>
      <c r="D2591" t="s">
        <v>68</v>
      </c>
      <c r="E2591" t="s">
        <v>651</v>
      </c>
      <c r="F2591" t="s">
        <v>652</v>
      </c>
      <c r="G2591" s="10">
        <v>6</v>
      </c>
      <c r="H2591" s="10">
        <v>9195</v>
      </c>
      <c r="I2591" s="10">
        <v>55170</v>
      </c>
      <c r="J2591" t="s">
        <v>51</v>
      </c>
      <c r="K2591" s="11">
        <v>648.20000000000005</v>
      </c>
      <c r="L2591" s="12">
        <v>85.11</v>
      </c>
    </row>
    <row r="2592" spans="1:12" x14ac:dyDescent="0.2">
      <c r="A2592" s="9">
        <v>46248</v>
      </c>
      <c r="B2592" t="s">
        <v>573</v>
      </c>
      <c r="C2592" t="s">
        <v>574</v>
      </c>
      <c r="D2592" t="s">
        <v>41</v>
      </c>
      <c r="E2592" t="s">
        <v>649</v>
      </c>
      <c r="F2592" t="s">
        <v>663</v>
      </c>
      <c r="G2592" s="10">
        <v>4</v>
      </c>
      <c r="H2592" s="10">
        <v>10093</v>
      </c>
      <c r="I2592" s="10">
        <v>40372</v>
      </c>
      <c r="J2592" t="s">
        <v>42</v>
      </c>
      <c r="K2592" s="11">
        <v>3145.8</v>
      </c>
      <c r="L2592" s="12">
        <v>12.83</v>
      </c>
    </row>
    <row r="2593" spans="1:12" x14ac:dyDescent="0.2">
      <c r="A2593" s="9">
        <v>46248</v>
      </c>
      <c r="B2593" t="s">
        <v>579</v>
      </c>
      <c r="C2593" t="s">
        <v>580</v>
      </c>
      <c r="D2593" t="s">
        <v>75</v>
      </c>
      <c r="E2593" t="s">
        <v>653</v>
      </c>
      <c r="F2593" t="s">
        <v>658</v>
      </c>
      <c r="G2593" s="10">
        <v>6</v>
      </c>
      <c r="H2593" s="10">
        <v>13123</v>
      </c>
      <c r="I2593" s="10">
        <v>78738</v>
      </c>
      <c r="J2593" t="s">
        <v>42</v>
      </c>
      <c r="K2593" s="11">
        <v>3145.8</v>
      </c>
      <c r="L2593" s="12">
        <v>25.03</v>
      </c>
    </row>
    <row r="2594" spans="1:12" x14ac:dyDescent="0.2">
      <c r="A2594" s="9">
        <v>46248</v>
      </c>
      <c r="B2594" t="s">
        <v>579</v>
      </c>
      <c r="C2594" t="s">
        <v>580</v>
      </c>
      <c r="D2594" t="s">
        <v>75</v>
      </c>
      <c r="E2594" t="s">
        <v>647</v>
      </c>
      <c r="F2594" t="s">
        <v>648</v>
      </c>
      <c r="G2594" s="10">
        <v>9</v>
      </c>
      <c r="H2594" s="10">
        <v>80031</v>
      </c>
      <c r="I2594" s="10">
        <v>720279</v>
      </c>
      <c r="J2594" t="s">
        <v>42</v>
      </c>
      <c r="K2594" s="11">
        <v>3145.8</v>
      </c>
      <c r="L2594" s="12">
        <v>228.97</v>
      </c>
    </row>
    <row r="2595" spans="1:12" x14ac:dyDescent="0.2">
      <c r="A2595" s="9">
        <v>46248</v>
      </c>
      <c r="B2595" t="s">
        <v>579</v>
      </c>
      <c r="C2595" t="s">
        <v>580</v>
      </c>
      <c r="D2595" t="s">
        <v>75</v>
      </c>
      <c r="E2595" t="s">
        <v>651</v>
      </c>
      <c r="F2595" t="s">
        <v>657</v>
      </c>
      <c r="G2595" s="10">
        <v>6</v>
      </c>
      <c r="H2595" s="10">
        <v>30827</v>
      </c>
      <c r="I2595" s="10">
        <v>184962</v>
      </c>
      <c r="J2595" t="s">
        <v>42</v>
      </c>
      <c r="K2595" s="11">
        <v>3145.8</v>
      </c>
      <c r="L2595" s="12">
        <v>58.8</v>
      </c>
    </row>
    <row r="2596" spans="1:12" x14ac:dyDescent="0.2">
      <c r="A2596" s="9">
        <v>46248</v>
      </c>
      <c r="B2596" t="s">
        <v>582</v>
      </c>
      <c r="C2596" t="s">
        <v>583</v>
      </c>
      <c r="D2596" t="s">
        <v>36</v>
      </c>
      <c r="E2596" t="s">
        <v>660</v>
      </c>
      <c r="F2596" t="s">
        <v>661</v>
      </c>
      <c r="G2596" s="10">
        <v>20</v>
      </c>
      <c r="H2596" s="10">
        <v>4279</v>
      </c>
      <c r="I2596" s="10">
        <v>85580</v>
      </c>
      <c r="J2596" t="s">
        <v>37</v>
      </c>
      <c r="K2596" s="11">
        <v>648.20000000000005</v>
      </c>
      <c r="L2596" s="12">
        <v>132.03</v>
      </c>
    </row>
    <row r="2597" spans="1:12" x14ac:dyDescent="0.2">
      <c r="A2597" s="9">
        <v>46248</v>
      </c>
      <c r="B2597" t="s">
        <v>582</v>
      </c>
      <c r="C2597" t="s">
        <v>583</v>
      </c>
      <c r="D2597" t="s">
        <v>36</v>
      </c>
      <c r="E2597" t="s">
        <v>647</v>
      </c>
      <c r="F2597" t="s">
        <v>667</v>
      </c>
      <c r="G2597" s="10">
        <v>13</v>
      </c>
      <c r="H2597" s="10">
        <v>7046</v>
      </c>
      <c r="I2597" s="10">
        <v>91598</v>
      </c>
      <c r="J2597" t="s">
        <v>37</v>
      </c>
      <c r="K2597" s="11">
        <v>648.20000000000005</v>
      </c>
      <c r="L2597" s="12">
        <v>141.31</v>
      </c>
    </row>
    <row r="2598" spans="1:12" x14ac:dyDescent="0.2">
      <c r="A2598" s="9">
        <v>46248</v>
      </c>
      <c r="B2598" t="s">
        <v>590</v>
      </c>
      <c r="C2598" t="s">
        <v>591</v>
      </c>
      <c r="D2598" t="s">
        <v>41</v>
      </c>
      <c r="E2598" t="s">
        <v>655</v>
      </c>
      <c r="F2598" t="s">
        <v>662</v>
      </c>
      <c r="G2598" s="10">
        <v>7</v>
      </c>
      <c r="H2598" s="10">
        <v>5410</v>
      </c>
      <c r="I2598" s="10">
        <v>37870</v>
      </c>
      <c r="J2598" t="s">
        <v>42</v>
      </c>
      <c r="K2598" s="11">
        <v>3145.8</v>
      </c>
      <c r="L2598" s="12">
        <v>12.04</v>
      </c>
    </row>
    <row r="2599" spans="1:12" x14ac:dyDescent="0.2">
      <c r="A2599" s="9">
        <v>46248</v>
      </c>
      <c r="B2599" t="s">
        <v>590</v>
      </c>
      <c r="C2599" t="s">
        <v>591</v>
      </c>
      <c r="D2599" t="s">
        <v>41</v>
      </c>
      <c r="E2599" t="s">
        <v>647</v>
      </c>
      <c r="F2599" t="s">
        <v>648</v>
      </c>
      <c r="G2599" s="10">
        <v>14</v>
      </c>
      <c r="H2599" s="10">
        <v>78926</v>
      </c>
      <c r="I2599" s="10">
        <v>1104964</v>
      </c>
      <c r="J2599" t="s">
        <v>42</v>
      </c>
      <c r="K2599" s="11">
        <v>3145.8</v>
      </c>
      <c r="L2599" s="12">
        <v>351.25</v>
      </c>
    </row>
    <row r="2600" spans="1:12" x14ac:dyDescent="0.2">
      <c r="A2600" s="9">
        <v>46248</v>
      </c>
      <c r="B2600" t="s">
        <v>590</v>
      </c>
      <c r="C2600" t="s">
        <v>591</v>
      </c>
      <c r="D2600" t="s">
        <v>41</v>
      </c>
      <c r="E2600" t="s">
        <v>647</v>
      </c>
      <c r="F2600" t="s">
        <v>667</v>
      </c>
      <c r="G2600" s="10">
        <v>5</v>
      </c>
      <c r="H2600" s="10">
        <v>36608</v>
      </c>
      <c r="I2600" s="10">
        <v>183040</v>
      </c>
      <c r="J2600" t="s">
        <v>42</v>
      </c>
      <c r="K2600" s="11">
        <v>3145.8</v>
      </c>
      <c r="L2600" s="12">
        <v>58.19</v>
      </c>
    </row>
    <row r="2601" spans="1:12" x14ac:dyDescent="0.2">
      <c r="A2601" s="9">
        <v>46248</v>
      </c>
      <c r="B2601" t="s">
        <v>596</v>
      </c>
      <c r="C2601" t="s">
        <v>597</v>
      </c>
      <c r="D2601" t="s">
        <v>50</v>
      </c>
      <c r="E2601" t="s">
        <v>651</v>
      </c>
      <c r="F2601" t="s">
        <v>652</v>
      </c>
      <c r="G2601" s="10">
        <v>15</v>
      </c>
      <c r="H2601" s="10">
        <v>9497</v>
      </c>
      <c r="I2601" s="10">
        <v>142455</v>
      </c>
      <c r="J2601" t="s">
        <v>51</v>
      </c>
      <c r="K2601" s="11">
        <v>648.20000000000005</v>
      </c>
      <c r="L2601" s="12">
        <v>219.77</v>
      </c>
    </row>
    <row r="2602" spans="1:12" x14ac:dyDescent="0.2">
      <c r="A2602" s="9">
        <v>46248</v>
      </c>
      <c r="B2602" t="s">
        <v>605</v>
      </c>
      <c r="C2602" t="s">
        <v>606</v>
      </c>
      <c r="D2602" t="s">
        <v>68</v>
      </c>
      <c r="E2602" t="s">
        <v>647</v>
      </c>
      <c r="F2602" t="s">
        <v>648</v>
      </c>
      <c r="G2602" s="10">
        <v>7</v>
      </c>
      <c r="H2602" s="10">
        <v>16287</v>
      </c>
      <c r="I2602" s="10">
        <v>114009</v>
      </c>
      <c r="J2602" t="s">
        <v>51</v>
      </c>
      <c r="K2602" s="11">
        <v>648.20000000000005</v>
      </c>
      <c r="L2602" s="12">
        <v>175.89</v>
      </c>
    </row>
    <row r="2603" spans="1:12" x14ac:dyDescent="0.2">
      <c r="A2603" s="9">
        <v>46248</v>
      </c>
      <c r="B2603" t="s">
        <v>611</v>
      </c>
      <c r="C2603" t="s">
        <v>612</v>
      </c>
      <c r="D2603" t="s">
        <v>41</v>
      </c>
      <c r="E2603" t="s">
        <v>653</v>
      </c>
      <c r="F2603" t="s">
        <v>658</v>
      </c>
      <c r="G2603" s="10">
        <v>1</v>
      </c>
      <c r="H2603" s="10">
        <v>12753</v>
      </c>
      <c r="I2603" s="10">
        <v>12753</v>
      </c>
      <c r="J2603" t="s">
        <v>42</v>
      </c>
      <c r="K2603" s="11">
        <v>3145.8</v>
      </c>
      <c r="L2603" s="12">
        <v>4.05</v>
      </c>
    </row>
    <row r="2604" spans="1:12" x14ac:dyDescent="0.2">
      <c r="A2604" s="9">
        <v>46248</v>
      </c>
      <c r="B2604" t="s">
        <v>611</v>
      </c>
      <c r="C2604" t="s">
        <v>612</v>
      </c>
      <c r="D2604" t="s">
        <v>41</v>
      </c>
      <c r="E2604" t="s">
        <v>649</v>
      </c>
      <c r="F2604" t="s">
        <v>663</v>
      </c>
      <c r="G2604" s="10">
        <v>28</v>
      </c>
      <c r="H2604" s="10">
        <v>10131</v>
      </c>
      <c r="I2604" s="10">
        <v>283668</v>
      </c>
      <c r="J2604" t="s">
        <v>42</v>
      </c>
      <c r="K2604" s="11">
        <v>3145.8</v>
      </c>
      <c r="L2604" s="12">
        <v>90.17</v>
      </c>
    </row>
    <row r="2605" spans="1:12" x14ac:dyDescent="0.2">
      <c r="A2605" s="9">
        <v>46248</v>
      </c>
      <c r="B2605" t="s">
        <v>614</v>
      </c>
      <c r="C2605" t="s">
        <v>615</v>
      </c>
      <c r="D2605" t="s">
        <v>68</v>
      </c>
      <c r="E2605" t="s">
        <v>647</v>
      </c>
      <c r="F2605" t="s">
        <v>648</v>
      </c>
      <c r="G2605" s="10">
        <v>6</v>
      </c>
      <c r="H2605" s="10">
        <v>15612</v>
      </c>
      <c r="I2605" s="10">
        <v>93672</v>
      </c>
      <c r="J2605" t="s">
        <v>51</v>
      </c>
      <c r="K2605" s="11">
        <v>648.20000000000005</v>
      </c>
      <c r="L2605" s="12">
        <v>144.51</v>
      </c>
    </row>
    <row r="2606" spans="1:12" x14ac:dyDescent="0.2">
      <c r="A2606" s="9">
        <v>46248</v>
      </c>
      <c r="B2606" t="s">
        <v>620</v>
      </c>
      <c r="C2606" t="s">
        <v>621</v>
      </c>
      <c r="D2606" t="s">
        <v>50</v>
      </c>
      <c r="E2606" t="s">
        <v>647</v>
      </c>
      <c r="F2606" t="s">
        <v>668</v>
      </c>
      <c r="G2606" s="10">
        <v>15</v>
      </c>
      <c r="H2606" s="10">
        <v>25804</v>
      </c>
      <c r="I2606" s="10">
        <v>387060</v>
      </c>
      <c r="J2606" t="s">
        <v>51</v>
      </c>
      <c r="K2606" s="11">
        <v>648.20000000000005</v>
      </c>
      <c r="L2606" s="12">
        <v>597.13</v>
      </c>
    </row>
    <row r="2607" spans="1:12" x14ac:dyDescent="0.2">
      <c r="A2607" s="9">
        <v>46248</v>
      </c>
      <c r="B2607" t="s">
        <v>620</v>
      </c>
      <c r="C2607" t="s">
        <v>621</v>
      </c>
      <c r="D2607" t="s">
        <v>50</v>
      </c>
      <c r="E2607" t="s">
        <v>651</v>
      </c>
      <c r="F2607" t="s">
        <v>664</v>
      </c>
      <c r="G2607" s="10">
        <v>12</v>
      </c>
      <c r="H2607" s="10">
        <v>11937</v>
      </c>
      <c r="I2607" s="10">
        <v>143244</v>
      </c>
      <c r="J2607" t="s">
        <v>51</v>
      </c>
      <c r="K2607" s="11">
        <v>648.20000000000005</v>
      </c>
      <c r="L2607" s="12">
        <v>220.99</v>
      </c>
    </row>
    <row r="2608" spans="1:12" x14ac:dyDescent="0.2">
      <c r="A2608" s="9">
        <v>46248</v>
      </c>
      <c r="B2608" t="s">
        <v>623</v>
      </c>
      <c r="C2608" t="s">
        <v>624</v>
      </c>
      <c r="D2608" t="s">
        <v>68</v>
      </c>
      <c r="E2608" t="s">
        <v>653</v>
      </c>
      <c r="F2608" t="s">
        <v>666</v>
      </c>
      <c r="G2608" s="10">
        <v>117</v>
      </c>
      <c r="H2608" s="10">
        <v>1538</v>
      </c>
      <c r="I2608" s="10">
        <v>179946</v>
      </c>
      <c r="J2608" t="s">
        <v>51</v>
      </c>
      <c r="K2608" s="11">
        <v>648.20000000000005</v>
      </c>
      <c r="L2608" s="12">
        <v>277.61</v>
      </c>
    </row>
    <row r="2609" spans="1:12" x14ac:dyDescent="0.2">
      <c r="A2609" s="9">
        <v>46248</v>
      </c>
      <c r="B2609" t="s">
        <v>623</v>
      </c>
      <c r="C2609" t="s">
        <v>624</v>
      </c>
      <c r="D2609" t="s">
        <v>68</v>
      </c>
      <c r="E2609" t="s">
        <v>655</v>
      </c>
      <c r="F2609" t="s">
        <v>662</v>
      </c>
      <c r="G2609" s="10">
        <v>44</v>
      </c>
      <c r="H2609" s="10">
        <v>1123</v>
      </c>
      <c r="I2609" s="10">
        <v>49412</v>
      </c>
      <c r="J2609" t="s">
        <v>51</v>
      </c>
      <c r="K2609" s="11">
        <v>648.20000000000005</v>
      </c>
      <c r="L2609" s="12">
        <v>76.23</v>
      </c>
    </row>
    <row r="2610" spans="1:12" x14ac:dyDescent="0.2">
      <c r="A2610" s="9">
        <v>46248</v>
      </c>
      <c r="B2610" t="s">
        <v>623</v>
      </c>
      <c r="C2610" t="s">
        <v>624</v>
      </c>
      <c r="D2610" t="s">
        <v>68</v>
      </c>
      <c r="E2610" t="s">
        <v>647</v>
      </c>
      <c r="F2610" t="s">
        <v>667</v>
      </c>
      <c r="G2610" s="10">
        <v>132</v>
      </c>
      <c r="H2610" s="10">
        <v>7420</v>
      </c>
      <c r="I2610" s="10">
        <v>979440</v>
      </c>
      <c r="J2610" t="s">
        <v>51</v>
      </c>
      <c r="K2610" s="11">
        <v>648.20000000000005</v>
      </c>
      <c r="L2610" s="12">
        <v>1511.02</v>
      </c>
    </row>
    <row r="2611" spans="1:12" x14ac:dyDescent="0.2">
      <c r="A2611" s="9">
        <v>46248</v>
      </c>
      <c r="B2611" t="s">
        <v>623</v>
      </c>
      <c r="C2611" t="s">
        <v>624</v>
      </c>
      <c r="D2611" t="s">
        <v>68</v>
      </c>
      <c r="E2611" t="s">
        <v>647</v>
      </c>
      <c r="F2611" t="s">
        <v>667</v>
      </c>
      <c r="G2611" s="10">
        <v>50</v>
      </c>
      <c r="H2611" s="10">
        <v>7394</v>
      </c>
      <c r="I2611" s="10">
        <v>369700</v>
      </c>
      <c r="J2611" t="s">
        <v>51</v>
      </c>
      <c r="K2611" s="11">
        <v>648.20000000000005</v>
      </c>
      <c r="L2611" s="12">
        <v>570.35</v>
      </c>
    </row>
    <row r="2612" spans="1:12" x14ac:dyDescent="0.2">
      <c r="A2612" s="9">
        <v>46248</v>
      </c>
      <c r="B2612" t="s">
        <v>626</v>
      </c>
      <c r="C2612" t="s">
        <v>627</v>
      </c>
      <c r="D2612" t="s">
        <v>50</v>
      </c>
      <c r="E2612" t="s">
        <v>647</v>
      </c>
      <c r="F2612" t="s">
        <v>667</v>
      </c>
      <c r="G2612" s="10">
        <v>20</v>
      </c>
      <c r="H2612" s="10">
        <v>7574</v>
      </c>
      <c r="I2612" s="10">
        <v>151480</v>
      </c>
      <c r="J2612" t="s">
        <v>51</v>
      </c>
      <c r="K2612" s="11">
        <v>648.20000000000005</v>
      </c>
      <c r="L2612" s="12">
        <v>233.69</v>
      </c>
    </row>
    <row r="2613" spans="1:12" x14ac:dyDescent="0.2">
      <c r="A2613" s="9">
        <v>46248</v>
      </c>
      <c r="B2613" t="s">
        <v>626</v>
      </c>
      <c r="C2613" t="s">
        <v>627</v>
      </c>
      <c r="D2613" t="s">
        <v>50</v>
      </c>
      <c r="E2613" t="s">
        <v>655</v>
      </c>
      <c r="F2613" t="s">
        <v>656</v>
      </c>
      <c r="G2613" s="10">
        <v>27</v>
      </c>
      <c r="H2613" s="10">
        <v>561</v>
      </c>
      <c r="I2613" s="10">
        <v>15147</v>
      </c>
      <c r="J2613" t="s">
        <v>51</v>
      </c>
      <c r="K2613" s="11">
        <v>648.20000000000005</v>
      </c>
      <c r="L2613" s="12">
        <v>23.37</v>
      </c>
    </row>
    <row r="2614" spans="1:12" x14ac:dyDescent="0.2">
      <c r="A2614" s="9">
        <v>46248</v>
      </c>
      <c r="B2614" t="s">
        <v>635</v>
      </c>
      <c r="C2614" t="s">
        <v>636</v>
      </c>
      <c r="D2614" t="s">
        <v>41</v>
      </c>
      <c r="E2614" t="s">
        <v>660</v>
      </c>
      <c r="F2614" t="s">
        <v>670</v>
      </c>
      <c r="G2614" s="10">
        <v>11</v>
      </c>
      <c r="H2614" s="10">
        <v>72084</v>
      </c>
      <c r="I2614" s="10">
        <v>792924</v>
      </c>
      <c r="J2614" t="s">
        <v>42</v>
      </c>
      <c r="K2614" s="11">
        <v>3145.8</v>
      </c>
      <c r="L2614" s="12">
        <v>252.06</v>
      </c>
    </row>
    <row r="2615" spans="1:12" x14ac:dyDescent="0.2">
      <c r="A2615" s="9">
        <v>46249</v>
      </c>
      <c r="B2615" t="s">
        <v>34</v>
      </c>
      <c r="C2615" t="s">
        <v>35</v>
      </c>
      <c r="D2615" t="s">
        <v>36</v>
      </c>
      <c r="E2615" t="s">
        <v>647</v>
      </c>
      <c r="F2615" t="s">
        <v>668</v>
      </c>
      <c r="G2615" s="10">
        <v>42</v>
      </c>
      <c r="H2615" s="10">
        <v>24394</v>
      </c>
      <c r="I2615" s="10">
        <v>1024548</v>
      </c>
      <c r="J2615" t="s">
        <v>37</v>
      </c>
      <c r="K2615" s="11">
        <v>648.20000000000005</v>
      </c>
      <c r="L2615" s="12">
        <v>1580.6</v>
      </c>
    </row>
    <row r="2616" spans="1:12" x14ac:dyDescent="0.2">
      <c r="A2616" s="9">
        <v>46249</v>
      </c>
      <c r="B2616" t="s">
        <v>39</v>
      </c>
      <c r="C2616" t="s">
        <v>40</v>
      </c>
      <c r="D2616" t="s">
        <v>41</v>
      </c>
      <c r="E2616" t="s">
        <v>651</v>
      </c>
      <c r="F2616" t="s">
        <v>657</v>
      </c>
      <c r="G2616" s="10">
        <v>1</v>
      </c>
      <c r="H2616" s="10">
        <v>30350</v>
      </c>
      <c r="I2616" s="10">
        <v>30350</v>
      </c>
      <c r="J2616" t="s">
        <v>42</v>
      </c>
      <c r="K2616" s="11">
        <v>3145.8</v>
      </c>
      <c r="L2616" s="12">
        <v>9.65</v>
      </c>
    </row>
    <row r="2617" spans="1:12" x14ac:dyDescent="0.2">
      <c r="A2617" s="9">
        <v>46249</v>
      </c>
      <c r="B2617" t="s">
        <v>53</v>
      </c>
      <c r="C2617" t="s">
        <v>54</v>
      </c>
      <c r="D2617" t="s">
        <v>41</v>
      </c>
      <c r="E2617" t="s">
        <v>649</v>
      </c>
      <c r="F2617" t="s">
        <v>659</v>
      </c>
      <c r="G2617" s="10">
        <v>5</v>
      </c>
      <c r="H2617" s="10">
        <v>41629</v>
      </c>
      <c r="I2617" s="10">
        <v>208145</v>
      </c>
      <c r="J2617" t="s">
        <v>42</v>
      </c>
      <c r="K2617" s="11">
        <v>3145.8</v>
      </c>
      <c r="L2617" s="12">
        <v>66.17</v>
      </c>
    </row>
    <row r="2618" spans="1:12" x14ac:dyDescent="0.2">
      <c r="A2618" s="9">
        <v>46249</v>
      </c>
      <c r="B2618" t="s">
        <v>56</v>
      </c>
      <c r="C2618" t="s">
        <v>57</v>
      </c>
      <c r="D2618" t="s">
        <v>46</v>
      </c>
      <c r="E2618" t="s">
        <v>660</v>
      </c>
      <c r="F2618" t="s">
        <v>661</v>
      </c>
      <c r="G2618" s="10">
        <v>2</v>
      </c>
      <c r="H2618" s="10">
        <v>4286</v>
      </c>
      <c r="I2618" s="10">
        <v>8572</v>
      </c>
      <c r="J2618" t="s">
        <v>37</v>
      </c>
      <c r="K2618" s="11">
        <v>648.20000000000005</v>
      </c>
      <c r="L2618" s="12">
        <v>13.22</v>
      </c>
    </row>
    <row r="2619" spans="1:12" x14ac:dyDescent="0.2">
      <c r="A2619" s="9">
        <v>46249</v>
      </c>
      <c r="B2619" t="s">
        <v>63</v>
      </c>
      <c r="C2619" t="s">
        <v>64</v>
      </c>
      <c r="D2619" t="s">
        <v>50</v>
      </c>
      <c r="E2619" t="s">
        <v>649</v>
      </c>
      <c r="F2619" t="s">
        <v>663</v>
      </c>
      <c r="G2619" s="10">
        <v>3</v>
      </c>
      <c r="H2619" s="10">
        <v>2091</v>
      </c>
      <c r="I2619" s="10">
        <v>6273</v>
      </c>
      <c r="J2619" t="s">
        <v>51</v>
      </c>
      <c r="K2619" s="11">
        <v>648.20000000000005</v>
      </c>
      <c r="L2619" s="12">
        <v>9.68</v>
      </c>
    </row>
    <row r="2620" spans="1:12" x14ac:dyDescent="0.2">
      <c r="A2620" s="9">
        <v>46249</v>
      </c>
      <c r="B2620" t="s">
        <v>63</v>
      </c>
      <c r="C2620" t="s">
        <v>64</v>
      </c>
      <c r="D2620" t="s">
        <v>50</v>
      </c>
      <c r="E2620" t="s">
        <v>649</v>
      </c>
      <c r="F2620" t="s">
        <v>659</v>
      </c>
      <c r="G2620" s="10">
        <v>17</v>
      </c>
      <c r="H2620" s="10">
        <v>8736</v>
      </c>
      <c r="I2620" s="10">
        <v>148512</v>
      </c>
      <c r="J2620" t="s">
        <v>51</v>
      </c>
      <c r="K2620" s="11">
        <v>648.20000000000005</v>
      </c>
      <c r="L2620" s="12">
        <v>229.11</v>
      </c>
    </row>
    <row r="2621" spans="1:12" x14ac:dyDescent="0.2">
      <c r="A2621" s="9">
        <v>46249</v>
      </c>
      <c r="B2621" t="s">
        <v>73</v>
      </c>
      <c r="C2621" t="s">
        <v>74</v>
      </c>
      <c r="D2621" t="s">
        <v>75</v>
      </c>
      <c r="E2621" t="s">
        <v>660</v>
      </c>
      <c r="F2621" t="s">
        <v>670</v>
      </c>
      <c r="G2621" s="10">
        <v>54</v>
      </c>
      <c r="H2621" s="10">
        <v>71329</v>
      </c>
      <c r="I2621" s="10">
        <v>3851766</v>
      </c>
      <c r="J2621" t="s">
        <v>42</v>
      </c>
      <c r="K2621" s="11">
        <v>3145.8</v>
      </c>
      <c r="L2621" s="12">
        <v>1224.42</v>
      </c>
    </row>
    <row r="2622" spans="1:12" x14ac:dyDescent="0.2">
      <c r="A2622" s="9">
        <v>46249</v>
      </c>
      <c r="B2622" t="s">
        <v>73</v>
      </c>
      <c r="C2622" t="s">
        <v>74</v>
      </c>
      <c r="D2622" t="s">
        <v>75</v>
      </c>
      <c r="E2622" t="s">
        <v>647</v>
      </c>
      <c r="F2622" t="s">
        <v>668</v>
      </c>
      <c r="G2622" s="10">
        <v>68</v>
      </c>
      <c r="H2622" s="10">
        <v>118833</v>
      </c>
      <c r="I2622" s="10">
        <v>8080644</v>
      </c>
      <c r="J2622" t="s">
        <v>42</v>
      </c>
      <c r="K2622" s="11">
        <v>3145.8</v>
      </c>
      <c r="L2622" s="12">
        <v>2568.71</v>
      </c>
    </row>
    <row r="2623" spans="1:12" x14ac:dyDescent="0.2">
      <c r="A2623" s="9">
        <v>46249</v>
      </c>
      <c r="B2623" t="s">
        <v>77</v>
      </c>
      <c r="C2623" t="s">
        <v>78</v>
      </c>
      <c r="D2623" t="s">
        <v>50</v>
      </c>
      <c r="E2623" t="s">
        <v>649</v>
      </c>
      <c r="F2623" t="s">
        <v>659</v>
      </c>
      <c r="G2623" s="10">
        <v>14</v>
      </c>
      <c r="H2623" s="10">
        <v>8672</v>
      </c>
      <c r="I2623" s="10">
        <v>121408</v>
      </c>
      <c r="J2623" t="s">
        <v>51</v>
      </c>
      <c r="K2623" s="11">
        <v>648.20000000000005</v>
      </c>
      <c r="L2623" s="12">
        <v>187.3</v>
      </c>
    </row>
    <row r="2624" spans="1:12" x14ac:dyDescent="0.2">
      <c r="A2624" s="9">
        <v>46249</v>
      </c>
      <c r="B2624" t="s">
        <v>77</v>
      </c>
      <c r="C2624" t="s">
        <v>78</v>
      </c>
      <c r="D2624" t="s">
        <v>50</v>
      </c>
      <c r="E2624" t="s">
        <v>653</v>
      </c>
      <c r="F2624" t="s">
        <v>654</v>
      </c>
      <c r="G2624" s="10">
        <v>2</v>
      </c>
      <c r="H2624" s="10">
        <v>5780</v>
      </c>
      <c r="I2624" s="10">
        <v>11560</v>
      </c>
      <c r="J2624" t="s">
        <v>51</v>
      </c>
      <c r="K2624" s="11">
        <v>648.20000000000005</v>
      </c>
      <c r="L2624" s="12">
        <v>17.829999999999998</v>
      </c>
    </row>
    <row r="2625" spans="1:12" x14ac:dyDescent="0.2">
      <c r="A2625" s="9">
        <v>46249</v>
      </c>
      <c r="B2625" t="s">
        <v>77</v>
      </c>
      <c r="C2625" t="s">
        <v>78</v>
      </c>
      <c r="D2625" t="s">
        <v>50</v>
      </c>
      <c r="E2625" t="s">
        <v>647</v>
      </c>
      <c r="F2625" t="s">
        <v>668</v>
      </c>
      <c r="G2625" s="10">
        <v>9</v>
      </c>
      <c r="H2625" s="10">
        <v>25018</v>
      </c>
      <c r="I2625" s="10">
        <v>225162</v>
      </c>
      <c r="J2625" t="s">
        <v>51</v>
      </c>
      <c r="K2625" s="11">
        <v>648.20000000000005</v>
      </c>
      <c r="L2625" s="12">
        <v>347.37</v>
      </c>
    </row>
    <row r="2626" spans="1:12" x14ac:dyDescent="0.2">
      <c r="A2626" s="9">
        <v>46249</v>
      </c>
      <c r="B2626" t="s">
        <v>77</v>
      </c>
      <c r="C2626" t="s">
        <v>78</v>
      </c>
      <c r="D2626" t="s">
        <v>50</v>
      </c>
      <c r="E2626" t="s">
        <v>651</v>
      </c>
      <c r="F2626" t="s">
        <v>657</v>
      </c>
      <c r="G2626" s="10">
        <v>50</v>
      </c>
      <c r="H2626" s="10">
        <v>6446</v>
      </c>
      <c r="I2626" s="10">
        <v>322300</v>
      </c>
      <c r="J2626" t="s">
        <v>51</v>
      </c>
      <c r="K2626" s="11">
        <v>648.20000000000005</v>
      </c>
      <c r="L2626" s="12">
        <v>497.22</v>
      </c>
    </row>
    <row r="2627" spans="1:12" x14ac:dyDescent="0.2">
      <c r="A2627" s="9">
        <v>46249</v>
      </c>
      <c r="B2627" t="s">
        <v>89</v>
      </c>
      <c r="C2627" t="s">
        <v>90</v>
      </c>
      <c r="D2627" t="s">
        <v>68</v>
      </c>
      <c r="E2627" t="s">
        <v>660</v>
      </c>
      <c r="F2627" t="s">
        <v>661</v>
      </c>
      <c r="G2627" s="10">
        <v>13</v>
      </c>
      <c r="H2627" s="10">
        <v>4216</v>
      </c>
      <c r="I2627" s="10">
        <v>54808</v>
      </c>
      <c r="J2627" t="s">
        <v>51</v>
      </c>
      <c r="K2627" s="11">
        <v>648.20000000000005</v>
      </c>
      <c r="L2627" s="12">
        <v>84.55</v>
      </c>
    </row>
    <row r="2628" spans="1:12" x14ac:dyDescent="0.2">
      <c r="A2628" s="9">
        <v>46249</v>
      </c>
      <c r="B2628" t="s">
        <v>89</v>
      </c>
      <c r="C2628" t="s">
        <v>90</v>
      </c>
      <c r="D2628" t="s">
        <v>68</v>
      </c>
      <c r="E2628" t="s">
        <v>647</v>
      </c>
      <c r="F2628" t="s">
        <v>668</v>
      </c>
      <c r="G2628" s="10">
        <v>54</v>
      </c>
      <c r="H2628" s="10">
        <v>25858</v>
      </c>
      <c r="I2628" s="10">
        <v>1396332</v>
      </c>
      <c r="J2628" t="s">
        <v>51</v>
      </c>
      <c r="K2628" s="11">
        <v>648.20000000000005</v>
      </c>
      <c r="L2628" s="12">
        <v>2154.17</v>
      </c>
    </row>
    <row r="2629" spans="1:12" x14ac:dyDescent="0.2">
      <c r="A2629" s="9">
        <v>46249</v>
      </c>
      <c r="B2629" t="s">
        <v>96</v>
      </c>
      <c r="C2629" t="s">
        <v>97</v>
      </c>
      <c r="D2629" t="s">
        <v>41</v>
      </c>
      <c r="E2629" t="s">
        <v>647</v>
      </c>
      <c r="F2629" t="s">
        <v>648</v>
      </c>
      <c r="G2629" s="10">
        <v>13</v>
      </c>
      <c r="H2629" s="10">
        <v>77886</v>
      </c>
      <c r="I2629" s="10">
        <v>1012518</v>
      </c>
      <c r="J2629" t="s">
        <v>42</v>
      </c>
      <c r="K2629" s="11">
        <v>3145.8</v>
      </c>
      <c r="L2629" s="12">
        <v>321.86</v>
      </c>
    </row>
    <row r="2630" spans="1:12" x14ac:dyDescent="0.2">
      <c r="A2630" s="9">
        <v>46249</v>
      </c>
      <c r="B2630" t="s">
        <v>105</v>
      </c>
      <c r="C2630" t="s">
        <v>106</v>
      </c>
      <c r="D2630" t="s">
        <v>41</v>
      </c>
      <c r="E2630" t="s">
        <v>660</v>
      </c>
      <c r="F2630" t="s">
        <v>669</v>
      </c>
      <c r="G2630" s="10">
        <v>7</v>
      </c>
      <c r="H2630" s="10">
        <v>13034</v>
      </c>
      <c r="I2630" s="10">
        <v>91238</v>
      </c>
      <c r="J2630" t="s">
        <v>42</v>
      </c>
      <c r="K2630" s="11">
        <v>3145.8</v>
      </c>
      <c r="L2630" s="12">
        <v>29</v>
      </c>
    </row>
    <row r="2631" spans="1:12" x14ac:dyDescent="0.2">
      <c r="A2631" s="9">
        <v>46249</v>
      </c>
      <c r="B2631" t="s">
        <v>108</v>
      </c>
      <c r="C2631" t="s">
        <v>109</v>
      </c>
      <c r="D2631" t="s">
        <v>36</v>
      </c>
      <c r="E2631" t="s">
        <v>660</v>
      </c>
      <c r="F2631" t="s">
        <v>670</v>
      </c>
      <c r="G2631" s="10">
        <v>12</v>
      </c>
      <c r="H2631" s="10">
        <v>14671</v>
      </c>
      <c r="I2631" s="10">
        <v>176052</v>
      </c>
      <c r="J2631" t="s">
        <v>37</v>
      </c>
      <c r="K2631" s="11">
        <v>648.20000000000005</v>
      </c>
      <c r="L2631" s="12">
        <v>271.60000000000002</v>
      </c>
    </row>
    <row r="2632" spans="1:12" x14ac:dyDescent="0.2">
      <c r="A2632" s="9">
        <v>46249</v>
      </c>
      <c r="B2632" t="s">
        <v>108</v>
      </c>
      <c r="C2632" t="s">
        <v>109</v>
      </c>
      <c r="D2632" t="s">
        <v>36</v>
      </c>
      <c r="E2632" t="s">
        <v>647</v>
      </c>
      <c r="F2632" t="s">
        <v>667</v>
      </c>
      <c r="G2632" s="10">
        <v>21</v>
      </c>
      <c r="H2632" s="10">
        <v>7080</v>
      </c>
      <c r="I2632" s="10">
        <v>148680</v>
      </c>
      <c r="J2632" t="s">
        <v>37</v>
      </c>
      <c r="K2632" s="11">
        <v>648.20000000000005</v>
      </c>
      <c r="L2632" s="12">
        <v>229.37</v>
      </c>
    </row>
    <row r="2633" spans="1:12" x14ac:dyDescent="0.2">
      <c r="A2633" s="9">
        <v>46249</v>
      </c>
      <c r="B2633" t="s">
        <v>111</v>
      </c>
      <c r="C2633" t="s">
        <v>112</v>
      </c>
      <c r="D2633" t="s">
        <v>41</v>
      </c>
      <c r="E2633" t="s">
        <v>647</v>
      </c>
      <c r="F2633" t="s">
        <v>648</v>
      </c>
      <c r="G2633" s="10">
        <v>41</v>
      </c>
      <c r="H2633" s="10">
        <v>81092</v>
      </c>
      <c r="I2633" s="10">
        <v>3324772</v>
      </c>
      <c r="J2633" t="s">
        <v>42</v>
      </c>
      <c r="K2633" s="11">
        <v>3145.8</v>
      </c>
      <c r="L2633" s="12">
        <v>1056.8900000000001</v>
      </c>
    </row>
    <row r="2634" spans="1:12" x14ac:dyDescent="0.2">
      <c r="A2634" s="9">
        <v>46249</v>
      </c>
      <c r="B2634" t="s">
        <v>111</v>
      </c>
      <c r="C2634" t="s">
        <v>112</v>
      </c>
      <c r="D2634" t="s">
        <v>41</v>
      </c>
      <c r="E2634" t="s">
        <v>655</v>
      </c>
      <c r="F2634" t="s">
        <v>665</v>
      </c>
      <c r="G2634" s="10">
        <v>2</v>
      </c>
      <c r="H2634" s="10">
        <v>3224</v>
      </c>
      <c r="I2634" s="10">
        <v>6448</v>
      </c>
      <c r="J2634" t="s">
        <v>42</v>
      </c>
      <c r="K2634" s="11">
        <v>3145.8</v>
      </c>
      <c r="L2634" s="12">
        <v>2.0499999999999998</v>
      </c>
    </row>
    <row r="2635" spans="1:12" x14ac:dyDescent="0.2">
      <c r="A2635" s="9">
        <v>46249</v>
      </c>
      <c r="B2635" t="s">
        <v>115</v>
      </c>
      <c r="C2635" t="s">
        <v>116</v>
      </c>
      <c r="D2635" t="s">
        <v>41</v>
      </c>
      <c r="E2635" t="s">
        <v>649</v>
      </c>
      <c r="F2635" t="s">
        <v>650</v>
      </c>
      <c r="G2635" s="10">
        <v>25</v>
      </c>
      <c r="H2635" s="10">
        <v>96286</v>
      </c>
      <c r="I2635" s="10">
        <v>2407150</v>
      </c>
      <c r="J2635" t="s">
        <v>42</v>
      </c>
      <c r="K2635" s="11">
        <v>3145.8</v>
      </c>
      <c r="L2635" s="12">
        <v>765.19</v>
      </c>
    </row>
    <row r="2636" spans="1:12" x14ac:dyDescent="0.2">
      <c r="A2636" s="9">
        <v>46249</v>
      </c>
      <c r="B2636" t="s">
        <v>115</v>
      </c>
      <c r="C2636" t="s">
        <v>116</v>
      </c>
      <c r="D2636" t="s">
        <v>41</v>
      </c>
      <c r="E2636" t="s">
        <v>649</v>
      </c>
      <c r="F2636" t="s">
        <v>663</v>
      </c>
      <c r="G2636" s="10">
        <v>27</v>
      </c>
      <c r="H2636" s="10">
        <v>9694</v>
      </c>
      <c r="I2636" s="10">
        <v>261738</v>
      </c>
      <c r="J2636" t="s">
        <v>42</v>
      </c>
      <c r="K2636" s="11">
        <v>3145.8</v>
      </c>
      <c r="L2636" s="12">
        <v>83.2</v>
      </c>
    </row>
    <row r="2637" spans="1:12" x14ac:dyDescent="0.2">
      <c r="A2637" s="9">
        <v>46249</v>
      </c>
      <c r="B2637" t="s">
        <v>115</v>
      </c>
      <c r="C2637" t="s">
        <v>116</v>
      </c>
      <c r="D2637" t="s">
        <v>41</v>
      </c>
      <c r="E2637" t="s">
        <v>660</v>
      </c>
      <c r="F2637" t="s">
        <v>669</v>
      </c>
      <c r="G2637" s="10">
        <v>111</v>
      </c>
      <c r="H2637" s="10">
        <v>12516</v>
      </c>
      <c r="I2637" s="10">
        <v>1389276</v>
      </c>
      <c r="J2637" t="s">
        <v>42</v>
      </c>
      <c r="K2637" s="11">
        <v>3145.8</v>
      </c>
      <c r="L2637" s="12">
        <v>441.63</v>
      </c>
    </row>
    <row r="2638" spans="1:12" x14ac:dyDescent="0.2">
      <c r="A2638" s="9">
        <v>46249</v>
      </c>
      <c r="B2638" t="s">
        <v>115</v>
      </c>
      <c r="C2638" t="s">
        <v>116</v>
      </c>
      <c r="D2638" t="s">
        <v>41</v>
      </c>
      <c r="E2638" t="s">
        <v>660</v>
      </c>
      <c r="F2638" t="s">
        <v>669</v>
      </c>
      <c r="G2638" s="10">
        <v>22</v>
      </c>
      <c r="H2638" s="10">
        <v>12248</v>
      </c>
      <c r="I2638" s="10">
        <v>269456</v>
      </c>
      <c r="J2638" t="s">
        <v>42</v>
      </c>
      <c r="K2638" s="11">
        <v>3145.8</v>
      </c>
      <c r="L2638" s="12">
        <v>85.66</v>
      </c>
    </row>
    <row r="2639" spans="1:12" x14ac:dyDescent="0.2">
      <c r="A2639" s="9">
        <v>46249</v>
      </c>
      <c r="B2639" t="s">
        <v>118</v>
      </c>
      <c r="C2639" t="s">
        <v>119</v>
      </c>
      <c r="D2639" t="s">
        <v>36</v>
      </c>
      <c r="E2639" t="s">
        <v>653</v>
      </c>
      <c r="F2639" t="s">
        <v>654</v>
      </c>
      <c r="G2639" s="10">
        <v>23</v>
      </c>
      <c r="H2639" s="10">
        <v>5704</v>
      </c>
      <c r="I2639" s="10">
        <v>131192</v>
      </c>
      <c r="J2639" t="s">
        <v>37</v>
      </c>
      <c r="K2639" s="11">
        <v>648.20000000000005</v>
      </c>
      <c r="L2639" s="12">
        <v>202.39</v>
      </c>
    </row>
    <row r="2640" spans="1:12" x14ac:dyDescent="0.2">
      <c r="A2640" s="9">
        <v>46249</v>
      </c>
      <c r="B2640" t="s">
        <v>118</v>
      </c>
      <c r="C2640" t="s">
        <v>119</v>
      </c>
      <c r="D2640" t="s">
        <v>36</v>
      </c>
      <c r="E2640" t="s">
        <v>655</v>
      </c>
      <c r="F2640" t="s">
        <v>656</v>
      </c>
      <c r="G2640" s="10">
        <v>5</v>
      </c>
      <c r="H2640" s="10">
        <v>570</v>
      </c>
      <c r="I2640" s="10">
        <v>2850</v>
      </c>
      <c r="J2640" t="s">
        <v>37</v>
      </c>
      <c r="K2640" s="11">
        <v>648.20000000000005</v>
      </c>
      <c r="L2640" s="12">
        <v>4.4000000000000004</v>
      </c>
    </row>
    <row r="2641" spans="1:12" x14ac:dyDescent="0.2">
      <c r="A2641" s="9">
        <v>46249</v>
      </c>
      <c r="B2641" t="s">
        <v>121</v>
      </c>
      <c r="C2641" t="s">
        <v>122</v>
      </c>
      <c r="D2641" t="s">
        <v>75</v>
      </c>
      <c r="E2641" t="s">
        <v>647</v>
      </c>
      <c r="F2641" t="s">
        <v>668</v>
      </c>
      <c r="G2641" s="10">
        <v>5</v>
      </c>
      <c r="H2641" s="10">
        <v>126238</v>
      </c>
      <c r="I2641" s="10">
        <v>631190</v>
      </c>
      <c r="J2641" t="s">
        <v>42</v>
      </c>
      <c r="K2641" s="11">
        <v>3145.8</v>
      </c>
      <c r="L2641" s="12">
        <v>200.65</v>
      </c>
    </row>
    <row r="2642" spans="1:12" x14ac:dyDescent="0.2">
      <c r="A2642" s="9">
        <v>46249</v>
      </c>
      <c r="B2642" t="s">
        <v>124</v>
      </c>
      <c r="C2642" t="s">
        <v>125</v>
      </c>
      <c r="D2642" t="s">
        <v>75</v>
      </c>
      <c r="E2642" t="s">
        <v>653</v>
      </c>
      <c r="F2642" t="s">
        <v>666</v>
      </c>
      <c r="G2642" s="10">
        <v>4</v>
      </c>
      <c r="H2642" s="10">
        <v>7486</v>
      </c>
      <c r="I2642" s="10">
        <v>29944</v>
      </c>
      <c r="J2642" t="s">
        <v>42</v>
      </c>
      <c r="K2642" s="11">
        <v>3145.8</v>
      </c>
      <c r="L2642" s="12">
        <v>9.52</v>
      </c>
    </row>
    <row r="2643" spans="1:12" x14ac:dyDescent="0.2">
      <c r="A2643" s="9">
        <v>46249</v>
      </c>
      <c r="B2643" t="s">
        <v>124</v>
      </c>
      <c r="C2643" t="s">
        <v>125</v>
      </c>
      <c r="D2643" t="s">
        <v>75</v>
      </c>
      <c r="E2643" t="s">
        <v>655</v>
      </c>
      <c r="F2643" t="s">
        <v>665</v>
      </c>
      <c r="G2643" s="10">
        <v>4</v>
      </c>
      <c r="H2643" s="10">
        <v>3391</v>
      </c>
      <c r="I2643" s="10">
        <v>13564</v>
      </c>
      <c r="J2643" t="s">
        <v>42</v>
      </c>
      <c r="K2643" s="11">
        <v>3145.8</v>
      </c>
      <c r="L2643" s="12">
        <v>4.3099999999999996</v>
      </c>
    </row>
    <row r="2644" spans="1:12" x14ac:dyDescent="0.2">
      <c r="A2644" s="9">
        <v>46249</v>
      </c>
      <c r="B2644" t="s">
        <v>130</v>
      </c>
      <c r="C2644" t="s">
        <v>131</v>
      </c>
      <c r="D2644" t="s">
        <v>46</v>
      </c>
      <c r="E2644" t="s">
        <v>649</v>
      </c>
      <c r="F2644" t="s">
        <v>659</v>
      </c>
      <c r="G2644" s="10">
        <v>2</v>
      </c>
      <c r="H2644" s="10">
        <v>8766</v>
      </c>
      <c r="I2644" s="10">
        <v>17532</v>
      </c>
      <c r="J2644" t="s">
        <v>37</v>
      </c>
      <c r="K2644" s="11">
        <v>648.20000000000005</v>
      </c>
      <c r="L2644" s="12">
        <v>27.05</v>
      </c>
    </row>
    <row r="2645" spans="1:12" x14ac:dyDescent="0.2">
      <c r="A2645" s="9">
        <v>46249</v>
      </c>
      <c r="B2645" t="s">
        <v>136</v>
      </c>
      <c r="C2645" t="s">
        <v>137</v>
      </c>
      <c r="D2645" t="s">
        <v>41</v>
      </c>
      <c r="E2645" t="s">
        <v>655</v>
      </c>
      <c r="F2645" t="s">
        <v>656</v>
      </c>
      <c r="G2645" s="10">
        <v>4</v>
      </c>
      <c r="H2645" s="10">
        <v>2799</v>
      </c>
      <c r="I2645" s="10">
        <v>11196</v>
      </c>
      <c r="J2645" t="s">
        <v>42</v>
      </c>
      <c r="K2645" s="11">
        <v>3145.8</v>
      </c>
      <c r="L2645" s="12">
        <v>3.56</v>
      </c>
    </row>
    <row r="2646" spans="1:12" x14ac:dyDescent="0.2">
      <c r="A2646" s="9">
        <v>46249</v>
      </c>
      <c r="B2646" t="s">
        <v>142</v>
      </c>
      <c r="C2646" t="s">
        <v>143</v>
      </c>
      <c r="D2646" t="s">
        <v>75</v>
      </c>
      <c r="E2646" t="s">
        <v>647</v>
      </c>
      <c r="F2646" t="s">
        <v>667</v>
      </c>
      <c r="G2646" s="10">
        <v>14</v>
      </c>
      <c r="H2646" s="10">
        <v>34890</v>
      </c>
      <c r="I2646" s="10">
        <v>488460</v>
      </c>
      <c r="J2646" t="s">
        <v>42</v>
      </c>
      <c r="K2646" s="11">
        <v>3145.8</v>
      </c>
      <c r="L2646" s="12">
        <v>155.27000000000001</v>
      </c>
    </row>
    <row r="2647" spans="1:12" x14ac:dyDescent="0.2">
      <c r="A2647" s="9">
        <v>46249</v>
      </c>
      <c r="B2647" t="s">
        <v>145</v>
      </c>
      <c r="C2647" t="s">
        <v>146</v>
      </c>
      <c r="D2647" t="s">
        <v>68</v>
      </c>
      <c r="E2647" t="s">
        <v>653</v>
      </c>
      <c r="F2647" t="s">
        <v>666</v>
      </c>
      <c r="G2647" s="10">
        <v>6</v>
      </c>
      <c r="H2647" s="10">
        <v>1564</v>
      </c>
      <c r="I2647" s="10">
        <v>9384</v>
      </c>
      <c r="J2647" t="s">
        <v>51</v>
      </c>
      <c r="K2647" s="11">
        <v>648.20000000000005</v>
      </c>
      <c r="L2647" s="12">
        <v>14.48</v>
      </c>
    </row>
    <row r="2648" spans="1:12" x14ac:dyDescent="0.2">
      <c r="A2648" s="9">
        <v>46249</v>
      </c>
      <c r="B2648" t="s">
        <v>149</v>
      </c>
      <c r="C2648" t="s">
        <v>150</v>
      </c>
      <c r="D2648" t="s">
        <v>50</v>
      </c>
      <c r="E2648" t="s">
        <v>651</v>
      </c>
      <c r="F2648" t="s">
        <v>664</v>
      </c>
      <c r="G2648" s="10">
        <v>13</v>
      </c>
      <c r="H2648" s="10">
        <v>11581</v>
      </c>
      <c r="I2648" s="10">
        <v>150553</v>
      </c>
      <c r="J2648" t="s">
        <v>51</v>
      </c>
      <c r="K2648" s="11">
        <v>648.20000000000005</v>
      </c>
      <c r="L2648" s="12">
        <v>232.26</v>
      </c>
    </row>
    <row r="2649" spans="1:12" x14ac:dyDescent="0.2">
      <c r="A2649" s="9">
        <v>46249</v>
      </c>
      <c r="B2649" t="s">
        <v>152</v>
      </c>
      <c r="C2649" t="s">
        <v>153</v>
      </c>
      <c r="D2649" t="s">
        <v>75</v>
      </c>
      <c r="E2649" t="s">
        <v>660</v>
      </c>
      <c r="F2649" t="s">
        <v>670</v>
      </c>
      <c r="G2649" s="10">
        <v>3</v>
      </c>
      <c r="H2649" s="10">
        <v>71752</v>
      </c>
      <c r="I2649" s="10">
        <v>215256</v>
      </c>
      <c r="J2649" t="s">
        <v>42</v>
      </c>
      <c r="K2649" s="11">
        <v>3145.8</v>
      </c>
      <c r="L2649" s="12">
        <v>68.430000000000007</v>
      </c>
    </row>
    <row r="2650" spans="1:12" x14ac:dyDescent="0.2">
      <c r="A2650" s="9">
        <v>46249</v>
      </c>
      <c r="B2650" t="s">
        <v>155</v>
      </c>
      <c r="C2650" t="s">
        <v>156</v>
      </c>
      <c r="D2650" t="s">
        <v>46</v>
      </c>
      <c r="E2650" t="s">
        <v>649</v>
      </c>
      <c r="F2650" t="s">
        <v>650</v>
      </c>
      <c r="G2650" s="10">
        <v>30</v>
      </c>
      <c r="H2650" s="10">
        <v>18888</v>
      </c>
      <c r="I2650" s="10">
        <v>566640</v>
      </c>
      <c r="J2650" t="s">
        <v>37</v>
      </c>
      <c r="K2650" s="11">
        <v>648.20000000000005</v>
      </c>
      <c r="L2650" s="12">
        <v>874.17</v>
      </c>
    </row>
    <row r="2651" spans="1:12" x14ac:dyDescent="0.2">
      <c r="A2651" s="9">
        <v>46249</v>
      </c>
      <c r="B2651" t="s">
        <v>158</v>
      </c>
      <c r="C2651" t="s">
        <v>159</v>
      </c>
      <c r="D2651" t="s">
        <v>41</v>
      </c>
      <c r="E2651" t="s">
        <v>651</v>
      </c>
      <c r="F2651" t="s">
        <v>664</v>
      </c>
      <c r="G2651" s="10">
        <v>59</v>
      </c>
      <c r="H2651" s="10">
        <v>58121</v>
      </c>
      <c r="I2651" s="10">
        <v>3429139</v>
      </c>
      <c r="J2651" t="s">
        <v>42</v>
      </c>
      <c r="K2651" s="11">
        <v>3145.8</v>
      </c>
      <c r="L2651" s="12">
        <v>1090.07</v>
      </c>
    </row>
    <row r="2652" spans="1:12" x14ac:dyDescent="0.2">
      <c r="A2652" s="9">
        <v>46249</v>
      </c>
      <c r="B2652" t="s">
        <v>161</v>
      </c>
      <c r="C2652" t="s">
        <v>67</v>
      </c>
      <c r="D2652" t="s">
        <v>41</v>
      </c>
      <c r="E2652" t="s">
        <v>655</v>
      </c>
      <c r="F2652" t="s">
        <v>665</v>
      </c>
      <c r="G2652" s="10">
        <v>2</v>
      </c>
      <c r="H2652" s="10">
        <v>3291</v>
      </c>
      <c r="I2652" s="10">
        <v>6582</v>
      </c>
      <c r="J2652" t="s">
        <v>42</v>
      </c>
      <c r="K2652" s="11">
        <v>3145.8</v>
      </c>
      <c r="L2652" s="12">
        <v>2.09</v>
      </c>
    </row>
    <row r="2653" spans="1:12" x14ac:dyDescent="0.2">
      <c r="A2653" s="9">
        <v>46249</v>
      </c>
      <c r="B2653" t="s">
        <v>163</v>
      </c>
      <c r="C2653" t="s">
        <v>164</v>
      </c>
      <c r="D2653" t="s">
        <v>41</v>
      </c>
      <c r="E2653" t="s">
        <v>660</v>
      </c>
      <c r="F2653" t="s">
        <v>669</v>
      </c>
      <c r="G2653" s="10">
        <v>9</v>
      </c>
      <c r="H2653" s="10">
        <v>13031</v>
      </c>
      <c r="I2653" s="10">
        <v>117279</v>
      </c>
      <c r="J2653" t="s">
        <v>42</v>
      </c>
      <c r="K2653" s="11">
        <v>3145.8</v>
      </c>
      <c r="L2653" s="12">
        <v>37.28</v>
      </c>
    </row>
    <row r="2654" spans="1:12" x14ac:dyDescent="0.2">
      <c r="A2654" s="9">
        <v>46249</v>
      </c>
      <c r="B2654" t="s">
        <v>166</v>
      </c>
      <c r="C2654" t="s">
        <v>167</v>
      </c>
      <c r="D2654" t="s">
        <v>46</v>
      </c>
      <c r="E2654" t="s">
        <v>647</v>
      </c>
      <c r="F2654" t="s">
        <v>648</v>
      </c>
      <c r="G2654" s="10">
        <v>3</v>
      </c>
      <c r="H2654" s="10">
        <v>16192</v>
      </c>
      <c r="I2654" s="10">
        <v>48576</v>
      </c>
      <c r="J2654" t="s">
        <v>37</v>
      </c>
      <c r="K2654" s="11">
        <v>648.20000000000005</v>
      </c>
      <c r="L2654" s="12">
        <v>74.94</v>
      </c>
    </row>
    <row r="2655" spans="1:12" x14ac:dyDescent="0.2">
      <c r="A2655" s="9">
        <v>46249</v>
      </c>
      <c r="B2655" t="s">
        <v>175</v>
      </c>
      <c r="C2655" t="s">
        <v>176</v>
      </c>
      <c r="D2655" t="s">
        <v>50</v>
      </c>
      <c r="E2655" t="s">
        <v>655</v>
      </c>
      <c r="F2655" t="s">
        <v>656</v>
      </c>
      <c r="G2655" s="10">
        <v>36</v>
      </c>
      <c r="H2655" s="10">
        <v>565</v>
      </c>
      <c r="I2655" s="10">
        <v>20340</v>
      </c>
      <c r="J2655" t="s">
        <v>51</v>
      </c>
      <c r="K2655" s="11">
        <v>648.20000000000005</v>
      </c>
      <c r="L2655" s="12">
        <v>31.38</v>
      </c>
    </row>
    <row r="2656" spans="1:12" x14ac:dyDescent="0.2">
      <c r="A2656" s="9">
        <v>46249</v>
      </c>
      <c r="B2656" t="s">
        <v>178</v>
      </c>
      <c r="C2656" t="s">
        <v>179</v>
      </c>
      <c r="D2656" t="s">
        <v>50</v>
      </c>
      <c r="E2656" t="s">
        <v>649</v>
      </c>
      <c r="F2656" t="s">
        <v>663</v>
      </c>
      <c r="G2656" s="10">
        <v>5</v>
      </c>
      <c r="H2656" s="10">
        <v>2100</v>
      </c>
      <c r="I2656" s="10">
        <v>10500</v>
      </c>
      <c r="J2656" t="s">
        <v>51</v>
      </c>
      <c r="K2656" s="11">
        <v>648.20000000000005</v>
      </c>
      <c r="L2656" s="12">
        <v>16.2</v>
      </c>
    </row>
    <row r="2657" spans="1:12" x14ac:dyDescent="0.2">
      <c r="A2657" s="9">
        <v>46249</v>
      </c>
      <c r="B2657" t="s">
        <v>178</v>
      </c>
      <c r="C2657" t="s">
        <v>179</v>
      </c>
      <c r="D2657" t="s">
        <v>50</v>
      </c>
      <c r="E2657" t="s">
        <v>651</v>
      </c>
      <c r="F2657" t="s">
        <v>657</v>
      </c>
      <c r="G2657" s="10">
        <v>2</v>
      </c>
      <c r="H2657" s="10">
        <v>6281</v>
      </c>
      <c r="I2657" s="10">
        <v>12562</v>
      </c>
      <c r="J2657" t="s">
        <v>51</v>
      </c>
      <c r="K2657" s="11">
        <v>648.20000000000005</v>
      </c>
      <c r="L2657" s="12">
        <v>19.38</v>
      </c>
    </row>
    <row r="2658" spans="1:12" x14ac:dyDescent="0.2">
      <c r="A2658" s="9">
        <v>46249</v>
      </c>
      <c r="B2658" t="s">
        <v>181</v>
      </c>
      <c r="C2658" t="s">
        <v>182</v>
      </c>
      <c r="D2658" t="s">
        <v>41</v>
      </c>
      <c r="E2658" t="s">
        <v>653</v>
      </c>
      <c r="F2658" t="s">
        <v>658</v>
      </c>
      <c r="G2658" s="10">
        <v>2</v>
      </c>
      <c r="H2658" s="10">
        <v>13124</v>
      </c>
      <c r="I2658" s="10">
        <v>26248</v>
      </c>
      <c r="J2658" t="s">
        <v>42</v>
      </c>
      <c r="K2658" s="11">
        <v>3145.8</v>
      </c>
      <c r="L2658" s="12">
        <v>8.34</v>
      </c>
    </row>
    <row r="2659" spans="1:12" x14ac:dyDescent="0.2">
      <c r="A2659" s="9">
        <v>46249</v>
      </c>
      <c r="B2659" t="s">
        <v>181</v>
      </c>
      <c r="C2659" t="s">
        <v>182</v>
      </c>
      <c r="D2659" t="s">
        <v>41</v>
      </c>
      <c r="E2659" t="s">
        <v>651</v>
      </c>
      <c r="F2659" t="s">
        <v>664</v>
      </c>
      <c r="G2659" s="10">
        <v>1</v>
      </c>
      <c r="H2659" s="10">
        <v>55943</v>
      </c>
      <c r="I2659" s="10">
        <v>55943</v>
      </c>
      <c r="J2659" t="s">
        <v>42</v>
      </c>
      <c r="K2659" s="11">
        <v>3145.8</v>
      </c>
      <c r="L2659" s="12">
        <v>17.78</v>
      </c>
    </row>
    <row r="2660" spans="1:12" x14ac:dyDescent="0.2">
      <c r="A2660" s="9">
        <v>46249</v>
      </c>
      <c r="B2660" t="s">
        <v>187</v>
      </c>
      <c r="C2660" t="s">
        <v>188</v>
      </c>
      <c r="D2660" t="s">
        <v>75</v>
      </c>
      <c r="E2660" t="s">
        <v>660</v>
      </c>
      <c r="F2660" t="s">
        <v>669</v>
      </c>
      <c r="G2660" s="10">
        <v>3</v>
      </c>
      <c r="H2660" s="10">
        <v>12702</v>
      </c>
      <c r="I2660" s="10">
        <v>38106</v>
      </c>
      <c r="J2660" t="s">
        <v>42</v>
      </c>
      <c r="K2660" s="11">
        <v>3145.8</v>
      </c>
      <c r="L2660" s="12">
        <v>12.11</v>
      </c>
    </row>
    <row r="2661" spans="1:12" x14ac:dyDescent="0.2">
      <c r="A2661" s="9">
        <v>46249</v>
      </c>
      <c r="B2661" t="s">
        <v>187</v>
      </c>
      <c r="C2661" t="s">
        <v>188</v>
      </c>
      <c r="D2661" t="s">
        <v>75</v>
      </c>
      <c r="E2661" t="s">
        <v>655</v>
      </c>
      <c r="F2661" t="s">
        <v>656</v>
      </c>
      <c r="G2661" s="10">
        <v>5</v>
      </c>
      <c r="H2661" s="10">
        <v>2743</v>
      </c>
      <c r="I2661" s="10">
        <v>13715</v>
      </c>
      <c r="J2661" t="s">
        <v>42</v>
      </c>
      <c r="K2661" s="11">
        <v>3145.8</v>
      </c>
      <c r="L2661" s="12">
        <v>4.3600000000000003</v>
      </c>
    </row>
    <row r="2662" spans="1:12" x14ac:dyDescent="0.2">
      <c r="A2662" s="9">
        <v>46249</v>
      </c>
      <c r="B2662" t="s">
        <v>196</v>
      </c>
      <c r="C2662" t="s">
        <v>197</v>
      </c>
      <c r="D2662" t="s">
        <v>46</v>
      </c>
      <c r="E2662" t="s">
        <v>647</v>
      </c>
      <c r="F2662" t="s">
        <v>648</v>
      </c>
      <c r="G2662" s="10">
        <v>10</v>
      </c>
      <c r="H2662" s="10">
        <v>15931</v>
      </c>
      <c r="I2662" s="10">
        <v>159310</v>
      </c>
      <c r="J2662" t="s">
        <v>37</v>
      </c>
      <c r="K2662" s="11">
        <v>648.20000000000005</v>
      </c>
      <c r="L2662" s="12">
        <v>245.77</v>
      </c>
    </row>
    <row r="2663" spans="1:12" x14ac:dyDescent="0.2">
      <c r="A2663" s="9">
        <v>46249</v>
      </c>
      <c r="B2663" t="s">
        <v>196</v>
      </c>
      <c r="C2663" t="s">
        <v>197</v>
      </c>
      <c r="D2663" t="s">
        <v>46</v>
      </c>
      <c r="E2663" t="s">
        <v>651</v>
      </c>
      <c r="F2663" t="s">
        <v>664</v>
      </c>
      <c r="G2663" s="10">
        <v>20</v>
      </c>
      <c r="H2663" s="10">
        <v>12084</v>
      </c>
      <c r="I2663" s="10">
        <v>241680</v>
      </c>
      <c r="J2663" t="s">
        <v>37</v>
      </c>
      <c r="K2663" s="11">
        <v>648.20000000000005</v>
      </c>
      <c r="L2663" s="12">
        <v>372.85</v>
      </c>
    </row>
    <row r="2664" spans="1:12" x14ac:dyDescent="0.2">
      <c r="A2664" s="9">
        <v>46249</v>
      </c>
      <c r="B2664" t="s">
        <v>196</v>
      </c>
      <c r="C2664" t="s">
        <v>197</v>
      </c>
      <c r="D2664" t="s">
        <v>46</v>
      </c>
      <c r="E2664" t="s">
        <v>651</v>
      </c>
      <c r="F2664" t="s">
        <v>664</v>
      </c>
      <c r="G2664" s="10">
        <v>16</v>
      </c>
      <c r="H2664" s="10">
        <v>11574</v>
      </c>
      <c r="I2664" s="10">
        <v>185184</v>
      </c>
      <c r="J2664" t="s">
        <v>37</v>
      </c>
      <c r="K2664" s="11">
        <v>648.20000000000005</v>
      </c>
      <c r="L2664" s="12">
        <v>285.69</v>
      </c>
    </row>
    <row r="2665" spans="1:12" x14ac:dyDescent="0.2">
      <c r="A2665" s="9">
        <v>46249</v>
      </c>
      <c r="B2665" t="s">
        <v>199</v>
      </c>
      <c r="C2665" t="s">
        <v>200</v>
      </c>
      <c r="D2665" t="s">
        <v>46</v>
      </c>
      <c r="E2665" t="s">
        <v>647</v>
      </c>
      <c r="F2665" t="s">
        <v>668</v>
      </c>
      <c r="G2665" s="10">
        <v>26</v>
      </c>
      <c r="H2665" s="10">
        <v>25581</v>
      </c>
      <c r="I2665" s="10">
        <v>665106</v>
      </c>
      <c r="J2665" t="s">
        <v>37</v>
      </c>
      <c r="K2665" s="11">
        <v>648.20000000000005</v>
      </c>
      <c r="L2665" s="12">
        <v>1026.08</v>
      </c>
    </row>
    <row r="2666" spans="1:12" x14ac:dyDescent="0.2">
      <c r="A2666" s="9">
        <v>46249</v>
      </c>
      <c r="B2666" t="s">
        <v>208</v>
      </c>
      <c r="C2666" t="s">
        <v>209</v>
      </c>
      <c r="D2666" t="s">
        <v>46</v>
      </c>
      <c r="E2666" t="s">
        <v>660</v>
      </c>
      <c r="F2666" t="s">
        <v>661</v>
      </c>
      <c r="G2666" s="10">
        <v>5</v>
      </c>
      <c r="H2666" s="10">
        <v>4290</v>
      </c>
      <c r="I2666" s="10">
        <v>21450</v>
      </c>
      <c r="J2666" t="s">
        <v>37</v>
      </c>
      <c r="K2666" s="11">
        <v>648.20000000000005</v>
      </c>
      <c r="L2666" s="12">
        <v>33.090000000000003</v>
      </c>
    </row>
    <row r="2667" spans="1:12" x14ac:dyDescent="0.2">
      <c r="A2667" s="9">
        <v>46249</v>
      </c>
      <c r="B2667" t="s">
        <v>211</v>
      </c>
      <c r="C2667" t="s">
        <v>212</v>
      </c>
      <c r="D2667" t="s">
        <v>46</v>
      </c>
      <c r="E2667" t="s">
        <v>649</v>
      </c>
      <c r="F2667" t="s">
        <v>659</v>
      </c>
      <c r="G2667" s="10">
        <v>10</v>
      </c>
      <c r="H2667" s="10">
        <v>9245</v>
      </c>
      <c r="I2667" s="10">
        <v>92450</v>
      </c>
      <c r="J2667" t="s">
        <v>37</v>
      </c>
      <c r="K2667" s="11">
        <v>648.20000000000005</v>
      </c>
      <c r="L2667" s="12">
        <v>142.63</v>
      </c>
    </row>
    <row r="2668" spans="1:12" x14ac:dyDescent="0.2">
      <c r="A2668" s="9">
        <v>46249</v>
      </c>
      <c r="B2668" t="s">
        <v>211</v>
      </c>
      <c r="C2668" t="s">
        <v>212</v>
      </c>
      <c r="D2668" t="s">
        <v>46</v>
      </c>
      <c r="E2668" t="s">
        <v>660</v>
      </c>
      <c r="F2668" t="s">
        <v>669</v>
      </c>
      <c r="G2668" s="10">
        <v>29</v>
      </c>
      <c r="H2668" s="10">
        <v>2675</v>
      </c>
      <c r="I2668" s="10">
        <v>77575</v>
      </c>
      <c r="J2668" t="s">
        <v>37</v>
      </c>
      <c r="K2668" s="11">
        <v>648.20000000000005</v>
      </c>
      <c r="L2668" s="12">
        <v>119.68</v>
      </c>
    </row>
    <row r="2669" spans="1:12" x14ac:dyDescent="0.2">
      <c r="A2669" s="9">
        <v>46249</v>
      </c>
      <c r="B2669" t="s">
        <v>211</v>
      </c>
      <c r="C2669" t="s">
        <v>212</v>
      </c>
      <c r="D2669" t="s">
        <v>46</v>
      </c>
      <c r="E2669" t="s">
        <v>660</v>
      </c>
      <c r="F2669" t="s">
        <v>669</v>
      </c>
      <c r="G2669" s="10">
        <v>14</v>
      </c>
      <c r="H2669" s="10">
        <v>2496</v>
      </c>
      <c r="I2669" s="10">
        <v>34944</v>
      </c>
      <c r="J2669" t="s">
        <v>37</v>
      </c>
      <c r="K2669" s="11">
        <v>648.20000000000005</v>
      </c>
      <c r="L2669" s="12">
        <v>53.91</v>
      </c>
    </row>
    <row r="2670" spans="1:12" x14ac:dyDescent="0.2">
      <c r="A2670" s="9">
        <v>46249</v>
      </c>
      <c r="B2670" t="s">
        <v>220</v>
      </c>
      <c r="C2670" t="s">
        <v>221</v>
      </c>
      <c r="D2670" t="s">
        <v>46</v>
      </c>
      <c r="E2670" t="s">
        <v>660</v>
      </c>
      <c r="F2670" t="s">
        <v>661</v>
      </c>
      <c r="G2670" s="10">
        <v>34</v>
      </c>
      <c r="H2670" s="10">
        <v>4263</v>
      </c>
      <c r="I2670" s="10">
        <v>144942</v>
      </c>
      <c r="J2670" t="s">
        <v>37</v>
      </c>
      <c r="K2670" s="11">
        <v>648.20000000000005</v>
      </c>
      <c r="L2670" s="12">
        <v>223.61</v>
      </c>
    </row>
    <row r="2671" spans="1:12" x14ac:dyDescent="0.2">
      <c r="A2671" s="9">
        <v>46249</v>
      </c>
      <c r="B2671" t="s">
        <v>220</v>
      </c>
      <c r="C2671" t="s">
        <v>221</v>
      </c>
      <c r="D2671" t="s">
        <v>46</v>
      </c>
      <c r="E2671" t="s">
        <v>647</v>
      </c>
      <c r="F2671" t="s">
        <v>668</v>
      </c>
      <c r="G2671" s="10">
        <v>13</v>
      </c>
      <c r="H2671" s="10">
        <v>25691</v>
      </c>
      <c r="I2671" s="10">
        <v>333983</v>
      </c>
      <c r="J2671" t="s">
        <v>37</v>
      </c>
      <c r="K2671" s="11">
        <v>648.20000000000005</v>
      </c>
      <c r="L2671" s="12">
        <v>515.25</v>
      </c>
    </row>
    <row r="2672" spans="1:12" x14ac:dyDescent="0.2">
      <c r="A2672" s="9">
        <v>46249</v>
      </c>
      <c r="B2672" t="s">
        <v>220</v>
      </c>
      <c r="C2672" t="s">
        <v>221</v>
      </c>
      <c r="D2672" t="s">
        <v>46</v>
      </c>
      <c r="E2672" t="s">
        <v>647</v>
      </c>
      <c r="F2672" t="s">
        <v>667</v>
      </c>
      <c r="G2672" s="10">
        <v>4</v>
      </c>
      <c r="H2672" s="10">
        <v>7530</v>
      </c>
      <c r="I2672" s="10">
        <v>30120</v>
      </c>
      <c r="J2672" t="s">
        <v>37</v>
      </c>
      <c r="K2672" s="11">
        <v>648.20000000000005</v>
      </c>
      <c r="L2672" s="12">
        <v>46.47</v>
      </c>
    </row>
    <row r="2673" spans="1:12" x14ac:dyDescent="0.2">
      <c r="A2673" s="9">
        <v>46249</v>
      </c>
      <c r="B2673" t="s">
        <v>220</v>
      </c>
      <c r="C2673" t="s">
        <v>221</v>
      </c>
      <c r="D2673" t="s">
        <v>46</v>
      </c>
      <c r="E2673" t="s">
        <v>655</v>
      </c>
      <c r="F2673" t="s">
        <v>656</v>
      </c>
      <c r="G2673" s="10">
        <v>15</v>
      </c>
      <c r="H2673" s="10">
        <v>557</v>
      </c>
      <c r="I2673" s="10">
        <v>8355</v>
      </c>
      <c r="J2673" t="s">
        <v>37</v>
      </c>
      <c r="K2673" s="11">
        <v>648.20000000000005</v>
      </c>
      <c r="L2673" s="12">
        <v>12.89</v>
      </c>
    </row>
    <row r="2674" spans="1:12" x14ac:dyDescent="0.2">
      <c r="A2674" s="9">
        <v>46249</v>
      </c>
      <c r="B2674" t="s">
        <v>223</v>
      </c>
      <c r="C2674" t="s">
        <v>224</v>
      </c>
      <c r="D2674" t="s">
        <v>36</v>
      </c>
      <c r="E2674" t="s">
        <v>647</v>
      </c>
      <c r="F2674" t="s">
        <v>648</v>
      </c>
      <c r="G2674" s="10">
        <v>4</v>
      </c>
      <c r="H2674" s="10">
        <v>16658</v>
      </c>
      <c r="I2674" s="10">
        <v>66632</v>
      </c>
      <c r="J2674" t="s">
        <v>37</v>
      </c>
      <c r="K2674" s="11">
        <v>648.20000000000005</v>
      </c>
      <c r="L2674" s="12">
        <v>102.8</v>
      </c>
    </row>
    <row r="2675" spans="1:12" x14ac:dyDescent="0.2">
      <c r="A2675" s="9">
        <v>46249</v>
      </c>
      <c r="B2675" t="s">
        <v>235</v>
      </c>
      <c r="C2675" t="s">
        <v>236</v>
      </c>
      <c r="D2675" t="s">
        <v>50</v>
      </c>
      <c r="E2675" t="s">
        <v>655</v>
      </c>
      <c r="F2675" t="s">
        <v>662</v>
      </c>
      <c r="G2675" s="10">
        <v>14</v>
      </c>
      <c r="H2675" s="10">
        <v>1084</v>
      </c>
      <c r="I2675" s="10">
        <v>15176</v>
      </c>
      <c r="J2675" t="s">
        <v>51</v>
      </c>
      <c r="K2675" s="11">
        <v>648.20000000000005</v>
      </c>
      <c r="L2675" s="12">
        <v>23.41</v>
      </c>
    </row>
    <row r="2676" spans="1:12" x14ac:dyDescent="0.2">
      <c r="A2676" s="9">
        <v>46249</v>
      </c>
      <c r="B2676" t="s">
        <v>238</v>
      </c>
      <c r="C2676" t="s">
        <v>239</v>
      </c>
      <c r="D2676" t="s">
        <v>68</v>
      </c>
      <c r="E2676" t="s">
        <v>649</v>
      </c>
      <c r="F2676" t="s">
        <v>663</v>
      </c>
      <c r="G2676" s="10">
        <v>3</v>
      </c>
      <c r="H2676" s="10">
        <v>1991</v>
      </c>
      <c r="I2676" s="10">
        <v>5973</v>
      </c>
      <c r="J2676" t="s">
        <v>51</v>
      </c>
      <c r="K2676" s="11">
        <v>648.20000000000005</v>
      </c>
      <c r="L2676" s="12">
        <v>9.2100000000000009</v>
      </c>
    </row>
    <row r="2677" spans="1:12" x14ac:dyDescent="0.2">
      <c r="A2677" s="9">
        <v>46249</v>
      </c>
      <c r="B2677" t="s">
        <v>238</v>
      </c>
      <c r="C2677" t="s">
        <v>239</v>
      </c>
      <c r="D2677" t="s">
        <v>68</v>
      </c>
      <c r="E2677" t="s">
        <v>653</v>
      </c>
      <c r="F2677" t="s">
        <v>654</v>
      </c>
      <c r="G2677" s="10">
        <v>1</v>
      </c>
      <c r="H2677" s="10">
        <v>5617</v>
      </c>
      <c r="I2677" s="10">
        <v>5617</v>
      </c>
      <c r="J2677" t="s">
        <v>51</v>
      </c>
      <c r="K2677" s="11">
        <v>648.20000000000005</v>
      </c>
      <c r="L2677" s="12">
        <v>8.67</v>
      </c>
    </row>
    <row r="2678" spans="1:12" x14ac:dyDescent="0.2">
      <c r="A2678" s="9">
        <v>46249</v>
      </c>
      <c r="B2678" t="s">
        <v>238</v>
      </c>
      <c r="C2678" t="s">
        <v>239</v>
      </c>
      <c r="D2678" t="s">
        <v>68</v>
      </c>
      <c r="E2678" t="s">
        <v>651</v>
      </c>
      <c r="F2678" t="s">
        <v>664</v>
      </c>
      <c r="G2678" s="10">
        <v>4</v>
      </c>
      <c r="H2678" s="10">
        <v>11608</v>
      </c>
      <c r="I2678" s="10">
        <v>46432</v>
      </c>
      <c r="J2678" t="s">
        <v>51</v>
      </c>
      <c r="K2678" s="11">
        <v>648.20000000000005</v>
      </c>
      <c r="L2678" s="12">
        <v>71.63</v>
      </c>
    </row>
    <row r="2679" spans="1:12" x14ac:dyDescent="0.2">
      <c r="A2679" s="9">
        <v>46249</v>
      </c>
      <c r="B2679" t="s">
        <v>244</v>
      </c>
      <c r="C2679" t="s">
        <v>245</v>
      </c>
      <c r="D2679" t="s">
        <v>75</v>
      </c>
      <c r="E2679" t="s">
        <v>653</v>
      </c>
      <c r="F2679" t="s">
        <v>666</v>
      </c>
      <c r="G2679" s="10">
        <v>17</v>
      </c>
      <c r="H2679" s="10">
        <v>7346</v>
      </c>
      <c r="I2679" s="10">
        <v>124882</v>
      </c>
      <c r="J2679" t="s">
        <v>42</v>
      </c>
      <c r="K2679" s="11">
        <v>3145.8</v>
      </c>
      <c r="L2679" s="12">
        <v>39.700000000000003</v>
      </c>
    </row>
    <row r="2680" spans="1:12" x14ac:dyDescent="0.2">
      <c r="A2680" s="9">
        <v>46249</v>
      </c>
      <c r="B2680" t="s">
        <v>244</v>
      </c>
      <c r="C2680" t="s">
        <v>245</v>
      </c>
      <c r="D2680" t="s">
        <v>75</v>
      </c>
      <c r="E2680" t="s">
        <v>649</v>
      </c>
      <c r="F2680" t="s">
        <v>650</v>
      </c>
      <c r="G2680" s="10">
        <v>19</v>
      </c>
      <c r="H2680" s="10">
        <v>94362</v>
      </c>
      <c r="I2680" s="10">
        <v>1792878</v>
      </c>
      <c r="J2680" t="s">
        <v>42</v>
      </c>
      <c r="K2680" s="11">
        <v>3145.8</v>
      </c>
      <c r="L2680" s="12">
        <v>569.92999999999995</v>
      </c>
    </row>
    <row r="2681" spans="1:12" x14ac:dyDescent="0.2">
      <c r="A2681" s="9">
        <v>46249</v>
      </c>
      <c r="B2681" t="s">
        <v>244</v>
      </c>
      <c r="C2681" t="s">
        <v>245</v>
      </c>
      <c r="D2681" t="s">
        <v>75</v>
      </c>
      <c r="E2681" t="s">
        <v>653</v>
      </c>
      <c r="F2681" t="s">
        <v>654</v>
      </c>
      <c r="G2681" s="10">
        <v>6</v>
      </c>
      <c r="H2681" s="10">
        <v>28639</v>
      </c>
      <c r="I2681" s="10">
        <v>171834</v>
      </c>
      <c r="J2681" t="s">
        <v>42</v>
      </c>
      <c r="K2681" s="11">
        <v>3145.8</v>
      </c>
      <c r="L2681" s="12">
        <v>54.62</v>
      </c>
    </row>
    <row r="2682" spans="1:12" x14ac:dyDescent="0.2">
      <c r="A2682" s="9">
        <v>46249</v>
      </c>
      <c r="B2682" t="s">
        <v>244</v>
      </c>
      <c r="C2682" t="s">
        <v>245</v>
      </c>
      <c r="D2682" t="s">
        <v>75</v>
      </c>
      <c r="E2682" t="s">
        <v>647</v>
      </c>
      <c r="F2682" t="s">
        <v>668</v>
      </c>
      <c r="G2682" s="10">
        <v>6</v>
      </c>
      <c r="H2682" s="10">
        <v>121264</v>
      </c>
      <c r="I2682" s="10">
        <v>727584</v>
      </c>
      <c r="J2682" t="s">
        <v>42</v>
      </c>
      <c r="K2682" s="11">
        <v>3145.8</v>
      </c>
      <c r="L2682" s="12">
        <v>231.29</v>
      </c>
    </row>
    <row r="2683" spans="1:12" x14ac:dyDescent="0.2">
      <c r="A2683" s="9">
        <v>46249</v>
      </c>
      <c r="B2683" t="s">
        <v>244</v>
      </c>
      <c r="C2683" t="s">
        <v>245</v>
      </c>
      <c r="D2683" t="s">
        <v>75</v>
      </c>
      <c r="E2683" t="s">
        <v>647</v>
      </c>
      <c r="F2683" t="s">
        <v>667</v>
      </c>
      <c r="G2683" s="10">
        <v>3</v>
      </c>
      <c r="H2683" s="10">
        <v>36187</v>
      </c>
      <c r="I2683" s="10">
        <v>108561</v>
      </c>
      <c r="J2683" t="s">
        <v>42</v>
      </c>
      <c r="K2683" s="11">
        <v>3145.8</v>
      </c>
      <c r="L2683" s="12">
        <v>34.51</v>
      </c>
    </row>
    <row r="2684" spans="1:12" x14ac:dyDescent="0.2">
      <c r="A2684" s="9">
        <v>46249</v>
      </c>
      <c r="B2684" t="s">
        <v>244</v>
      </c>
      <c r="C2684" t="s">
        <v>245</v>
      </c>
      <c r="D2684" t="s">
        <v>75</v>
      </c>
      <c r="E2684" t="s">
        <v>655</v>
      </c>
      <c r="F2684" t="s">
        <v>665</v>
      </c>
      <c r="G2684" s="10">
        <v>7</v>
      </c>
      <c r="H2684" s="10">
        <v>3296</v>
      </c>
      <c r="I2684" s="10">
        <v>23072</v>
      </c>
      <c r="J2684" t="s">
        <v>42</v>
      </c>
      <c r="K2684" s="11">
        <v>3145.8</v>
      </c>
      <c r="L2684" s="12">
        <v>7.33</v>
      </c>
    </row>
    <row r="2685" spans="1:12" x14ac:dyDescent="0.2">
      <c r="A2685" s="9">
        <v>46249</v>
      </c>
      <c r="B2685" t="s">
        <v>247</v>
      </c>
      <c r="C2685" t="s">
        <v>248</v>
      </c>
      <c r="D2685" t="s">
        <v>75</v>
      </c>
      <c r="E2685" t="s">
        <v>649</v>
      </c>
      <c r="F2685" t="s">
        <v>659</v>
      </c>
      <c r="G2685" s="10">
        <v>4</v>
      </c>
      <c r="H2685" s="10">
        <v>43809</v>
      </c>
      <c r="I2685" s="10">
        <v>175236</v>
      </c>
      <c r="J2685" t="s">
        <v>42</v>
      </c>
      <c r="K2685" s="11">
        <v>3145.8</v>
      </c>
      <c r="L2685" s="12">
        <v>55.7</v>
      </c>
    </row>
    <row r="2686" spans="1:12" x14ac:dyDescent="0.2">
      <c r="A2686" s="9">
        <v>46249</v>
      </c>
      <c r="B2686" t="s">
        <v>247</v>
      </c>
      <c r="C2686" t="s">
        <v>248</v>
      </c>
      <c r="D2686" t="s">
        <v>75</v>
      </c>
      <c r="E2686" t="s">
        <v>647</v>
      </c>
      <c r="F2686" t="s">
        <v>668</v>
      </c>
      <c r="G2686" s="10">
        <v>6</v>
      </c>
      <c r="H2686" s="10">
        <v>123799</v>
      </c>
      <c r="I2686" s="10">
        <v>742794</v>
      </c>
      <c r="J2686" t="s">
        <v>42</v>
      </c>
      <c r="K2686" s="11">
        <v>3145.8</v>
      </c>
      <c r="L2686" s="12">
        <v>236.12</v>
      </c>
    </row>
    <row r="2687" spans="1:12" x14ac:dyDescent="0.2">
      <c r="A2687" s="9">
        <v>46249</v>
      </c>
      <c r="B2687" t="s">
        <v>258</v>
      </c>
      <c r="C2687" t="s">
        <v>259</v>
      </c>
      <c r="D2687" t="s">
        <v>50</v>
      </c>
      <c r="E2687" t="s">
        <v>647</v>
      </c>
      <c r="F2687" t="s">
        <v>667</v>
      </c>
      <c r="G2687" s="10">
        <v>4</v>
      </c>
      <c r="H2687" s="10">
        <v>7377</v>
      </c>
      <c r="I2687" s="10">
        <v>29508</v>
      </c>
      <c r="J2687" t="s">
        <v>51</v>
      </c>
      <c r="K2687" s="11">
        <v>648.20000000000005</v>
      </c>
      <c r="L2687" s="12">
        <v>45.52</v>
      </c>
    </row>
    <row r="2688" spans="1:12" x14ac:dyDescent="0.2">
      <c r="A2688" s="9">
        <v>46249</v>
      </c>
      <c r="B2688" t="s">
        <v>264</v>
      </c>
      <c r="C2688" t="s">
        <v>265</v>
      </c>
      <c r="D2688" t="s">
        <v>41</v>
      </c>
      <c r="E2688" t="s">
        <v>660</v>
      </c>
      <c r="F2688" t="s">
        <v>669</v>
      </c>
      <c r="G2688" s="10">
        <v>7</v>
      </c>
      <c r="H2688" s="10">
        <v>12310</v>
      </c>
      <c r="I2688" s="10">
        <v>86170</v>
      </c>
      <c r="J2688" t="s">
        <v>42</v>
      </c>
      <c r="K2688" s="11">
        <v>3145.8</v>
      </c>
      <c r="L2688" s="12">
        <v>27.39</v>
      </c>
    </row>
    <row r="2689" spans="1:12" x14ac:dyDescent="0.2">
      <c r="A2689" s="9">
        <v>46249</v>
      </c>
      <c r="B2689" t="s">
        <v>264</v>
      </c>
      <c r="C2689" t="s">
        <v>265</v>
      </c>
      <c r="D2689" t="s">
        <v>41</v>
      </c>
      <c r="E2689" t="s">
        <v>647</v>
      </c>
      <c r="F2689" t="s">
        <v>667</v>
      </c>
      <c r="G2689" s="10">
        <v>14</v>
      </c>
      <c r="H2689" s="10">
        <v>34667</v>
      </c>
      <c r="I2689" s="10">
        <v>485338</v>
      </c>
      <c r="J2689" t="s">
        <v>42</v>
      </c>
      <c r="K2689" s="11">
        <v>3145.8</v>
      </c>
      <c r="L2689" s="12">
        <v>154.28</v>
      </c>
    </row>
    <row r="2690" spans="1:12" x14ac:dyDescent="0.2">
      <c r="A2690" s="9">
        <v>46249</v>
      </c>
      <c r="B2690" t="s">
        <v>267</v>
      </c>
      <c r="C2690" t="s">
        <v>268</v>
      </c>
      <c r="D2690" t="s">
        <v>46</v>
      </c>
      <c r="E2690" t="s">
        <v>649</v>
      </c>
      <c r="F2690" t="s">
        <v>663</v>
      </c>
      <c r="G2690" s="10">
        <v>26</v>
      </c>
      <c r="H2690" s="10">
        <v>2081</v>
      </c>
      <c r="I2690" s="10">
        <v>54106</v>
      </c>
      <c r="J2690" t="s">
        <v>37</v>
      </c>
      <c r="K2690" s="11">
        <v>648.20000000000005</v>
      </c>
      <c r="L2690" s="12">
        <v>83.47</v>
      </c>
    </row>
    <row r="2691" spans="1:12" x14ac:dyDescent="0.2">
      <c r="A2691" s="9">
        <v>46249</v>
      </c>
      <c r="B2691" t="s">
        <v>270</v>
      </c>
      <c r="C2691" t="s">
        <v>271</v>
      </c>
      <c r="D2691" t="s">
        <v>75</v>
      </c>
      <c r="E2691" t="s">
        <v>655</v>
      </c>
      <c r="F2691" t="s">
        <v>656</v>
      </c>
      <c r="G2691" s="10">
        <v>16</v>
      </c>
      <c r="H2691" s="10">
        <v>2703</v>
      </c>
      <c r="I2691" s="10">
        <v>43248</v>
      </c>
      <c r="J2691" t="s">
        <v>42</v>
      </c>
      <c r="K2691" s="11">
        <v>3145.8</v>
      </c>
      <c r="L2691" s="12">
        <v>13.75</v>
      </c>
    </row>
    <row r="2692" spans="1:12" x14ac:dyDescent="0.2">
      <c r="A2692" s="9">
        <v>46249</v>
      </c>
      <c r="B2692" t="s">
        <v>273</v>
      </c>
      <c r="C2692" t="s">
        <v>274</v>
      </c>
      <c r="D2692" t="s">
        <v>41</v>
      </c>
      <c r="E2692" t="s">
        <v>653</v>
      </c>
      <c r="F2692" t="s">
        <v>666</v>
      </c>
      <c r="G2692" s="10">
        <v>8</v>
      </c>
      <c r="H2692" s="10">
        <v>7416</v>
      </c>
      <c r="I2692" s="10">
        <v>59328</v>
      </c>
      <c r="J2692" t="s">
        <v>42</v>
      </c>
      <c r="K2692" s="11">
        <v>3145.8</v>
      </c>
      <c r="L2692" s="12">
        <v>18.86</v>
      </c>
    </row>
    <row r="2693" spans="1:12" x14ac:dyDescent="0.2">
      <c r="A2693" s="9">
        <v>46249</v>
      </c>
      <c r="B2693" t="s">
        <v>282</v>
      </c>
      <c r="C2693" t="s">
        <v>283</v>
      </c>
      <c r="D2693" t="s">
        <v>41</v>
      </c>
      <c r="E2693" t="s">
        <v>647</v>
      </c>
      <c r="F2693" t="s">
        <v>648</v>
      </c>
      <c r="G2693" s="10">
        <v>2</v>
      </c>
      <c r="H2693" s="10">
        <v>81247</v>
      </c>
      <c r="I2693" s="10">
        <v>162494</v>
      </c>
      <c r="J2693" t="s">
        <v>42</v>
      </c>
      <c r="K2693" s="11">
        <v>3145.8</v>
      </c>
      <c r="L2693" s="12">
        <v>51.65</v>
      </c>
    </row>
    <row r="2694" spans="1:12" x14ac:dyDescent="0.2">
      <c r="A2694" s="9">
        <v>46249</v>
      </c>
      <c r="B2694" t="s">
        <v>288</v>
      </c>
      <c r="C2694" t="s">
        <v>289</v>
      </c>
      <c r="D2694" t="s">
        <v>41</v>
      </c>
      <c r="E2694" t="s">
        <v>655</v>
      </c>
      <c r="F2694" t="s">
        <v>656</v>
      </c>
      <c r="G2694" s="10">
        <v>21</v>
      </c>
      <c r="H2694" s="10">
        <v>2802</v>
      </c>
      <c r="I2694" s="10">
        <v>58842</v>
      </c>
      <c r="J2694" t="s">
        <v>42</v>
      </c>
      <c r="K2694" s="11">
        <v>3145.8</v>
      </c>
      <c r="L2694" s="12">
        <v>18.7</v>
      </c>
    </row>
    <row r="2695" spans="1:12" x14ac:dyDescent="0.2">
      <c r="A2695" s="9">
        <v>46249</v>
      </c>
      <c r="B2695" t="s">
        <v>291</v>
      </c>
      <c r="C2695" t="s">
        <v>292</v>
      </c>
      <c r="D2695" t="s">
        <v>68</v>
      </c>
      <c r="E2695" t="s">
        <v>649</v>
      </c>
      <c r="F2695" t="s">
        <v>650</v>
      </c>
      <c r="G2695" s="10">
        <v>19</v>
      </c>
      <c r="H2695" s="10">
        <v>19499</v>
      </c>
      <c r="I2695" s="10">
        <v>370481</v>
      </c>
      <c r="J2695" t="s">
        <v>51</v>
      </c>
      <c r="K2695" s="11">
        <v>648.20000000000005</v>
      </c>
      <c r="L2695" s="12">
        <v>571.54999999999995</v>
      </c>
    </row>
    <row r="2696" spans="1:12" x14ac:dyDescent="0.2">
      <c r="A2696" s="9">
        <v>46249</v>
      </c>
      <c r="B2696" t="s">
        <v>294</v>
      </c>
      <c r="C2696" t="s">
        <v>295</v>
      </c>
      <c r="D2696" t="s">
        <v>41</v>
      </c>
      <c r="E2696" t="s">
        <v>651</v>
      </c>
      <c r="F2696" t="s">
        <v>652</v>
      </c>
      <c r="G2696" s="10">
        <v>4</v>
      </c>
      <c r="H2696" s="10">
        <v>48101</v>
      </c>
      <c r="I2696" s="10">
        <v>192404</v>
      </c>
      <c r="J2696" t="s">
        <v>42</v>
      </c>
      <c r="K2696" s="11">
        <v>3145.8</v>
      </c>
      <c r="L2696" s="12">
        <v>61.16</v>
      </c>
    </row>
    <row r="2697" spans="1:12" x14ac:dyDescent="0.2">
      <c r="A2697" s="9">
        <v>46249</v>
      </c>
      <c r="B2697" t="s">
        <v>297</v>
      </c>
      <c r="C2697" t="s">
        <v>298</v>
      </c>
      <c r="D2697" t="s">
        <v>36</v>
      </c>
      <c r="E2697" t="s">
        <v>649</v>
      </c>
      <c r="F2697" t="s">
        <v>650</v>
      </c>
      <c r="G2697" s="10">
        <v>19</v>
      </c>
      <c r="H2697" s="10">
        <v>18611</v>
      </c>
      <c r="I2697" s="10">
        <v>353609</v>
      </c>
      <c r="J2697" t="s">
        <v>37</v>
      </c>
      <c r="K2697" s="11">
        <v>648.20000000000005</v>
      </c>
      <c r="L2697" s="12">
        <v>545.52</v>
      </c>
    </row>
    <row r="2698" spans="1:12" x14ac:dyDescent="0.2">
      <c r="A2698" s="9">
        <v>46249</v>
      </c>
      <c r="B2698" t="s">
        <v>297</v>
      </c>
      <c r="C2698" t="s">
        <v>298</v>
      </c>
      <c r="D2698" t="s">
        <v>36</v>
      </c>
      <c r="E2698" t="s">
        <v>660</v>
      </c>
      <c r="F2698" t="s">
        <v>669</v>
      </c>
      <c r="G2698" s="10">
        <v>103</v>
      </c>
      <c r="H2698" s="10">
        <v>2578</v>
      </c>
      <c r="I2698" s="10">
        <v>265534</v>
      </c>
      <c r="J2698" t="s">
        <v>37</v>
      </c>
      <c r="K2698" s="11">
        <v>648.20000000000005</v>
      </c>
      <c r="L2698" s="12">
        <v>409.65</v>
      </c>
    </row>
    <row r="2699" spans="1:12" x14ac:dyDescent="0.2">
      <c r="A2699" s="9">
        <v>46249</v>
      </c>
      <c r="B2699" t="s">
        <v>303</v>
      </c>
      <c r="C2699" t="s">
        <v>304</v>
      </c>
      <c r="D2699" t="s">
        <v>36</v>
      </c>
      <c r="E2699" t="s">
        <v>655</v>
      </c>
      <c r="F2699" t="s">
        <v>662</v>
      </c>
      <c r="G2699" s="10">
        <v>1</v>
      </c>
      <c r="H2699" s="10">
        <v>1130</v>
      </c>
      <c r="I2699" s="10">
        <v>1130</v>
      </c>
      <c r="J2699" t="s">
        <v>37</v>
      </c>
      <c r="K2699" s="11">
        <v>648.20000000000005</v>
      </c>
      <c r="L2699" s="12">
        <v>1.74</v>
      </c>
    </row>
    <row r="2700" spans="1:12" x14ac:dyDescent="0.2">
      <c r="A2700" s="9">
        <v>46249</v>
      </c>
      <c r="B2700" t="s">
        <v>303</v>
      </c>
      <c r="C2700" t="s">
        <v>304</v>
      </c>
      <c r="D2700" t="s">
        <v>36</v>
      </c>
      <c r="E2700" t="s">
        <v>655</v>
      </c>
      <c r="F2700" t="s">
        <v>665</v>
      </c>
      <c r="G2700" s="10">
        <v>3</v>
      </c>
      <c r="H2700" s="10">
        <v>713</v>
      </c>
      <c r="I2700" s="10">
        <v>2139</v>
      </c>
      <c r="J2700" t="s">
        <v>37</v>
      </c>
      <c r="K2700" s="11">
        <v>648.20000000000005</v>
      </c>
      <c r="L2700" s="12">
        <v>3.3</v>
      </c>
    </row>
    <row r="2701" spans="1:12" x14ac:dyDescent="0.2">
      <c r="A2701" s="9">
        <v>46249</v>
      </c>
      <c r="B2701" t="s">
        <v>306</v>
      </c>
      <c r="C2701" t="s">
        <v>307</v>
      </c>
      <c r="D2701" t="s">
        <v>36</v>
      </c>
      <c r="E2701" t="s">
        <v>655</v>
      </c>
      <c r="F2701" t="s">
        <v>656</v>
      </c>
      <c r="G2701" s="10">
        <v>5</v>
      </c>
      <c r="H2701" s="10">
        <v>563</v>
      </c>
      <c r="I2701" s="10">
        <v>2815</v>
      </c>
      <c r="J2701" t="s">
        <v>37</v>
      </c>
      <c r="K2701" s="11">
        <v>648.20000000000005</v>
      </c>
      <c r="L2701" s="12">
        <v>4.34</v>
      </c>
    </row>
    <row r="2702" spans="1:12" x14ac:dyDescent="0.2">
      <c r="A2702" s="9">
        <v>46249</v>
      </c>
      <c r="B2702" t="s">
        <v>309</v>
      </c>
      <c r="C2702" t="s">
        <v>310</v>
      </c>
      <c r="D2702" t="s">
        <v>41</v>
      </c>
      <c r="E2702" t="s">
        <v>653</v>
      </c>
      <c r="F2702" t="s">
        <v>658</v>
      </c>
      <c r="G2702" s="10">
        <v>12</v>
      </c>
      <c r="H2702" s="10">
        <v>13580</v>
      </c>
      <c r="I2702" s="10">
        <v>162960</v>
      </c>
      <c r="J2702" t="s">
        <v>42</v>
      </c>
      <c r="K2702" s="11">
        <v>3145.8</v>
      </c>
      <c r="L2702" s="12">
        <v>51.8</v>
      </c>
    </row>
    <row r="2703" spans="1:12" x14ac:dyDescent="0.2">
      <c r="A2703" s="9">
        <v>46249</v>
      </c>
      <c r="B2703" t="s">
        <v>315</v>
      </c>
      <c r="C2703" t="s">
        <v>316</v>
      </c>
      <c r="D2703" t="s">
        <v>46</v>
      </c>
      <c r="E2703" t="s">
        <v>655</v>
      </c>
      <c r="F2703" t="s">
        <v>656</v>
      </c>
      <c r="G2703" s="10">
        <v>10</v>
      </c>
      <c r="H2703" s="10">
        <v>597</v>
      </c>
      <c r="I2703" s="10">
        <v>5970</v>
      </c>
      <c r="J2703" t="s">
        <v>37</v>
      </c>
      <c r="K2703" s="11">
        <v>648.20000000000005</v>
      </c>
      <c r="L2703" s="12">
        <v>9.2100000000000009</v>
      </c>
    </row>
    <row r="2704" spans="1:12" x14ac:dyDescent="0.2">
      <c r="A2704" s="9">
        <v>46249</v>
      </c>
      <c r="B2704" t="s">
        <v>327</v>
      </c>
      <c r="C2704" t="s">
        <v>328</v>
      </c>
      <c r="D2704" t="s">
        <v>46</v>
      </c>
      <c r="E2704" t="s">
        <v>651</v>
      </c>
      <c r="F2704" t="s">
        <v>652</v>
      </c>
      <c r="G2704" s="10">
        <v>4</v>
      </c>
      <c r="H2704" s="10">
        <v>9253</v>
      </c>
      <c r="I2704" s="10">
        <v>37012</v>
      </c>
      <c r="J2704" t="s">
        <v>37</v>
      </c>
      <c r="K2704" s="11">
        <v>648.20000000000005</v>
      </c>
      <c r="L2704" s="12">
        <v>57.1</v>
      </c>
    </row>
    <row r="2705" spans="1:12" x14ac:dyDescent="0.2">
      <c r="A2705" s="9">
        <v>46249</v>
      </c>
      <c r="B2705" t="s">
        <v>327</v>
      </c>
      <c r="C2705" t="s">
        <v>328</v>
      </c>
      <c r="D2705" t="s">
        <v>46</v>
      </c>
      <c r="E2705" t="s">
        <v>649</v>
      </c>
      <c r="F2705" t="s">
        <v>659</v>
      </c>
      <c r="G2705" s="10">
        <v>5</v>
      </c>
      <c r="H2705" s="10">
        <v>8672</v>
      </c>
      <c r="I2705" s="10">
        <v>43360</v>
      </c>
      <c r="J2705" t="s">
        <v>37</v>
      </c>
      <c r="K2705" s="11">
        <v>648.20000000000005</v>
      </c>
      <c r="L2705" s="12">
        <v>66.89</v>
      </c>
    </row>
    <row r="2706" spans="1:12" x14ac:dyDescent="0.2">
      <c r="A2706" s="9">
        <v>46249</v>
      </c>
      <c r="B2706" t="s">
        <v>330</v>
      </c>
      <c r="C2706" t="s">
        <v>331</v>
      </c>
      <c r="D2706" t="s">
        <v>68</v>
      </c>
      <c r="E2706" t="s">
        <v>647</v>
      </c>
      <c r="F2706" t="s">
        <v>667</v>
      </c>
      <c r="G2706" s="10">
        <v>4</v>
      </c>
      <c r="H2706" s="10">
        <v>7468</v>
      </c>
      <c r="I2706" s="10">
        <v>29872</v>
      </c>
      <c r="J2706" t="s">
        <v>51</v>
      </c>
      <c r="K2706" s="11">
        <v>648.20000000000005</v>
      </c>
      <c r="L2706" s="12">
        <v>46.08</v>
      </c>
    </row>
    <row r="2707" spans="1:12" x14ac:dyDescent="0.2">
      <c r="A2707" s="9">
        <v>46249</v>
      </c>
      <c r="B2707" t="s">
        <v>333</v>
      </c>
      <c r="C2707" t="s">
        <v>334</v>
      </c>
      <c r="D2707" t="s">
        <v>68</v>
      </c>
      <c r="E2707" t="s">
        <v>647</v>
      </c>
      <c r="F2707" t="s">
        <v>667</v>
      </c>
      <c r="G2707" s="10">
        <v>22</v>
      </c>
      <c r="H2707" s="10">
        <v>7434</v>
      </c>
      <c r="I2707" s="10">
        <v>163548</v>
      </c>
      <c r="J2707" t="s">
        <v>51</v>
      </c>
      <c r="K2707" s="11">
        <v>648.20000000000005</v>
      </c>
      <c r="L2707" s="12">
        <v>252.31</v>
      </c>
    </row>
    <row r="2708" spans="1:12" x14ac:dyDescent="0.2">
      <c r="A2708" s="9">
        <v>46249</v>
      </c>
      <c r="B2708" t="s">
        <v>348</v>
      </c>
      <c r="C2708" t="s">
        <v>349</v>
      </c>
      <c r="D2708" t="s">
        <v>36</v>
      </c>
      <c r="E2708" t="s">
        <v>655</v>
      </c>
      <c r="F2708" t="s">
        <v>662</v>
      </c>
      <c r="G2708" s="10">
        <v>8</v>
      </c>
      <c r="H2708" s="10">
        <v>1136</v>
      </c>
      <c r="I2708" s="10">
        <v>9088</v>
      </c>
      <c r="J2708" t="s">
        <v>37</v>
      </c>
      <c r="K2708" s="11">
        <v>648.20000000000005</v>
      </c>
      <c r="L2708" s="12">
        <v>14.02</v>
      </c>
    </row>
    <row r="2709" spans="1:12" x14ac:dyDescent="0.2">
      <c r="A2709" s="9">
        <v>46249</v>
      </c>
      <c r="B2709" t="s">
        <v>348</v>
      </c>
      <c r="C2709" t="s">
        <v>349</v>
      </c>
      <c r="D2709" t="s">
        <v>36</v>
      </c>
      <c r="E2709" t="s">
        <v>651</v>
      </c>
      <c r="F2709" t="s">
        <v>657</v>
      </c>
      <c r="G2709" s="10">
        <v>4</v>
      </c>
      <c r="H2709" s="10">
        <v>6586</v>
      </c>
      <c r="I2709" s="10">
        <v>26344</v>
      </c>
      <c r="J2709" t="s">
        <v>37</v>
      </c>
      <c r="K2709" s="11">
        <v>648.20000000000005</v>
      </c>
      <c r="L2709" s="12">
        <v>40.64</v>
      </c>
    </row>
    <row r="2710" spans="1:12" x14ac:dyDescent="0.2">
      <c r="A2710" s="9">
        <v>46249</v>
      </c>
      <c r="B2710" t="s">
        <v>351</v>
      </c>
      <c r="C2710" t="s">
        <v>352</v>
      </c>
      <c r="D2710" t="s">
        <v>41</v>
      </c>
      <c r="E2710" t="s">
        <v>647</v>
      </c>
      <c r="F2710" t="s">
        <v>667</v>
      </c>
      <c r="G2710" s="10">
        <v>1</v>
      </c>
      <c r="H2710" s="10">
        <v>34249</v>
      </c>
      <c r="I2710" s="10">
        <v>34249</v>
      </c>
      <c r="J2710" t="s">
        <v>42</v>
      </c>
      <c r="K2710" s="11">
        <v>3145.8</v>
      </c>
      <c r="L2710" s="12">
        <v>10.89</v>
      </c>
    </row>
    <row r="2711" spans="1:12" x14ac:dyDescent="0.2">
      <c r="A2711" s="9">
        <v>46249</v>
      </c>
      <c r="B2711" t="s">
        <v>354</v>
      </c>
      <c r="C2711" t="s">
        <v>355</v>
      </c>
      <c r="D2711" t="s">
        <v>68</v>
      </c>
      <c r="E2711" t="s">
        <v>649</v>
      </c>
      <c r="F2711" t="s">
        <v>659</v>
      </c>
      <c r="G2711" s="10">
        <v>120</v>
      </c>
      <c r="H2711" s="10">
        <v>9098</v>
      </c>
      <c r="I2711" s="10">
        <v>1091760</v>
      </c>
      <c r="J2711" t="s">
        <v>51</v>
      </c>
      <c r="K2711" s="11">
        <v>648.20000000000005</v>
      </c>
      <c r="L2711" s="12">
        <v>1684.29</v>
      </c>
    </row>
    <row r="2712" spans="1:12" x14ac:dyDescent="0.2">
      <c r="A2712" s="9">
        <v>46249</v>
      </c>
      <c r="B2712" t="s">
        <v>357</v>
      </c>
      <c r="C2712" t="s">
        <v>358</v>
      </c>
      <c r="D2712" t="s">
        <v>36</v>
      </c>
      <c r="E2712" t="s">
        <v>660</v>
      </c>
      <c r="F2712" t="s">
        <v>670</v>
      </c>
      <c r="G2712" s="10">
        <v>45</v>
      </c>
      <c r="H2712" s="10">
        <v>15003</v>
      </c>
      <c r="I2712" s="10">
        <v>675135</v>
      </c>
      <c r="J2712" t="s">
        <v>37</v>
      </c>
      <c r="K2712" s="11">
        <v>648.20000000000005</v>
      </c>
      <c r="L2712" s="12">
        <v>1041.55</v>
      </c>
    </row>
    <row r="2713" spans="1:12" x14ac:dyDescent="0.2">
      <c r="A2713" s="9">
        <v>46249</v>
      </c>
      <c r="B2713" t="s">
        <v>357</v>
      </c>
      <c r="C2713" t="s">
        <v>358</v>
      </c>
      <c r="D2713" t="s">
        <v>36</v>
      </c>
      <c r="E2713" t="s">
        <v>647</v>
      </c>
      <c r="F2713" t="s">
        <v>648</v>
      </c>
      <c r="G2713" s="10">
        <v>28</v>
      </c>
      <c r="H2713" s="10">
        <v>16829</v>
      </c>
      <c r="I2713" s="10">
        <v>471212</v>
      </c>
      <c r="J2713" t="s">
        <v>37</v>
      </c>
      <c r="K2713" s="11">
        <v>648.20000000000005</v>
      </c>
      <c r="L2713" s="12">
        <v>726.95</v>
      </c>
    </row>
    <row r="2714" spans="1:12" x14ac:dyDescent="0.2">
      <c r="A2714" s="9">
        <v>46249</v>
      </c>
      <c r="B2714" t="s">
        <v>357</v>
      </c>
      <c r="C2714" t="s">
        <v>358</v>
      </c>
      <c r="D2714" t="s">
        <v>36</v>
      </c>
      <c r="E2714" t="s">
        <v>651</v>
      </c>
      <c r="F2714" t="s">
        <v>664</v>
      </c>
      <c r="G2714" s="10">
        <v>21</v>
      </c>
      <c r="H2714" s="10">
        <v>12342</v>
      </c>
      <c r="I2714" s="10">
        <v>259182</v>
      </c>
      <c r="J2714" t="s">
        <v>37</v>
      </c>
      <c r="K2714" s="11">
        <v>648.20000000000005</v>
      </c>
      <c r="L2714" s="12">
        <v>399.85</v>
      </c>
    </row>
    <row r="2715" spans="1:12" x14ac:dyDescent="0.2">
      <c r="A2715" s="9">
        <v>46249</v>
      </c>
      <c r="B2715" t="s">
        <v>357</v>
      </c>
      <c r="C2715" t="s">
        <v>358</v>
      </c>
      <c r="D2715" t="s">
        <v>36</v>
      </c>
      <c r="E2715" t="s">
        <v>655</v>
      </c>
      <c r="F2715" t="s">
        <v>665</v>
      </c>
      <c r="G2715" s="10">
        <v>124</v>
      </c>
      <c r="H2715" s="10">
        <v>686</v>
      </c>
      <c r="I2715" s="10">
        <v>85064</v>
      </c>
      <c r="J2715" t="s">
        <v>37</v>
      </c>
      <c r="K2715" s="11">
        <v>648.20000000000005</v>
      </c>
      <c r="L2715" s="12">
        <v>131.22999999999999</v>
      </c>
    </row>
    <row r="2716" spans="1:12" x14ac:dyDescent="0.2">
      <c r="A2716" s="9">
        <v>46249</v>
      </c>
      <c r="B2716" t="s">
        <v>363</v>
      </c>
      <c r="C2716" t="s">
        <v>364</v>
      </c>
      <c r="D2716" t="s">
        <v>46</v>
      </c>
      <c r="E2716" t="s">
        <v>647</v>
      </c>
      <c r="F2716" t="s">
        <v>648</v>
      </c>
      <c r="G2716" s="10">
        <v>185</v>
      </c>
      <c r="H2716" s="10">
        <v>16715</v>
      </c>
      <c r="I2716" s="10">
        <v>3092275</v>
      </c>
      <c r="J2716" t="s">
        <v>37</v>
      </c>
      <c r="K2716" s="11">
        <v>648.20000000000005</v>
      </c>
      <c r="L2716" s="12">
        <v>4770.5600000000004</v>
      </c>
    </row>
    <row r="2717" spans="1:12" x14ac:dyDescent="0.2">
      <c r="A2717" s="9">
        <v>46249</v>
      </c>
      <c r="B2717" t="s">
        <v>363</v>
      </c>
      <c r="C2717" t="s">
        <v>364</v>
      </c>
      <c r="D2717" t="s">
        <v>46</v>
      </c>
      <c r="E2717" t="s">
        <v>655</v>
      </c>
      <c r="F2717" t="s">
        <v>665</v>
      </c>
      <c r="G2717" s="10">
        <v>41</v>
      </c>
      <c r="H2717" s="10">
        <v>702</v>
      </c>
      <c r="I2717" s="10">
        <v>28782</v>
      </c>
      <c r="J2717" t="s">
        <v>37</v>
      </c>
      <c r="K2717" s="11">
        <v>648.20000000000005</v>
      </c>
      <c r="L2717" s="12">
        <v>44.4</v>
      </c>
    </row>
    <row r="2718" spans="1:12" x14ac:dyDescent="0.2">
      <c r="A2718" s="9">
        <v>46249</v>
      </c>
      <c r="B2718" t="s">
        <v>366</v>
      </c>
      <c r="C2718" t="s">
        <v>367</v>
      </c>
      <c r="D2718" t="s">
        <v>41</v>
      </c>
      <c r="E2718" t="s">
        <v>647</v>
      </c>
      <c r="F2718" t="s">
        <v>648</v>
      </c>
      <c r="G2718" s="10">
        <v>1</v>
      </c>
      <c r="H2718" s="10">
        <v>76296</v>
      </c>
      <c r="I2718" s="10">
        <v>76296</v>
      </c>
      <c r="J2718" t="s">
        <v>42</v>
      </c>
      <c r="K2718" s="11">
        <v>3145.8</v>
      </c>
      <c r="L2718" s="12">
        <v>24.25</v>
      </c>
    </row>
    <row r="2719" spans="1:12" x14ac:dyDescent="0.2">
      <c r="A2719" s="9">
        <v>46249</v>
      </c>
      <c r="B2719" t="s">
        <v>369</v>
      </c>
      <c r="C2719" t="s">
        <v>370</v>
      </c>
      <c r="D2719" t="s">
        <v>36</v>
      </c>
      <c r="E2719" t="s">
        <v>653</v>
      </c>
      <c r="F2719" t="s">
        <v>666</v>
      </c>
      <c r="G2719" s="10">
        <v>55</v>
      </c>
      <c r="H2719" s="10">
        <v>1467</v>
      </c>
      <c r="I2719" s="10">
        <v>80685</v>
      </c>
      <c r="J2719" t="s">
        <v>37</v>
      </c>
      <c r="K2719" s="11">
        <v>648.20000000000005</v>
      </c>
      <c r="L2719" s="12">
        <v>124.48</v>
      </c>
    </row>
    <row r="2720" spans="1:12" x14ac:dyDescent="0.2">
      <c r="A2720" s="9">
        <v>46249</v>
      </c>
      <c r="B2720" t="s">
        <v>369</v>
      </c>
      <c r="C2720" t="s">
        <v>370</v>
      </c>
      <c r="D2720" t="s">
        <v>36</v>
      </c>
      <c r="E2720" t="s">
        <v>649</v>
      </c>
      <c r="F2720" t="s">
        <v>663</v>
      </c>
      <c r="G2720" s="10">
        <v>6</v>
      </c>
      <c r="H2720" s="10">
        <v>2071</v>
      </c>
      <c r="I2720" s="10">
        <v>12426</v>
      </c>
      <c r="J2720" t="s">
        <v>37</v>
      </c>
      <c r="K2720" s="11">
        <v>648.20000000000005</v>
      </c>
      <c r="L2720" s="12">
        <v>19.170000000000002</v>
      </c>
    </row>
    <row r="2721" spans="1:12" x14ac:dyDescent="0.2">
      <c r="A2721" s="9">
        <v>46249</v>
      </c>
      <c r="B2721" t="s">
        <v>375</v>
      </c>
      <c r="C2721" t="s">
        <v>376</v>
      </c>
      <c r="D2721" t="s">
        <v>36</v>
      </c>
      <c r="E2721" t="s">
        <v>647</v>
      </c>
      <c r="F2721" t="s">
        <v>668</v>
      </c>
      <c r="G2721" s="10">
        <v>3</v>
      </c>
      <c r="H2721" s="10">
        <v>24727</v>
      </c>
      <c r="I2721" s="10">
        <v>74181</v>
      </c>
      <c r="J2721" t="s">
        <v>37</v>
      </c>
      <c r="K2721" s="11">
        <v>648.20000000000005</v>
      </c>
      <c r="L2721" s="12">
        <v>114.44</v>
      </c>
    </row>
    <row r="2722" spans="1:12" x14ac:dyDescent="0.2">
      <c r="A2722" s="9">
        <v>46249</v>
      </c>
      <c r="B2722" t="s">
        <v>375</v>
      </c>
      <c r="C2722" t="s">
        <v>376</v>
      </c>
      <c r="D2722" t="s">
        <v>36</v>
      </c>
      <c r="E2722" t="s">
        <v>651</v>
      </c>
      <c r="F2722" t="s">
        <v>657</v>
      </c>
      <c r="G2722" s="10">
        <v>24</v>
      </c>
      <c r="H2722" s="10">
        <v>6165</v>
      </c>
      <c r="I2722" s="10">
        <v>147960</v>
      </c>
      <c r="J2722" t="s">
        <v>37</v>
      </c>
      <c r="K2722" s="11">
        <v>648.20000000000005</v>
      </c>
      <c r="L2722" s="12">
        <v>228.26</v>
      </c>
    </row>
    <row r="2723" spans="1:12" x14ac:dyDescent="0.2">
      <c r="A2723" s="9">
        <v>46249</v>
      </c>
      <c r="B2723" t="s">
        <v>378</v>
      </c>
      <c r="C2723" t="s">
        <v>379</v>
      </c>
      <c r="D2723" t="s">
        <v>50</v>
      </c>
      <c r="E2723" t="s">
        <v>647</v>
      </c>
      <c r="F2723" t="s">
        <v>648</v>
      </c>
      <c r="G2723" s="10">
        <v>5</v>
      </c>
      <c r="H2723" s="10">
        <v>15809</v>
      </c>
      <c r="I2723" s="10">
        <v>79045</v>
      </c>
      <c r="J2723" t="s">
        <v>51</v>
      </c>
      <c r="K2723" s="11">
        <v>648.20000000000005</v>
      </c>
      <c r="L2723" s="12">
        <v>121.95</v>
      </c>
    </row>
    <row r="2724" spans="1:12" x14ac:dyDescent="0.2">
      <c r="A2724" s="9">
        <v>46249</v>
      </c>
      <c r="B2724" t="s">
        <v>384</v>
      </c>
      <c r="C2724" t="s">
        <v>385</v>
      </c>
      <c r="D2724" t="s">
        <v>46</v>
      </c>
      <c r="E2724" t="s">
        <v>647</v>
      </c>
      <c r="F2724" t="s">
        <v>667</v>
      </c>
      <c r="G2724" s="10">
        <v>20</v>
      </c>
      <c r="H2724" s="10">
        <v>7166</v>
      </c>
      <c r="I2724" s="10">
        <v>143320</v>
      </c>
      <c r="J2724" t="s">
        <v>37</v>
      </c>
      <c r="K2724" s="11">
        <v>648.20000000000005</v>
      </c>
      <c r="L2724" s="12">
        <v>221.1</v>
      </c>
    </row>
    <row r="2725" spans="1:12" x14ac:dyDescent="0.2">
      <c r="A2725" s="9">
        <v>46249</v>
      </c>
      <c r="B2725" t="s">
        <v>393</v>
      </c>
      <c r="C2725" t="s">
        <v>307</v>
      </c>
      <c r="D2725" t="s">
        <v>68</v>
      </c>
      <c r="E2725" t="s">
        <v>660</v>
      </c>
      <c r="F2725" t="s">
        <v>669</v>
      </c>
      <c r="G2725" s="10">
        <v>38</v>
      </c>
      <c r="H2725" s="10">
        <v>2501</v>
      </c>
      <c r="I2725" s="10">
        <v>95038</v>
      </c>
      <c r="J2725" t="s">
        <v>51</v>
      </c>
      <c r="K2725" s="11">
        <v>648.20000000000005</v>
      </c>
      <c r="L2725" s="12">
        <v>146.62</v>
      </c>
    </row>
    <row r="2726" spans="1:12" x14ac:dyDescent="0.2">
      <c r="A2726" s="9">
        <v>46249</v>
      </c>
      <c r="B2726" t="s">
        <v>393</v>
      </c>
      <c r="C2726" t="s">
        <v>307</v>
      </c>
      <c r="D2726" t="s">
        <v>68</v>
      </c>
      <c r="E2726" t="s">
        <v>653</v>
      </c>
      <c r="F2726" t="s">
        <v>654</v>
      </c>
      <c r="G2726" s="10">
        <v>166</v>
      </c>
      <c r="H2726" s="10">
        <v>5718</v>
      </c>
      <c r="I2726" s="10">
        <v>949188</v>
      </c>
      <c r="J2726" t="s">
        <v>51</v>
      </c>
      <c r="K2726" s="11">
        <v>648.20000000000005</v>
      </c>
      <c r="L2726" s="12">
        <v>1464.34</v>
      </c>
    </row>
    <row r="2727" spans="1:12" x14ac:dyDescent="0.2">
      <c r="A2727" s="9">
        <v>46249</v>
      </c>
      <c r="B2727" t="s">
        <v>393</v>
      </c>
      <c r="C2727" t="s">
        <v>307</v>
      </c>
      <c r="D2727" t="s">
        <v>68</v>
      </c>
      <c r="E2727" t="s">
        <v>655</v>
      </c>
      <c r="F2727" t="s">
        <v>656</v>
      </c>
      <c r="G2727" s="10">
        <v>178</v>
      </c>
      <c r="H2727" s="10">
        <v>580</v>
      </c>
      <c r="I2727" s="10">
        <v>103240</v>
      </c>
      <c r="J2727" t="s">
        <v>51</v>
      </c>
      <c r="K2727" s="11">
        <v>648.20000000000005</v>
      </c>
      <c r="L2727" s="12">
        <v>159.27000000000001</v>
      </c>
    </row>
    <row r="2728" spans="1:12" x14ac:dyDescent="0.2">
      <c r="A2728" s="9">
        <v>46249</v>
      </c>
      <c r="B2728" t="s">
        <v>398</v>
      </c>
      <c r="C2728" t="s">
        <v>399</v>
      </c>
      <c r="D2728" t="s">
        <v>46</v>
      </c>
      <c r="E2728" t="s">
        <v>653</v>
      </c>
      <c r="F2728" t="s">
        <v>666</v>
      </c>
      <c r="G2728" s="10">
        <v>46</v>
      </c>
      <c r="H2728" s="10">
        <v>1470</v>
      </c>
      <c r="I2728" s="10">
        <v>67620</v>
      </c>
      <c r="J2728" t="s">
        <v>37</v>
      </c>
      <c r="K2728" s="11">
        <v>648.20000000000005</v>
      </c>
      <c r="L2728" s="12">
        <v>104.32</v>
      </c>
    </row>
    <row r="2729" spans="1:12" x14ac:dyDescent="0.2">
      <c r="A2729" s="9">
        <v>46249</v>
      </c>
      <c r="B2729" t="s">
        <v>401</v>
      </c>
      <c r="C2729" t="s">
        <v>402</v>
      </c>
      <c r="D2729" t="s">
        <v>36</v>
      </c>
      <c r="E2729" t="s">
        <v>660</v>
      </c>
      <c r="F2729" t="s">
        <v>661</v>
      </c>
      <c r="G2729" s="10">
        <v>64</v>
      </c>
      <c r="H2729" s="10">
        <v>4178</v>
      </c>
      <c r="I2729" s="10">
        <v>267392</v>
      </c>
      <c r="J2729" t="s">
        <v>37</v>
      </c>
      <c r="K2729" s="11">
        <v>648.20000000000005</v>
      </c>
      <c r="L2729" s="12">
        <v>412.51</v>
      </c>
    </row>
    <row r="2730" spans="1:12" x14ac:dyDescent="0.2">
      <c r="A2730" s="9">
        <v>46249</v>
      </c>
      <c r="B2730" t="s">
        <v>401</v>
      </c>
      <c r="C2730" t="s">
        <v>402</v>
      </c>
      <c r="D2730" t="s">
        <v>36</v>
      </c>
      <c r="E2730" t="s">
        <v>647</v>
      </c>
      <c r="F2730" t="s">
        <v>648</v>
      </c>
      <c r="G2730" s="10">
        <v>16</v>
      </c>
      <c r="H2730" s="10">
        <v>15605</v>
      </c>
      <c r="I2730" s="10">
        <v>249680</v>
      </c>
      <c r="J2730" t="s">
        <v>37</v>
      </c>
      <c r="K2730" s="11">
        <v>648.20000000000005</v>
      </c>
      <c r="L2730" s="12">
        <v>385.19</v>
      </c>
    </row>
    <row r="2731" spans="1:12" x14ac:dyDescent="0.2">
      <c r="A2731" s="9">
        <v>46249</v>
      </c>
      <c r="B2731" t="s">
        <v>404</v>
      </c>
      <c r="C2731" t="s">
        <v>405</v>
      </c>
      <c r="D2731" t="s">
        <v>46</v>
      </c>
      <c r="E2731" t="s">
        <v>651</v>
      </c>
      <c r="F2731" t="s">
        <v>652</v>
      </c>
      <c r="G2731" s="10">
        <v>18</v>
      </c>
      <c r="H2731" s="10">
        <v>9612</v>
      </c>
      <c r="I2731" s="10">
        <v>173016</v>
      </c>
      <c r="J2731" t="s">
        <v>37</v>
      </c>
      <c r="K2731" s="11">
        <v>648.20000000000005</v>
      </c>
      <c r="L2731" s="12">
        <v>266.92</v>
      </c>
    </row>
    <row r="2732" spans="1:12" x14ac:dyDescent="0.2">
      <c r="A2732" s="9">
        <v>46249</v>
      </c>
      <c r="B2732" t="s">
        <v>404</v>
      </c>
      <c r="C2732" t="s">
        <v>405</v>
      </c>
      <c r="D2732" t="s">
        <v>46</v>
      </c>
      <c r="E2732" t="s">
        <v>655</v>
      </c>
      <c r="F2732" t="s">
        <v>656</v>
      </c>
      <c r="G2732" s="10">
        <v>14</v>
      </c>
      <c r="H2732" s="10">
        <v>596</v>
      </c>
      <c r="I2732" s="10">
        <v>8344</v>
      </c>
      <c r="J2732" t="s">
        <v>37</v>
      </c>
      <c r="K2732" s="11">
        <v>648.20000000000005</v>
      </c>
      <c r="L2732" s="12">
        <v>12.87</v>
      </c>
    </row>
    <row r="2733" spans="1:12" x14ac:dyDescent="0.2">
      <c r="A2733" s="9">
        <v>46249</v>
      </c>
      <c r="B2733" t="s">
        <v>407</v>
      </c>
      <c r="C2733" t="s">
        <v>408</v>
      </c>
      <c r="D2733" t="s">
        <v>75</v>
      </c>
      <c r="E2733" t="s">
        <v>649</v>
      </c>
      <c r="F2733" t="s">
        <v>659</v>
      </c>
      <c r="G2733" s="10">
        <v>8</v>
      </c>
      <c r="H2733" s="10">
        <v>41938</v>
      </c>
      <c r="I2733" s="10">
        <v>335504</v>
      </c>
      <c r="J2733" t="s">
        <v>42</v>
      </c>
      <c r="K2733" s="11">
        <v>3145.8</v>
      </c>
      <c r="L2733" s="12">
        <v>106.65</v>
      </c>
    </row>
    <row r="2734" spans="1:12" x14ac:dyDescent="0.2">
      <c r="A2734" s="9">
        <v>46249</v>
      </c>
      <c r="B2734" t="s">
        <v>410</v>
      </c>
      <c r="C2734" t="s">
        <v>411</v>
      </c>
      <c r="D2734" t="s">
        <v>46</v>
      </c>
      <c r="E2734" t="s">
        <v>655</v>
      </c>
      <c r="F2734" t="s">
        <v>665</v>
      </c>
      <c r="G2734" s="10">
        <v>6</v>
      </c>
      <c r="H2734" s="10">
        <v>669</v>
      </c>
      <c r="I2734" s="10">
        <v>4014</v>
      </c>
      <c r="J2734" t="s">
        <v>37</v>
      </c>
      <c r="K2734" s="11">
        <v>648.20000000000005</v>
      </c>
      <c r="L2734" s="12">
        <v>6.19</v>
      </c>
    </row>
    <row r="2735" spans="1:12" x14ac:dyDescent="0.2">
      <c r="A2735" s="9">
        <v>46249</v>
      </c>
      <c r="B2735" t="s">
        <v>413</v>
      </c>
      <c r="C2735" t="s">
        <v>414</v>
      </c>
      <c r="D2735" t="s">
        <v>41</v>
      </c>
      <c r="E2735" t="s">
        <v>647</v>
      </c>
      <c r="F2735" t="s">
        <v>648</v>
      </c>
      <c r="G2735" s="10">
        <v>11</v>
      </c>
      <c r="H2735" s="10">
        <v>75839</v>
      </c>
      <c r="I2735" s="10">
        <v>834229</v>
      </c>
      <c r="J2735" t="s">
        <v>42</v>
      </c>
      <c r="K2735" s="11">
        <v>3145.8</v>
      </c>
      <c r="L2735" s="12">
        <v>265.19</v>
      </c>
    </row>
    <row r="2736" spans="1:12" x14ac:dyDescent="0.2">
      <c r="A2736" s="9">
        <v>46249</v>
      </c>
      <c r="B2736" t="s">
        <v>422</v>
      </c>
      <c r="C2736" t="s">
        <v>423</v>
      </c>
      <c r="D2736" t="s">
        <v>68</v>
      </c>
      <c r="E2736" t="s">
        <v>653</v>
      </c>
      <c r="F2736" t="s">
        <v>666</v>
      </c>
      <c r="G2736" s="10">
        <v>7</v>
      </c>
      <c r="H2736" s="10">
        <v>1451</v>
      </c>
      <c r="I2736" s="10">
        <v>10157</v>
      </c>
      <c r="J2736" t="s">
        <v>51</v>
      </c>
      <c r="K2736" s="11">
        <v>648.20000000000005</v>
      </c>
      <c r="L2736" s="12">
        <v>15.67</v>
      </c>
    </row>
    <row r="2737" spans="1:12" x14ac:dyDescent="0.2">
      <c r="A2737" s="9">
        <v>46249</v>
      </c>
      <c r="B2737" t="s">
        <v>425</v>
      </c>
      <c r="C2737" t="s">
        <v>426</v>
      </c>
      <c r="D2737" t="s">
        <v>50</v>
      </c>
      <c r="E2737" t="s">
        <v>649</v>
      </c>
      <c r="F2737" t="s">
        <v>663</v>
      </c>
      <c r="G2737" s="10">
        <v>7</v>
      </c>
      <c r="H2737" s="10">
        <v>1987</v>
      </c>
      <c r="I2737" s="10">
        <v>13909</v>
      </c>
      <c r="J2737" t="s">
        <v>51</v>
      </c>
      <c r="K2737" s="11">
        <v>648.20000000000005</v>
      </c>
      <c r="L2737" s="12">
        <v>21.46</v>
      </c>
    </row>
    <row r="2738" spans="1:12" x14ac:dyDescent="0.2">
      <c r="A2738" s="9">
        <v>46249</v>
      </c>
      <c r="B2738" t="s">
        <v>425</v>
      </c>
      <c r="C2738" t="s">
        <v>426</v>
      </c>
      <c r="D2738" t="s">
        <v>50</v>
      </c>
      <c r="E2738" t="s">
        <v>655</v>
      </c>
      <c r="F2738" t="s">
        <v>656</v>
      </c>
      <c r="G2738" s="10">
        <v>1</v>
      </c>
      <c r="H2738" s="10">
        <v>571</v>
      </c>
      <c r="I2738" s="10">
        <v>571</v>
      </c>
      <c r="J2738" t="s">
        <v>51</v>
      </c>
      <c r="K2738" s="11">
        <v>648.20000000000005</v>
      </c>
      <c r="L2738" s="12">
        <v>0.88</v>
      </c>
    </row>
    <row r="2739" spans="1:12" x14ac:dyDescent="0.2">
      <c r="A2739" s="9">
        <v>46249</v>
      </c>
      <c r="B2739" t="s">
        <v>434</v>
      </c>
      <c r="C2739" t="s">
        <v>176</v>
      </c>
      <c r="D2739" t="s">
        <v>46</v>
      </c>
      <c r="E2739" t="s">
        <v>660</v>
      </c>
      <c r="F2739" t="s">
        <v>670</v>
      </c>
      <c r="G2739" s="10">
        <v>6</v>
      </c>
      <c r="H2739" s="10">
        <v>14552</v>
      </c>
      <c r="I2739" s="10">
        <v>87312</v>
      </c>
      <c r="J2739" t="s">
        <v>37</v>
      </c>
      <c r="K2739" s="11">
        <v>648.20000000000005</v>
      </c>
      <c r="L2739" s="12">
        <v>134.69999999999999</v>
      </c>
    </row>
    <row r="2740" spans="1:12" x14ac:dyDescent="0.2">
      <c r="A2740" s="9">
        <v>46249</v>
      </c>
      <c r="B2740" t="s">
        <v>436</v>
      </c>
      <c r="C2740" t="s">
        <v>437</v>
      </c>
      <c r="D2740" t="s">
        <v>50</v>
      </c>
      <c r="E2740" t="s">
        <v>660</v>
      </c>
      <c r="F2740" t="s">
        <v>661</v>
      </c>
      <c r="G2740" s="10">
        <v>7</v>
      </c>
      <c r="H2740" s="10">
        <v>4345</v>
      </c>
      <c r="I2740" s="10">
        <v>30415</v>
      </c>
      <c r="J2740" t="s">
        <v>51</v>
      </c>
      <c r="K2740" s="11">
        <v>648.20000000000005</v>
      </c>
      <c r="L2740" s="12">
        <v>46.92</v>
      </c>
    </row>
    <row r="2741" spans="1:12" x14ac:dyDescent="0.2">
      <c r="A2741" s="9">
        <v>46249</v>
      </c>
      <c r="B2741" t="s">
        <v>436</v>
      </c>
      <c r="C2741" t="s">
        <v>437</v>
      </c>
      <c r="D2741" t="s">
        <v>50</v>
      </c>
      <c r="E2741" t="s">
        <v>655</v>
      </c>
      <c r="F2741" t="s">
        <v>665</v>
      </c>
      <c r="G2741" s="10">
        <v>6</v>
      </c>
      <c r="H2741" s="10">
        <v>700</v>
      </c>
      <c r="I2741" s="10">
        <v>4200</v>
      </c>
      <c r="J2741" t="s">
        <v>51</v>
      </c>
      <c r="K2741" s="11">
        <v>648.20000000000005</v>
      </c>
      <c r="L2741" s="12">
        <v>6.48</v>
      </c>
    </row>
    <row r="2742" spans="1:12" x14ac:dyDescent="0.2">
      <c r="A2742" s="9">
        <v>46249</v>
      </c>
      <c r="B2742" t="s">
        <v>439</v>
      </c>
      <c r="C2742" t="s">
        <v>440</v>
      </c>
      <c r="D2742" t="s">
        <v>50</v>
      </c>
      <c r="E2742" t="s">
        <v>660</v>
      </c>
      <c r="F2742" t="s">
        <v>661</v>
      </c>
      <c r="G2742" s="10">
        <v>13</v>
      </c>
      <c r="H2742" s="10">
        <v>4158</v>
      </c>
      <c r="I2742" s="10">
        <v>54054</v>
      </c>
      <c r="J2742" t="s">
        <v>51</v>
      </c>
      <c r="K2742" s="11">
        <v>648.20000000000005</v>
      </c>
      <c r="L2742" s="12">
        <v>83.39</v>
      </c>
    </row>
    <row r="2743" spans="1:12" x14ac:dyDescent="0.2">
      <c r="A2743" s="9">
        <v>46249</v>
      </c>
      <c r="B2743" t="s">
        <v>439</v>
      </c>
      <c r="C2743" t="s">
        <v>440</v>
      </c>
      <c r="D2743" t="s">
        <v>50</v>
      </c>
      <c r="E2743" t="s">
        <v>647</v>
      </c>
      <c r="F2743" t="s">
        <v>668</v>
      </c>
      <c r="G2743" s="10">
        <v>20</v>
      </c>
      <c r="H2743" s="10">
        <v>24238</v>
      </c>
      <c r="I2743" s="10">
        <v>484760</v>
      </c>
      <c r="J2743" t="s">
        <v>51</v>
      </c>
      <c r="K2743" s="11">
        <v>648.20000000000005</v>
      </c>
      <c r="L2743" s="12">
        <v>747.86</v>
      </c>
    </row>
    <row r="2744" spans="1:12" x14ac:dyDescent="0.2">
      <c r="A2744" s="9">
        <v>46249</v>
      </c>
      <c r="B2744" t="s">
        <v>445</v>
      </c>
      <c r="C2744" t="s">
        <v>446</v>
      </c>
      <c r="D2744" t="s">
        <v>68</v>
      </c>
      <c r="E2744" t="s">
        <v>660</v>
      </c>
      <c r="F2744" t="s">
        <v>670</v>
      </c>
      <c r="G2744" s="10">
        <v>7</v>
      </c>
      <c r="H2744" s="10">
        <v>14536</v>
      </c>
      <c r="I2744" s="10">
        <v>101752</v>
      </c>
      <c r="J2744" t="s">
        <v>51</v>
      </c>
      <c r="K2744" s="11">
        <v>648.20000000000005</v>
      </c>
      <c r="L2744" s="12">
        <v>156.97999999999999</v>
      </c>
    </row>
    <row r="2745" spans="1:12" x14ac:dyDescent="0.2">
      <c r="A2745" s="9">
        <v>46249</v>
      </c>
      <c r="B2745" t="s">
        <v>448</v>
      </c>
      <c r="C2745" t="s">
        <v>449</v>
      </c>
      <c r="D2745" t="s">
        <v>75</v>
      </c>
      <c r="E2745" t="s">
        <v>660</v>
      </c>
      <c r="F2745" t="s">
        <v>670</v>
      </c>
      <c r="G2745" s="10">
        <v>14</v>
      </c>
      <c r="H2745" s="10">
        <v>71785</v>
      </c>
      <c r="I2745" s="10">
        <v>1004990</v>
      </c>
      <c r="J2745" t="s">
        <v>42</v>
      </c>
      <c r="K2745" s="11">
        <v>3145.8</v>
      </c>
      <c r="L2745" s="12">
        <v>319.47000000000003</v>
      </c>
    </row>
    <row r="2746" spans="1:12" x14ac:dyDescent="0.2">
      <c r="A2746" s="9">
        <v>46249</v>
      </c>
      <c r="B2746" t="s">
        <v>448</v>
      </c>
      <c r="C2746" t="s">
        <v>449</v>
      </c>
      <c r="D2746" t="s">
        <v>75</v>
      </c>
      <c r="E2746" t="s">
        <v>651</v>
      </c>
      <c r="F2746" t="s">
        <v>657</v>
      </c>
      <c r="G2746" s="10">
        <v>17</v>
      </c>
      <c r="H2746" s="10">
        <v>32042</v>
      </c>
      <c r="I2746" s="10">
        <v>544714</v>
      </c>
      <c r="J2746" t="s">
        <v>42</v>
      </c>
      <c r="K2746" s="11">
        <v>3145.8</v>
      </c>
      <c r="L2746" s="12">
        <v>173.16</v>
      </c>
    </row>
    <row r="2747" spans="1:12" x14ac:dyDescent="0.2">
      <c r="A2747" s="9">
        <v>46249</v>
      </c>
      <c r="B2747" t="s">
        <v>454</v>
      </c>
      <c r="C2747" t="s">
        <v>455</v>
      </c>
      <c r="D2747" t="s">
        <v>41</v>
      </c>
      <c r="E2747" t="s">
        <v>660</v>
      </c>
      <c r="F2747" t="s">
        <v>669</v>
      </c>
      <c r="G2747" s="10">
        <v>7</v>
      </c>
      <c r="H2747" s="10">
        <v>12483</v>
      </c>
      <c r="I2747" s="10">
        <v>87381</v>
      </c>
      <c r="J2747" t="s">
        <v>42</v>
      </c>
      <c r="K2747" s="11">
        <v>3145.8</v>
      </c>
      <c r="L2747" s="12">
        <v>27.78</v>
      </c>
    </row>
    <row r="2748" spans="1:12" x14ac:dyDescent="0.2">
      <c r="A2748" s="9">
        <v>46249</v>
      </c>
      <c r="B2748" t="s">
        <v>457</v>
      </c>
      <c r="C2748" t="s">
        <v>458</v>
      </c>
      <c r="D2748" t="s">
        <v>46</v>
      </c>
      <c r="E2748" t="s">
        <v>653</v>
      </c>
      <c r="F2748" t="s">
        <v>666</v>
      </c>
      <c r="G2748" s="10">
        <v>34</v>
      </c>
      <c r="H2748" s="10">
        <v>1565</v>
      </c>
      <c r="I2748" s="10">
        <v>53210</v>
      </c>
      <c r="J2748" t="s">
        <v>37</v>
      </c>
      <c r="K2748" s="11">
        <v>648.20000000000005</v>
      </c>
      <c r="L2748" s="12">
        <v>82.09</v>
      </c>
    </row>
    <row r="2749" spans="1:12" x14ac:dyDescent="0.2">
      <c r="A2749" s="9">
        <v>46249</v>
      </c>
      <c r="B2749" t="s">
        <v>457</v>
      </c>
      <c r="C2749" t="s">
        <v>458</v>
      </c>
      <c r="D2749" t="s">
        <v>46</v>
      </c>
      <c r="E2749" t="s">
        <v>660</v>
      </c>
      <c r="F2749" t="s">
        <v>669</v>
      </c>
      <c r="G2749" s="10">
        <v>74</v>
      </c>
      <c r="H2749" s="10">
        <v>2684</v>
      </c>
      <c r="I2749" s="10">
        <v>198616</v>
      </c>
      <c r="J2749" t="s">
        <v>37</v>
      </c>
      <c r="K2749" s="11">
        <v>648.20000000000005</v>
      </c>
      <c r="L2749" s="12">
        <v>306.41000000000003</v>
      </c>
    </row>
    <row r="2750" spans="1:12" x14ac:dyDescent="0.2">
      <c r="A2750" s="9">
        <v>46249</v>
      </c>
      <c r="B2750" t="s">
        <v>457</v>
      </c>
      <c r="C2750" t="s">
        <v>458</v>
      </c>
      <c r="D2750" t="s">
        <v>46</v>
      </c>
      <c r="E2750" t="s">
        <v>660</v>
      </c>
      <c r="F2750" t="s">
        <v>669</v>
      </c>
      <c r="G2750" s="10">
        <v>72</v>
      </c>
      <c r="H2750" s="10">
        <v>2649</v>
      </c>
      <c r="I2750" s="10">
        <v>190728</v>
      </c>
      <c r="J2750" t="s">
        <v>37</v>
      </c>
      <c r="K2750" s="11">
        <v>648.20000000000005</v>
      </c>
      <c r="L2750" s="12">
        <v>294.24</v>
      </c>
    </row>
    <row r="2751" spans="1:12" x14ac:dyDescent="0.2">
      <c r="A2751" s="9">
        <v>46249</v>
      </c>
      <c r="B2751" t="s">
        <v>457</v>
      </c>
      <c r="C2751" t="s">
        <v>458</v>
      </c>
      <c r="D2751" t="s">
        <v>46</v>
      </c>
      <c r="E2751" t="s">
        <v>647</v>
      </c>
      <c r="F2751" t="s">
        <v>648</v>
      </c>
      <c r="G2751" s="10">
        <v>48</v>
      </c>
      <c r="H2751" s="10">
        <v>16714</v>
      </c>
      <c r="I2751" s="10">
        <v>802272</v>
      </c>
      <c r="J2751" t="s">
        <v>37</v>
      </c>
      <c r="K2751" s="11">
        <v>648.20000000000005</v>
      </c>
      <c r="L2751" s="12">
        <v>1237.69</v>
      </c>
    </row>
    <row r="2752" spans="1:12" x14ac:dyDescent="0.2">
      <c r="A2752" s="9">
        <v>46249</v>
      </c>
      <c r="B2752" t="s">
        <v>466</v>
      </c>
      <c r="C2752" t="s">
        <v>467</v>
      </c>
      <c r="D2752" t="s">
        <v>50</v>
      </c>
      <c r="E2752" t="s">
        <v>647</v>
      </c>
      <c r="F2752" t="s">
        <v>668</v>
      </c>
      <c r="G2752" s="10">
        <v>12</v>
      </c>
      <c r="H2752" s="10">
        <v>24923</v>
      </c>
      <c r="I2752" s="10">
        <v>299076</v>
      </c>
      <c r="J2752" t="s">
        <v>51</v>
      </c>
      <c r="K2752" s="11">
        <v>648.20000000000005</v>
      </c>
      <c r="L2752" s="12">
        <v>461.39</v>
      </c>
    </row>
    <row r="2753" spans="1:12" x14ac:dyDescent="0.2">
      <c r="A2753" s="9">
        <v>46249</v>
      </c>
      <c r="B2753" t="s">
        <v>469</v>
      </c>
      <c r="C2753" t="s">
        <v>470</v>
      </c>
      <c r="D2753" t="s">
        <v>41</v>
      </c>
      <c r="E2753" t="s">
        <v>653</v>
      </c>
      <c r="F2753" t="s">
        <v>654</v>
      </c>
      <c r="G2753" s="10">
        <v>15</v>
      </c>
      <c r="H2753" s="10">
        <v>27712</v>
      </c>
      <c r="I2753" s="10">
        <v>415680</v>
      </c>
      <c r="J2753" t="s">
        <v>42</v>
      </c>
      <c r="K2753" s="11">
        <v>3145.8</v>
      </c>
      <c r="L2753" s="12">
        <v>132.13999999999999</v>
      </c>
    </row>
    <row r="2754" spans="1:12" x14ac:dyDescent="0.2">
      <c r="A2754" s="9">
        <v>46249</v>
      </c>
      <c r="B2754" t="s">
        <v>469</v>
      </c>
      <c r="C2754" t="s">
        <v>470</v>
      </c>
      <c r="D2754" t="s">
        <v>41</v>
      </c>
      <c r="E2754" t="s">
        <v>647</v>
      </c>
      <c r="F2754" t="s">
        <v>667</v>
      </c>
      <c r="G2754" s="10">
        <v>11</v>
      </c>
      <c r="H2754" s="10">
        <v>34672</v>
      </c>
      <c r="I2754" s="10">
        <v>381392</v>
      </c>
      <c r="J2754" t="s">
        <v>42</v>
      </c>
      <c r="K2754" s="11">
        <v>3145.8</v>
      </c>
      <c r="L2754" s="12">
        <v>121.24</v>
      </c>
    </row>
    <row r="2755" spans="1:12" x14ac:dyDescent="0.2">
      <c r="A2755" s="9">
        <v>46249</v>
      </c>
      <c r="B2755" t="s">
        <v>475</v>
      </c>
      <c r="C2755" t="s">
        <v>476</v>
      </c>
      <c r="D2755" t="s">
        <v>75</v>
      </c>
      <c r="E2755" t="s">
        <v>649</v>
      </c>
      <c r="F2755" t="s">
        <v>650</v>
      </c>
      <c r="G2755" s="10">
        <v>10</v>
      </c>
      <c r="H2755" s="10">
        <v>92689</v>
      </c>
      <c r="I2755" s="10">
        <v>926890</v>
      </c>
      <c r="J2755" t="s">
        <v>42</v>
      </c>
      <c r="K2755" s="11">
        <v>3145.8</v>
      </c>
      <c r="L2755" s="12">
        <v>294.64</v>
      </c>
    </row>
    <row r="2756" spans="1:12" x14ac:dyDescent="0.2">
      <c r="A2756" s="9">
        <v>46249</v>
      </c>
      <c r="B2756" t="s">
        <v>475</v>
      </c>
      <c r="C2756" t="s">
        <v>476</v>
      </c>
      <c r="D2756" t="s">
        <v>75</v>
      </c>
      <c r="E2756" t="s">
        <v>651</v>
      </c>
      <c r="F2756" t="s">
        <v>657</v>
      </c>
      <c r="G2756" s="10">
        <v>9</v>
      </c>
      <c r="H2756" s="10">
        <v>31761</v>
      </c>
      <c r="I2756" s="10">
        <v>285849</v>
      </c>
      <c r="J2756" t="s">
        <v>42</v>
      </c>
      <c r="K2756" s="11">
        <v>3145.8</v>
      </c>
      <c r="L2756" s="12">
        <v>90.87</v>
      </c>
    </row>
    <row r="2757" spans="1:12" x14ac:dyDescent="0.2">
      <c r="A2757" s="9">
        <v>46249</v>
      </c>
      <c r="B2757" t="s">
        <v>475</v>
      </c>
      <c r="C2757" t="s">
        <v>476</v>
      </c>
      <c r="D2757" t="s">
        <v>75</v>
      </c>
      <c r="E2757" t="s">
        <v>651</v>
      </c>
      <c r="F2757" t="s">
        <v>664</v>
      </c>
      <c r="G2757" s="10">
        <v>23</v>
      </c>
      <c r="H2757" s="10">
        <v>58683</v>
      </c>
      <c r="I2757" s="10">
        <v>1349709</v>
      </c>
      <c r="J2757" t="s">
        <v>42</v>
      </c>
      <c r="K2757" s="11">
        <v>3145.8</v>
      </c>
      <c r="L2757" s="12">
        <v>429.05</v>
      </c>
    </row>
    <row r="2758" spans="1:12" x14ac:dyDescent="0.2">
      <c r="A2758" s="9">
        <v>46249</v>
      </c>
      <c r="B2758" t="s">
        <v>481</v>
      </c>
      <c r="C2758" t="s">
        <v>78</v>
      </c>
      <c r="D2758" t="s">
        <v>41</v>
      </c>
      <c r="E2758" t="s">
        <v>655</v>
      </c>
      <c r="F2758" t="s">
        <v>656</v>
      </c>
      <c r="G2758" s="10">
        <v>49</v>
      </c>
      <c r="H2758" s="10">
        <v>2777</v>
      </c>
      <c r="I2758" s="10">
        <v>136073</v>
      </c>
      <c r="J2758" t="s">
        <v>42</v>
      </c>
      <c r="K2758" s="11">
        <v>3145.8</v>
      </c>
      <c r="L2758" s="12">
        <v>43.26</v>
      </c>
    </row>
    <row r="2759" spans="1:12" x14ac:dyDescent="0.2">
      <c r="A2759" s="9">
        <v>46249</v>
      </c>
      <c r="B2759" t="s">
        <v>485</v>
      </c>
      <c r="C2759" t="s">
        <v>486</v>
      </c>
      <c r="D2759" t="s">
        <v>41</v>
      </c>
      <c r="E2759" t="s">
        <v>655</v>
      </c>
      <c r="F2759" t="s">
        <v>662</v>
      </c>
      <c r="G2759" s="10">
        <v>14</v>
      </c>
      <c r="H2759" s="10">
        <v>5353</v>
      </c>
      <c r="I2759" s="10">
        <v>74942</v>
      </c>
      <c r="J2759" t="s">
        <v>42</v>
      </c>
      <c r="K2759" s="11">
        <v>3145.8</v>
      </c>
      <c r="L2759" s="12">
        <v>23.82</v>
      </c>
    </row>
    <row r="2760" spans="1:12" x14ac:dyDescent="0.2">
      <c r="A2760" s="9">
        <v>46249</v>
      </c>
      <c r="B2760" t="s">
        <v>502</v>
      </c>
      <c r="C2760" t="s">
        <v>503</v>
      </c>
      <c r="D2760" t="s">
        <v>41</v>
      </c>
      <c r="E2760" t="s">
        <v>647</v>
      </c>
      <c r="F2760" t="s">
        <v>668</v>
      </c>
      <c r="G2760" s="10">
        <v>4</v>
      </c>
      <c r="H2760" s="10">
        <v>124297</v>
      </c>
      <c r="I2760" s="10">
        <v>497188</v>
      </c>
      <c r="J2760" t="s">
        <v>42</v>
      </c>
      <c r="K2760" s="11">
        <v>3145.8</v>
      </c>
      <c r="L2760" s="12">
        <v>158.05000000000001</v>
      </c>
    </row>
    <row r="2761" spans="1:12" x14ac:dyDescent="0.2">
      <c r="A2761" s="9">
        <v>46249</v>
      </c>
      <c r="B2761" t="s">
        <v>520</v>
      </c>
      <c r="C2761" t="s">
        <v>489</v>
      </c>
      <c r="D2761" t="s">
        <v>46</v>
      </c>
      <c r="E2761" t="s">
        <v>649</v>
      </c>
      <c r="F2761" t="s">
        <v>650</v>
      </c>
      <c r="G2761" s="10">
        <v>14</v>
      </c>
      <c r="H2761" s="10">
        <v>19348</v>
      </c>
      <c r="I2761" s="10">
        <v>270872</v>
      </c>
      <c r="J2761" t="s">
        <v>37</v>
      </c>
      <c r="K2761" s="11">
        <v>648.20000000000005</v>
      </c>
      <c r="L2761" s="12">
        <v>417.88</v>
      </c>
    </row>
    <row r="2762" spans="1:12" x14ac:dyDescent="0.2">
      <c r="A2762" s="9">
        <v>46249</v>
      </c>
      <c r="B2762" t="s">
        <v>525</v>
      </c>
      <c r="C2762" t="s">
        <v>526</v>
      </c>
      <c r="D2762" t="s">
        <v>46</v>
      </c>
      <c r="E2762" t="s">
        <v>651</v>
      </c>
      <c r="F2762" t="s">
        <v>652</v>
      </c>
      <c r="G2762" s="10">
        <v>2</v>
      </c>
      <c r="H2762" s="10">
        <v>9756</v>
      </c>
      <c r="I2762" s="10">
        <v>19512</v>
      </c>
      <c r="J2762" t="s">
        <v>37</v>
      </c>
      <c r="K2762" s="11">
        <v>648.20000000000005</v>
      </c>
      <c r="L2762" s="12">
        <v>30.1</v>
      </c>
    </row>
    <row r="2763" spans="1:12" x14ac:dyDescent="0.2">
      <c r="A2763" s="9">
        <v>46249</v>
      </c>
      <c r="B2763" t="s">
        <v>525</v>
      </c>
      <c r="C2763" t="s">
        <v>526</v>
      </c>
      <c r="D2763" t="s">
        <v>46</v>
      </c>
      <c r="E2763" t="s">
        <v>649</v>
      </c>
      <c r="F2763" t="s">
        <v>650</v>
      </c>
      <c r="G2763" s="10">
        <v>18</v>
      </c>
      <c r="H2763" s="10">
        <v>19987</v>
      </c>
      <c r="I2763" s="10">
        <v>359766</v>
      </c>
      <c r="J2763" t="s">
        <v>37</v>
      </c>
      <c r="K2763" s="11">
        <v>648.20000000000005</v>
      </c>
      <c r="L2763" s="12">
        <v>555.02</v>
      </c>
    </row>
    <row r="2764" spans="1:12" x14ac:dyDescent="0.2">
      <c r="A2764" s="9">
        <v>46249</v>
      </c>
      <c r="B2764" t="s">
        <v>528</v>
      </c>
      <c r="C2764" t="s">
        <v>529</v>
      </c>
      <c r="D2764" t="s">
        <v>46</v>
      </c>
      <c r="E2764" t="s">
        <v>649</v>
      </c>
      <c r="F2764" t="s">
        <v>650</v>
      </c>
      <c r="G2764" s="10">
        <v>15</v>
      </c>
      <c r="H2764" s="10">
        <v>18814</v>
      </c>
      <c r="I2764" s="10">
        <v>282210</v>
      </c>
      <c r="J2764" t="s">
        <v>37</v>
      </c>
      <c r="K2764" s="11">
        <v>648.20000000000005</v>
      </c>
      <c r="L2764" s="12">
        <v>435.37</v>
      </c>
    </row>
    <row r="2765" spans="1:12" x14ac:dyDescent="0.2">
      <c r="A2765" s="9">
        <v>46249</v>
      </c>
      <c r="B2765" t="s">
        <v>531</v>
      </c>
      <c r="C2765" t="s">
        <v>532</v>
      </c>
      <c r="D2765" t="s">
        <v>50</v>
      </c>
      <c r="E2765" t="s">
        <v>649</v>
      </c>
      <c r="F2765" t="s">
        <v>663</v>
      </c>
      <c r="G2765" s="10">
        <v>13</v>
      </c>
      <c r="H2765" s="10">
        <v>2109</v>
      </c>
      <c r="I2765" s="10">
        <v>27417</v>
      </c>
      <c r="J2765" t="s">
        <v>51</v>
      </c>
      <c r="K2765" s="11">
        <v>648.20000000000005</v>
      </c>
      <c r="L2765" s="12">
        <v>42.3</v>
      </c>
    </row>
    <row r="2766" spans="1:12" x14ac:dyDescent="0.2">
      <c r="A2766" s="9">
        <v>46249</v>
      </c>
      <c r="B2766" t="s">
        <v>531</v>
      </c>
      <c r="C2766" t="s">
        <v>532</v>
      </c>
      <c r="D2766" t="s">
        <v>50</v>
      </c>
      <c r="E2766" t="s">
        <v>649</v>
      </c>
      <c r="F2766" t="s">
        <v>659</v>
      </c>
      <c r="G2766" s="10">
        <v>310</v>
      </c>
      <c r="H2766" s="10">
        <v>9094</v>
      </c>
      <c r="I2766" s="10">
        <v>2819140</v>
      </c>
      <c r="J2766" t="s">
        <v>51</v>
      </c>
      <c r="K2766" s="11">
        <v>648.20000000000005</v>
      </c>
      <c r="L2766" s="12">
        <v>4349.18</v>
      </c>
    </row>
    <row r="2767" spans="1:12" x14ac:dyDescent="0.2">
      <c r="A2767" s="9">
        <v>46249</v>
      </c>
      <c r="B2767" t="s">
        <v>531</v>
      </c>
      <c r="C2767" t="s">
        <v>532</v>
      </c>
      <c r="D2767" t="s">
        <v>50</v>
      </c>
      <c r="E2767" t="s">
        <v>647</v>
      </c>
      <c r="F2767" t="s">
        <v>668</v>
      </c>
      <c r="G2767" s="10">
        <v>71</v>
      </c>
      <c r="H2767" s="10">
        <v>24645</v>
      </c>
      <c r="I2767" s="10">
        <v>1749795</v>
      </c>
      <c r="J2767" t="s">
        <v>51</v>
      </c>
      <c r="K2767" s="11">
        <v>648.20000000000005</v>
      </c>
      <c r="L2767" s="12">
        <v>2699.47</v>
      </c>
    </row>
    <row r="2768" spans="1:12" x14ac:dyDescent="0.2">
      <c r="A2768" s="9">
        <v>46249</v>
      </c>
      <c r="B2768" t="s">
        <v>531</v>
      </c>
      <c r="C2768" t="s">
        <v>532</v>
      </c>
      <c r="D2768" t="s">
        <v>50</v>
      </c>
      <c r="E2768" t="s">
        <v>655</v>
      </c>
      <c r="F2768" t="s">
        <v>665</v>
      </c>
      <c r="G2768" s="10">
        <v>149</v>
      </c>
      <c r="H2768" s="10">
        <v>709</v>
      </c>
      <c r="I2768" s="10">
        <v>105641</v>
      </c>
      <c r="J2768" t="s">
        <v>51</v>
      </c>
      <c r="K2768" s="11">
        <v>648.20000000000005</v>
      </c>
      <c r="L2768" s="12">
        <v>162.97999999999999</v>
      </c>
    </row>
    <row r="2769" spans="1:12" x14ac:dyDescent="0.2">
      <c r="A2769" s="9">
        <v>46249</v>
      </c>
      <c r="B2769" t="s">
        <v>537</v>
      </c>
      <c r="C2769" t="s">
        <v>538</v>
      </c>
      <c r="D2769" t="s">
        <v>68</v>
      </c>
      <c r="E2769" t="s">
        <v>660</v>
      </c>
      <c r="F2769" t="s">
        <v>669</v>
      </c>
      <c r="G2769" s="10">
        <v>108</v>
      </c>
      <c r="H2769" s="10">
        <v>2673</v>
      </c>
      <c r="I2769" s="10">
        <v>288684</v>
      </c>
      <c r="J2769" t="s">
        <v>51</v>
      </c>
      <c r="K2769" s="11">
        <v>648.20000000000005</v>
      </c>
      <c r="L2769" s="12">
        <v>445.36</v>
      </c>
    </row>
    <row r="2770" spans="1:12" x14ac:dyDescent="0.2">
      <c r="A2770" s="9">
        <v>46249</v>
      </c>
      <c r="B2770" t="s">
        <v>537</v>
      </c>
      <c r="C2770" t="s">
        <v>538</v>
      </c>
      <c r="D2770" t="s">
        <v>68</v>
      </c>
      <c r="E2770" t="s">
        <v>660</v>
      </c>
      <c r="F2770" t="s">
        <v>661</v>
      </c>
      <c r="G2770" s="10">
        <v>8</v>
      </c>
      <c r="H2770" s="10">
        <v>4061</v>
      </c>
      <c r="I2770" s="10">
        <v>32488</v>
      </c>
      <c r="J2770" t="s">
        <v>51</v>
      </c>
      <c r="K2770" s="11">
        <v>648.20000000000005</v>
      </c>
      <c r="L2770" s="12">
        <v>50.12</v>
      </c>
    </row>
    <row r="2771" spans="1:12" x14ac:dyDescent="0.2">
      <c r="A2771" s="9">
        <v>46249</v>
      </c>
      <c r="B2771" t="s">
        <v>537</v>
      </c>
      <c r="C2771" t="s">
        <v>538</v>
      </c>
      <c r="D2771" t="s">
        <v>68</v>
      </c>
      <c r="E2771" t="s">
        <v>647</v>
      </c>
      <c r="F2771" t="s">
        <v>668</v>
      </c>
      <c r="G2771" s="10">
        <v>148</v>
      </c>
      <c r="H2771" s="10">
        <v>24780</v>
      </c>
      <c r="I2771" s="10">
        <v>3667440</v>
      </c>
      <c r="J2771" t="s">
        <v>51</v>
      </c>
      <c r="K2771" s="11">
        <v>648.20000000000005</v>
      </c>
      <c r="L2771" s="12">
        <v>5657.88</v>
      </c>
    </row>
    <row r="2772" spans="1:12" x14ac:dyDescent="0.2">
      <c r="A2772" s="9">
        <v>46249</v>
      </c>
      <c r="B2772" t="s">
        <v>540</v>
      </c>
      <c r="C2772" t="s">
        <v>541</v>
      </c>
      <c r="D2772" t="s">
        <v>41</v>
      </c>
      <c r="E2772" t="s">
        <v>653</v>
      </c>
      <c r="F2772" t="s">
        <v>658</v>
      </c>
      <c r="G2772" s="10">
        <v>5</v>
      </c>
      <c r="H2772" s="10">
        <v>12840</v>
      </c>
      <c r="I2772" s="10">
        <v>64200</v>
      </c>
      <c r="J2772" t="s">
        <v>42</v>
      </c>
      <c r="K2772" s="11">
        <v>3145.8</v>
      </c>
      <c r="L2772" s="12">
        <v>20.41</v>
      </c>
    </row>
    <row r="2773" spans="1:12" x14ac:dyDescent="0.2">
      <c r="A2773" s="9">
        <v>46249</v>
      </c>
      <c r="B2773" t="s">
        <v>546</v>
      </c>
      <c r="C2773" t="s">
        <v>547</v>
      </c>
      <c r="D2773" t="s">
        <v>41</v>
      </c>
      <c r="E2773" t="s">
        <v>660</v>
      </c>
      <c r="F2773" t="s">
        <v>661</v>
      </c>
      <c r="G2773" s="10">
        <v>5</v>
      </c>
      <c r="H2773" s="10">
        <v>20121</v>
      </c>
      <c r="I2773" s="10">
        <v>100605</v>
      </c>
      <c r="J2773" t="s">
        <v>42</v>
      </c>
      <c r="K2773" s="11">
        <v>3145.8</v>
      </c>
      <c r="L2773" s="12">
        <v>31.98</v>
      </c>
    </row>
    <row r="2774" spans="1:12" x14ac:dyDescent="0.2">
      <c r="A2774" s="9">
        <v>46249</v>
      </c>
      <c r="B2774" t="s">
        <v>549</v>
      </c>
      <c r="C2774" t="s">
        <v>550</v>
      </c>
      <c r="D2774" t="s">
        <v>41</v>
      </c>
      <c r="E2774" t="s">
        <v>660</v>
      </c>
      <c r="F2774" t="s">
        <v>670</v>
      </c>
      <c r="G2774" s="10">
        <v>15</v>
      </c>
      <c r="H2774" s="10">
        <v>67704</v>
      </c>
      <c r="I2774" s="10">
        <v>1015560</v>
      </c>
      <c r="J2774" t="s">
        <v>42</v>
      </c>
      <c r="K2774" s="11">
        <v>3145.8</v>
      </c>
      <c r="L2774" s="12">
        <v>322.83</v>
      </c>
    </row>
    <row r="2775" spans="1:12" x14ac:dyDescent="0.2">
      <c r="A2775" s="9">
        <v>46249</v>
      </c>
      <c r="B2775" t="s">
        <v>549</v>
      </c>
      <c r="C2775" t="s">
        <v>550</v>
      </c>
      <c r="D2775" t="s">
        <v>41</v>
      </c>
      <c r="E2775" t="s">
        <v>660</v>
      </c>
      <c r="F2775" t="s">
        <v>670</v>
      </c>
      <c r="G2775" s="10">
        <v>24</v>
      </c>
      <c r="H2775" s="10">
        <v>69042</v>
      </c>
      <c r="I2775" s="10">
        <v>1657008</v>
      </c>
      <c r="J2775" t="s">
        <v>42</v>
      </c>
      <c r="K2775" s="11">
        <v>3145.8</v>
      </c>
      <c r="L2775" s="12">
        <v>526.74</v>
      </c>
    </row>
    <row r="2776" spans="1:12" x14ac:dyDescent="0.2">
      <c r="A2776" s="9">
        <v>46249</v>
      </c>
      <c r="B2776" t="s">
        <v>552</v>
      </c>
      <c r="C2776" t="s">
        <v>553</v>
      </c>
      <c r="D2776" t="s">
        <v>41</v>
      </c>
      <c r="E2776" t="s">
        <v>653</v>
      </c>
      <c r="F2776" t="s">
        <v>666</v>
      </c>
      <c r="G2776" s="10">
        <v>35</v>
      </c>
      <c r="H2776" s="10">
        <v>7588</v>
      </c>
      <c r="I2776" s="10">
        <v>265580</v>
      </c>
      <c r="J2776" t="s">
        <v>42</v>
      </c>
      <c r="K2776" s="11">
        <v>3145.8</v>
      </c>
      <c r="L2776" s="12">
        <v>84.42</v>
      </c>
    </row>
    <row r="2777" spans="1:12" x14ac:dyDescent="0.2">
      <c r="A2777" s="9">
        <v>46249</v>
      </c>
      <c r="B2777" t="s">
        <v>564</v>
      </c>
      <c r="C2777" t="s">
        <v>565</v>
      </c>
      <c r="D2777" t="s">
        <v>41</v>
      </c>
      <c r="E2777" t="s">
        <v>647</v>
      </c>
      <c r="F2777" t="s">
        <v>668</v>
      </c>
      <c r="G2777" s="10">
        <v>20</v>
      </c>
      <c r="H2777" s="10">
        <v>119863</v>
      </c>
      <c r="I2777" s="10">
        <v>2397260</v>
      </c>
      <c r="J2777" t="s">
        <v>42</v>
      </c>
      <c r="K2777" s="11">
        <v>3145.8</v>
      </c>
      <c r="L2777" s="12">
        <v>762.05</v>
      </c>
    </row>
    <row r="2778" spans="1:12" x14ac:dyDescent="0.2">
      <c r="A2778" s="9">
        <v>46249</v>
      </c>
      <c r="B2778" t="s">
        <v>564</v>
      </c>
      <c r="C2778" t="s">
        <v>565</v>
      </c>
      <c r="D2778" t="s">
        <v>41</v>
      </c>
      <c r="E2778" t="s">
        <v>655</v>
      </c>
      <c r="F2778" t="s">
        <v>665</v>
      </c>
      <c r="G2778" s="10">
        <v>11</v>
      </c>
      <c r="H2778" s="10">
        <v>3345</v>
      </c>
      <c r="I2778" s="10">
        <v>36795</v>
      </c>
      <c r="J2778" t="s">
        <v>42</v>
      </c>
      <c r="K2778" s="11">
        <v>3145.8</v>
      </c>
      <c r="L2778" s="12">
        <v>11.7</v>
      </c>
    </row>
    <row r="2779" spans="1:12" x14ac:dyDescent="0.2">
      <c r="A2779" s="9">
        <v>46249</v>
      </c>
      <c r="B2779" t="s">
        <v>567</v>
      </c>
      <c r="C2779" t="s">
        <v>568</v>
      </c>
      <c r="D2779" t="s">
        <v>41</v>
      </c>
      <c r="E2779" t="s">
        <v>647</v>
      </c>
      <c r="F2779" t="s">
        <v>668</v>
      </c>
      <c r="G2779" s="10">
        <v>13</v>
      </c>
      <c r="H2779" s="10">
        <v>118418</v>
      </c>
      <c r="I2779" s="10">
        <v>1539434</v>
      </c>
      <c r="J2779" t="s">
        <v>42</v>
      </c>
      <c r="K2779" s="11">
        <v>3145.8</v>
      </c>
      <c r="L2779" s="12">
        <v>489.36</v>
      </c>
    </row>
    <row r="2780" spans="1:12" x14ac:dyDescent="0.2">
      <c r="A2780" s="9">
        <v>46249</v>
      </c>
      <c r="B2780" t="s">
        <v>567</v>
      </c>
      <c r="C2780" t="s">
        <v>568</v>
      </c>
      <c r="D2780" t="s">
        <v>41</v>
      </c>
      <c r="E2780" t="s">
        <v>655</v>
      </c>
      <c r="F2780" t="s">
        <v>665</v>
      </c>
      <c r="G2780" s="10">
        <v>10</v>
      </c>
      <c r="H2780" s="10">
        <v>3306</v>
      </c>
      <c r="I2780" s="10">
        <v>33060</v>
      </c>
      <c r="J2780" t="s">
        <v>42</v>
      </c>
      <c r="K2780" s="11">
        <v>3145.8</v>
      </c>
      <c r="L2780" s="12">
        <v>10.51</v>
      </c>
    </row>
    <row r="2781" spans="1:12" x14ac:dyDescent="0.2">
      <c r="A2781" s="9">
        <v>46249</v>
      </c>
      <c r="B2781" t="s">
        <v>570</v>
      </c>
      <c r="C2781" t="s">
        <v>571</v>
      </c>
      <c r="D2781" t="s">
        <v>68</v>
      </c>
      <c r="E2781" t="s">
        <v>653</v>
      </c>
      <c r="F2781" t="s">
        <v>658</v>
      </c>
      <c r="G2781" s="10">
        <v>1</v>
      </c>
      <c r="H2781" s="10">
        <v>2812</v>
      </c>
      <c r="I2781" s="10">
        <v>2812</v>
      </c>
      <c r="J2781" t="s">
        <v>51</v>
      </c>
      <c r="K2781" s="11">
        <v>648.20000000000005</v>
      </c>
      <c r="L2781" s="12">
        <v>4.34</v>
      </c>
    </row>
    <row r="2782" spans="1:12" x14ac:dyDescent="0.2">
      <c r="A2782" s="9">
        <v>46249</v>
      </c>
      <c r="B2782" t="s">
        <v>582</v>
      </c>
      <c r="C2782" t="s">
        <v>583</v>
      </c>
      <c r="D2782" t="s">
        <v>36</v>
      </c>
      <c r="E2782" t="s">
        <v>649</v>
      </c>
      <c r="F2782" t="s">
        <v>650</v>
      </c>
      <c r="G2782" s="10">
        <v>6</v>
      </c>
      <c r="H2782" s="10">
        <v>19522</v>
      </c>
      <c r="I2782" s="10">
        <v>117132</v>
      </c>
      <c r="J2782" t="s">
        <v>37</v>
      </c>
      <c r="K2782" s="11">
        <v>648.20000000000005</v>
      </c>
      <c r="L2782" s="12">
        <v>180.7</v>
      </c>
    </row>
    <row r="2783" spans="1:12" x14ac:dyDescent="0.2">
      <c r="A2783" s="9">
        <v>46249</v>
      </c>
      <c r="B2783" t="s">
        <v>582</v>
      </c>
      <c r="C2783" t="s">
        <v>583</v>
      </c>
      <c r="D2783" t="s">
        <v>36</v>
      </c>
      <c r="E2783" t="s">
        <v>655</v>
      </c>
      <c r="F2783" t="s">
        <v>656</v>
      </c>
      <c r="G2783" s="10">
        <v>18</v>
      </c>
      <c r="H2783" s="10">
        <v>565</v>
      </c>
      <c r="I2783" s="10">
        <v>10170</v>
      </c>
      <c r="J2783" t="s">
        <v>37</v>
      </c>
      <c r="K2783" s="11">
        <v>648.20000000000005</v>
      </c>
      <c r="L2783" s="12">
        <v>15.69</v>
      </c>
    </row>
    <row r="2784" spans="1:12" x14ac:dyDescent="0.2">
      <c r="A2784" s="9">
        <v>46249</v>
      </c>
      <c r="B2784" t="s">
        <v>585</v>
      </c>
      <c r="C2784" t="s">
        <v>586</v>
      </c>
      <c r="D2784" t="s">
        <v>50</v>
      </c>
      <c r="E2784" t="s">
        <v>660</v>
      </c>
      <c r="F2784" t="s">
        <v>670</v>
      </c>
      <c r="G2784" s="10">
        <v>2</v>
      </c>
      <c r="H2784" s="10">
        <v>15028</v>
      </c>
      <c r="I2784" s="10">
        <v>30056</v>
      </c>
      <c r="J2784" t="s">
        <v>51</v>
      </c>
      <c r="K2784" s="11">
        <v>648.20000000000005</v>
      </c>
      <c r="L2784" s="12">
        <v>46.37</v>
      </c>
    </row>
    <row r="2785" spans="1:12" x14ac:dyDescent="0.2">
      <c r="A2785" s="9">
        <v>46249</v>
      </c>
      <c r="B2785" t="s">
        <v>590</v>
      </c>
      <c r="C2785" t="s">
        <v>591</v>
      </c>
      <c r="D2785" t="s">
        <v>41</v>
      </c>
      <c r="E2785" t="s">
        <v>647</v>
      </c>
      <c r="F2785" t="s">
        <v>668</v>
      </c>
      <c r="G2785" s="10">
        <v>12</v>
      </c>
      <c r="H2785" s="10">
        <v>125406</v>
      </c>
      <c r="I2785" s="10">
        <v>1504872</v>
      </c>
      <c r="J2785" t="s">
        <v>42</v>
      </c>
      <c r="K2785" s="11">
        <v>3145.8</v>
      </c>
      <c r="L2785" s="12">
        <v>478.37</v>
      </c>
    </row>
    <row r="2786" spans="1:12" x14ac:dyDescent="0.2">
      <c r="A2786" s="9">
        <v>46249</v>
      </c>
      <c r="B2786" t="s">
        <v>599</v>
      </c>
      <c r="C2786" t="s">
        <v>600</v>
      </c>
      <c r="D2786" t="s">
        <v>75</v>
      </c>
      <c r="E2786" t="s">
        <v>660</v>
      </c>
      <c r="F2786" t="s">
        <v>661</v>
      </c>
      <c r="G2786" s="10">
        <v>4</v>
      </c>
      <c r="H2786" s="10">
        <v>20315</v>
      </c>
      <c r="I2786" s="10">
        <v>81260</v>
      </c>
      <c r="J2786" t="s">
        <v>42</v>
      </c>
      <c r="K2786" s="11">
        <v>3145.8</v>
      </c>
      <c r="L2786" s="12">
        <v>25.83</v>
      </c>
    </row>
    <row r="2787" spans="1:12" x14ac:dyDescent="0.2">
      <c r="A2787" s="9">
        <v>46249</v>
      </c>
      <c r="B2787" t="s">
        <v>599</v>
      </c>
      <c r="C2787" t="s">
        <v>600</v>
      </c>
      <c r="D2787" t="s">
        <v>75</v>
      </c>
      <c r="E2787" t="s">
        <v>653</v>
      </c>
      <c r="F2787" t="s">
        <v>654</v>
      </c>
      <c r="G2787" s="10">
        <v>38</v>
      </c>
      <c r="H2787" s="10">
        <v>26577</v>
      </c>
      <c r="I2787" s="10">
        <v>1009926</v>
      </c>
      <c r="J2787" t="s">
        <v>42</v>
      </c>
      <c r="K2787" s="11">
        <v>3145.8</v>
      </c>
      <c r="L2787" s="12">
        <v>321.04000000000002</v>
      </c>
    </row>
    <row r="2788" spans="1:12" x14ac:dyDescent="0.2">
      <c r="A2788" s="9">
        <v>46249</v>
      </c>
      <c r="B2788" t="s">
        <v>599</v>
      </c>
      <c r="C2788" t="s">
        <v>600</v>
      </c>
      <c r="D2788" t="s">
        <v>75</v>
      </c>
      <c r="E2788" t="s">
        <v>653</v>
      </c>
      <c r="F2788" t="s">
        <v>654</v>
      </c>
      <c r="G2788" s="10">
        <v>5</v>
      </c>
      <c r="H2788" s="10">
        <v>26916</v>
      </c>
      <c r="I2788" s="10">
        <v>134580</v>
      </c>
      <c r="J2788" t="s">
        <v>42</v>
      </c>
      <c r="K2788" s="11">
        <v>3145.8</v>
      </c>
      <c r="L2788" s="12">
        <v>42.78</v>
      </c>
    </row>
    <row r="2789" spans="1:12" x14ac:dyDescent="0.2">
      <c r="A2789" s="9">
        <v>46249</v>
      </c>
      <c r="B2789" t="s">
        <v>599</v>
      </c>
      <c r="C2789" t="s">
        <v>600</v>
      </c>
      <c r="D2789" t="s">
        <v>75</v>
      </c>
      <c r="E2789" t="s">
        <v>655</v>
      </c>
      <c r="F2789" t="s">
        <v>665</v>
      </c>
      <c r="G2789" s="10">
        <v>10</v>
      </c>
      <c r="H2789" s="10">
        <v>3450</v>
      </c>
      <c r="I2789" s="10">
        <v>34500</v>
      </c>
      <c r="J2789" t="s">
        <v>42</v>
      </c>
      <c r="K2789" s="11">
        <v>3145.8</v>
      </c>
      <c r="L2789" s="12">
        <v>10.97</v>
      </c>
    </row>
    <row r="2790" spans="1:12" x14ac:dyDescent="0.2">
      <c r="A2790" s="9">
        <v>46249</v>
      </c>
      <c r="B2790" t="s">
        <v>602</v>
      </c>
      <c r="C2790" t="s">
        <v>603</v>
      </c>
      <c r="D2790" t="s">
        <v>50</v>
      </c>
      <c r="E2790" t="s">
        <v>647</v>
      </c>
      <c r="F2790" t="s">
        <v>667</v>
      </c>
      <c r="G2790" s="10">
        <v>17</v>
      </c>
      <c r="H2790" s="10">
        <v>7520</v>
      </c>
      <c r="I2790" s="10">
        <v>127840</v>
      </c>
      <c r="J2790" t="s">
        <v>51</v>
      </c>
      <c r="K2790" s="11">
        <v>648.20000000000005</v>
      </c>
      <c r="L2790" s="12">
        <v>197.22</v>
      </c>
    </row>
    <row r="2791" spans="1:12" x14ac:dyDescent="0.2">
      <c r="A2791" s="9">
        <v>46249</v>
      </c>
      <c r="B2791" t="s">
        <v>602</v>
      </c>
      <c r="C2791" t="s">
        <v>603</v>
      </c>
      <c r="D2791" t="s">
        <v>50</v>
      </c>
      <c r="E2791" t="s">
        <v>655</v>
      </c>
      <c r="F2791" t="s">
        <v>665</v>
      </c>
      <c r="G2791" s="10">
        <v>37</v>
      </c>
      <c r="H2791" s="10">
        <v>693</v>
      </c>
      <c r="I2791" s="10">
        <v>25641</v>
      </c>
      <c r="J2791" t="s">
        <v>51</v>
      </c>
      <c r="K2791" s="11">
        <v>648.20000000000005</v>
      </c>
      <c r="L2791" s="12">
        <v>39.56</v>
      </c>
    </row>
    <row r="2792" spans="1:12" x14ac:dyDescent="0.2">
      <c r="A2792" s="9">
        <v>46249</v>
      </c>
      <c r="B2792" t="s">
        <v>605</v>
      </c>
      <c r="C2792" t="s">
        <v>606</v>
      </c>
      <c r="D2792" t="s">
        <v>68</v>
      </c>
      <c r="E2792" t="s">
        <v>655</v>
      </c>
      <c r="F2792" t="s">
        <v>662</v>
      </c>
      <c r="G2792" s="10">
        <v>9</v>
      </c>
      <c r="H2792" s="10">
        <v>1127</v>
      </c>
      <c r="I2792" s="10">
        <v>10143</v>
      </c>
      <c r="J2792" t="s">
        <v>51</v>
      </c>
      <c r="K2792" s="11">
        <v>648.20000000000005</v>
      </c>
      <c r="L2792" s="12">
        <v>15.65</v>
      </c>
    </row>
    <row r="2793" spans="1:12" x14ac:dyDescent="0.2">
      <c r="A2793" s="9">
        <v>46249</v>
      </c>
      <c r="B2793" t="s">
        <v>614</v>
      </c>
      <c r="C2793" t="s">
        <v>615</v>
      </c>
      <c r="D2793" t="s">
        <v>68</v>
      </c>
      <c r="E2793" t="s">
        <v>655</v>
      </c>
      <c r="F2793" t="s">
        <v>665</v>
      </c>
      <c r="G2793" s="10">
        <v>13</v>
      </c>
      <c r="H2793" s="10">
        <v>710</v>
      </c>
      <c r="I2793" s="10">
        <v>9230</v>
      </c>
      <c r="J2793" t="s">
        <v>51</v>
      </c>
      <c r="K2793" s="11">
        <v>648.20000000000005</v>
      </c>
      <c r="L2793" s="12">
        <v>14.24</v>
      </c>
    </row>
    <row r="2794" spans="1:12" x14ac:dyDescent="0.2">
      <c r="A2794" s="9">
        <v>46249</v>
      </c>
      <c r="B2794" t="s">
        <v>617</v>
      </c>
      <c r="C2794" t="s">
        <v>618</v>
      </c>
      <c r="D2794" t="s">
        <v>75</v>
      </c>
      <c r="E2794" t="s">
        <v>655</v>
      </c>
      <c r="F2794" t="s">
        <v>656</v>
      </c>
      <c r="G2794" s="10">
        <v>8</v>
      </c>
      <c r="H2794" s="10">
        <v>2725</v>
      </c>
      <c r="I2794" s="10">
        <v>21800</v>
      </c>
      <c r="J2794" t="s">
        <v>42</v>
      </c>
      <c r="K2794" s="11">
        <v>3145.8</v>
      </c>
      <c r="L2794" s="12">
        <v>6.93</v>
      </c>
    </row>
    <row r="2795" spans="1:12" x14ac:dyDescent="0.2">
      <c r="A2795" s="9">
        <v>46249</v>
      </c>
      <c r="B2795" t="s">
        <v>623</v>
      </c>
      <c r="C2795" t="s">
        <v>624</v>
      </c>
      <c r="D2795" t="s">
        <v>68</v>
      </c>
      <c r="E2795" t="s">
        <v>647</v>
      </c>
      <c r="F2795" t="s">
        <v>668</v>
      </c>
      <c r="G2795" s="10">
        <v>51</v>
      </c>
      <c r="H2795" s="10">
        <v>24523</v>
      </c>
      <c r="I2795" s="10">
        <v>1250673</v>
      </c>
      <c r="J2795" t="s">
        <v>51</v>
      </c>
      <c r="K2795" s="11">
        <v>648.20000000000005</v>
      </c>
      <c r="L2795" s="12">
        <v>1929.46</v>
      </c>
    </row>
    <row r="2796" spans="1:12" x14ac:dyDescent="0.2">
      <c r="A2796" s="9">
        <v>46249</v>
      </c>
      <c r="B2796" t="s">
        <v>623</v>
      </c>
      <c r="C2796" t="s">
        <v>624</v>
      </c>
      <c r="D2796" t="s">
        <v>68</v>
      </c>
      <c r="E2796" t="s">
        <v>647</v>
      </c>
      <c r="F2796" t="s">
        <v>648</v>
      </c>
      <c r="G2796" s="10">
        <v>40</v>
      </c>
      <c r="H2796" s="10">
        <v>16536</v>
      </c>
      <c r="I2796" s="10">
        <v>661440</v>
      </c>
      <c r="J2796" t="s">
        <v>51</v>
      </c>
      <c r="K2796" s="11">
        <v>648.20000000000005</v>
      </c>
      <c r="L2796" s="12">
        <v>1020.43</v>
      </c>
    </row>
    <row r="2797" spans="1:12" x14ac:dyDescent="0.2">
      <c r="A2797" s="9">
        <v>46249</v>
      </c>
      <c r="B2797" t="s">
        <v>626</v>
      </c>
      <c r="C2797" t="s">
        <v>627</v>
      </c>
      <c r="D2797" t="s">
        <v>50</v>
      </c>
      <c r="E2797" t="s">
        <v>647</v>
      </c>
      <c r="F2797" t="s">
        <v>667</v>
      </c>
      <c r="G2797" s="10">
        <v>11</v>
      </c>
      <c r="H2797" s="10">
        <v>7508</v>
      </c>
      <c r="I2797" s="10">
        <v>82588</v>
      </c>
      <c r="J2797" t="s">
        <v>51</v>
      </c>
      <c r="K2797" s="11">
        <v>648.20000000000005</v>
      </c>
      <c r="L2797" s="12">
        <v>127.41</v>
      </c>
    </row>
    <row r="2798" spans="1:12" x14ac:dyDescent="0.2">
      <c r="A2798" s="9">
        <v>46249</v>
      </c>
      <c r="B2798" t="s">
        <v>626</v>
      </c>
      <c r="C2798" t="s">
        <v>627</v>
      </c>
      <c r="D2798" t="s">
        <v>50</v>
      </c>
      <c r="E2798" t="s">
        <v>651</v>
      </c>
      <c r="F2798" t="s">
        <v>664</v>
      </c>
      <c r="G2798" s="10">
        <v>15</v>
      </c>
      <c r="H2798" s="10">
        <v>12045</v>
      </c>
      <c r="I2798" s="10">
        <v>180675</v>
      </c>
      <c r="J2798" t="s">
        <v>51</v>
      </c>
      <c r="K2798" s="11">
        <v>648.20000000000005</v>
      </c>
      <c r="L2798" s="12">
        <v>278.73</v>
      </c>
    </row>
    <row r="2799" spans="1:12" x14ac:dyDescent="0.2">
      <c r="A2799" s="9">
        <v>46249</v>
      </c>
      <c r="B2799" t="s">
        <v>629</v>
      </c>
      <c r="C2799" t="s">
        <v>630</v>
      </c>
      <c r="D2799" t="s">
        <v>46</v>
      </c>
      <c r="E2799" t="s">
        <v>660</v>
      </c>
      <c r="F2799" t="s">
        <v>661</v>
      </c>
      <c r="G2799" s="10">
        <v>17</v>
      </c>
      <c r="H2799" s="10">
        <v>4304</v>
      </c>
      <c r="I2799" s="10">
        <v>73168</v>
      </c>
      <c r="J2799" t="s">
        <v>37</v>
      </c>
      <c r="K2799" s="11">
        <v>648.20000000000005</v>
      </c>
      <c r="L2799" s="12">
        <v>112.88</v>
      </c>
    </row>
    <row r="2800" spans="1:12" x14ac:dyDescent="0.2">
      <c r="A2800" s="9">
        <v>46249</v>
      </c>
      <c r="B2800" t="s">
        <v>629</v>
      </c>
      <c r="C2800" t="s">
        <v>630</v>
      </c>
      <c r="D2800" t="s">
        <v>46</v>
      </c>
      <c r="E2800" t="s">
        <v>651</v>
      </c>
      <c r="F2800" t="s">
        <v>657</v>
      </c>
      <c r="G2800" s="10">
        <v>11</v>
      </c>
      <c r="H2800" s="10">
        <v>6586</v>
      </c>
      <c r="I2800" s="10">
        <v>72446</v>
      </c>
      <c r="J2800" t="s">
        <v>37</v>
      </c>
      <c r="K2800" s="11">
        <v>648.20000000000005</v>
      </c>
      <c r="L2800" s="12">
        <v>111.76</v>
      </c>
    </row>
    <row r="2801" spans="1:12" x14ac:dyDescent="0.2">
      <c r="A2801" s="9">
        <v>46249</v>
      </c>
      <c r="B2801" t="s">
        <v>632</v>
      </c>
      <c r="C2801" t="s">
        <v>633</v>
      </c>
      <c r="D2801" t="s">
        <v>68</v>
      </c>
      <c r="E2801" t="s">
        <v>649</v>
      </c>
      <c r="F2801" t="s">
        <v>650</v>
      </c>
      <c r="G2801" s="10">
        <v>7</v>
      </c>
      <c r="H2801" s="10">
        <v>18678</v>
      </c>
      <c r="I2801" s="10">
        <v>130746</v>
      </c>
      <c r="J2801" t="s">
        <v>51</v>
      </c>
      <c r="K2801" s="11">
        <v>648.20000000000005</v>
      </c>
      <c r="L2801" s="12">
        <v>201.71</v>
      </c>
    </row>
    <row r="2802" spans="1:12" x14ac:dyDescent="0.2">
      <c r="A2802" s="9">
        <v>46249</v>
      </c>
      <c r="B2802" t="s">
        <v>632</v>
      </c>
      <c r="C2802" t="s">
        <v>633</v>
      </c>
      <c r="D2802" t="s">
        <v>68</v>
      </c>
      <c r="E2802" t="s">
        <v>660</v>
      </c>
      <c r="F2802" t="s">
        <v>669</v>
      </c>
      <c r="G2802" s="10">
        <v>11</v>
      </c>
      <c r="H2802" s="10">
        <v>2519</v>
      </c>
      <c r="I2802" s="10">
        <v>27709</v>
      </c>
      <c r="J2802" t="s">
        <v>51</v>
      </c>
      <c r="K2802" s="11">
        <v>648.20000000000005</v>
      </c>
      <c r="L2802" s="12">
        <v>42.75</v>
      </c>
    </row>
    <row r="2803" spans="1:12" x14ac:dyDescent="0.2">
      <c r="A2803" s="9">
        <v>46249</v>
      </c>
      <c r="B2803" t="s">
        <v>632</v>
      </c>
      <c r="C2803" t="s">
        <v>633</v>
      </c>
      <c r="D2803" t="s">
        <v>68</v>
      </c>
      <c r="E2803" t="s">
        <v>647</v>
      </c>
      <c r="F2803" t="s">
        <v>668</v>
      </c>
      <c r="G2803" s="10">
        <v>11</v>
      </c>
      <c r="H2803" s="10">
        <v>24614</v>
      </c>
      <c r="I2803" s="10">
        <v>270754</v>
      </c>
      <c r="J2803" t="s">
        <v>51</v>
      </c>
      <c r="K2803" s="11">
        <v>648.20000000000005</v>
      </c>
      <c r="L2803" s="12">
        <v>417.7</v>
      </c>
    </row>
    <row r="2804" spans="1:12" x14ac:dyDescent="0.2">
      <c r="A2804" s="9">
        <v>46249</v>
      </c>
      <c r="B2804" t="s">
        <v>632</v>
      </c>
      <c r="C2804" t="s">
        <v>633</v>
      </c>
      <c r="D2804" t="s">
        <v>68</v>
      </c>
      <c r="E2804" t="s">
        <v>647</v>
      </c>
      <c r="F2804" t="s">
        <v>667</v>
      </c>
      <c r="G2804" s="10">
        <v>3</v>
      </c>
      <c r="H2804" s="10">
        <v>7383</v>
      </c>
      <c r="I2804" s="10">
        <v>22149</v>
      </c>
      <c r="J2804" t="s">
        <v>51</v>
      </c>
      <c r="K2804" s="11">
        <v>648.20000000000005</v>
      </c>
      <c r="L2804" s="12">
        <v>34.17</v>
      </c>
    </row>
    <row r="2805" spans="1:12" x14ac:dyDescent="0.2">
      <c r="A2805" s="9">
        <v>46251</v>
      </c>
      <c r="B2805" t="s">
        <v>34</v>
      </c>
      <c r="C2805" t="s">
        <v>35</v>
      </c>
      <c r="D2805" t="s">
        <v>36</v>
      </c>
      <c r="E2805" t="s">
        <v>660</v>
      </c>
      <c r="F2805" t="s">
        <v>670</v>
      </c>
      <c r="G2805" s="10">
        <v>8</v>
      </c>
      <c r="H2805" s="10">
        <v>14784</v>
      </c>
      <c r="I2805" s="10">
        <v>118272</v>
      </c>
      <c r="J2805" t="s">
        <v>37</v>
      </c>
      <c r="K2805" s="11">
        <v>648.20000000000005</v>
      </c>
      <c r="L2805" s="12">
        <v>182.46</v>
      </c>
    </row>
    <row r="2806" spans="1:12" x14ac:dyDescent="0.2">
      <c r="A2806" s="9">
        <v>46251</v>
      </c>
      <c r="B2806" t="s">
        <v>34</v>
      </c>
      <c r="C2806" t="s">
        <v>35</v>
      </c>
      <c r="D2806" t="s">
        <v>36</v>
      </c>
      <c r="E2806" t="s">
        <v>655</v>
      </c>
      <c r="F2806" t="s">
        <v>665</v>
      </c>
      <c r="G2806" s="10">
        <v>11</v>
      </c>
      <c r="H2806" s="10">
        <v>681</v>
      </c>
      <c r="I2806" s="10">
        <v>7491</v>
      </c>
      <c r="J2806" t="s">
        <v>37</v>
      </c>
      <c r="K2806" s="11">
        <v>648.20000000000005</v>
      </c>
      <c r="L2806" s="12">
        <v>11.56</v>
      </c>
    </row>
    <row r="2807" spans="1:12" x14ac:dyDescent="0.2">
      <c r="A2807" s="9">
        <v>46251</v>
      </c>
      <c r="B2807" t="s">
        <v>53</v>
      </c>
      <c r="C2807" t="s">
        <v>54</v>
      </c>
      <c r="D2807" t="s">
        <v>41</v>
      </c>
      <c r="E2807" t="s">
        <v>647</v>
      </c>
      <c r="F2807" t="s">
        <v>668</v>
      </c>
      <c r="G2807" s="10">
        <v>24</v>
      </c>
      <c r="H2807" s="10">
        <v>125504</v>
      </c>
      <c r="I2807" s="10">
        <v>3012096</v>
      </c>
      <c r="J2807" t="s">
        <v>42</v>
      </c>
      <c r="K2807" s="11">
        <v>3145.8</v>
      </c>
      <c r="L2807" s="12">
        <v>957.5</v>
      </c>
    </row>
    <row r="2808" spans="1:12" x14ac:dyDescent="0.2">
      <c r="A2808" s="9">
        <v>46251</v>
      </c>
      <c r="B2808" t="s">
        <v>53</v>
      </c>
      <c r="C2808" t="s">
        <v>54</v>
      </c>
      <c r="D2808" t="s">
        <v>41</v>
      </c>
      <c r="E2808" t="s">
        <v>647</v>
      </c>
      <c r="F2808" t="s">
        <v>648</v>
      </c>
      <c r="G2808" s="10">
        <v>45</v>
      </c>
      <c r="H2808" s="10">
        <v>77837</v>
      </c>
      <c r="I2808" s="10">
        <v>3502665</v>
      </c>
      <c r="J2808" t="s">
        <v>42</v>
      </c>
      <c r="K2808" s="11">
        <v>3145.8</v>
      </c>
      <c r="L2808" s="12">
        <v>1113.44</v>
      </c>
    </row>
    <row r="2809" spans="1:12" x14ac:dyDescent="0.2">
      <c r="A2809" s="9">
        <v>46251</v>
      </c>
      <c r="B2809" t="s">
        <v>60</v>
      </c>
      <c r="C2809" t="s">
        <v>61</v>
      </c>
      <c r="D2809" t="s">
        <v>41</v>
      </c>
      <c r="E2809" t="s">
        <v>647</v>
      </c>
      <c r="F2809" t="s">
        <v>648</v>
      </c>
      <c r="G2809" s="10">
        <v>32</v>
      </c>
      <c r="H2809" s="10">
        <v>77487</v>
      </c>
      <c r="I2809" s="10">
        <v>2479584</v>
      </c>
      <c r="J2809" t="s">
        <v>42</v>
      </c>
      <c r="K2809" s="11">
        <v>3145.8</v>
      </c>
      <c r="L2809" s="12">
        <v>788.22</v>
      </c>
    </row>
    <row r="2810" spans="1:12" x14ac:dyDescent="0.2">
      <c r="A2810" s="9">
        <v>46251</v>
      </c>
      <c r="B2810" t="s">
        <v>60</v>
      </c>
      <c r="C2810" t="s">
        <v>61</v>
      </c>
      <c r="D2810" t="s">
        <v>41</v>
      </c>
      <c r="E2810" t="s">
        <v>651</v>
      </c>
      <c r="F2810" t="s">
        <v>664</v>
      </c>
      <c r="G2810" s="10">
        <v>3</v>
      </c>
      <c r="H2810" s="10">
        <v>59401</v>
      </c>
      <c r="I2810" s="10">
        <v>178203</v>
      </c>
      <c r="J2810" t="s">
        <v>42</v>
      </c>
      <c r="K2810" s="11">
        <v>3145.8</v>
      </c>
      <c r="L2810" s="12">
        <v>56.65</v>
      </c>
    </row>
    <row r="2811" spans="1:12" x14ac:dyDescent="0.2">
      <c r="A2811" s="9">
        <v>46251</v>
      </c>
      <c r="B2811" t="s">
        <v>63</v>
      </c>
      <c r="C2811" t="s">
        <v>64</v>
      </c>
      <c r="D2811" t="s">
        <v>50</v>
      </c>
      <c r="E2811" t="s">
        <v>660</v>
      </c>
      <c r="F2811" t="s">
        <v>670</v>
      </c>
      <c r="G2811" s="10">
        <v>8</v>
      </c>
      <c r="H2811" s="10">
        <v>15037</v>
      </c>
      <c r="I2811" s="10">
        <v>120296</v>
      </c>
      <c r="J2811" t="s">
        <v>51</v>
      </c>
      <c r="K2811" s="11">
        <v>648.20000000000005</v>
      </c>
      <c r="L2811" s="12">
        <v>185.58</v>
      </c>
    </row>
    <row r="2812" spans="1:12" x14ac:dyDescent="0.2">
      <c r="A2812" s="9">
        <v>46251</v>
      </c>
      <c r="B2812" t="s">
        <v>63</v>
      </c>
      <c r="C2812" t="s">
        <v>64</v>
      </c>
      <c r="D2812" t="s">
        <v>50</v>
      </c>
      <c r="E2812" t="s">
        <v>647</v>
      </c>
      <c r="F2812" t="s">
        <v>648</v>
      </c>
      <c r="G2812" s="10">
        <v>17</v>
      </c>
      <c r="H2812" s="10">
        <v>16345</v>
      </c>
      <c r="I2812" s="10">
        <v>277865</v>
      </c>
      <c r="J2812" t="s">
        <v>51</v>
      </c>
      <c r="K2812" s="11">
        <v>648.20000000000005</v>
      </c>
      <c r="L2812" s="12">
        <v>428.67</v>
      </c>
    </row>
    <row r="2813" spans="1:12" x14ac:dyDescent="0.2">
      <c r="A2813" s="9">
        <v>46251</v>
      </c>
      <c r="B2813" t="s">
        <v>66</v>
      </c>
      <c r="C2813" t="s">
        <v>67</v>
      </c>
      <c r="D2813" t="s">
        <v>68</v>
      </c>
      <c r="E2813" t="s">
        <v>653</v>
      </c>
      <c r="F2813" t="s">
        <v>666</v>
      </c>
      <c r="G2813" s="10">
        <v>48</v>
      </c>
      <c r="H2813" s="10">
        <v>1471</v>
      </c>
      <c r="I2813" s="10">
        <v>70608</v>
      </c>
      <c r="J2813" t="s">
        <v>51</v>
      </c>
      <c r="K2813" s="11">
        <v>648.20000000000005</v>
      </c>
      <c r="L2813" s="12">
        <v>108.93</v>
      </c>
    </row>
    <row r="2814" spans="1:12" x14ac:dyDescent="0.2">
      <c r="A2814" s="9">
        <v>46251</v>
      </c>
      <c r="B2814" t="s">
        <v>70</v>
      </c>
      <c r="C2814" t="s">
        <v>71</v>
      </c>
      <c r="D2814" t="s">
        <v>46</v>
      </c>
      <c r="E2814" t="s">
        <v>660</v>
      </c>
      <c r="F2814" t="s">
        <v>661</v>
      </c>
      <c r="G2814" s="10">
        <v>10</v>
      </c>
      <c r="H2814" s="10">
        <v>4028</v>
      </c>
      <c r="I2814" s="10">
        <v>40280</v>
      </c>
      <c r="J2814" t="s">
        <v>37</v>
      </c>
      <c r="K2814" s="11">
        <v>648.20000000000005</v>
      </c>
      <c r="L2814" s="12">
        <v>62.14</v>
      </c>
    </row>
    <row r="2815" spans="1:12" x14ac:dyDescent="0.2">
      <c r="A2815" s="9">
        <v>46251</v>
      </c>
      <c r="B2815" t="s">
        <v>73</v>
      </c>
      <c r="C2815" t="s">
        <v>74</v>
      </c>
      <c r="D2815" t="s">
        <v>75</v>
      </c>
      <c r="E2815" t="s">
        <v>653</v>
      </c>
      <c r="F2815" t="s">
        <v>658</v>
      </c>
      <c r="G2815" s="10">
        <v>15</v>
      </c>
      <c r="H2815" s="10">
        <v>13184</v>
      </c>
      <c r="I2815" s="10">
        <v>197760</v>
      </c>
      <c r="J2815" t="s">
        <v>42</v>
      </c>
      <c r="K2815" s="11">
        <v>3145.8</v>
      </c>
      <c r="L2815" s="12">
        <v>62.86</v>
      </c>
    </row>
    <row r="2816" spans="1:12" x14ac:dyDescent="0.2">
      <c r="A2816" s="9">
        <v>46251</v>
      </c>
      <c r="B2816" t="s">
        <v>73</v>
      </c>
      <c r="C2816" t="s">
        <v>74</v>
      </c>
      <c r="D2816" t="s">
        <v>75</v>
      </c>
      <c r="E2816" t="s">
        <v>660</v>
      </c>
      <c r="F2816" t="s">
        <v>670</v>
      </c>
      <c r="G2816" s="10">
        <v>9</v>
      </c>
      <c r="H2816" s="10">
        <v>69907</v>
      </c>
      <c r="I2816" s="10">
        <v>629163</v>
      </c>
      <c r="J2816" t="s">
        <v>42</v>
      </c>
      <c r="K2816" s="11">
        <v>3145.8</v>
      </c>
      <c r="L2816" s="12">
        <v>200</v>
      </c>
    </row>
    <row r="2817" spans="1:12" x14ac:dyDescent="0.2">
      <c r="A2817" s="9">
        <v>46251</v>
      </c>
      <c r="B2817" t="s">
        <v>73</v>
      </c>
      <c r="C2817" t="s">
        <v>74</v>
      </c>
      <c r="D2817" t="s">
        <v>75</v>
      </c>
      <c r="E2817" t="s">
        <v>647</v>
      </c>
      <c r="F2817" t="s">
        <v>668</v>
      </c>
      <c r="G2817" s="10">
        <v>22</v>
      </c>
      <c r="H2817" s="10">
        <v>122857</v>
      </c>
      <c r="I2817" s="10">
        <v>2702854</v>
      </c>
      <c r="J2817" t="s">
        <v>42</v>
      </c>
      <c r="K2817" s="11">
        <v>3145.8</v>
      </c>
      <c r="L2817" s="12">
        <v>859.19</v>
      </c>
    </row>
    <row r="2818" spans="1:12" x14ac:dyDescent="0.2">
      <c r="A2818" s="9">
        <v>46251</v>
      </c>
      <c r="B2818" t="s">
        <v>73</v>
      </c>
      <c r="C2818" t="s">
        <v>74</v>
      </c>
      <c r="D2818" t="s">
        <v>75</v>
      </c>
      <c r="E2818" t="s">
        <v>647</v>
      </c>
      <c r="F2818" t="s">
        <v>668</v>
      </c>
      <c r="G2818" s="10">
        <v>26</v>
      </c>
      <c r="H2818" s="10">
        <v>125727</v>
      </c>
      <c r="I2818" s="10">
        <v>3268902</v>
      </c>
      <c r="J2818" t="s">
        <v>42</v>
      </c>
      <c r="K2818" s="11">
        <v>3145.8</v>
      </c>
      <c r="L2818" s="12">
        <v>1039.1300000000001</v>
      </c>
    </row>
    <row r="2819" spans="1:12" x14ac:dyDescent="0.2">
      <c r="A2819" s="9">
        <v>46251</v>
      </c>
      <c r="B2819" t="s">
        <v>73</v>
      </c>
      <c r="C2819" t="s">
        <v>74</v>
      </c>
      <c r="D2819" t="s">
        <v>75</v>
      </c>
      <c r="E2819" t="s">
        <v>647</v>
      </c>
      <c r="F2819" t="s">
        <v>667</v>
      </c>
      <c r="G2819" s="10">
        <v>43</v>
      </c>
      <c r="H2819" s="10">
        <v>36892</v>
      </c>
      <c r="I2819" s="10">
        <v>1586356</v>
      </c>
      <c r="J2819" t="s">
        <v>42</v>
      </c>
      <c r="K2819" s="11">
        <v>3145.8</v>
      </c>
      <c r="L2819" s="12">
        <v>504.28</v>
      </c>
    </row>
    <row r="2820" spans="1:12" x14ac:dyDescent="0.2">
      <c r="A2820" s="9">
        <v>46251</v>
      </c>
      <c r="B2820" t="s">
        <v>77</v>
      </c>
      <c r="C2820" t="s">
        <v>78</v>
      </c>
      <c r="D2820" t="s">
        <v>50</v>
      </c>
      <c r="E2820" t="s">
        <v>660</v>
      </c>
      <c r="F2820" t="s">
        <v>669</v>
      </c>
      <c r="G2820" s="10">
        <v>14</v>
      </c>
      <c r="H2820" s="10">
        <v>2567</v>
      </c>
      <c r="I2820" s="10">
        <v>35938</v>
      </c>
      <c r="J2820" t="s">
        <v>51</v>
      </c>
      <c r="K2820" s="11">
        <v>648.20000000000005</v>
      </c>
      <c r="L2820" s="12">
        <v>55.44</v>
      </c>
    </row>
    <row r="2821" spans="1:12" x14ac:dyDescent="0.2">
      <c r="A2821" s="9">
        <v>46251</v>
      </c>
      <c r="B2821" t="s">
        <v>77</v>
      </c>
      <c r="C2821" t="s">
        <v>78</v>
      </c>
      <c r="D2821" t="s">
        <v>50</v>
      </c>
      <c r="E2821" t="s">
        <v>655</v>
      </c>
      <c r="F2821" t="s">
        <v>665</v>
      </c>
      <c r="G2821" s="10">
        <v>2</v>
      </c>
      <c r="H2821" s="10">
        <v>666</v>
      </c>
      <c r="I2821" s="10">
        <v>1332</v>
      </c>
      <c r="J2821" t="s">
        <v>51</v>
      </c>
      <c r="K2821" s="11">
        <v>648.20000000000005</v>
      </c>
      <c r="L2821" s="12">
        <v>2.0499999999999998</v>
      </c>
    </row>
    <row r="2822" spans="1:12" x14ac:dyDescent="0.2">
      <c r="A2822" s="9">
        <v>46251</v>
      </c>
      <c r="B2822" t="s">
        <v>83</v>
      </c>
      <c r="C2822" t="s">
        <v>84</v>
      </c>
      <c r="D2822" t="s">
        <v>41</v>
      </c>
      <c r="E2822" t="s">
        <v>647</v>
      </c>
      <c r="F2822" t="s">
        <v>648</v>
      </c>
      <c r="G2822" s="10">
        <v>82</v>
      </c>
      <c r="H2822" s="10">
        <v>76143</v>
      </c>
      <c r="I2822" s="10">
        <v>6243726</v>
      </c>
      <c r="J2822" t="s">
        <v>42</v>
      </c>
      <c r="K2822" s="11">
        <v>3145.8</v>
      </c>
      <c r="L2822" s="12">
        <v>1984.78</v>
      </c>
    </row>
    <row r="2823" spans="1:12" x14ac:dyDescent="0.2">
      <c r="A2823" s="9">
        <v>46251</v>
      </c>
      <c r="B2823" t="s">
        <v>99</v>
      </c>
      <c r="C2823" t="s">
        <v>100</v>
      </c>
      <c r="D2823" t="s">
        <v>75</v>
      </c>
      <c r="E2823" t="s">
        <v>649</v>
      </c>
      <c r="F2823" t="s">
        <v>663</v>
      </c>
      <c r="G2823" s="10">
        <v>18</v>
      </c>
      <c r="H2823" s="10">
        <v>9713</v>
      </c>
      <c r="I2823" s="10">
        <v>174834</v>
      </c>
      <c r="J2823" t="s">
        <v>42</v>
      </c>
      <c r="K2823" s="11">
        <v>3145.8</v>
      </c>
      <c r="L2823" s="12">
        <v>55.58</v>
      </c>
    </row>
    <row r="2824" spans="1:12" x14ac:dyDescent="0.2">
      <c r="A2824" s="9">
        <v>46251</v>
      </c>
      <c r="B2824" t="s">
        <v>108</v>
      </c>
      <c r="C2824" t="s">
        <v>109</v>
      </c>
      <c r="D2824" t="s">
        <v>36</v>
      </c>
      <c r="E2824" t="s">
        <v>647</v>
      </c>
      <c r="F2824" t="s">
        <v>667</v>
      </c>
      <c r="G2824" s="10">
        <v>7</v>
      </c>
      <c r="H2824" s="10">
        <v>7463</v>
      </c>
      <c r="I2824" s="10">
        <v>52241</v>
      </c>
      <c r="J2824" t="s">
        <v>37</v>
      </c>
      <c r="K2824" s="11">
        <v>648.20000000000005</v>
      </c>
      <c r="L2824" s="12">
        <v>80.59</v>
      </c>
    </row>
    <row r="2825" spans="1:12" x14ac:dyDescent="0.2">
      <c r="A2825" s="9">
        <v>46251</v>
      </c>
      <c r="B2825" t="s">
        <v>111</v>
      </c>
      <c r="C2825" t="s">
        <v>112</v>
      </c>
      <c r="D2825" t="s">
        <v>41</v>
      </c>
      <c r="E2825" t="s">
        <v>651</v>
      </c>
      <c r="F2825" t="s">
        <v>652</v>
      </c>
      <c r="G2825" s="10">
        <v>41</v>
      </c>
      <c r="H2825" s="10">
        <v>46272</v>
      </c>
      <c r="I2825" s="10">
        <v>1897152</v>
      </c>
      <c r="J2825" t="s">
        <v>42</v>
      </c>
      <c r="K2825" s="11">
        <v>3145.8</v>
      </c>
      <c r="L2825" s="12">
        <v>603.07000000000005</v>
      </c>
    </row>
    <row r="2826" spans="1:12" x14ac:dyDescent="0.2">
      <c r="A2826" s="9">
        <v>46251</v>
      </c>
      <c r="B2826" t="s">
        <v>115</v>
      </c>
      <c r="C2826" t="s">
        <v>116</v>
      </c>
      <c r="D2826" t="s">
        <v>41</v>
      </c>
      <c r="E2826" t="s">
        <v>660</v>
      </c>
      <c r="F2826" t="s">
        <v>669</v>
      </c>
      <c r="G2826" s="10">
        <v>6</v>
      </c>
      <c r="H2826" s="10">
        <v>12982</v>
      </c>
      <c r="I2826" s="10">
        <v>77892</v>
      </c>
      <c r="J2826" t="s">
        <v>42</v>
      </c>
      <c r="K2826" s="11">
        <v>3145.8</v>
      </c>
      <c r="L2826" s="12">
        <v>24.76</v>
      </c>
    </row>
    <row r="2827" spans="1:12" x14ac:dyDescent="0.2">
      <c r="A2827" s="9">
        <v>46251</v>
      </c>
      <c r="B2827" t="s">
        <v>115</v>
      </c>
      <c r="C2827" t="s">
        <v>116</v>
      </c>
      <c r="D2827" t="s">
        <v>41</v>
      </c>
      <c r="E2827" t="s">
        <v>655</v>
      </c>
      <c r="F2827" t="s">
        <v>665</v>
      </c>
      <c r="G2827" s="10">
        <v>7</v>
      </c>
      <c r="H2827" s="10">
        <v>3265</v>
      </c>
      <c r="I2827" s="10">
        <v>22855</v>
      </c>
      <c r="J2827" t="s">
        <v>42</v>
      </c>
      <c r="K2827" s="11">
        <v>3145.8</v>
      </c>
      <c r="L2827" s="12">
        <v>7.27</v>
      </c>
    </row>
    <row r="2828" spans="1:12" x14ac:dyDescent="0.2">
      <c r="A2828" s="9">
        <v>46251</v>
      </c>
      <c r="B2828" t="s">
        <v>118</v>
      </c>
      <c r="C2828" t="s">
        <v>119</v>
      </c>
      <c r="D2828" t="s">
        <v>36</v>
      </c>
      <c r="E2828" t="s">
        <v>651</v>
      </c>
      <c r="F2828" t="s">
        <v>664</v>
      </c>
      <c r="G2828" s="10">
        <v>66</v>
      </c>
      <c r="H2828" s="10">
        <v>11754</v>
      </c>
      <c r="I2828" s="10">
        <v>775764</v>
      </c>
      <c r="J2828" t="s">
        <v>37</v>
      </c>
      <c r="K2828" s="11">
        <v>648.20000000000005</v>
      </c>
      <c r="L2828" s="12">
        <v>1196.8</v>
      </c>
    </row>
    <row r="2829" spans="1:12" x14ac:dyDescent="0.2">
      <c r="A2829" s="9">
        <v>46251</v>
      </c>
      <c r="B2829" t="s">
        <v>124</v>
      </c>
      <c r="C2829" t="s">
        <v>125</v>
      </c>
      <c r="D2829" t="s">
        <v>75</v>
      </c>
      <c r="E2829" t="s">
        <v>647</v>
      </c>
      <c r="F2829" t="s">
        <v>668</v>
      </c>
      <c r="G2829" s="10">
        <v>11</v>
      </c>
      <c r="H2829" s="10">
        <v>124615</v>
      </c>
      <c r="I2829" s="10">
        <v>1370765</v>
      </c>
      <c r="J2829" t="s">
        <v>42</v>
      </c>
      <c r="K2829" s="11">
        <v>3145.8</v>
      </c>
      <c r="L2829" s="12">
        <v>435.74</v>
      </c>
    </row>
    <row r="2830" spans="1:12" x14ac:dyDescent="0.2">
      <c r="A2830" s="9">
        <v>46251</v>
      </c>
      <c r="B2830" t="s">
        <v>127</v>
      </c>
      <c r="C2830" t="s">
        <v>128</v>
      </c>
      <c r="D2830" t="s">
        <v>41</v>
      </c>
      <c r="E2830" t="s">
        <v>647</v>
      </c>
      <c r="F2830" t="s">
        <v>667</v>
      </c>
      <c r="G2830" s="10">
        <v>3</v>
      </c>
      <c r="H2830" s="10">
        <v>36387</v>
      </c>
      <c r="I2830" s="10">
        <v>109161</v>
      </c>
      <c r="J2830" t="s">
        <v>42</v>
      </c>
      <c r="K2830" s="11">
        <v>3145.8</v>
      </c>
      <c r="L2830" s="12">
        <v>34.700000000000003</v>
      </c>
    </row>
    <row r="2831" spans="1:12" x14ac:dyDescent="0.2">
      <c r="A2831" s="9">
        <v>46251</v>
      </c>
      <c r="B2831" t="s">
        <v>127</v>
      </c>
      <c r="C2831" t="s">
        <v>128</v>
      </c>
      <c r="D2831" t="s">
        <v>41</v>
      </c>
      <c r="E2831" t="s">
        <v>655</v>
      </c>
      <c r="F2831" t="s">
        <v>665</v>
      </c>
      <c r="G2831" s="10">
        <v>2</v>
      </c>
      <c r="H2831" s="10">
        <v>3318</v>
      </c>
      <c r="I2831" s="10">
        <v>6636</v>
      </c>
      <c r="J2831" t="s">
        <v>42</v>
      </c>
      <c r="K2831" s="11">
        <v>3145.8</v>
      </c>
      <c r="L2831" s="12">
        <v>2.11</v>
      </c>
    </row>
    <row r="2832" spans="1:12" x14ac:dyDescent="0.2">
      <c r="A2832" s="9">
        <v>46251</v>
      </c>
      <c r="B2832" t="s">
        <v>136</v>
      </c>
      <c r="C2832" t="s">
        <v>137</v>
      </c>
      <c r="D2832" t="s">
        <v>41</v>
      </c>
      <c r="E2832" t="s">
        <v>647</v>
      </c>
      <c r="F2832" t="s">
        <v>668</v>
      </c>
      <c r="G2832" s="10">
        <v>18</v>
      </c>
      <c r="H2832" s="10">
        <v>118345</v>
      </c>
      <c r="I2832" s="10">
        <v>2130210</v>
      </c>
      <c r="J2832" t="s">
        <v>42</v>
      </c>
      <c r="K2832" s="11">
        <v>3145.8</v>
      </c>
      <c r="L2832" s="12">
        <v>677.16</v>
      </c>
    </row>
    <row r="2833" spans="1:12" x14ac:dyDescent="0.2">
      <c r="A2833" s="9">
        <v>46251</v>
      </c>
      <c r="B2833" t="s">
        <v>136</v>
      </c>
      <c r="C2833" t="s">
        <v>137</v>
      </c>
      <c r="D2833" t="s">
        <v>41</v>
      </c>
      <c r="E2833" t="s">
        <v>651</v>
      </c>
      <c r="F2833" t="s">
        <v>657</v>
      </c>
      <c r="G2833" s="10">
        <v>28</v>
      </c>
      <c r="H2833" s="10">
        <v>30847</v>
      </c>
      <c r="I2833" s="10">
        <v>863716</v>
      </c>
      <c r="J2833" t="s">
        <v>42</v>
      </c>
      <c r="K2833" s="11">
        <v>3145.8</v>
      </c>
      <c r="L2833" s="12">
        <v>274.56</v>
      </c>
    </row>
    <row r="2834" spans="1:12" x14ac:dyDescent="0.2">
      <c r="A2834" s="9">
        <v>46251</v>
      </c>
      <c r="B2834" t="s">
        <v>139</v>
      </c>
      <c r="C2834" t="s">
        <v>140</v>
      </c>
      <c r="D2834" t="s">
        <v>75</v>
      </c>
      <c r="E2834" t="s">
        <v>660</v>
      </c>
      <c r="F2834" t="s">
        <v>661</v>
      </c>
      <c r="G2834" s="10">
        <v>12</v>
      </c>
      <c r="H2834" s="10">
        <v>19558</v>
      </c>
      <c r="I2834" s="10">
        <v>234696</v>
      </c>
      <c r="J2834" t="s">
        <v>42</v>
      </c>
      <c r="K2834" s="11">
        <v>3145.8</v>
      </c>
      <c r="L2834" s="12">
        <v>74.61</v>
      </c>
    </row>
    <row r="2835" spans="1:12" x14ac:dyDescent="0.2">
      <c r="A2835" s="9">
        <v>46251</v>
      </c>
      <c r="B2835" t="s">
        <v>139</v>
      </c>
      <c r="C2835" t="s">
        <v>140</v>
      </c>
      <c r="D2835" t="s">
        <v>75</v>
      </c>
      <c r="E2835" t="s">
        <v>647</v>
      </c>
      <c r="F2835" t="s">
        <v>648</v>
      </c>
      <c r="G2835" s="10">
        <v>24</v>
      </c>
      <c r="H2835" s="10">
        <v>78990</v>
      </c>
      <c r="I2835" s="10">
        <v>1895760</v>
      </c>
      <c r="J2835" t="s">
        <v>42</v>
      </c>
      <c r="K2835" s="11">
        <v>3145.8</v>
      </c>
      <c r="L2835" s="12">
        <v>602.63</v>
      </c>
    </row>
    <row r="2836" spans="1:12" x14ac:dyDescent="0.2">
      <c r="A2836" s="9">
        <v>46251</v>
      </c>
      <c r="B2836" t="s">
        <v>161</v>
      </c>
      <c r="C2836" t="s">
        <v>67</v>
      </c>
      <c r="D2836" t="s">
        <v>41</v>
      </c>
      <c r="E2836" t="s">
        <v>660</v>
      </c>
      <c r="F2836" t="s">
        <v>670</v>
      </c>
      <c r="G2836" s="10">
        <v>32</v>
      </c>
      <c r="H2836" s="10">
        <v>72909</v>
      </c>
      <c r="I2836" s="10">
        <v>2333088</v>
      </c>
      <c r="J2836" t="s">
        <v>42</v>
      </c>
      <c r="K2836" s="11">
        <v>3145.8</v>
      </c>
      <c r="L2836" s="12">
        <v>741.65</v>
      </c>
    </row>
    <row r="2837" spans="1:12" x14ac:dyDescent="0.2">
      <c r="A2837" s="9">
        <v>46251</v>
      </c>
      <c r="B2837" t="s">
        <v>169</v>
      </c>
      <c r="C2837" t="s">
        <v>170</v>
      </c>
      <c r="D2837" t="s">
        <v>41</v>
      </c>
      <c r="E2837" t="s">
        <v>647</v>
      </c>
      <c r="F2837" t="s">
        <v>667</v>
      </c>
      <c r="G2837" s="10">
        <v>18</v>
      </c>
      <c r="H2837" s="10">
        <v>34552</v>
      </c>
      <c r="I2837" s="10">
        <v>621936</v>
      </c>
      <c r="J2837" t="s">
        <v>42</v>
      </c>
      <c r="K2837" s="11">
        <v>3145.8</v>
      </c>
      <c r="L2837" s="12">
        <v>197.7</v>
      </c>
    </row>
    <row r="2838" spans="1:12" x14ac:dyDescent="0.2">
      <c r="A2838" s="9">
        <v>46251</v>
      </c>
      <c r="B2838" t="s">
        <v>175</v>
      </c>
      <c r="C2838" t="s">
        <v>176</v>
      </c>
      <c r="D2838" t="s">
        <v>50</v>
      </c>
      <c r="E2838" t="s">
        <v>651</v>
      </c>
      <c r="F2838" t="s">
        <v>664</v>
      </c>
      <c r="G2838" s="10">
        <v>44</v>
      </c>
      <c r="H2838" s="10">
        <v>11579</v>
      </c>
      <c r="I2838" s="10">
        <v>509476</v>
      </c>
      <c r="J2838" t="s">
        <v>51</v>
      </c>
      <c r="K2838" s="11">
        <v>648.20000000000005</v>
      </c>
      <c r="L2838" s="12">
        <v>785.99</v>
      </c>
    </row>
    <row r="2839" spans="1:12" x14ac:dyDescent="0.2">
      <c r="A2839" s="9">
        <v>46251</v>
      </c>
      <c r="B2839" t="s">
        <v>178</v>
      </c>
      <c r="C2839" t="s">
        <v>179</v>
      </c>
      <c r="D2839" t="s">
        <v>50</v>
      </c>
      <c r="E2839" t="s">
        <v>649</v>
      </c>
      <c r="F2839" t="s">
        <v>659</v>
      </c>
      <c r="G2839" s="10">
        <v>4</v>
      </c>
      <c r="H2839" s="10">
        <v>9068</v>
      </c>
      <c r="I2839" s="10">
        <v>36272</v>
      </c>
      <c r="J2839" t="s">
        <v>51</v>
      </c>
      <c r="K2839" s="11">
        <v>648.20000000000005</v>
      </c>
      <c r="L2839" s="12">
        <v>55.96</v>
      </c>
    </row>
    <row r="2840" spans="1:12" x14ac:dyDescent="0.2">
      <c r="A2840" s="9">
        <v>46251</v>
      </c>
      <c r="B2840" t="s">
        <v>178</v>
      </c>
      <c r="C2840" t="s">
        <v>179</v>
      </c>
      <c r="D2840" t="s">
        <v>50</v>
      </c>
      <c r="E2840" t="s">
        <v>651</v>
      </c>
      <c r="F2840" t="s">
        <v>657</v>
      </c>
      <c r="G2840" s="10">
        <v>4</v>
      </c>
      <c r="H2840" s="10">
        <v>6437</v>
      </c>
      <c r="I2840" s="10">
        <v>25748</v>
      </c>
      <c r="J2840" t="s">
        <v>51</v>
      </c>
      <c r="K2840" s="11">
        <v>648.20000000000005</v>
      </c>
      <c r="L2840" s="12">
        <v>39.72</v>
      </c>
    </row>
    <row r="2841" spans="1:12" x14ac:dyDescent="0.2">
      <c r="A2841" s="9">
        <v>46251</v>
      </c>
      <c r="B2841" t="s">
        <v>181</v>
      </c>
      <c r="C2841" t="s">
        <v>182</v>
      </c>
      <c r="D2841" t="s">
        <v>41</v>
      </c>
      <c r="E2841" t="s">
        <v>660</v>
      </c>
      <c r="F2841" t="s">
        <v>661</v>
      </c>
      <c r="G2841" s="10">
        <v>5</v>
      </c>
      <c r="H2841" s="10">
        <v>20275</v>
      </c>
      <c r="I2841" s="10">
        <v>101375</v>
      </c>
      <c r="J2841" t="s">
        <v>42</v>
      </c>
      <c r="K2841" s="11">
        <v>3145.8</v>
      </c>
      <c r="L2841" s="12">
        <v>32.229999999999997</v>
      </c>
    </row>
    <row r="2842" spans="1:12" x14ac:dyDescent="0.2">
      <c r="A2842" s="9">
        <v>46251</v>
      </c>
      <c r="B2842" t="s">
        <v>187</v>
      </c>
      <c r="C2842" t="s">
        <v>188</v>
      </c>
      <c r="D2842" t="s">
        <v>75</v>
      </c>
      <c r="E2842" t="s">
        <v>660</v>
      </c>
      <c r="F2842" t="s">
        <v>669</v>
      </c>
      <c r="G2842" s="10">
        <v>3</v>
      </c>
      <c r="H2842" s="10">
        <v>12319</v>
      </c>
      <c r="I2842" s="10">
        <v>36957</v>
      </c>
      <c r="J2842" t="s">
        <v>42</v>
      </c>
      <c r="K2842" s="11">
        <v>3145.8</v>
      </c>
      <c r="L2842" s="12">
        <v>11.75</v>
      </c>
    </row>
    <row r="2843" spans="1:12" x14ac:dyDescent="0.2">
      <c r="A2843" s="9">
        <v>46251</v>
      </c>
      <c r="B2843" t="s">
        <v>196</v>
      </c>
      <c r="C2843" t="s">
        <v>197</v>
      </c>
      <c r="D2843" t="s">
        <v>46</v>
      </c>
      <c r="E2843" t="s">
        <v>655</v>
      </c>
      <c r="F2843" t="s">
        <v>656</v>
      </c>
      <c r="G2843" s="10">
        <v>25</v>
      </c>
      <c r="H2843" s="10">
        <v>585</v>
      </c>
      <c r="I2843" s="10">
        <v>14625</v>
      </c>
      <c r="J2843" t="s">
        <v>37</v>
      </c>
      <c r="K2843" s="11">
        <v>648.20000000000005</v>
      </c>
      <c r="L2843" s="12">
        <v>22.56</v>
      </c>
    </row>
    <row r="2844" spans="1:12" x14ac:dyDescent="0.2">
      <c r="A2844" s="9">
        <v>46251</v>
      </c>
      <c r="B2844" t="s">
        <v>199</v>
      </c>
      <c r="C2844" t="s">
        <v>200</v>
      </c>
      <c r="D2844" t="s">
        <v>46</v>
      </c>
      <c r="E2844" t="s">
        <v>660</v>
      </c>
      <c r="F2844" t="s">
        <v>661</v>
      </c>
      <c r="G2844" s="10">
        <v>5</v>
      </c>
      <c r="H2844" s="10">
        <v>4168</v>
      </c>
      <c r="I2844" s="10">
        <v>20840</v>
      </c>
      <c r="J2844" t="s">
        <v>37</v>
      </c>
      <c r="K2844" s="11">
        <v>648.20000000000005</v>
      </c>
      <c r="L2844" s="12">
        <v>32.15</v>
      </c>
    </row>
    <row r="2845" spans="1:12" x14ac:dyDescent="0.2">
      <c r="A2845" s="9">
        <v>46251</v>
      </c>
      <c r="B2845" t="s">
        <v>208</v>
      </c>
      <c r="C2845" t="s">
        <v>209</v>
      </c>
      <c r="D2845" t="s">
        <v>46</v>
      </c>
      <c r="E2845" t="s">
        <v>655</v>
      </c>
      <c r="F2845" t="s">
        <v>665</v>
      </c>
      <c r="G2845" s="10">
        <v>6</v>
      </c>
      <c r="H2845" s="10">
        <v>676</v>
      </c>
      <c r="I2845" s="10">
        <v>4056</v>
      </c>
      <c r="J2845" t="s">
        <v>37</v>
      </c>
      <c r="K2845" s="11">
        <v>648.20000000000005</v>
      </c>
      <c r="L2845" s="12">
        <v>6.26</v>
      </c>
    </row>
    <row r="2846" spans="1:12" x14ac:dyDescent="0.2">
      <c r="A2846" s="9">
        <v>46251</v>
      </c>
      <c r="B2846" t="s">
        <v>211</v>
      </c>
      <c r="C2846" t="s">
        <v>212</v>
      </c>
      <c r="D2846" t="s">
        <v>46</v>
      </c>
      <c r="E2846" t="s">
        <v>653</v>
      </c>
      <c r="F2846" t="s">
        <v>658</v>
      </c>
      <c r="G2846" s="10">
        <v>20</v>
      </c>
      <c r="H2846" s="10">
        <v>2739</v>
      </c>
      <c r="I2846" s="10">
        <v>54780</v>
      </c>
      <c r="J2846" t="s">
        <v>37</v>
      </c>
      <c r="K2846" s="11">
        <v>648.20000000000005</v>
      </c>
      <c r="L2846" s="12">
        <v>84.51</v>
      </c>
    </row>
    <row r="2847" spans="1:12" x14ac:dyDescent="0.2">
      <c r="A2847" s="9">
        <v>46251</v>
      </c>
      <c r="B2847" t="s">
        <v>211</v>
      </c>
      <c r="C2847" t="s">
        <v>212</v>
      </c>
      <c r="D2847" t="s">
        <v>46</v>
      </c>
      <c r="E2847" t="s">
        <v>649</v>
      </c>
      <c r="F2847" t="s">
        <v>659</v>
      </c>
      <c r="G2847" s="10">
        <v>13</v>
      </c>
      <c r="H2847" s="10">
        <v>8868</v>
      </c>
      <c r="I2847" s="10">
        <v>115284</v>
      </c>
      <c r="J2847" t="s">
        <v>37</v>
      </c>
      <c r="K2847" s="11">
        <v>648.20000000000005</v>
      </c>
      <c r="L2847" s="12">
        <v>177.85</v>
      </c>
    </row>
    <row r="2848" spans="1:12" x14ac:dyDescent="0.2">
      <c r="A2848" s="9">
        <v>46251</v>
      </c>
      <c r="B2848" t="s">
        <v>211</v>
      </c>
      <c r="C2848" t="s">
        <v>212</v>
      </c>
      <c r="D2848" t="s">
        <v>46</v>
      </c>
      <c r="E2848" t="s">
        <v>660</v>
      </c>
      <c r="F2848" t="s">
        <v>669</v>
      </c>
      <c r="G2848" s="10">
        <v>40</v>
      </c>
      <c r="H2848" s="10">
        <v>2676</v>
      </c>
      <c r="I2848" s="10">
        <v>107040</v>
      </c>
      <c r="J2848" t="s">
        <v>37</v>
      </c>
      <c r="K2848" s="11">
        <v>648.20000000000005</v>
      </c>
      <c r="L2848" s="12">
        <v>165.13</v>
      </c>
    </row>
    <row r="2849" spans="1:12" x14ac:dyDescent="0.2">
      <c r="A2849" s="9">
        <v>46251</v>
      </c>
      <c r="B2849" t="s">
        <v>214</v>
      </c>
      <c r="C2849" t="s">
        <v>215</v>
      </c>
      <c r="D2849" t="s">
        <v>46</v>
      </c>
      <c r="E2849" t="s">
        <v>647</v>
      </c>
      <c r="F2849" t="s">
        <v>668</v>
      </c>
      <c r="G2849" s="10">
        <v>9</v>
      </c>
      <c r="H2849" s="10">
        <v>25409</v>
      </c>
      <c r="I2849" s="10">
        <v>228681</v>
      </c>
      <c r="J2849" t="s">
        <v>37</v>
      </c>
      <c r="K2849" s="11">
        <v>648.20000000000005</v>
      </c>
      <c r="L2849" s="12">
        <v>352.79</v>
      </c>
    </row>
    <row r="2850" spans="1:12" x14ac:dyDescent="0.2">
      <c r="A2850" s="9">
        <v>46251</v>
      </c>
      <c r="B2850" t="s">
        <v>214</v>
      </c>
      <c r="C2850" t="s">
        <v>215</v>
      </c>
      <c r="D2850" t="s">
        <v>46</v>
      </c>
      <c r="E2850" t="s">
        <v>647</v>
      </c>
      <c r="F2850" t="s">
        <v>648</v>
      </c>
      <c r="G2850" s="10">
        <v>4</v>
      </c>
      <c r="H2850" s="10">
        <v>15833</v>
      </c>
      <c r="I2850" s="10">
        <v>63332</v>
      </c>
      <c r="J2850" t="s">
        <v>37</v>
      </c>
      <c r="K2850" s="11">
        <v>648.20000000000005</v>
      </c>
      <c r="L2850" s="12">
        <v>97.7</v>
      </c>
    </row>
    <row r="2851" spans="1:12" x14ac:dyDescent="0.2">
      <c r="A2851" s="9">
        <v>46251</v>
      </c>
      <c r="B2851" t="s">
        <v>220</v>
      </c>
      <c r="C2851" t="s">
        <v>221</v>
      </c>
      <c r="D2851" t="s">
        <v>46</v>
      </c>
      <c r="E2851" t="s">
        <v>653</v>
      </c>
      <c r="F2851" t="s">
        <v>666</v>
      </c>
      <c r="G2851" s="10">
        <v>24</v>
      </c>
      <c r="H2851" s="10">
        <v>1467</v>
      </c>
      <c r="I2851" s="10">
        <v>35208</v>
      </c>
      <c r="J2851" t="s">
        <v>37</v>
      </c>
      <c r="K2851" s="11">
        <v>648.20000000000005</v>
      </c>
      <c r="L2851" s="12">
        <v>54.32</v>
      </c>
    </row>
    <row r="2852" spans="1:12" x14ac:dyDescent="0.2">
      <c r="A2852" s="9">
        <v>46251</v>
      </c>
      <c r="B2852" t="s">
        <v>220</v>
      </c>
      <c r="C2852" t="s">
        <v>221</v>
      </c>
      <c r="D2852" t="s">
        <v>46</v>
      </c>
      <c r="E2852" t="s">
        <v>649</v>
      </c>
      <c r="F2852" t="s">
        <v>650</v>
      </c>
      <c r="G2852" s="10">
        <v>15</v>
      </c>
      <c r="H2852" s="10">
        <v>19886</v>
      </c>
      <c r="I2852" s="10">
        <v>298290</v>
      </c>
      <c r="J2852" t="s">
        <v>37</v>
      </c>
      <c r="K2852" s="11">
        <v>648.20000000000005</v>
      </c>
      <c r="L2852" s="12">
        <v>460.18</v>
      </c>
    </row>
    <row r="2853" spans="1:12" x14ac:dyDescent="0.2">
      <c r="A2853" s="9">
        <v>46251</v>
      </c>
      <c r="B2853" t="s">
        <v>220</v>
      </c>
      <c r="C2853" t="s">
        <v>221</v>
      </c>
      <c r="D2853" t="s">
        <v>46</v>
      </c>
      <c r="E2853" t="s">
        <v>647</v>
      </c>
      <c r="F2853" t="s">
        <v>668</v>
      </c>
      <c r="G2853" s="10">
        <v>12</v>
      </c>
      <c r="H2853" s="10">
        <v>25364</v>
      </c>
      <c r="I2853" s="10">
        <v>304368</v>
      </c>
      <c r="J2853" t="s">
        <v>37</v>
      </c>
      <c r="K2853" s="11">
        <v>648.20000000000005</v>
      </c>
      <c r="L2853" s="12">
        <v>469.56</v>
      </c>
    </row>
    <row r="2854" spans="1:12" x14ac:dyDescent="0.2">
      <c r="A2854" s="9">
        <v>46251</v>
      </c>
      <c r="B2854" t="s">
        <v>220</v>
      </c>
      <c r="C2854" t="s">
        <v>221</v>
      </c>
      <c r="D2854" t="s">
        <v>46</v>
      </c>
      <c r="E2854" t="s">
        <v>647</v>
      </c>
      <c r="F2854" t="s">
        <v>667</v>
      </c>
      <c r="G2854" s="10">
        <v>21</v>
      </c>
      <c r="H2854" s="10">
        <v>7120</v>
      </c>
      <c r="I2854" s="10">
        <v>149520</v>
      </c>
      <c r="J2854" t="s">
        <v>37</v>
      </c>
      <c r="K2854" s="11">
        <v>648.20000000000005</v>
      </c>
      <c r="L2854" s="12">
        <v>230.67</v>
      </c>
    </row>
    <row r="2855" spans="1:12" x14ac:dyDescent="0.2">
      <c r="A2855" s="9">
        <v>46251</v>
      </c>
      <c r="B2855" t="s">
        <v>223</v>
      </c>
      <c r="C2855" t="s">
        <v>224</v>
      </c>
      <c r="D2855" t="s">
        <v>36</v>
      </c>
      <c r="E2855" t="s">
        <v>647</v>
      </c>
      <c r="F2855" t="s">
        <v>667</v>
      </c>
      <c r="G2855" s="10">
        <v>10</v>
      </c>
      <c r="H2855" s="10">
        <v>7348</v>
      </c>
      <c r="I2855" s="10">
        <v>73480</v>
      </c>
      <c r="J2855" t="s">
        <v>37</v>
      </c>
      <c r="K2855" s="11">
        <v>648.20000000000005</v>
      </c>
      <c r="L2855" s="12">
        <v>113.36</v>
      </c>
    </row>
    <row r="2856" spans="1:12" x14ac:dyDescent="0.2">
      <c r="A2856" s="9">
        <v>46251</v>
      </c>
      <c r="B2856" t="s">
        <v>229</v>
      </c>
      <c r="C2856" t="s">
        <v>230</v>
      </c>
      <c r="D2856" t="s">
        <v>36</v>
      </c>
      <c r="E2856" t="s">
        <v>647</v>
      </c>
      <c r="F2856" t="s">
        <v>667</v>
      </c>
      <c r="G2856" s="10">
        <v>11</v>
      </c>
      <c r="H2856" s="10">
        <v>7241</v>
      </c>
      <c r="I2856" s="10">
        <v>79651</v>
      </c>
      <c r="J2856" t="s">
        <v>37</v>
      </c>
      <c r="K2856" s="11">
        <v>648.20000000000005</v>
      </c>
      <c r="L2856" s="12">
        <v>122.88</v>
      </c>
    </row>
    <row r="2857" spans="1:12" x14ac:dyDescent="0.2">
      <c r="A2857" s="9">
        <v>46251</v>
      </c>
      <c r="B2857" t="s">
        <v>229</v>
      </c>
      <c r="C2857" t="s">
        <v>230</v>
      </c>
      <c r="D2857" t="s">
        <v>36</v>
      </c>
      <c r="E2857" t="s">
        <v>651</v>
      </c>
      <c r="F2857" t="s">
        <v>657</v>
      </c>
      <c r="G2857" s="10">
        <v>3</v>
      </c>
      <c r="H2857" s="10">
        <v>6332</v>
      </c>
      <c r="I2857" s="10">
        <v>18996</v>
      </c>
      <c r="J2857" t="s">
        <v>37</v>
      </c>
      <c r="K2857" s="11">
        <v>648.20000000000005</v>
      </c>
      <c r="L2857" s="12">
        <v>29.31</v>
      </c>
    </row>
    <row r="2858" spans="1:12" x14ac:dyDescent="0.2">
      <c r="A2858" s="9">
        <v>46251</v>
      </c>
      <c r="B2858" t="s">
        <v>229</v>
      </c>
      <c r="C2858" t="s">
        <v>230</v>
      </c>
      <c r="D2858" t="s">
        <v>36</v>
      </c>
      <c r="E2858" t="s">
        <v>655</v>
      </c>
      <c r="F2858" t="s">
        <v>665</v>
      </c>
      <c r="G2858" s="10">
        <v>8</v>
      </c>
      <c r="H2858" s="10">
        <v>712</v>
      </c>
      <c r="I2858" s="10">
        <v>5696</v>
      </c>
      <c r="J2858" t="s">
        <v>37</v>
      </c>
      <c r="K2858" s="11">
        <v>648.20000000000005</v>
      </c>
      <c r="L2858" s="12">
        <v>8.7899999999999991</v>
      </c>
    </row>
    <row r="2859" spans="1:12" x14ac:dyDescent="0.2">
      <c r="A2859" s="9">
        <v>46251</v>
      </c>
      <c r="B2859" t="s">
        <v>235</v>
      </c>
      <c r="C2859" t="s">
        <v>236</v>
      </c>
      <c r="D2859" t="s">
        <v>50</v>
      </c>
      <c r="E2859" t="s">
        <v>653</v>
      </c>
      <c r="F2859" t="s">
        <v>658</v>
      </c>
      <c r="G2859" s="10">
        <v>24</v>
      </c>
      <c r="H2859" s="10">
        <v>2819</v>
      </c>
      <c r="I2859" s="10">
        <v>67656</v>
      </c>
      <c r="J2859" t="s">
        <v>51</v>
      </c>
      <c r="K2859" s="11">
        <v>648.20000000000005</v>
      </c>
      <c r="L2859" s="12">
        <v>104.38</v>
      </c>
    </row>
    <row r="2860" spans="1:12" x14ac:dyDescent="0.2">
      <c r="A2860" s="9">
        <v>46251</v>
      </c>
      <c r="B2860" t="s">
        <v>235</v>
      </c>
      <c r="C2860" t="s">
        <v>236</v>
      </c>
      <c r="D2860" t="s">
        <v>50</v>
      </c>
      <c r="E2860" t="s">
        <v>647</v>
      </c>
      <c r="F2860" t="s">
        <v>648</v>
      </c>
      <c r="G2860" s="10">
        <v>11</v>
      </c>
      <c r="H2860" s="10">
        <v>16270</v>
      </c>
      <c r="I2860" s="10">
        <v>178970</v>
      </c>
      <c r="J2860" t="s">
        <v>51</v>
      </c>
      <c r="K2860" s="11">
        <v>648.20000000000005</v>
      </c>
      <c r="L2860" s="12">
        <v>276.10000000000002</v>
      </c>
    </row>
    <row r="2861" spans="1:12" x14ac:dyDescent="0.2">
      <c r="A2861" s="9">
        <v>46251</v>
      </c>
      <c r="B2861" t="s">
        <v>235</v>
      </c>
      <c r="C2861" t="s">
        <v>236</v>
      </c>
      <c r="D2861" t="s">
        <v>50</v>
      </c>
      <c r="E2861" t="s">
        <v>647</v>
      </c>
      <c r="F2861" t="s">
        <v>648</v>
      </c>
      <c r="G2861" s="10">
        <v>39</v>
      </c>
      <c r="H2861" s="10">
        <v>16110</v>
      </c>
      <c r="I2861" s="10">
        <v>628290</v>
      </c>
      <c r="J2861" t="s">
        <v>51</v>
      </c>
      <c r="K2861" s="11">
        <v>648.20000000000005</v>
      </c>
      <c r="L2861" s="12">
        <v>969.28</v>
      </c>
    </row>
    <row r="2862" spans="1:12" x14ac:dyDescent="0.2">
      <c r="A2862" s="9">
        <v>46251</v>
      </c>
      <c r="B2862" t="s">
        <v>238</v>
      </c>
      <c r="C2862" t="s">
        <v>239</v>
      </c>
      <c r="D2862" t="s">
        <v>68</v>
      </c>
      <c r="E2862" t="s">
        <v>649</v>
      </c>
      <c r="F2862" t="s">
        <v>663</v>
      </c>
      <c r="G2862" s="10">
        <v>5</v>
      </c>
      <c r="H2862" s="10">
        <v>1992</v>
      </c>
      <c r="I2862" s="10">
        <v>9960</v>
      </c>
      <c r="J2862" t="s">
        <v>51</v>
      </c>
      <c r="K2862" s="11">
        <v>648.20000000000005</v>
      </c>
      <c r="L2862" s="12">
        <v>15.37</v>
      </c>
    </row>
    <row r="2863" spans="1:12" x14ac:dyDescent="0.2">
      <c r="A2863" s="9">
        <v>46251</v>
      </c>
      <c r="B2863" t="s">
        <v>238</v>
      </c>
      <c r="C2863" t="s">
        <v>239</v>
      </c>
      <c r="D2863" t="s">
        <v>68</v>
      </c>
      <c r="E2863" t="s">
        <v>651</v>
      </c>
      <c r="F2863" t="s">
        <v>664</v>
      </c>
      <c r="G2863" s="10">
        <v>14</v>
      </c>
      <c r="H2863" s="10">
        <v>11753</v>
      </c>
      <c r="I2863" s="10">
        <v>164542</v>
      </c>
      <c r="J2863" t="s">
        <v>51</v>
      </c>
      <c r="K2863" s="11">
        <v>648.20000000000005</v>
      </c>
      <c r="L2863" s="12">
        <v>253.84</v>
      </c>
    </row>
    <row r="2864" spans="1:12" x14ac:dyDescent="0.2">
      <c r="A2864" s="9">
        <v>46251</v>
      </c>
      <c r="B2864" t="s">
        <v>241</v>
      </c>
      <c r="C2864" t="s">
        <v>242</v>
      </c>
      <c r="D2864" t="s">
        <v>46</v>
      </c>
      <c r="E2864" t="s">
        <v>660</v>
      </c>
      <c r="F2864" t="s">
        <v>661</v>
      </c>
      <c r="G2864" s="10">
        <v>1</v>
      </c>
      <c r="H2864" s="10">
        <v>4334</v>
      </c>
      <c r="I2864" s="10">
        <v>4334</v>
      </c>
      <c r="J2864" t="s">
        <v>37</v>
      </c>
      <c r="K2864" s="11">
        <v>648.20000000000005</v>
      </c>
      <c r="L2864" s="12">
        <v>6.69</v>
      </c>
    </row>
    <row r="2865" spans="1:12" x14ac:dyDescent="0.2">
      <c r="A2865" s="9">
        <v>46251</v>
      </c>
      <c r="B2865" t="s">
        <v>256</v>
      </c>
      <c r="C2865" t="s">
        <v>182</v>
      </c>
      <c r="D2865" t="s">
        <v>50</v>
      </c>
      <c r="E2865" t="s">
        <v>649</v>
      </c>
      <c r="F2865" t="s">
        <v>650</v>
      </c>
      <c r="G2865" s="10">
        <v>5</v>
      </c>
      <c r="H2865" s="10">
        <v>18675</v>
      </c>
      <c r="I2865" s="10">
        <v>93375</v>
      </c>
      <c r="J2865" t="s">
        <v>51</v>
      </c>
      <c r="K2865" s="11">
        <v>648.20000000000005</v>
      </c>
      <c r="L2865" s="12">
        <v>144.05000000000001</v>
      </c>
    </row>
    <row r="2866" spans="1:12" x14ac:dyDescent="0.2">
      <c r="A2866" s="9">
        <v>46251</v>
      </c>
      <c r="B2866" t="s">
        <v>256</v>
      </c>
      <c r="C2866" t="s">
        <v>182</v>
      </c>
      <c r="D2866" t="s">
        <v>50</v>
      </c>
      <c r="E2866" t="s">
        <v>653</v>
      </c>
      <c r="F2866" t="s">
        <v>654</v>
      </c>
      <c r="G2866" s="10">
        <v>4</v>
      </c>
      <c r="H2866" s="10">
        <v>5629</v>
      </c>
      <c r="I2866" s="10">
        <v>22516</v>
      </c>
      <c r="J2866" t="s">
        <v>51</v>
      </c>
      <c r="K2866" s="11">
        <v>648.20000000000005</v>
      </c>
      <c r="L2866" s="12">
        <v>34.74</v>
      </c>
    </row>
    <row r="2867" spans="1:12" x14ac:dyDescent="0.2">
      <c r="A2867" s="9">
        <v>46251</v>
      </c>
      <c r="B2867" t="s">
        <v>256</v>
      </c>
      <c r="C2867" t="s">
        <v>182</v>
      </c>
      <c r="D2867" t="s">
        <v>50</v>
      </c>
      <c r="E2867" t="s">
        <v>647</v>
      </c>
      <c r="F2867" t="s">
        <v>667</v>
      </c>
      <c r="G2867" s="10">
        <v>1</v>
      </c>
      <c r="H2867" s="10">
        <v>7411</v>
      </c>
      <c r="I2867" s="10">
        <v>7411</v>
      </c>
      <c r="J2867" t="s">
        <v>51</v>
      </c>
      <c r="K2867" s="11">
        <v>648.20000000000005</v>
      </c>
      <c r="L2867" s="12">
        <v>11.43</v>
      </c>
    </row>
    <row r="2868" spans="1:12" x14ac:dyDescent="0.2">
      <c r="A2868" s="9">
        <v>46251</v>
      </c>
      <c r="B2868" t="s">
        <v>270</v>
      </c>
      <c r="C2868" t="s">
        <v>271</v>
      </c>
      <c r="D2868" t="s">
        <v>75</v>
      </c>
      <c r="E2868" t="s">
        <v>655</v>
      </c>
      <c r="F2868" t="s">
        <v>662</v>
      </c>
      <c r="G2868" s="10">
        <v>17</v>
      </c>
      <c r="H2868" s="10">
        <v>5443</v>
      </c>
      <c r="I2868" s="10">
        <v>92531</v>
      </c>
      <c r="J2868" t="s">
        <v>42</v>
      </c>
      <c r="K2868" s="11">
        <v>3145.8</v>
      </c>
      <c r="L2868" s="12">
        <v>29.41</v>
      </c>
    </row>
    <row r="2869" spans="1:12" x14ac:dyDescent="0.2">
      <c r="A2869" s="9">
        <v>46251</v>
      </c>
      <c r="B2869" t="s">
        <v>270</v>
      </c>
      <c r="C2869" t="s">
        <v>271</v>
      </c>
      <c r="D2869" t="s">
        <v>75</v>
      </c>
      <c r="E2869" t="s">
        <v>660</v>
      </c>
      <c r="F2869" t="s">
        <v>669</v>
      </c>
      <c r="G2869" s="10">
        <v>78</v>
      </c>
      <c r="H2869" s="10">
        <v>12686</v>
      </c>
      <c r="I2869" s="10">
        <v>989508</v>
      </c>
      <c r="J2869" t="s">
        <v>42</v>
      </c>
      <c r="K2869" s="11">
        <v>3145.8</v>
      </c>
      <c r="L2869" s="12">
        <v>314.55</v>
      </c>
    </row>
    <row r="2870" spans="1:12" x14ac:dyDescent="0.2">
      <c r="A2870" s="9">
        <v>46251</v>
      </c>
      <c r="B2870" t="s">
        <v>273</v>
      </c>
      <c r="C2870" t="s">
        <v>274</v>
      </c>
      <c r="D2870" t="s">
        <v>41</v>
      </c>
      <c r="E2870" t="s">
        <v>660</v>
      </c>
      <c r="F2870" t="s">
        <v>670</v>
      </c>
      <c r="G2870" s="10">
        <v>2</v>
      </c>
      <c r="H2870" s="10">
        <v>69439</v>
      </c>
      <c r="I2870" s="10">
        <v>138878</v>
      </c>
      <c r="J2870" t="s">
        <v>42</v>
      </c>
      <c r="K2870" s="11">
        <v>3145.8</v>
      </c>
      <c r="L2870" s="12">
        <v>44.15</v>
      </c>
    </row>
    <row r="2871" spans="1:12" x14ac:dyDescent="0.2">
      <c r="A2871" s="9">
        <v>46251</v>
      </c>
      <c r="B2871" t="s">
        <v>276</v>
      </c>
      <c r="C2871" t="s">
        <v>277</v>
      </c>
      <c r="D2871" t="s">
        <v>46</v>
      </c>
      <c r="E2871" t="s">
        <v>647</v>
      </c>
      <c r="F2871" t="s">
        <v>648</v>
      </c>
      <c r="G2871" s="10">
        <v>4</v>
      </c>
      <c r="H2871" s="10">
        <v>15956</v>
      </c>
      <c r="I2871" s="10">
        <v>63824</v>
      </c>
      <c r="J2871" t="s">
        <v>37</v>
      </c>
      <c r="K2871" s="11">
        <v>648.20000000000005</v>
      </c>
      <c r="L2871" s="12">
        <v>98.46</v>
      </c>
    </row>
    <row r="2872" spans="1:12" x14ac:dyDescent="0.2">
      <c r="A2872" s="9">
        <v>46251</v>
      </c>
      <c r="B2872" t="s">
        <v>279</v>
      </c>
      <c r="C2872" t="s">
        <v>280</v>
      </c>
      <c r="D2872" t="s">
        <v>68</v>
      </c>
      <c r="E2872" t="s">
        <v>647</v>
      </c>
      <c r="F2872" t="s">
        <v>667</v>
      </c>
      <c r="G2872" s="10">
        <v>19</v>
      </c>
      <c r="H2872" s="10">
        <v>7425</v>
      </c>
      <c r="I2872" s="10">
        <v>141075</v>
      </c>
      <c r="J2872" t="s">
        <v>51</v>
      </c>
      <c r="K2872" s="11">
        <v>648.20000000000005</v>
      </c>
      <c r="L2872" s="12">
        <v>217.64</v>
      </c>
    </row>
    <row r="2873" spans="1:12" x14ac:dyDescent="0.2">
      <c r="A2873" s="9">
        <v>46251</v>
      </c>
      <c r="B2873" t="s">
        <v>285</v>
      </c>
      <c r="C2873" t="s">
        <v>286</v>
      </c>
      <c r="D2873" t="s">
        <v>68</v>
      </c>
      <c r="E2873" t="s">
        <v>660</v>
      </c>
      <c r="F2873" t="s">
        <v>670</v>
      </c>
      <c r="G2873" s="10">
        <v>5</v>
      </c>
      <c r="H2873" s="10">
        <v>14242</v>
      </c>
      <c r="I2873" s="10">
        <v>71210</v>
      </c>
      <c r="J2873" t="s">
        <v>51</v>
      </c>
      <c r="K2873" s="11">
        <v>648.20000000000005</v>
      </c>
      <c r="L2873" s="12">
        <v>109.86</v>
      </c>
    </row>
    <row r="2874" spans="1:12" x14ac:dyDescent="0.2">
      <c r="A2874" s="9">
        <v>46251</v>
      </c>
      <c r="B2874" t="s">
        <v>288</v>
      </c>
      <c r="C2874" t="s">
        <v>289</v>
      </c>
      <c r="D2874" t="s">
        <v>41</v>
      </c>
      <c r="E2874" t="s">
        <v>660</v>
      </c>
      <c r="F2874" t="s">
        <v>669</v>
      </c>
      <c r="G2874" s="10">
        <v>4</v>
      </c>
      <c r="H2874" s="10">
        <v>12728</v>
      </c>
      <c r="I2874" s="10">
        <v>50912</v>
      </c>
      <c r="J2874" t="s">
        <v>42</v>
      </c>
      <c r="K2874" s="11">
        <v>3145.8</v>
      </c>
      <c r="L2874" s="12">
        <v>16.18</v>
      </c>
    </row>
    <row r="2875" spans="1:12" x14ac:dyDescent="0.2">
      <c r="A2875" s="9">
        <v>46251</v>
      </c>
      <c r="B2875" t="s">
        <v>288</v>
      </c>
      <c r="C2875" t="s">
        <v>289</v>
      </c>
      <c r="D2875" t="s">
        <v>41</v>
      </c>
      <c r="E2875" t="s">
        <v>647</v>
      </c>
      <c r="F2875" t="s">
        <v>668</v>
      </c>
      <c r="G2875" s="10">
        <v>19</v>
      </c>
      <c r="H2875" s="10">
        <v>122181</v>
      </c>
      <c r="I2875" s="10">
        <v>2321439</v>
      </c>
      <c r="J2875" t="s">
        <v>42</v>
      </c>
      <c r="K2875" s="11">
        <v>3145.8</v>
      </c>
      <c r="L2875" s="12">
        <v>737.95</v>
      </c>
    </row>
    <row r="2876" spans="1:12" x14ac:dyDescent="0.2">
      <c r="A2876" s="9">
        <v>46251</v>
      </c>
      <c r="B2876" t="s">
        <v>291</v>
      </c>
      <c r="C2876" t="s">
        <v>292</v>
      </c>
      <c r="D2876" t="s">
        <v>68</v>
      </c>
      <c r="E2876" t="s">
        <v>655</v>
      </c>
      <c r="F2876" t="s">
        <v>656</v>
      </c>
      <c r="G2876" s="10">
        <v>5</v>
      </c>
      <c r="H2876" s="10">
        <v>563</v>
      </c>
      <c r="I2876" s="10">
        <v>2815</v>
      </c>
      <c r="J2876" t="s">
        <v>51</v>
      </c>
      <c r="K2876" s="11">
        <v>648.20000000000005</v>
      </c>
      <c r="L2876" s="12">
        <v>4.34</v>
      </c>
    </row>
    <row r="2877" spans="1:12" x14ac:dyDescent="0.2">
      <c r="A2877" s="9">
        <v>46251</v>
      </c>
      <c r="B2877" t="s">
        <v>294</v>
      </c>
      <c r="C2877" t="s">
        <v>295</v>
      </c>
      <c r="D2877" t="s">
        <v>41</v>
      </c>
      <c r="E2877" t="s">
        <v>647</v>
      </c>
      <c r="F2877" t="s">
        <v>648</v>
      </c>
      <c r="G2877" s="10">
        <v>6</v>
      </c>
      <c r="H2877" s="10">
        <v>78820</v>
      </c>
      <c r="I2877" s="10">
        <v>472920</v>
      </c>
      <c r="J2877" t="s">
        <v>42</v>
      </c>
      <c r="K2877" s="11">
        <v>3145.8</v>
      </c>
      <c r="L2877" s="12">
        <v>150.33000000000001</v>
      </c>
    </row>
    <row r="2878" spans="1:12" x14ac:dyDescent="0.2">
      <c r="A2878" s="9">
        <v>46251</v>
      </c>
      <c r="B2878" t="s">
        <v>294</v>
      </c>
      <c r="C2878" t="s">
        <v>295</v>
      </c>
      <c r="D2878" t="s">
        <v>41</v>
      </c>
      <c r="E2878" t="s">
        <v>647</v>
      </c>
      <c r="F2878" t="s">
        <v>648</v>
      </c>
      <c r="G2878" s="10">
        <v>30</v>
      </c>
      <c r="H2878" s="10">
        <v>77722</v>
      </c>
      <c r="I2878" s="10">
        <v>2331660</v>
      </c>
      <c r="J2878" t="s">
        <v>42</v>
      </c>
      <c r="K2878" s="11">
        <v>3145.8</v>
      </c>
      <c r="L2878" s="12">
        <v>741.2</v>
      </c>
    </row>
    <row r="2879" spans="1:12" x14ac:dyDescent="0.2">
      <c r="A2879" s="9">
        <v>46251</v>
      </c>
      <c r="B2879" t="s">
        <v>297</v>
      </c>
      <c r="C2879" t="s">
        <v>298</v>
      </c>
      <c r="D2879" t="s">
        <v>36</v>
      </c>
      <c r="E2879" t="s">
        <v>660</v>
      </c>
      <c r="F2879" t="s">
        <v>661</v>
      </c>
      <c r="G2879" s="10">
        <v>21</v>
      </c>
      <c r="H2879" s="10">
        <v>4074</v>
      </c>
      <c r="I2879" s="10">
        <v>85554</v>
      </c>
      <c r="J2879" t="s">
        <v>37</v>
      </c>
      <c r="K2879" s="11">
        <v>648.20000000000005</v>
      </c>
      <c r="L2879" s="12">
        <v>131.99</v>
      </c>
    </row>
    <row r="2880" spans="1:12" x14ac:dyDescent="0.2">
      <c r="A2880" s="9">
        <v>46251</v>
      </c>
      <c r="B2880" t="s">
        <v>303</v>
      </c>
      <c r="C2880" t="s">
        <v>304</v>
      </c>
      <c r="D2880" t="s">
        <v>36</v>
      </c>
      <c r="E2880" t="s">
        <v>653</v>
      </c>
      <c r="F2880" t="s">
        <v>658</v>
      </c>
      <c r="G2880" s="10">
        <v>3</v>
      </c>
      <c r="H2880" s="10">
        <v>2742</v>
      </c>
      <c r="I2880" s="10">
        <v>8226</v>
      </c>
      <c r="J2880" t="s">
        <v>37</v>
      </c>
      <c r="K2880" s="11">
        <v>648.20000000000005</v>
      </c>
      <c r="L2880" s="12">
        <v>12.69</v>
      </c>
    </row>
    <row r="2881" spans="1:12" x14ac:dyDescent="0.2">
      <c r="A2881" s="9">
        <v>46251</v>
      </c>
      <c r="B2881" t="s">
        <v>303</v>
      </c>
      <c r="C2881" t="s">
        <v>304</v>
      </c>
      <c r="D2881" t="s">
        <v>36</v>
      </c>
      <c r="E2881" t="s">
        <v>647</v>
      </c>
      <c r="F2881" t="s">
        <v>668</v>
      </c>
      <c r="G2881" s="10">
        <v>8</v>
      </c>
      <c r="H2881" s="10">
        <v>24655</v>
      </c>
      <c r="I2881" s="10">
        <v>197240</v>
      </c>
      <c r="J2881" t="s">
        <v>37</v>
      </c>
      <c r="K2881" s="11">
        <v>648.20000000000005</v>
      </c>
      <c r="L2881" s="12">
        <v>304.29000000000002</v>
      </c>
    </row>
    <row r="2882" spans="1:12" x14ac:dyDescent="0.2">
      <c r="A2882" s="9">
        <v>46251</v>
      </c>
      <c r="B2882" t="s">
        <v>309</v>
      </c>
      <c r="C2882" t="s">
        <v>310</v>
      </c>
      <c r="D2882" t="s">
        <v>41</v>
      </c>
      <c r="E2882" t="s">
        <v>653</v>
      </c>
      <c r="F2882" t="s">
        <v>666</v>
      </c>
      <c r="G2882" s="10">
        <v>157</v>
      </c>
      <c r="H2882" s="10">
        <v>7244</v>
      </c>
      <c r="I2882" s="10">
        <v>1137308</v>
      </c>
      <c r="J2882" t="s">
        <v>42</v>
      </c>
      <c r="K2882" s="11">
        <v>3145.8</v>
      </c>
      <c r="L2882" s="12">
        <v>361.53</v>
      </c>
    </row>
    <row r="2883" spans="1:12" x14ac:dyDescent="0.2">
      <c r="A2883" s="9">
        <v>46251</v>
      </c>
      <c r="B2883" t="s">
        <v>309</v>
      </c>
      <c r="C2883" t="s">
        <v>310</v>
      </c>
      <c r="D2883" t="s">
        <v>41</v>
      </c>
      <c r="E2883" t="s">
        <v>655</v>
      </c>
      <c r="F2883" t="s">
        <v>662</v>
      </c>
      <c r="G2883" s="10">
        <v>32</v>
      </c>
      <c r="H2883" s="10">
        <v>5405</v>
      </c>
      <c r="I2883" s="10">
        <v>172960</v>
      </c>
      <c r="J2883" t="s">
        <v>42</v>
      </c>
      <c r="K2883" s="11">
        <v>3145.8</v>
      </c>
      <c r="L2883" s="12">
        <v>54.98</v>
      </c>
    </row>
    <row r="2884" spans="1:12" x14ac:dyDescent="0.2">
      <c r="A2884" s="9">
        <v>46251</v>
      </c>
      <c r="B2884" t="s">
        <v>312</v>
      </c>
      <c r="C2884" t="s">
        <v>313</v>
      </c>
      <c r="D2884" t="s">
        <v>41</v>
      </c>
      <c r="E2884" t="s">
        <v>655</v>
      </c>
      <c r="F2884" t="s">
        <v>656</v>
      </c>
      <c r="G2884" s="10">
        <v>6</v>
      </c>
      <c r="H2884" s="10">
        <v>2717</v>
      </c>
      <c r="I2884" s="10">
        <v>16302</v>
      </c>
      <c r="J2884" t="s">
        <v>42</v>
      </c>
      <c r="K2884" s="11">
        <v>3145.8</v>
      </c>
      <c r="L2884" s="12">
        <v>5.18</v>
      </c>
    </row>
    <row r="2885" spans="1:12" x14ac:dyDescent="0.2">
      <c r="A2885" s="9">
        <v>46251</v>
      </c>
      <c r="B2885" t="s">
        <v>315</v>
      </c>
      <c r="C2885" t="s">
        <v>316</v>
      </c>
      <c r="D2885" t="s">
        <v>46</v>
      </c>
      <c r="E2885" t="s">
        <v>649</v>
      </c>
      <c r="F2885" t="s">
        <v>659</v>
      </c>
      <c r="G2885" s="10">
        <v>14</v>
      </c>
      <c r="H2885" s="10">
        <v>9083</v>
      </c>
      <c r="I2885" s="10">
        <v>127162</v>
      </c>
      <c r="J2885" t="s">
        <v>37</v>
      </c>
      <c r="K2885" s="11">
        <v>648.20000000000005</v>
      </c>
      <c r="L2885" s="12">
        <v>196.18</v>
      </c>
    </row>
    <row r="2886" spans="1:12" x14ac:dyDescent="0.2">
      <c r="A2886" s="9">
        <v>46251</v>
      </c>
      <c r="B2886" t="s">
        <v>315</v>
      </c>
      <c r="C2886" t="s">
        <v>316</v>
      </c>
      <c r="D2886" t="s">
        <v>46</v>
      </c>
      <c r="E2886" t="s">
        <v>647</v>
      </c>
      <c r="F2886" t="s">
        <v>667</v>
      </c>
      <c r="G2886" s="10">
        <v>18</v>
      </c>
      <c r="H2886" s="10">
        <v>7233</v>
      </c>
      <c r="I2886" s="10">
        <v>130194</v>
      </c>
      <c r="J2886" t="s">
        <v>37</v>
      </c>
      <c r="K2886" s="11">
        <v>648.20000000000005</v>
      </c>
      <c r="L2886" s="12">
        <v>200.85</v>
      </c>
    </row>
    <row r="2887" spans="1:12" x14ac:dyDescent="0.2">
      <c r="A2887" s="9">
        <v>46251</v>
      </c>
      <c r="B2887" t="s">
        <v>318</v>
      </c>
      <c r="C2887" t="s">
        <v>319</v>
      </c>
      <c r="D2887" t="s">
        <v>41</v>
      </c>
      <c r="E2887" t="s">
        <v>649</v>
      </c>
      <c r="F2887" t="s">
        <v>663</v>
      </c>
      <c r="G2887" s="10">
        <v>4</v>
      </c>
      <c r="H2887" s="10">
        <v>9795</v>
      </c>
      <c r="I2887" s="10">
        <v>39180</v>
      </c>
      <c r="J2887" t="s">
        <v>42</v>
      </c>
      <c r="K2887" s="11">
        <v>3145.8</v>
      </c>
      <c r="L2887" s="12">
        <v>12.45</v>
      </c>
    </row>
    <row r="2888" spans="1:12" x14ac:dyDescent="0.2">
      <c r="A2888" s="9">
        <v>46251</v>
      </c>
      <c r="B2888" t="s">
        <v>324</v>
      </c>
      <c r="C2888" t="s">
        <v>325</v>
      </c>
      <c r="D2888" t="s">
        <v>46</v>
      </c>
      <c r="E2888" t="s">
        <v>660</v>
      </c>
      <c r="F2888" t="s">
        <v>669</v>
      </c>
      <c r="G2888" s="10">
        <v>5</v>
      </c>
      <c r="H2888" s="10">
        <v>2670</v>
      </c>
      <c r="I2888" s="10">
        <v>13350</v>
      </c>
      <c r="J2888" t="s">
        <v>37</v>
      </c>
      <c r="K2888" s="11">
        <v>648.20000000000005</v>
      </c>
      <c r="L2888" s="12">
        <v>20.6</v>
      </c>
    </row>
    <row r="2889" spans="1:12" x14ac:dyDescent="0.2">
      <c r="A2889" s="9">
        <v>46251</v>
      </c>
      <c r="B2889" t="s">
        <v>324</v>
      </c>
      <c r="C2889" t="s">
        <v>325</v>
      </c>
      <c r="D2889" t="s">
        <v>46</v>
      </c>
      <c r="E2889" t="s">
        <v>660</v>
      </c>
      <c r="F2889" t="s">
        <v>669</v>
      </c>
      <c r="G2889" s="10">
        <v>4</v>
      </c>
      <c r="H2889" s="10">
        <v>2551</v>
      </c>
      <c r="I2889" s="10">
        <v>10204</v>
      </c>
      <c r="J2889" t="s">
        <v>37</v>
      </c>
      <c r="K2889" s="11">
        <v>648.20000000000005</v>
      </c>
      <c r="L2889" s="12">
        <v>15.74</v>
      </c>
    </row>
    <row r="2890" spans="1:12" x14ac:dyDescent="0.2">
      <c r="A2890" s="9">
        <v>46251</v>
      </c>
      <c r="B2890" t="s">
        <v>324</v>
      </c>
      <c r="C2890" t="s">
        <v>325</v>
      </c>
      <c r="D2890" t="s">
        <v>46</v>
      </c>
      <c r="E2890" t="s">
        <v>660</v>
      </c>
      <c r="F2890" t="s">
        <v>661</v>
      </c>
      <c r="G2890" s="10">
        <v>5</v>
      </c>
      <c r="H2890" s="10">
        <v>4240</v>
      </c>
      <c r="I2890" s="10">
        <v>21200</v>
      </c>
      <c r="J2890" t="s">
        <v>37</v>
      </c>
      <c r="K2890" s="11">
        <v>648.20000000000005</v>
      </c>
      <c r="L2890" s="12">
        <v>32.71</v>
      </c>
    </row>
    <row r="2891" spans="1:12" x14ac:dyDescent="0.2">
      <c r="A2891" s="9">
        <v>46251</v>
      </c>
      <c r="B2891" t="s">
        <v>333</v>
      </c>
      <c r="C2891" t="s">
        <v>334</v>
      </c>
      <c r="D2891" t="s">
        <v>68</v>
      </c>
      <c r="E2891" t="s">
        <v>649</v>
      </c>
      <c r="F2891" t="s">
        <v>663</v>
      </c>
      <c r="G2891" s="10">
        <v>7</v>
      </c>
      <c r="H2891" s="10">
        <v>2051</v>
      </c>
      <c r="I2891" s="10">
        <v>14357</v>
      </c>
      <c r="J2891" t="s">
        <v>51</v>
      </c>
      <c r="K2891" s="11">
        <v>648.20000000000005</v>
      </c>
      <c r="L2891" s="12">
        <v>22.15</v>
      </c>
    </row>
    <row r="2892" spans="1:12" x14ac:dyDescent="0.2">
      <c r="A2892" s="9">
        <v>46251</v>
      </c>
      <c r="B2892" t="s">
        <v>336</v>
      </c>
      <c r="C2892" t="s">
        <v>337</v>
      </c>
      <c r="D2892" t="s">
        <v>68</v>
      </c>
      <c r="E2892" t="s">
        <v>655</v>
      </c>
      <c r="F2892" t="s">
        <v>665</v>
      </c>
      <c r="G2892" s="10">
        <v>7</v>
      </c>
      <c r="H2892" s="10">
        <v>692</v>
      </c>
      <c r="I2892" s="10">
        <v>4844</v>
      </c>
      <c r="J2892" t="s">
        <v>51</v>
      </c>
      <c r="K2892" s="11">
        <v>648.20000000000005</v>
      </c>
      <c r="L2892" s="12">
        <v>7.47</v>
      </c>
    </row>
    <row r="2893" spans="1:12" x14ac:dyDescent="0.2">
      <c r="A2893" s="9">
        <v>46251</v>
      </c>
      <c r="B2893" t="s">
        <v>339</v>
      </c>
      <c r="C2893" t="s">
        <v>340</v>
      </c>
      <c r="D2893" t="s">
        <v>68</v>
      </c>
      <c r="E2893" t="s">
        <v>647</v>
      </c>
      <c r="F2893" t="s">
        <v>648</v>
      </c>
      <c r="G2893" s="10">
        <v>29</v>
      </c>
      <c r="H2893" s="10">
        <v>15669</v>
      </c>
      <c r="I2893" s="10">
        <v>454401</v>
      </c>
      <c r="J2893" t="s">
        <v>51</v>
      </c>
      <c r="K2893" s="11">
        <v>648.20000000000005</v>
      </c>
      <c r="L2893" s="12">
        <v>701.02</v>
      </c>
    </row>
    <row r="2894" spans="1:12" x14ac:dyDescent="0.2">
      <c r="A2894" s="9">
        <v>46251</v>
      </c>
      <c r="B2894" t="s">
        <v>342</v>
      </c>
      <c r="C2894" t="s">
        <v>343</v>
      </c>
      <c r="D2894" t="s">
        <v>41</v>
      </c>
      <c r="E2894" t="s">
        <v>651</v>
      </c>
      <c r="F2894" t="s">
        <v>652</v>
      </c>
      <c r="G2894" s="10">
        <v>9</v>
      </c>
      <c r="H2894" s="10">
        <v>47528</v>
      </c>
      <c r="I2894" s="10">
        <v>427752</v>
      </c>
      <c r="J2894" t="s">
        <v>42</v>
      </c>
      <c r="K2894" s="11">
        <v>3145.8</v>
      </c>
      <c r="L2894" s="12">
        <v>135.97999999999999</v>
      </c>
    </row>
    <row r="2895" spans="1:12" x14ac:dyDescent="0.2">
      <c r="A2895" s="9">
        <v>46251</v>
      </c>
      <c r="B2895" t="s">
        <v>342</v>
      </c>
      <c r="C2895" t="s">
        <v>343</v>
      </c>
      <c r="D2895" t="s">
        <v>41</v>
      </c>
      <c r="E2895" t="s">
        <v>653</v>
      </c>
      <c r="F2895" t="s">
        <v>666</v>
      </c>
      <c r="G2895" s="10">
        <v>9</v>
      </c>
      <c r="H2895" s="10">
        <v>7097</v>
      </c>
      <c r="I2895" s="10">
        <v>63873</v>
      </c>
      <c r="J2895" t="s">
        <v>42</v>
      </c>
      <c r="K2895" s="11">
        <v>3145.8</v>
      </c>
      <c r="L2895" s="12">
        <v>20.3</v>
      </c>
    </row>
    <row r="2896" spans="1:12" x14ac:dyDescent="0.2">
      <c r="A2896" s="9">
        <v>46251</v>
      </c>
      <c r="B2896" t="s">
        <v>342</v>
      </c>
      <c r="C2896" t="s">
        <v>343</v>
      </c>
      <c r="D2896" t="s">
        <v>41</v>
      </c>
      <c r="E2896" t="s">
        <v>655</v>
      </c>
      <c r="F2896" t="s">
        <v>665</v>
      </c>
      <c r="G2896" s="10">
        <v>175</v>
      </c>
      <c r="H2896" s="10">
        <v>3270</v>
      </c>
      <c r="I2896" s="10">
        <v>572250</v>
      </c>
      <c r="J2896" t="s">
        <v>42</v>
      </c>
      <c r="K2896" s="11">
        <v>3145.8</v>
      </c>
      <c r="L2896" s="12">
        <v>181.91</v>
      </c>
    </row>
    <row r="2897" spans="1:12" x14ac:dyDescent="0.2">
      <c r="A2897" s="9">
        <v>46251</v>
      </c>
      <c r="B2897" t="s">
        <v>348</v>
      </c>
      <c r="C2897" t="s">
        <v>349</v>
      </c>
      <c r="D2897" t="s">
        <v>36</v>
      </c>
      <c r="E2897" t="s">
        <v>649</v>
      </c>
      <c r="F2897" t="s">
        <v>663</v>
      </c>
      <c r="G2897" s="10">
        <v>14</v>
      </c>
      <c r="H2897" s="10">
        <v>1956</v>
      </c>
      <c r="I2897" s="10">
        <v>27384</v>
      </c>
      <c r="J2897" t="s">
        <v>37</v>
      </c>
      <c r="K2897" s="11">
        <v>648.20000000000005</v>
      </c>
      <c r="L2897" s="12">
        <v>42.25</v>
      </c>
    </row>
    <row r="2898" spans="1:12" x14ac:dyDescent="0.2">
      <c r="A2898" s="9">
        <v>46251</v>
      </c>
      <c r="B2898" t="s">
        <v>348</v>
      </c>
      <c r="C2898" t="s">
        <v>349</v>
      </c>
      <c r="D2898" t="s">
        <v>36</v>
      </c>
      <c r="E2898" t="s">
        <v>655</v>
      </c>
      <c r="F2898" t="s">
        <v>665</v>
      </c>
      <c r="G2898" s="10">
        <v>32</v>
      </c>
      <c r="H2898" s="10">
        <v>672</v>
      </c>
      <c r="I2898" s="10">
        <v>21504</v>
      </c>
      <c r="J2898" t="s">
        <v>37</v>
      </c>
      <c r="K2898" s="11">
        <v>648.20000000000005</v>
      </c>
      <c r="L2898" s="12">
        <v>33.17</v>
      </c>
    </row>
    <row r="2899" spans="1:12" x14ac:dyDescent="0.2">
      <c r="A2899" s="9">
        <v>46251</v>
      </c>
      <c r="B2899" t="s">
        <v>357</v>
      </c>
      <c r="C2899" t="s">
        <v>358</v>
      </c>
      <c r="D2899" t="s">
        <v>36</v>
      </c>
      <c r="E2899" t="s">
        <v>649</v>
      </c>
      <c r="F2899" t="s">
        <v>650</v>
      </c>
      <c r="G2899" s="10">
        <v>6</v>
      </c>
      <c r="H2899" s="10">
        <v>18833</v>
      </c>
      <c r="I2899" s="10">
        <v>112998</v>
      </c>
      <c r="J2899" t="s">
        <v>37</v>
      </c>
      <c r="K2899" s="11">
        <v>648.20000000000005</v>
      </c>
      <c r="L2899" s="12">
        <v>174.33</v>
      </c>
    </row>
    <row r="2900" spans="1:12" x14ac:dyDescent="0.2">
      <c r="A2900" s="9">
        <v>46251</v>
      </c>
      <c r="B2900" t="s">
        <v>357</v>
      </c>
      <c r="C2900" t="s">
        <v>358</v>
      </c>
      <c r="D2900" t="s">
        <v>36</v>
      </c>
      <c r="E2900" t="s">
        <v>649</v>
      </c>
      <c r="F2900" t="s">
        <v>663</v>
      </c>
      <c r="G2900" s="10">
        <v>62</v>
      </c>
      <c r="H2900" s="10">
        <v>2056</v>
      </c>
      <c r="I2900" s="10">
        <v>127472</v>
      </c>
      <c r="J2900" t="s">
        <v>37</v>
      </c>
      <c r="K2900" s="11">
        <v>648.20000000000005</v>
      </c>
      <c r="L2900" s="12">
        <v>196.66</v>
      </c>
    </row>
    <row r="2901" spans="1:12" x14ac:dyDescent="0.2">
      <c r="A2901" s="9">
        <v>46251</v>
      </c>
      <c r="B2901" t="s">
        <v>357</v>
      </c>
      <c r="C2901" t="s">
        <v>358</v>
      </c>
      <c r="D2901" t="s">
        <v>36</v>
      </c>
      <c r="E2901" t="s">
        <v>660</v>
      </c>
      <c r="F2901" t="s">
        <v>669</v>
      </c>
      <c r="G2901" s="10">
        <v>13</v>
      </c>
      <c r="H2901" s="10">
        <v>2591</v>
      </c>
      <c r="I2901" s="10">
        <v>33683</v>
      </c>
      <c r="J2901" t="s">
        <v>37</v>
      </c>
      <c r="K2901" s="11">
        <v>648.20000000000005</v>
      </c>
      <c r="L2901" s="12">
        <v>51.96</v>
      </c>
    </row>
    <row r="2902" spans="1:12" x14ac:dyDescent="0.2">
      <c r="A2902" s="9">
        <v>46251</v>
      </c>
      <c r="B2902" t="s">
        <v>357</v>
      </c>
      <c r="C2902" t="s">
        <v>358</v>
      </c>
      <c r="D2902" t="s">
        <v>36</v>
      </c>
      <c r="E2902" t="s">
        <v>660</v>
      </c>
      <c r="F2902" t="s">
        <v>661</v>
      </c>
      <c r="G2902" s="10">
        <v>114</v>
      </c>
      <c r="H2902" s="10">
        <v>4172</v>
      </c>
      <c r="I2902" s="10">
        <v>475608</v>
      </c>
      <c r="J2902" t="s">
        <v>37</v>
      </c>
      <c r="K2902" s="11">
        <v>648.20000000000005</v>
      </c>
      <c r="L2902" s="12">
        <v>733.74</v>
      </c>
    </row>
    <row r="2903" spans="1:12" x14ac:dyDescent="0.2">
      <c r="A2903" s="9">
        <v>46251</v>
      </c>
      <c r="B2903" t="s">
        <v>357</v>
      </c>
      <c r="C2903" t="s">
        <v>358</v>
      </c>
      <c r="D2903" t="s">
        <v>36</v>
      </c>
      <c r="E2903" t="s">
        <v>651</v>
      </c>
      <c r="F2903" t="s">
        <v>657</v>
      </c>
      <c r="G2903" s="10">
        <v>23</v>
      </c>
      <c r="H2903" s="10">
        <v>6265</v>
      </c>
      <c r="I2903" s="10">
        <v>144095</v>
      </c>
      <c r="J2903" t="s">
        <v>37</v>
      </c>
      <c r="K2903" s="11">
        <v>648.20000000000005</v>
      </c>
      <c r="L2903" s="12">
        <v>222.3</v>
      </c>
    </row>
    <row r="2904" spans="1:12" x14ac:dyDescent="0.2">
      <c r="A2904" s="9">
        <v>46251</v>
      </c>
      <c r="B2904" t="s">
        <v>360</v>
      </c>
      <c r="C2904" t="s">
        <v>361</v>
      </c>
      <c r="D2904" t="s">
        <v>46</v>
      </c>
      <c r="E2904" t="s">
        <v>647</v>
      </c>
      <c r="F2904" t="s">
        <v>667</v>
      </c>
      <c r="G2904" s="10">
        <v>10</v>
      </c>
      <c r="H2904" s="10">
        <v>7442</v>
      </c>
      <c r="I2904" s="10">
        <v>74420</v>
      </c>
      <c r="J2904" t="s">
        <v>37</v>
      </c>
      <c r="K2904" s="11">
        <v>648.20000000000005</v>
      </c>
      <c r="L2904" s="12">
        <v>114.81</v>
      </c>
    </row>
    <row r="2905" spans="1:12" x14ac:dyDescent="0.2">
      <c r="A2905" s="9">
        <v>46251</v>
      </c>
      <c r="B2905" t="s">
        <v>363</v>
      </c>
      <c r="C2905" t="s">
        <v>364</v>
      </c>
      <c r="D2905" t="s">
        <v>46</v>
      </c>
      <c r="E2905" t="s">
        <v>660</v>
      </c>
      <c r="F2905" t="s">
        <v>661</v>
      </c>
      <c r="G2905" s="10">
        <v>189</v>
      </c>
      <c r="H2905" s="10">
        <v>4249</v>
      </c>
      <c r="I2905" s="10">
        <v>803061</v>
      </c>
      <c r="J2905" t="s">
        <v>37</v>
      </c>
      <c r="K2905" s="11">
        <v>648.20000000000005</v>
      </c>
      <c r="L2905" s="12">
        <v>1238.9100000000001</v>
      </c>
    </row>
    <row r="2906" spans="1:12" x14ac:dyDescent="0.2">
      <c r="A2906" s="9">
        <v>46251</v>
      </c>
      <c r="B2906" t="s">
        <v>363</v>
      </c>
      <c r="C2906" t="s">
        <v>364</v>
      </c>
      <c r="D2906" t="s">
        <v>46</v>
      </c>
      <c r="E2906" t="s">
        <v>653</v>
      </c>
      <c r="F2906" t="s">
        <v>654</v>
      </c>
      <c r="G2906" s="10">
        <v>15</v>
      </c>
      <c r="H2906" s="10">
        <v>5919</v>
      </c>
      <c r="I2906" s="10">
        <v>88785</v>
      </c>
      <c r="J2906" t="s">
        <v>37</v>
      </c>
      <c r="K2906" s="11">
        <v>648.20000000000005</v>
      </c>
      <c r="L2906" s="12">
        <v>136.97</v>
      </c>
    </row>
    <row r="2907" spans="1:12" x14ac:dyDescent="0.2">
      <c r="A2907" s="9">
        <v>46251</v>
      </c>
      <c r="B2907" t="s">
        <v>363</v>
      </c>
      <c r="C2907" t="s">
        <v>364</v>
      </c>
      <c r="D2907" t="s">
        <v>46</v>
      </c>
      <c r="E2907" t="s">
        <v>655</v>
      </c>
      <c r="F2907" t="s">
        <v>656</v>
      </c>
      <c r="G2907" s="10">
        <v>63</v>
      </c>
      <c r="H2907" s="10">
        <v>573</v>
      </c>
      <c r="I2907" s="10">
        <v>36099</v>
      </c>
      <c r="J2907" t="s">
        <v>37</v>
      </c>
      <c r="K2907" s="11">
        <v>648.20000000000005</v>
      </c>
      <c r="L2907" s="12">
        <v>55.69</v>
      </c>
    </row>
    <row r="2908" spans="1:12" x14ac:dyDescent="0.2">
      <c r="A2908" s="9">
        <v>46251</v>
      </c>
      <c r="B2908" t="s">
        <v>369</v>
      </c>
      <c r="C2908" t="s">
        <v>370</v>
      </c>
      <c r="D2908" t="s">
        <v>36</v>
      </c>
      <c r="E2908" t="s">
        <v>647</v>
      </c>
      <c r="F2908" t="s">
        <v>667</v>
      </c>
      <c r="G2908" s="10">
        <v>12</v>
      </c>
      <c r="H2908" s="10">
        <v>7340</v>
      </c>
      <c r="I2908" s="10">
        <v>88080</v>
      </c>
      <c r="J2908" t="s">
        <v>37</v>
      </c>
      <c r="K2908" s="11">
        <v>648.20000000000005</v>
      </c>
      <c r="L2908" s="12">
        <v>135.88</v>
      </c>
    </row>
    <row r="2909" spans="1:12" x14ac:dyDescent="0.2">
      <c r="A2909" s="9">
        <v>46251</v>
      </c>
      <c r="B2909" t="s">
        <v>369</v>
      </c>
      <c r="C2909" t="s">
        <v>370</v>
      </c>
      <c r="D2909" t="s">
        <v>36</v>
      </c>
      <c r="E2909" t="s">
        <v>651</v>
      </c>
      <c r="F2909" t="s">
        <v>657</v>
      </c>
      <c r="G2909" s="10">
        <v>9</v>
      </c>
      <c r="H2909" s="10">
        <v>6571</v>
      </c>
      <c r="I2909" s="10">
        <v>59139</v>
      </c>
      <c r="J2909" t="s">
        <v>37</v>
      </c>
      <c r="K2909" s="11">
        <v>648.20000000000005</v>
      </c>
      <c r="L2909" s="12">
        <v>91.24</v>
      </c>
    </row>
    <row r="2910" spans="1:12" x14ac:dyDescent="0.2">
      <c r="A2910" s="9">
        <v>46251</v>
      </c>
      <c r="B2910" t="s">
        <v>372</v>
      </c>
      <c r="C2910" t="s">
        <v>373</v>
      </c>
      <c r="D2910" t="s">
        <v>75</v>
      </c>
      <c r="E2910" t="s">
        <v>660</v>
      </c>
      <c r="F2910" t="s">
        <v>669</v>
      </c>
      <c r="G2910" s="10">
        <v>11</v>
      </c>
      <c r="H2910" s="10">
        <v>12423</v>
      </c>
      <c r="I2910" s="10">
        <v>136653</v>
      </c>
      <c r="J2910" t="s">
        <v>42</v>
      </c>
      <c r="K2910" s="11">
        <v>3145.8</v>
      </c>
      <c r="L2910" s="12">
        <v>43.44</v>
      </c>
    </row>
    <row r="2911" spans="1:12" x14ac:dyDescent="0.2">
      <c r="A2911" s="9">
        <v>46251</v>
      </c>
      <c r="B2911" t="s">
        <v>375</v>
      </c>
      <c r="C2911" t="s">
        <v>376</v>
      </c>
      <c r="D2911" t="s">
        <v>36</v>
      </c>
      <c r="E2911" t="s">
        <v>651</v>
      </c>
      <c r="F2911" t="s">
        <v>652</v>
      </c>
      <c r="G2911" s="10">
        <v>5</v>
      </c>
      <c r="H2911" s="10">
        <v>9936</v>
      </c>
      <c r="I2911" s="10">
        <v>49680</v>
      </c>
      <c r="J2911" t="s">
        <v>37</v>
      </c>
      <c r="K2911" s="11">
        <v>648.20000000000005</v>
      </c>
      <c r="L2911" s="12">
        <v>76.64</v>
      </c>
    </row>
    <row r="2912" spans="1:12" x14ac:dyDescent="0.2">
      <c r="A2912" s="9">
        <v>46251</v>
      </c>
      <c r="B2912" t="s">
        <v>378</v>
      </c>
      <c r="C2912" t="s">
        <v>379</v>
      </c>
      <c r="D2912" t="s">
        <v>50</v>
      </c>
      <c r="E2912" t="s">
        <v>649</v>
      </c>
      <c r="F2912" t="s">
        <v>650</v>
      </c>
      <c r="G2912" s="10">
        <v>16</v>
      </c>
      <c r="H2912" s="10">
        <v>19646</v>
      </c>
      <c r="I2912" s="10">
        <v>314336</v>
      </c>
      <c r="J2912" t="s">
        <v>51</v>
      </c>
      <c r="K2912" s="11">
        <v>648.20000000000005</v>
      </c>
      <c r="L2912" s="12">
        <v>484.94</v>
      </c>
    </row>
    <row r="2913" spans="1:12" x14ac:dyDescent="0.2">
      <c r="A2913" s="9">
        <v>46251</v>
      </c>
      <c r="B2913" t="s">
        <v>378</v>
      </c>
      <c r="C2913" t="s">
        <v>379</v>
      </c>
      <c r="D2913" t="s">
        <v>50</v>
      </c>
      <c r="E2913" t="s">
        <v>647</v>
      </c>
      <c r="F2913" t="s">
        <v>667</v>
      </c>
      <c r="G2913" s="10">
        <v>7</v>
      </c>
      <c r="H2913" s="10">
        <v>7491</v>
      </c>
      <c r="I2913" s="10">
        <v>52437</v>
      </c>
      <c r="J2913" t="s">
        <v>51</v>
      </c>
      <c r="K2913" s="11">
        <v>648.20000000000005</v>
      </c>
      <c r="L2913" s="12">
        <v>80.900000000000006</v>
      </c>
    </row>
    <row r="2914" spans="1:12" x14ac:dyDescent="0.2">
      <c r="A2914" s="9">
        <v>46251</v>
      </c>
      <c r="B2914" t="s">
        <v>390</v>
      </c>
      <c r="C2914" t="s">
        <v>391</v>
      </c>
      <c r="D2914" t="s">
        <v>46</v>
      </c>
      <c r="E2914" t="s">
        <v>651</v>
      </c>
      <c r="F2914" t="s">
        <v>657</v>
      </c>
      <c r="G2914" s="10">
        <v>19</v>
      </c>
      <c r="H2914" s="10">
        <v>6176</v>
      </c>
      <c r="I2914" s="10">
        <v>117344</v>
      </c>
      <c r="J2914" t="s">
        <v>37</v>
      </c>
      <c r="K2914" s="11">
        <v>648.20000000000005</v>
      </c>
      <c r="L2914" s="12">
        <v>181.03</v>
      </c>
    </row>
    <row r="2915" spans="1:12" x14ac:dyDescent="0.2">
      <c r="A2915" s="9">
        <v>46251</v>
      </c>
      <c r="B2915" t="s">
        <v>390</v>
      </c>
      <c r="C2915" t="s">
        <v>391</v>
      </c>
      <c r="D2915" t="s">
        <v>46</v>
      </c>
      <c r="E2915" t="s">
        <v>655</v>
      </c>
      <c r="F2915" t="s">
        <v>665</v>
      </c>
      <c r="G2915" s="10">
        <v>19</v>
      </c>
      <c r="H2915" s="10">
        <v>672</v>
      </c>
      <c r="I2915" s="10">
        <v>12768</v>
      </c>
      <c r="J2915" t="s">
        <v>37</v>
      </c>
      <c r="K2915" s="11">
        <v>648.20000000000005</v>
      </c>
      <c r="L2915" s="12">
        <v>19.7</v>
      </c>
    </row>
    <row r="2916" spans="1:12" x14ac:dyDescent="0.2">
      <c r="A2916" s="9">
        <v>46251</v>
      </c>
      <c r="B2916" t="s">
        <v>393</v>
      </c>
      <c r="C2916" t="s">
        <v>307</v>
      </c>
      <c r="D2916" t="s">
        <v>68</v>
      </c>
      <c r="E2916" t="s">
        <v>649</v>
      </c>
      <c r="F2916" t="s">
        <v>659</v>
      </c>
      <c r="G2916" s="10">
        <v>335</v>
      </c>
      <c r="H2916" s="10">
        <v>9055</v>
      </c>
      <c r="I2916" s="10">
        <v>3033425</v>
      </c>
      <c r="J2916" t="s">
        <v>51</v>
      </c>
      <c r="K2916" s="11">
        <v>648.20000000000005</v>
      </c>
      <c r="L2916" s="12">
        <v>4679.7700000000004</v>
      </c>
    </row>
    <row r="2917" spans="1:12" x14ac:dyDescent="0.2">
      <c r="A2917" s="9">
        <v>46251</v>
      </c>
      <c r="B2917" t="s">
        <v>393</v>
      </c>
      <c r="C2917" t="s">
        <v>307</v>
      </c>
      <c r="D2917" t="s">
        <v>68</v>
      </c>
      <c r="E2917" t="s">
        <v>647</v>
      </c>
      <c r="F2917" t="s">
        <v>667</v>
      </c>
      <c r="G2917" s="10">
        <v>32</v>
      </c>
      <c r="H2917" s="10">
        <v>7402</v>
      </c>
      <c r="I2917" s="10">
        <v>236864</v>
      </c>
      <c r="J2917" t="s">
        <v>51</v>
      </c>
      <c r="K2917" s="11">
        <v>648.20000000000005</v>
      </c>
      <c r="L2917" s="12">
        <v>365.42</v>
      </c>
    </row>
    <row r="2918" spans="1:12" x14ac:dyDescent="0.2">
      <c r="A2918" s="9">
        <v>46251</v>
      </c>
      <c r="B2918" t="s">
        <v>398</v>
      </c>
      <c r="C2918" t="s">
        <v>399</v>
      </c>
      <c r="D2918" t="s">
        <v>46</v>
      </c>
      <c r="E2918" t="s">
        <v>649</v>
      </c>
      <c r="F2918" t="s">
        <v>659</v>
      </c>
      <c r="G2918" s="10">
        <v>112</v>
      </c>
      <c r="H2918" s="10">
        <v>8778</v>
      </c>
      <c r="I2918" s="10">
        <v>983136</v>
      </c>
      <c r="J2918" t="s">
        <v>37</v>
      </c>
      <c r="K2918" s="11">
        <v>648.20000000000005</v>
      </c>
      <c r="L2918" s="12">
        <v>1516.72</v>
      </c>
    </row>
    <row r="2919" spans="1:12" x14ac:dyDescent="0.2">
      <c r="A2919" s="9">
        <v>46251</v>
      </c>
      <c r="B2919" t="s">
        <v>404</v>
      </c>
      <c r="C2919" t="s">
        <v>405</v>
      </c>
      <c r="D2919" t="s">
        <v>46</v>
      </c>
      <c r="E2919" t="s">
        <v>649</v>
      </c>
      <c r="F2919" t="s">
        <v>663</v>
      </c>
      <c r="G2919" s="10">
        <v>5</v>
      </c>
      <c r="H2919" s="10">
        <v>1956</v>
      </c>
      <c r="I2919" s="10">
        <v>9780</v>
      </c>
      <c r="J2919" t="s">
        <v>37</v>
      </c>
      <c r="K2919" s="11">
        <v>648.20000000000005</v>
      </c>
      <c r="L2919" s="12">
        <v>15.09</v>
      </c>
    </row>
    <row r="2920" spans="1:12" x14ac:dyDescent="0.2">
      <c r="A2920" s="9">
        <v>46251</v>
      </c>
      <c r="B2920" t="s">
        <v>404</v>
      </c>
      <c r="C2920" t="s">
        <v>405</v>
      </c>
      <c r="D2920" t="s">
        <v>46</v>
      </c>
      <c r="E2920" t="s">
        <v>649</v>
      </c>
      <c r="F2920" t="s">
        <v>663</v>
      </c>
      <c r="G2920" s="10">
        <v>3</v>
      </c>
      <c r="H2920" s="10">
        <v>2036</v>
      </c>
      <c r="I2920" s="10">
        <v>6108</v>
      </c>
      <c r="J2920" t="s">
        <v>37</v>
      </c>
      <c r="K2920" s="11">
        <v>648.20000000000005</v>
      </c>
      <c r="L2920" s="12">
        <v>9.42</v>
      </c>
    </row>
    <row r="2921" spans="1:12" x14ac:dyDescent="0.2">
      <c r="A2921" s="9">
        <v>46251</v>
      </c>
      <c r="B2921" t="s">
        <v>410</v>
      </c>
      <c r="C2921" t="s">
        <v>411</v>
      </c>
      <c r="D2921" t="s">
        <v>46</v>
      </c>
      <c r="E2921" t="s">
        <v>660</v>
      </c>
      <c r="F2921" t="s">
        <v>661</v>
      </c>
      <c r="G2921" s="10">
        <v>2</v>
      </c>
      <c r="H2921" s="10">
        <v>4311</v>
      </c>
      <c r="I2921" s="10">
        <v>8622</v>
      </c>
      <c r="J2921" t="s">
        <v>37</v>
      </c>
      <c r="K2921" s="11">
        <v>648.20000000000005</v>
      </c>
      <c r="L2921" s="12">
        <v>13.3</v>
      </c>
    </row>
    <row r="2922" spans="1:12" x14ac:dyDescent="0.2">
      <c r="A2922" s="9">
        <v>46251</v>
      </c>
      <c r="B2922" t="s">
        <v>413</v>
      </c>
      <c r="C2922" t="s">
        <v>414</v>
      </c>
      <c r="D2922" t="s">
        <v>41</v>
      </c>
      <c r="E2922" t="s">
        <v>647</v>
      </c>
      <c r="F2922" t="s">
        <v>668</v>
      </c>
      <c r="G2922" s="10">
        <v>1</v>
      </c>
      <c r="H2922" s="10">
        <v>118112</v>
      </c>
      <c r="I2922" s="10">
        <v>118112</v>
      </c>
      <c r="J2922" t="s">
        <v>42</v>
      </c>
      <c r="K2922" s="11">
        <v>3145.8</v>
      </c>
      <c r="L2922" s="12">
        <v>37.549999999999997</v>
      </c>
    </row>
    <row r="2923" spans="1:12" x14ac:dyDescent="0.2">
      <c r="A2923" s="9">
        <v>46251</v>
      </c>
      <c r="B2923" t="s">
        <v>419</v>
      </c>
      <c r="C2923" t="s">
        <v>420</v>
      </c>
      <c r="D2923" t="s">
        <v>46</v>
      </c>
      <c r="E2923" t="s">
        <v>655</v>
      </c>
      <c r="F2923" t="s">
        <v>662</v>
      </c>
      <c r="G2923" s="10">
        <v>6</v>
      </c>
      <c r="H2923" s="10">
        <v>1150</v>
      </c>
      <c r="I2923" s="10">
        <v>6900</v>
      </c>
      <c r="J2923" t="s">
        <v>37</v>
      </c>
      <c r="K2923" s="11">
        <v>648.20000000000005</v>
      </c>
      <c r="L2923" s="12">
        <v>10.64</v>
      </c>
    </row>
    <row r="2924" spans="1:12" x14ac:dyDescent="0.2">
      <c r="A2924" s="9">
        <v>46251</v>
      </c>
      <c r="B2924" t="s">
        <v>422</v>
      </c>
      <c r="C2924" t="s">
        <v>423</v>
      </c>
      <c r="D2924" t="s">
        <v>68</v>
      </c>
      <c r="E2924" t="s">
        <v>647</v>
      </c>
      <c r="F2924" t="s">
        <v>668</v>
      </c>
      <c r="G2924" s="10">
        <v>46</v>
      </c>
      <c r="H2924" s="10">
        <v>24963</v>
      </c>
      <c r="I2924" s="10">
        <v>1148298</v>
      </c>
      <c r="J2924" t="s">
        <v>51</v>
      </c>
      <c r="K2924" s="11">
        <v>648.20000000000005</v>
      </c>
      <c r="L2924" s="12">
        <v>1771.52</v>
      </c>
    </row>
    <row r="2925" spans="1:12" x14ac:dyDescent="0.2">
      <c r="A2925" s="9">
        <v>46251</v>
      </c>
      <c r="B2925" t="s">
        <v>431</v>
      </c>
      <c r="C2925" t="s">
        <v>432</v>
      </c>
      <c r="D2925" t="s">
        <v>36</v>
      </c>
      <c r="E2925" t="s">
        <v>660</v>
      </c>
      <c r="F2925" t="s">
        <v>661</v>
      </c>
      <c r="G2925" s="10">
        <v>14</v>
      </c>
      <c r="H2925" s="10">
        <v>4191</v>
      </c>
      <c r="I2925" s="10">
        <v>58674</v>
      </c>
      <c r="J2925" t="s">
        <v>37</v>
      </c>
      <c r="K2925" s="11">
        <v>648.20000000000005</v>
      </c>
      <c r="L2925" s="12">
        <v>90.52</v>
      </c>
    </row>
    <row r="2926" spans="1:12" x14ac:dyDescent="0.2">
      <c r="A2926" s="9">
        <v>46251</v>
      </c>
      <c r="B2926" t="s">
        <v>431</v>
      </c>
      <c r="C2926" t="s">
        <v>432</v>
      </c>
      <c r="D2926" t="s">
        <v>36</v>
      </c>
      <c r="E2926" t="s">
        <v>647</v>
      </c>
      <c r="F2926" t="s">
        <v>648</v>
      </c>
      <c r="G2926" s="10">
        <v>3</v>
      </c>
      <c r="H2926" s="10">
        <v>16592</v>
      </c>
      <c r="I2926" s="10">
        <v>49776</v>
      </c>
      <c r="J2926" t="s">
        <v>37</v>
      </c>
      <c r="K2926" s="11">
        <v>648.20000000000005</v>
      </c>
      <c r="L2926" s="12">
        <v>76.790000000000006</v>
      </c>
    </row>
    <row r="2927" spans="1:12" x14ac:dyDescent="0.2">
      <c r="A2927" s="9">
        <v>46251</v>
      </c>
      <c r="B2927" t="s">
        <v>439</v>
      </c>
      <c r="C2927" t="s">
        <v>440</v>
      </c>
      <c r="D2927" t="s">
        <v>50</v>
      </c>
      <c r="E2927" t="s">
        <v>651</v>
      </c>
      <c r="F2927" t="s">
        <v>652</v>
      </c>
      <c r="G2927" s="10">
        <v>3</v>
      </c>
      <c r="H2927" s="10">
        <v>9246</v>
      </c>
      <c r="I2927" s="10">
        <v>27738</v>
      </c>
      <c r="J2927" t="s">
        <v>51</v>
      </c>
      <c r="K2927" s="11">
        <v>648.20000000000005</v>
      </c>
      <c r="L2927" s="12">
        <v>42.79</v>
      </c>
    </row>
    <row r="2928" spans="1:12" x14ac:dyDescent="0.2">
      <c r="A2928" s="9">
        <v>46251</v>
      </c>
      <c r="B2928" t="s">
        <v>439</v>
      </c>
      <c r="C2928" t="s">
        <v>440</v>
      </c>
      <c r="D2928" t="s">
        <v>50</v>
      </c>
      <c r="E2928" t="s">
        <v>649</v>
      </c>
      <c r="F2928" t="s">
        <v>663</v>
      </c>
      <c r="G2928" s="10">
        <v>12</v>
      </c>
      <c r="H2928" s="10">
        <v>2085</v>
      </c>
      <c r="I2928" s="10">
        <v>25020</v>
      </c>
      <c r="J2928" t="s">
        <v>51</v>
      </c>
      <c r="K2928" s="11">
        <v>648.20000000000005</v>
      </c>
      <c r="L2928" s="12">
        <v>38.6</v>
      </c>
    </row>
    <row r="2929" spans="1:12" x14ac:dyDescent="0.2">
      <c r="A2929" s="9">
        <v>46251</v>
      </c>
      <c r="B2929" t="s">
        <v>445</v>
      </c>
      <c r="C2929" t="s">
        <v>446</v>
      </c>
      <c r="D2929" t="s">
        <v>68</v>
      </c>
      <c r="E2929" t="s">
        <v>655</v>
      </c>
      <c r="F2929" t="s">
        <v>656</v>
      </c>
      <c r="G2929" s="10">
        <v>4</v>
      </c>
      <c r="H2929" s="10">
        <v>574</v>
      </c>
      <c r="I2929" s="10">
        <v>2296</v>
      </c>
      <c r="J2929" t="s">
        <v>51</v>
      </c>
      <c r="K2929" s="11">
        <v>648.20000000000005</v>
      </c>
      <c r="L2929" s="12">
        <v>3.54</v>
      </c>
    </row>
    <row r="2930" spans="1:12" x14ac:dyDescent="0.2">
      <c r="A2930" s="9">
        <v>46251</v>
      </c>
      <c r="B2930" t="s">
        <v>448</v>
      </c>
      <c r="C2930" t="s">
        <v>449</v>
      </c>
      <c r="D2930" t="s">
        <v>75</v>
      </c>
      <c r="E2930" t="s">
        <v>649</v>
      </c>
      <c r="F2930" t="s">
        <v>650</v>
      </c>
      <c r="G2930" s="10">
        <v>26</v>
      </c>
      <c r="H2930" s="10">
        <v>96140</v>
      </c>
      <c r="I2930" s="10">
        <v>2499640</v>
      </c>
      <c r="J2930" t="s">
        <v>42</v>
      </c>
      <c r="K2930" s="11">
        <v>3145.8</v>
      </c>
      <c r="L2930" s="12">
        <v>794.6</v>
      </c>
    </row>
    <row r="2931" spans="1:12" x14ac:dyDescent="0.2">
      <c r="A2931" s="9">
        <v>46251</v>
      </c>
      <c r="B2931" t="s">
        <v>448</v>
      </c>
      <c r="C2931" t="s">
        <v>449</v>
      </c>
      <c r="D2931" t="s">
        <v>75</v>
      </c>
      <c r="E2931" t="s">
        <v>660</v>
      </c>
      <c r="F2931" t="s">
        <v>661</v>
      </c>
      <c r="G2931" s="10">
        <v>2</v>
      </c>
      <c r="H2931" s="10">
        <v>20815</v>
      </c>
      <c r="I2931" s="10">
        <v>41630</v>
      </c>
      <c r="J2931" t="s">
        <v>42</v>
      </c>
      <c r="K2931" s="11">
        <v>3145.8</v>
      </c>
      <c r="L2931" s="12">
        <v>13.23</v>
      </c>
    </row>
    <row r="2932" spans="1:12" x14ac:dyDescent="0.2">
      <c r="A2932" s="9">
        <v>46251</v>
      </c>
      <c r="B2932" t="s">
        <v>448</v>
      </c>
      <c r="C2932" t="s">
        <v>449</v>
      </c>
      <c r="D2932" t="s">
        <v>75</v>
      </c>
      <c r="E2932" t="s">
        <v>653</v>
      </c>
      <c r="F2932" t="s">
        <v>654</v>
      </c>
      <c r="G2932" s="10">
        <v>9</v>
      </c>
      <c r="H2932" s="10">
        <v>28047</v>
      </c>
      <c r="I2932" s="10">
        <v>252423</v>
      </c>
      <c r="J2932" t="s">
        <v>42</v>
      </c>
      <c r="K2932" s="11">
        <v>3145.8</v>
      </c>
      <c r="L2932" s="12">
        <v>80.239999999999995</v>
      </c>
    </row>
    <row r="2933" spans="1:12" x14ac:dyDescent="0.2">
      <c r="A2933" s="9">
        <v>46251</v>
      </c>
      <c r="B2933" t="s">
        <v>454</v>
      </c>
      <c r="C2933" t="s">
        <v>455</v>
      </c>
      <c r="D2933" t="s">
        <v>41</v>
      </c>
      <c r="E2933" t="s">
        <v>647</v>
      </c>
      <c r="F2933" t="s">
        <v>667</v>
      </c>
      <c r="G2933" s="10">
        <v>16</v>
      </c>
      <c r="H2933" s="10">
        <v>35952</v>
      </c>
      <c r="I2933" s="10">
        <v>575232</v>
      </c>
      <c r="J2933" t="s">
        <v>42</v>
      </c>
      <c r="K2933" s="11">
        <v>3145.8</v>
      </c>
      <c r="L2933" s="12">
        <v>182.86</v>
      </c>
    </row>
    <row r="2934" spans="1:12" x14ac:dyDescent="0.2">
      <c r="A2934" s="9">
        <v>46251</v>
      </c>
      <c r="B2934" t="s">
        <v>463</v>
      </c>
      <c r="C2934" t="s">
        <v>464</v>
      </c>
      <c r="D2934" t="s">
        <v>36</v>
      </c>
      <c r="E2934" t="s">
        <v>649</v>
      </c>
      <c r="F2934" t="s">
        <v>663</v>
      </c>
      <c r="G2934" s="10">
        <v>23</v>
      </c>
      <c r="H2934" s="10">
        <v>2086</v>
      </c>
      <c r="I2934" s="10">
        <v>47978</v>
      </c>
      <c r="J2934" t="s">
        <v>37</v>
      </c>
      <c r="K2934" s="11">
        <v>648.20000000000005</v>
      </c>
      <c r="L2934" s="12">
        <v>74.02</v>
      </c>
    </row>
    <row r="2935" spans="1:12" x14ac:dyDescent="0.2">
      <c r="A2935" s="9">
        <v>46251</v>
      </c>
      <c r="B2935" t="s">
        <v>463</v>
      </c>
      <c r="C2935" t="s">
        <v>464</v>
      </c>
      <c r="D2935" t="s">
        <v>36</v>
      </c>
      <c r="E2935" t="s">
        <v>647</v>
      </c>
      <c r="F2935" t="s">
        <v>648</v>
      </c>
      <c r="G2935" s="10">
        <v>2</v>
      </c>
      <c r="H2935" s="10">
        <v>15637</v>
      </c>
      <c r="I2935" s="10">
        <v>31274</v>
      </c>
      <c r="J2935" t="s">
        <v>37</v>
      </c>
      <c r="K2935" s="11">
        <v>648.20000000000005</v>
      </c>
      <c r="L2935" s="12">
        <v>48.25</v>
      </c>
    </row>
    <row r="2936" spans="1:12" x14ac:dyDescent="0.2">
      <c r="A2936" s="9">
        <v>46251</v>
      </c>
      <c r="B2936" t="s">
        <v>469</v>
      </c>
      <c r="C2936" t="s">
        <v>470</v>
      </c>
      <c r="D2936" t="s">
        <v>41</v>
      </c>
      <c r="E2936" t="s">
        <v>651</v>
      </c>
      <c r="F2936" t="s">
        <v>652</v>
      </c>
      <c r="G2936" s="10">
        <v>5</v>
      </c>
      <c r="H2936" s="10">
        <v>45564</v>
      </c>
      <c r="I2936" s="10">
        <v>227820</v>
      </c>
      <c r="J2936" t="s">
        <v>42</v>
      </c>
      <c r="K2936" s="11">
        <v>3145.8</v>
      </c>
      <c r="L2936" s="12">
        <v>72.42</v>
      </c>
    </row>
    <row r="2937" spans="1:12" x14ac:dyDescent="0.2">
      <c r="A2937" s="9">
        <v>46251</v>
      </c>
      <c r="B2937" t="s">
        <v>472</v>
      </c>
      <c r="C2937" t="s">
        <v>473</v>
      </c>
      <c r="D2937" t="s">
        <v>68</v>
      </c>
      <c r="E2937" t="s">
        <v>649</v>
      </c>
      <c r="F2937" t="s">
        <v>663</v>
      </c>
      <c r="G2937" s="10">
        <v>10</v>
      </c>
      <c r="H2937" s="10">
        <v>2045</v>
      </c>
      <c r="I2937" s="10">
        <v>20450</v>
      </c>
      <c r="J2937" t="s">
        <v>51</v>
      </c>
      <c r="K2937" s="11">
        <v>648.20000000000005</v>
      </c>
      <c r="L2937" s="12">
        <v>31.55</v>
      </c>
    </row>
    <row r="2938" spans="1:12" x14ac:dyDescent="0.2">
      <c r="A2938" s="9">
        <v>46251</v>
      </c>
      <c r="B2938" t="s">
        <v>472</v>
      </c>
      <c r="C2938" t="s">
        <v>473</v>
      </c>
      <c r="D2938" t="s">
        <v>68</v>
      </c>
      <c r="E2938" t="s">
        <v>660</v>
      </c>
      <c r="F2938" t="s">
        <v>670</v>
      </c>
      <c r="G2938" s="10">
        <v>1</v>
      </c>
      <c r="H2938" s="10">
        <v>14067</v>
      </c>
      <c r="I2938" s="10">
        <v>14067</v>
      </c>
      <c r="J2938" t="s">
        <v>51</v>
      </c>
      <c r="K2938" s="11">
        <v>648.20000000000005</v>
      </c>
      <c r="L2938" s="12">
        <v>21.7</v>
      </c>
    </row>
    <row r="2939" spans="1:12" x14ac:dyDescent="0.2">
      <c r="A2939" s="9">
        <v>46251</v>
      </c>
      <c r="B2939" t="s">
        <v>475</v>
      </c>
      <c r="C2939" t="s">
        <v>476</v>
      </c>
      <c r="D2939" t="s">
        <v>75</v>
      </c>
      <c r="E2939" t="s">
        <v>653</v>
      </c>
      <c r="F2939" t="s">
        <v>658</v>
      </c>
      <c r="G2939" s="10">
        <v>97</v>
      </c>
      <c r="H2939" s="10">
        <v>13258</v>
      </c>
      <c r="I2939" s="10">
        <v>1286026</v>
      </c>
      <c r="J2939" t="s">
        <v>42</v>
      </c>
      <c r="K2939" s="11">
        <v>3145.8</v>
      </c>
      <c r="L2939" s="12">
        <v>408.81</v>
      </c>
    </row>
    <row r="2940" spans="1:12" x14ac:dyDescent="0.2">
      <c r="A2940" s="9">
        <v>46251</v>
      </c>
      <c r="B2940" t="s">
        <v>475</v>
      </c>
      <c r="C2940" t="s">
        <v>476</v>
      </c>
      <c r="D2940" t="s">
        <v>75</v>
      </c>
      <c r="E2940" t="s">
        <v>660</v>
      </c>
      <c r="F2940" t="s">
        <v>670</v>
      </c>
      <c r="G2940" s="10">
        <v>29</v>
      </c>
      <c r="H2940" s="10">
        <v>69422</v>
      </c>
      <c r="I2940" s="10">
        <v>2013238</v>
      </c>
      <c r="J2940" t="s">
        <v>42</v>
      </c>
      <c r="K2940" s="11">
        <v>3145.8</v>
      </c>
      <c r="L2940" s="12">
        <v>639.98</v>
      </c>
    </row>
    <row r="2941" spans="1:12" x14ac:dyDescent="0.2">
      <c r="A2941" s="9">
        <v>46251</v>
      </c>
      <c r="B2941" t="s">
        <v>475</v>
      </c>
      <c r="C2941" t="s">
        <v>476</v>
      </c>
      <c r="D2941" t="s">
        <v>75</v>
      </c>
      <c r="E2941" t="s">
        <v>660</v>
      </c>
      <c r="F2941" t="s">
        <v>661</v>
      </c>
      <c r="G2941" s="10">
        <v>53</v>
      </c>
      <c r="H2941" s="10">
        <v>21088</v>
      </c>
      <c r="I2941" s="10">
        <v>1117664</v>
      </c>
      <c r="J2941" t="s">
        <v>42</v>
      </c>
      <c r="K2941" s="11">
        <v>3145.8</v>
      </c>
      <c r="L2941" s="12">
        <v>355.29</v>
      </c>
    </row>
    <row r="2942" spans="1:12" x14ac:dyDescent="0.2">
      <c r="A2942" s="9">
        <v>46251</v>
      </c>
      <c r="B2942" t="s">
        <v>475</v>
      </c>
      <c r="C2942" t="s">
        <v>476</v>
      </c>
      <c r="D2942" t="s">
        <v>75</v>
      </c>
      <c r="E2942" t="s">
        <v>647</v>
      </c>
      <c r="F2942" t="s">
        <v>648</v>
      </c>
      <c r="G2942" s="10">
        <v>99</v>
      </c>
      <c r="H2942" s="10">
        <v>78103</v>
      </c>
      <c r="I2942" s="10">
        <v>7732197</v>
      </c>
      <c r="J2942" t="s">
        <v>42</v>
      </c>
      <c r="K2942" s="11">
        <v>3145.8</v>
      </c>
      <c r="L2942" s="12">
        <v>2457.94</v>
      </c>
    </row>
    <row r="2943" spans="1:12" x14ac:dyDescent="0.2">
      <c r="A2943" s="9">
        <v>46251</v>
      </c>
      <c r="B2943" t="s">
        <v>475</v>
      </c>
      <c r="C2943" t="s">
        <v>476</v>
      </c>
      <c r="D2943" t="s">
        <v>75</v>
      </c>
      <c r="E2943" t="s">
        <v>651</v>
      </c>
      <c r="F2943" t="s">
        <v>657</v>
      </c>
      <c r="G2943" s="10">
        <v>15</v>
      </c>
      <c r="H2943" s="10">
        <v>32269</v>
      </c>
      <c r="I2943" s="10">
        <v>484035</v>
      </c>
      <c r="J2943" t="s">
        <v>42</v>
      </c>
      <c r="K2943" s="11">
        <v>3145.8</v>
      </c>
      <c r="L2943" s="12">
        <v>153.87</v>
      </c>
    </row>
    <row r="2944" spans="1:12" x14ac:dyDescent="0.2">
      <c r="A2944" s="9">
        <v>46251</v>
      </c>
      <c r="B2944" t="s">
        <v>478</v>
      </c>
      <c r="C2944" t="s">
        <v>479</v>
      </c>
      <c r="D2944" t="s">
        <v>75</v>
      </c>
      <c r="E2944" t="s">
        <v>649</v>
      </c>
      <c r="F2944" t="s">
        <v>663</v>
      </c>
      <c r="G2944" s="10">
        <v>3</v>
      </c>
      <c r="H2944" s="10">
        <v>10071</v>
      </c>
      <c r="I2944" s="10">
        <v>30213</v>
      </c>
      <c r="J2944" t="s">
        <v>42</v>
      </c>
      <c r="K2944" s="11">
        <v>3145.8</v>
      </c>
      <c r="L2944" s="12">
        <v>9.6</v>
      </c>
    </row>
    <row r="2945" spans="1:12" x14ac:dyDescent="0.2">
      <c r="A2945" s="9">
        <v>46251</v>
      </c>
      <c r="B2945" t="s">
        <v>478</v>
      </c>
      <c r="C2945" t="s">
        <v>479</v>
      </c>
      <c r="D2945" t="s">
        <v>75</v>
      </c>
      <c r="E2945" t="s">
        <v>655</v>
      </c>
      <c r="F2945" t="s">
        <v>662</v>
      </c>
      <c r="G2945" s="10">
        <v>8</v>
      </c>
      <c r="H2945" s="10">
        <v>5281</v>
      </c>
      <c r="I2945" s="10">
        <v>42248</v>
      </c>
      <c r="J2945" t="s">
        <v>42</v>
      </c>
      <c r="K2945" s="11">
        <v>3145.8</v>
      </c>
      <c r="L2945" s="12">
        <v>13.43</v>
      </c>
    </row>
    <row r="2946" spans="1:12" x14ac:dyDescent="0.2">
      <c r="A2946" s="9">
        <v>46251</v>
      </c>
      <c r="B2946" t="s">
        <v>481</v>
      </c>
      <c r="C2946" t="s">
        <v>78</v>
      </c>
      <c r="D2946" t="s">
        <v>41</v>
      </c>
      <c r="E2946" t="s">
        <v>649</v>
      </c>
      <c r="F2946" t="s">
        <v>659</v>
      </c>
      <c r="G2946" s="10">
        <v>94</v>
      </c>
      <c r="H2946" s="10">
        <v>43904</v>
      </c>
      <c r="I2946" s="10">
        <v>4126976</v>
      </c>
      <c r="J2946" t="s">
        <v>42</v>
      </c>
      <c r="K2946" s="11">
        <v>3145.8</v>
      </c>
      <c r="L2946" s="12">
        <v>1311.9</v>
      </c>
    </row>
    <row r="2947" spans="1:12" x14ac:dyDescent="0.2">
      <c r="A2947" s="9">
        <v>46251</v>
      </c>
      <c r="B2947" t="s">
        <v>483</v>
      </c>
      <c r="C2947" t="s">
        <v>340</v>
      </c>
      <c r="D2947" t="s">
        <v>46</v>
      </c>
      <c r="E2947" t="s">
        <v>660</v>
      </c>
      <c r="F2947" t="s">
        <v>669</v>
      </c>
      <c r="G2947" s="10">
        <v>8</v>
      </c>
      <c r="H2947" s="10">
        <v>2592</v>
      </c>
      <c r="I2947" s="10">
        <v>20736</v>
      </c>
      <c r="J2947" t="s">
        <v>37</v>
      </c>
      <c r="K2947" s="11">
        <v>648.20000000000005</v>
      </c>
      <c r="L2947" s="12">
        <v>31.99</v>
      </c>
    </row>
    <row r="2948" spans="1:12" x14ac:dyDescent="0.2">
      <c r="A2948" s="9">
        <v>46251</v>
      </c>
      <c r="B2948" t="s">
        <v>485</v>
      </c>
      <c r="C2948" t="s">
        <v>486</v>
      </c>
      <c r="D2948" t="s">
        <v>41</v>
      </c>
      <c r="E2948" t="s">
        <v>649</v>
      </c>
      <c r="F2948" t="s">
        <v>659</v>
      </c>
      <c r="G2948" s="10">
        <v>4</v>
      </c>
      <c r="H2948" s="10">
        <v>43150</v>
      </c>
      <c r="I2948" s="10">
        <v>172600</v>
      </c>
      <c r="J2948" t="s">
        <v>42</v>
      </c>
      <c r="K2948" s="11">
        <v>3145.8</v>
      </c>
      <c r="L2948" s="12">
        <v>54.87</v>
      </c>
    </row>
    <row r="2949" spans="1:12" x14ac:dyDescent="0.2">
      <c r="A2949" s="9">
        <v>46251</v>
      </c>
      <c r="B2949" t="s">
        <v>496</v>
      </c>
      <c r="C2949" t="s">
        <v>497</v>
      </c>
      <c r="D2949" t="s">
        <v>41</v>
      </c>
      <c r="E2949" t="s">
        <v>653</v>
      </c>
      <c r="F2949" t="s">
        <v>654</v>
      </c>
      <c r="G2949" s="10">
        <v>97</v>
      </c>
      <c r="H2949" s="10">
        <v>27397</v>
      </c>
      <c r="I2949" s="10">
        <v>2657509</v>
      </c>
      <c r="J2949" t="s">
        <v>42</v>
      </c>
      <c r="K2949" s="11">
        <v>3145.8</v>
      </c>
      <c r="L2949" s="12">
        <v>844.78</v>
      </c>
    </row>
    <row r="2950" spans="1:12" x14ac:dyDescent="0.2">
      <c r="A2950" s="9">
        <v>46251</v>
      </c>
      <c r="B2950" t="s">
        <v>496</v>
      </c>
      <c r="C2950" t="s">
        <v>497</v>
      </c>
      <c r="D2950" t="s">
        <v>41</v>
      </c>
      <c r="E2950" t="s">
        <v>651</v>
      </c>
      <c r="F2950" t="s">
        <v>657</v>
      </c>
      <c r="G2950" s="10">
        <v>34</v>
      </c>
      <c r="H2950" s="10">
        <v>32226</v>
      </c>
      <c r="I2950" s="10">
        <v>1095684</v>
      </c>
      <c r="J2950" t="s">
        <v>42</v>
      </c>
      <c r="K2950" s="11">
        <v>3145.8</v>
      </c>
      <c r="L2950" s="12">
        <v>348.3</v>
      </c>
    </row>
    <row r="2951" spans="1:12" x14ac:dyDescent="0.2">
      <c r="A2951" s="9">
        <v>46251</v>
      </c>
      <c r="B2951" t="s">
        <v>499</v>
      </c>
      <c r="C2951" t="s">
        <v>500</v>
      </c>
      <c r="D2951" t="s">
        <v>41</v>
      </c>
      <c r="E2951" t="s">
        <v>660</v>
      </c>
      <c r="F2951" t="s">
        <v>670</v>
      </c>
      <c r="G2951" s="10">
        <v>36</v>
      </c>
      <c r="H2951" s="10">
        <v>69029</v>
      </c>
      <c r="I2951" s="10">
        <v>2485044</v>
      </c>
      <c r="J2951" t="s">
        <v>42</v>
      </c>
      <c r="K2951" s="11">
        <v>3145.8</v>
      </c>
      <c r="L2951" s="12">
        <v>789.96</v>
      </c>
    </row>
    <row r="2952" spans="1:12" x14ac:dyDescent="0.2">
      <c r="A2952" s="9">
        <v>46251</v>
      </c>
      <c r="B2952" t="s">
        <v>499</v>
      </c>
      <c r="C2952" t="s">
        <v>500</v>
      </c>
      <c r="D2952" t="s">
        <v>41</v>
      </c>
      <c r="E2952" t="s">
        <v>660</v>
      </c>
      <c r="F2952" t="s">
        <v>661</v>
      </c>
      <c r="G2952" s="10">
        <v>17</v>
      </c>
      <c r="H2952" s="10">
        <v>20938</v>
      </c>
      <c r="I2952" s="10">
        <v>355946</v>
      </c>
      <c r="J2952" t="s">
        <v>42</v>
      </c>
      <c r="K2952" s="11">
        <v>3145.8</v>
      </c>
      <c r="L2952" s="12">
        <v>113.15</v>
      </c>
    </row>
    <row r="2953" spans="1:12" x14ac:dyDescent="0.2">
      <c r="A2953" s="9">
        <v>46251</v>
      </c>
      <c r="B2953" t="s">
        <v>499</v>
      </c>
      <c r="C2953" t="s">
        <v>500</v>
      </c>
      <c r="D2953" t="s">
        <v>41</v>
      </c>
      <c r="E2953" t="s">
        <v>660</v>
      </c>
      <c r="F2953" t="s">
        <v>661</v>
      </c>
      <c r="G2953" s="10">
        <v>39</v>
      </c>
      <c r="H2953" s="10">
        <v>20673</v>
      </c>
      <c r="I2953" s="10">
        <v>806247</v>
      </c>
      <c r="J2953" t="s">
        <v>42</v>
      </c>
      <c r="K2953" s="11">
        <v>3145.8</v>
      </c>
      <c r="L2953" s="12">
        <v>256.29000000000002</v>
      </c>
    </row>
    <row r="2954" spans="1:12" x14ac:dyDescent="0.2">
      <c r="A2954" s="9">
        <v>46251</v>
      </c>
      <c r="B2954" t="s">
        <v>502</v>
      </c>
      <c r="C2954" t="s">
        <v>503</v>
      </c>
      <c r="D2954" t="s">
        <v>41</v>
      </c>
      <c r="E2954" t="s">
        <v>653</v>
      </c>
      <c r="F2954" t="s">
        <v>658</v>
      </c>
      <c r="G2954" s="10">
        <v>7</v>
      </c>
      <c r="H2954" s="10">
        <v>12896</v>
      </c>
      <c r="I2954" s="10">
        <v>90272</v>
      </c>
      <c r="J2954" t="s">
        <v>42</v>
      </c>
      <c r="K2954" s="11">
        <v>3145.8</v>
      </c>
      <c r="L2954" s="12">
        <v>28.7</v>
      </c>
    </row>
    <row r="2955" spans="1:12" x14ac:dyDescent="0.2">
      <c r="A2955" s="9">
        <v>46251</v>
      </c>
      <c r="B2955" t="s">
        <v>502</v>
      </c>
      <c r="C2955" t="s">
        <v>503</v>
      </c>
      <c r="D2955" t="s">
        <v>41</v>
      </c>
      <c r="E2955" t="s">
        <v>647</v>
      </c>
      <c r="F2955" t="s">
        <v>648</v>
      </c>
      <c r="G2955" s="10">
        <v>1</v>
      </c>
      <c r="H2955" s="10">
        <v>77353</v>
      </c>
      <c r="I2955" s="10">
        <v>77353</v>
      </c>
      <c r="J2955" t="s">
        <v>42</v>
      </c>
      <c r="K2955" s="11">
        <v>3145.8</v>
      </c>
      <c r="L2955" s="12">
        <v>24.59</v>
      </c>
    </row>
    <row r="2956" spans="1:12" x14ac:dyDescent="0.2">
      <c r="A2956" s="9">
        <v>46251</v>
      </c>
      <c r="B2956" t="s">
        <v>505</v>
      </c>
      <c r="C2956" t="s">
        <v>506</v>
      </c>
      <c r="D2956" t="s">
        <v>36</v>
      </c>
      <c r="E2956" t="s">
        <v>660</v>
      </c>
      <c r="F2956" t="s">
        <v>669</v>
      </c>
      <c r="G2956" s="10">
        <v>42</v>
      </c>
      <c r="H2956" s="10">
        <v>2524</v>
      </c>
      <c r="I2956" s="10">
        <v>106008</v>
      </c>
      <c r="J2956" t="s">
        <v>37</v>
      </c>
      <c r="K2956" s="11">
        <v>648.20000000000005</v>
      </c>
      <c r="L2956" s="12">
        <v>163.54</v>
      </c>
    </row>
    <row r="2957" spans="1:12" x14ac:dyDescent="0.2">
      <c r="A2957" s="9">
        <v>46251</v>
      </c>
      <c r="B2957" t="s">
        <v>508</v>
      </c>
      <c r="C2957" t="s">
        <v>509</v>
      </c>
      <c r="D2957" t="s">
        <v>68</v>
      </c>
      <c r="E2957" t="s">
        <v>649</v>
      </c>
      <c r="F2957" t="s">
        <v>663</v>
      </c>
      <c r="G2957" s="10">
        <v>4</v>
      </c>
      <c r="H2957" s="10">
        <v>2026</v>
      </c>
      <c r="I2957" s="10">
        <v>8104</v>
      </c>
      <c r="J2957" t="s">
        <v>51</v>
      </c>
      <c r="K2957" s="11">
        <v>648.20000000000005</v>
      </c>
      <c r="L2957" s="12">
        <v>12.5</v>
      </c>
    </row>
    <row r="2958" spans="1:12" x14ac:dyDescent="0.2">
      <c r="A2958" s="9">
        <v>46251</v>
      </c>
      <c r="B2958" t="s">
        <v>511</v>
      </c>
      <c r="C2958" t="s">
        <v>512</v>
      </c>
      <c r="D2958" t="s">
        <v>75</v>
      </c>
      <c r="E2958" t="s">
        <v>649</v>
      </c>
      <c r="F2958" t="s">
        <v>663</v>
      </c>
      <c r="G2958" s="10">
        <v>10</v>
      </c>
      <c r="H2958" s="10">
        <v>9566</v>
      </c>
      <c r="I2958" s="10">
        <v>95660</v>
      </c>
      <c r="J2958" t="s">
        <v>42</v>
      </c>
      <c r="K2958" s="11">
        <v>3145.8</v>
      </c>
      <c r="L2958" s="12">
        <v>30.41</v>
      </c>
    </row>
    <row r="2959" spans="1:12" x14ac:dyDescent="0.2">
      <c r="A2959" s="9">
        <v>46251</v>
      </c>
      <c r="B2959" t="s">
        <v>511</v>
      </c>
      <c r="C2959" t="s">
        <v>512</v>
      </c>
      <c r="D2959" t="s">
        <v>75</v>
      </c>
      <c r="E2959" t="s">
        <v>651</v>
      </c>
      <c r="F2959" t="s">
        <v>657</v>
      </c>
      <c r="G2959" s="10">
        <v>3</v>
      </c>
      <c r="H2959" s="10">
        <v>30810</v>
      </c>
      <c r="I2959" s="10">
        <v>92430</v>
      </c>
      <c r="J2959" t="s">
        <v>42</v>
      </c>
      <c r="K2959" s="11">
        <v>3145.8</v>
      </c>
      <c r="L2959" s="12">
        <v>29.38</v>
      </c>
    </row>
    <row r="2960" spans="1:12" x14ac:dyDescent="0.2">
      <c r="A2960" s="9">
        <v>46251</v>
      </c>
      <c r="B2960" t="s">
        <v>520</v>
      </c>
      <c r="C2960" t="s">
        <v>489</v>
      </c>
      <c r="D2960" t="s">
        <v>46</v>
      </c>
      <c r="E2960" t="s">
        <v>660</v>
      </c>
      <c r="F2960" t="s">
        <v>669</v>
      </c>
      <c r="G2960" s="10">
        <v>4</v>
      </c>
      <c r="H2960" s="10">
        <v>2564</v>
      </c>
      <c r="I2960" s="10">
        <v>10256</v>
      </c>
      <c r="J2960" t="s">
        <v>37</v>
      </c>
      <c r="K2960" s="11">
        <v>648.20000000000005</v>
      </c>
      <c r="L2960" s="12">
        <v>15.82</v>
      </c>
    </row>
    <row r="2961" spans="1:12" x14ac:dyDescent="0.2">
      <c r="A2961" s="9">
        <v>46251</v>
      </c>
      <c r="B2961" t="s">
        <v>522</v>
      </c>
      <c r="C2961" t="s">
        <v>523</v>
      </c>
      <c r="D2961" t="s">
        <v>50</v>
      </c>
      <c r="E2961" t="s">
        <v>655</v>
      </c>
      <c r="F2961" t="s">
        <v>665</v>
      </c>
      <c r="G2961" s="10">
        <v>52</v>
      </c>
      <c r="H2961" s="10">
        <v>680</v>
      </c>
      <c r="I2961" s="10">
        <v>35360</v>
      </c>
      <c r="J2961" t="s">
        <v>51</v>
      </c>
      <c r="K2961" s="11">
        <v>648.20000000000005</v>
      </c>
      <c r="L2961" s="12">
        <v>54.55</v>
      </c>
    </row>
    <row r="2962" spans="1:12" x14ac:dyDescent="0.2">
      <c r="A2962" s="9">
        <v>46251</v>
      </c>
      <c r="B2962" t="s">
        <v>525</v>
      </c>
      <c r="C2962" t="s">
        <v>526</v>
      </c>
      <c r="D2962" t="s">
        <v>46</v>
      </c>
      <c r="E2962" t="s">
        <v>660</v>
      </c>
      <c r="F2962" t="s">
        <v>661</v>
      </c>
      <c r="G2962" s="10">
        <v>5</v>
      </c>
      <c r="H2962" s="10">
        <v>4139</v>
      </c>
      <c r="I2962" s="10">
        <v>20695</v>
      </c>
      <c r="J2962" t="s">
        <v>37</v>
      </c>
      <c r="K2962" s="11">
        <v>648.20000000000005</v>
      </c>
      <c r="L2962" s="12">
        <v>31.93</v>
      </c>
    </row>
    <row r="2963" spans="1:12" x14ac:dyDescent="0.2">
      <c r="A2963" s="9">
        <v>46251</v>
      </c>
      <c r="B2963" t="s">
        <v>525</v>
      </c>
      <c r="C2963" t="s">
        <v>526</v>
      </c>
      <c r="D2963" t="s">
        <v>46</v>
      </c>
      <c r="E2963" t="s">
        <v>651</v>
      </c>
      <c r="F2963" t="s">
        <v>657</v>
      </c>
      <c r="G2963" s="10">
        <v>29</v>
      </c>
      <c r="H2963" s="10">
        <v>6305</v>
      </c>
      <c r="I2963" s="10">
        <v>182845</v>
      </c>
      <c r="J2963" t="s">
        <v>37</v>
      </c>
      <c r="K2963" s="11">
        <v>648.20000000000005</v>
      </c>
      <c r="L2963" s="12">
        <v>282.08</v>
      </c>
    </row>
    <row r="2964" spans="1:12" x14ac:dyDescent="0.2">
      <c r="A2964" s="9">
        <v>46251</v>
      </c>
      <c r="B2964" t="s">
        <v>528</v>
      </c>
      <c r="C2964" t="s">
        <v>529</v>
      </c>
      <c r="D2964" t="s">
        <v>46</v>
      </c>
      <c r="E2964" t="s">
        <v>653</v>
      </c>
      <c r="F2964" t="s">
        <v>658</v>
      </c>
      <c r="G2964" s="10">
        <v>27</v>
      </c>
      <c r="H2964" s="10">
        <v>2661</v>
      </c>
      <c r="I2964" s="10">
        <v>71847</v>
      </c>
      <c r="J2964" t="s">
        <v>37</v>
      </c>
      <c r="K2964" s="11">
        <v>648.20000000000005</v>
      </c>
      <c r="L2964" s="12">
        <v>110.84</v>
      </c>
    </row>
    <row r="2965" spans="1:12" x14ac:dyDescent="0.2">
      <c r="A2965" s="9">
        <v>46251</v>
      </c>
      <c r="B2965" t="s">
        <v>528</v>
      </c>
      <c r="C2965" t="s">
        <v>529</v>
      </c>
      <c r="D2965" t="s">
        <v>46</v>
      </c>
      <c r="E2965" t="s">
        <v>647</v>
      </c>
      <c r="F2965" t="s">
        <v>668</v>
      </c>
      <c r="G2965" s="10">
        <v>25</v>
      </c>
      <c r="H2965" s="10">
        <v>25521</v>
      </c>
      <c r="I2965" s="10">
        <v>638025</v>
      </c>
      <c r="J2965" t="s">
        <v>37</v>
      </c>
      <c r="K2965" s="11">
        <v>648.20000000000005</v>
      </c>
      <c r="L2965" s="12">
        <v>984.3</v>
      </c>
    </row>
    <row r="2966" spans="1:12" x14ac:dyDescent="0.2">
      <c r="A2966" s="9">
        <v>46251</v>
      </c>
      <c r="B2966" t="s">
        <v>531</v>
      </c>
      <c r="C2966" t="s">
        <v>532</v>
      </c>
      <c r="D2966" t="s">
        <v>50</v>
      </c>
      <c r="E2966" t="s">
        <v>649</v>
      </c>
      <c r="F2966" t="s">
        <v>650</v>
      </c>
      <c r="G2966" s="10">
        <v>148</v>
      </c>
      <c r="H2966" s="10">
        <v>19903</v>
      </c>
      <c r="I2966" s="10">
        <v>2945644</v>
      </c>
      <c r="J2966" t="s">
        <v>51</v>
      </c>
      <c r="K2966" s="11">
        <v>648.20000000000005</v>
      </c>
      <c r="L2966" s="12">
        <v>4544.34</v>
      </c>
    </row>
    <row r="2967" spans="1:12" x14ac:dyDescent="0.2">
      <c r="A2967" s="9">
        <v>46251</v>
      </c>
      <c r="B2967" t="s">
        <v>531</v>
      </c>
      <c r="C2967" t="s">
        <v>532</v>
      </c>
      <c r="D2967" t="s">
        <v>50</v>
      </c>
      <c r="E2967" t="s">
        <v>660</v>
      </c>
      <c r="F2967" t="s">
        <v>661</v>
      </c>
      <c r="G2967" s="10">
        <v>100</v>
      </c>
      <c r="H2967" s="10">
        <v>4262</v>
      </c>
      <c r="I2967" s="10">
        <v>426200</v>
      </c>
      <c r="J2967" t="s">
        <v>51</v>
      </c>
      <c r="K2967" s="11">
        <v>648.20000000000005</v>
      </c>
      <c r="L2967" s="12">
        <v>657.51</v>
      </c>
    </row>
    <row r="2968" spans="1:12" x14ac:dyDescent="0.2">
      <c r="A2968" s="9">
        <v>46251</v>
      </c>
      <c r="B2968" t="s">
        <v>531</v>
      </c>
      <c r="C2968" t="s">
        <v>532</v>
      </c>
      <c r="D2968" t="s">
        <v>50</v>
      </c>
      <c r="E2968" t="s">
        <v>647</v>
      </c>
      <c r="F2968" t="s">
        <v>667</v>
      </c>
      <c r="G2968" s="10">
        <v>49</v>
      </c>
      <c r="H2968" s="10">
        <v>7086</v>
      </c>
      <c r="I2968" s="10">
        <v>347214</v>
      </c>
      <c r="J2968" t="s">
        <v>51</v>
      </c>
      <c r="K2968" s="11">
        <v>648.20000000000005</v>
      </c>
      <c r="L2968" s="12">
        <v>535.66</v>
      </c>
    </row>
    <row r="2969" spans="1:12" x14ac:dyDescent="0.2">
      <c r="A2969" s="9">
        <v>46251</v>
      </c>
      <c r="B2969" t="s">
        <v>531</v>
      </c>
      <c r="C2969" t="s">
        <v>532</v>
      </c>
      <c r="D2969" t="s">
        <v>50</v>
      </c>
      <c r="E2969" t="s">
        <v>655</v>
      </c>
      <c r="F2969" t="s">
        <v>656</v>
      </c>
      <c r="G2969" s="10">
        <v>7</v>
      </c>
      <c r="H2969" s="10">
        <v>574</v>
      </c>
      <c r="I2969" s="10">
        <v>4018</v>
      </c>
      <c r="J2969" t="s">
        <v>51</v>
      </c>
      <c r="K2969" s="11">
        <v>648.20000000000005</v>
      </c>
      <c r="L2969" s="12">
        <v>6.2</v>
      </c>
    </row>
    <row r="2970" spans="1:12" x14ac:dyDescent="0.2">
      <c r="A2970" s="9">
        <v>46251</v>
      </c>
      <c r="B2970" t="s">
        <v>537</v>
      </c>
      <c r="C2970" t="s">
        <v>538</v>
      </c>
      <c r="D2970" t="s">
        <v>68</v>
      </c>
      <c r="E2970" t="s">
        <v>660</v>
      </c>
      <c r="F2970" t="s">
        <v>669</v>
      </c>
      <c r="G2970" s="10">
        <v>93</v>
      </c>
      <c r="H2970" s="10">
        <v>2657</v>
      </c>
      <c r="I2970" s="10">
        <v>247101</v>
      </c>
      <c r="J2970" t="s">
        <v>51</v>
      </c>
      <c r="K2970" s="11">
        <v>648.20000000000005</v>
      </c>
      <c r="L2970" s="12">
        <v>381.21</v>
      </c>
    </row>
    <row r="2971" spans="1:12" x14ac:dyDescent="0.2">
      <c r="A2971" s="9">
        <v>46251</v>
      </c>
      <c r="B2971" t="s">
        <v>537</v>
      </c>
      <c r="C2971" t="s">
        <v>538</v>
      </c>
      <c r="D2971" t="s">
        <v>68</v>
      </c>
      <c r="E2971" t="s">
        <v>660</v>
      </c>
      <c r="F2971" t="s">
        <v>661</v>
      </c>
      <c r="G2971" s="10">
        <v>86</v>
      </c>
      <c r="H2971" s="10">
        <v>4046</v>
      </c>
      <c r="I2971" s="10">
        <v>347956</v>
      </c>
      <c r="J2971" t="s">
        <v>51</v>
      </c>
      <c r="K2971" s="11">
        <v>648.20000000000005</v>
      </c>
      <c r="L2971" s="12">
        <v>536.79999999999995</v>
      </c>
    </row>
    <row r="2972" spans="1:12" x14ac:dyDescent="0.2">
      <c r="A2972" s="9">
        <v>46251</v>
      </c>
      <c r="B2972" t="s">
        <v>543</v>
      </c>
      <c r="C2972" t="s">
        <v>544</v>
      </c>
      <c r="D2972" t="s">
        <v>68</v>
      </c>
      <c r="E2972" t="s">
        <v>660</v>
      </c>
      <c r="F2972" t="s">
        <v>669</v>
      </c>
      <c r="G2972" s="10">
        <v>25</v>
      </c>
      <c r="H2972" s="10">
        <v>2514</v>
      </c>
      <c r="I2972" s="10">
        <v>62850</v>
      </c>
      <c r="J2972" t="s">
        <v>51</v>
      </c>
      <c r="K2972" s="11">
        <v>648.20000000000005</v>
      </c>
      <c r="L2972" s="12">
        <v>96.96</v>
      </c>
    </row>
    <row r="2973" spans="1:12" x14ac:dyDescent="0.2">
      <c r="A2973" s="9">
        <v>46251</v>
      </c>
      <c r="B2973" t="s">
        <v>543</v>
      </c>
      <c r="C2973" t="s">
        <v>544</v>
      </c>
      <c r="D2973" t="s">
        <v>68</v>
      </c>
      <c r="E2973" t="s">
        <v>647</v>
      </c>
      <c r="F2973" t="s">
        <v>668</v>
      </c>
      <c r="G2973" s="10">
        <v>8</v>
      </c>
      <c r="H2973" s="10">
        <v>25552</v>
      </c>
      <c r="I2973" s="10">
        <v>204416</v>
      </c>
      <c r="J2973" t="s">
        <v>51</v>
      </c>
      <c r="K2973" s="11">
        <v>648.20000000000005</v>
      </c>
      <c r="L2973" s="12">
        <v>315.36</v>
      </c>
    </row>
    <row r="2974" spans="1:12" x14ac:dyDescent="0.2">
      <c r="A2974" s="9">
        <v>46251</v>
      </c>
      <c r="B2974" t="s">
        <v>546</v>
      </c>
      <c r="C2974" t="s">
        <v>547</v>
      </c>
      <c r="D2974" t="s">
        <v>41</v>
      </c>
      <c r="E2974" t="s">
        <v>660</v>
      </c>
      <c r="F2974" t="s">
        <v>670</v>
      </c>
      <c r="G2974" s="10">
        <v>25</v>
      </c>
      <c r="H2974" s="10">
        <v>72921</v>
      </c>
      <c r="I2974" s="10">
        <v>1823025</v>
      </c>
      <c r="J2974" t="s">
        <v>42</v>
      </c>
      <c r="K2974" s="11">
        <v>3145.8</v>
      </c>
      <c r="L2974" s="12">
        <v>579.51</v>
      </c>
    </row>
    <row r="2975" spans="1:12" x14ac:dyDescent="0.2">
      <c r="A2975" s="9">
        <v>46251</v>
      </c>
      <c r="B2975" t="s">
        <v>546</v>
      </c>
      <c r="C2975" t="s">
        <v>547</v>
      </c>
      <c r="D2975" t="s">
        <v>41</v>
      </c>
      <c r="E2975" t="s">
        <v>647</v>
      </c>
      <c r="F2975" t="s">
        <v>668</v>
      </c>
      <c r="G2975" s="10">
        <v>12</v>
      </c>
      <c r="H2975" s="10">
        <v>117781</v>
      </c>
      <c r="I2975" s="10">
        <v>1413372</v>
      </c>
      <c r="J2975" t="s">
        <v>42</v>
      </c>
      <c r="K2975" s="11">
        <v>3145.8</v>
      </c>
      <c r="L2975" s="12">
        <v>449.29</v>
      </c>
    </row>
    <row r="2976" spans="1:12" x14ac:dyDescent="0.2">
      <c r="A2976" s="9">
        <v>46251</v>
      </c>
      <c r="B2976" t="s">
        <v>555</v>
      </c>
      <c r="C2976" t="s">
        <v>556</v>
      </c>
      <c r="D2976" t="s">
        <v>41</v>
      </c>
      <c r="E2976" t="s">
        <v>649</v>
      </c>
      <c r="F2976" t="s">
        <v>659</v>
      </c>
      <c r="G2976" s="10">
        <v>26</v>
      </c>
      <c r="H2976" s="10">
        <v>43579</v>
      </c>
      <c r="I2976" s="10">
        <v>1133054</v>
      </c>
      <c r="J2976" t="s">
        <v>42</v>
      </c>
      <c r="K2976" s="11">
        <v>3145.8</v>
      </c>
      <c r="L2976" s="12">
        <v>360.18</v>
      </c>
    </row>
    <row r="2977" spans="1:12" x14ac:dyDescent="0.2">
      <c r="A2977" s="9">
        <v>46251</v>
      </c>
      <c r="B2977" t="s">
        <v>555</v>
      </c>
      <c r="C2977" t="s">
        <v>556</v>
      </c>
      <c r="D2977" t="s">
        <v>41</v>
      </c>
      <c r="E2977" t="s">
        <v>660</v>
      </c>
      <c r="F2977" t="s">
        <v>669</v>
      </c>
      <c r="G2977" s="10">
        <v>5</v>
      </c>
      <c r="H2977" s="10">
        <v>12450</v>
      </c>
      <c r="I2977" s="10">
        <v>62250</v>
      </c>
      <c r="J2977" t="s">
        <v>42</v>
      </c>
      <c r="K2977" s="11">
        <v>3145.8</v>
      </c>
      <c r="L2977" s="12">
        <v>19.79</v>
      </c>
    </row>
    <row r="2978" spans="1:12" x14ac:dyDescent="0.2">
      <c r="A2978" s="9">
        <v>46251</v>
      </c>
      <c r="B2978" t="s">
        <v>555</v>
      </c>
      <c r="C2978" t="s">
        <v>556</v>
      </c>
      <c r="D2978" t="s">
        <v>41</v>
      </c>
      <c r="E2978" t="s">
        <v>660</v>
      </c>
      <c r="F2978" t="s">
        <v>670</v>
      </c>
      <c r="G2978" s="10">
        <v>7</v>
      </c>
      <c r="H2978" s="10">
        <v>68451</v>
      </c>
      <c r="I2978" s="10">
        <v>479157</v>
      </c>
      <c r="J2978" t="s">
        <v>42</v>
      </c>
      <c r="K2978" s="11">
        <v>3145.8</v>
      </c>
      <c r="L2978" s="12">
        <v>152.32</v>
      </c>
    </row>
    <row r="2979" spans="1:12" x14ac:dyDescent="0.2">
      <c r="A2979" s="9">
        <v>46251</v>
      </c>
      <c r="B2979" t="s">
        <v>558</v>
      </c>
      <c r="C2979" t="s">
        <v>559</v>
      </c>
      <c r="D2979" t="s">
        <v>75</v>
      </c>
      <c r="E2979" t="s">
        <v>649</v>
      </c>
      <c r="F2979" t="s">
        <v>663</v>
      </c>
      <c r="G2979" s="10">
        <v>8</v>
      </c>
      <c r="H2979" s="10">
        <v>9613</v>
      </c>
      <c r="I2979" s="10">
        <v>76904</v>
      </c>
      <c r="J2979" t="s">
        <v>42</v>
      </c>
      <c r="K2979" s="11">
        <v>3145.8</v>
      </c>
      <c r="L2979" s="12">
        <v>24.45</v>
      </c>
    </row>
    <row r="2980" spans="1:12" x14ac:dyDescent="0.2">
      <c r="A2980" s="9">
        <v>46251</v>
      </c>
      <c r="B2980" t="s">
        <v>561</v>
      </c>
      <c r="C2980" t="s">
        <v>562</v>
      </c>
      <c r="D2980" t="s">
        <v>46</v>
      </c>
      <c r="E2980" t="s">
        <v>653</v>
      </c>
      <c r="F2980" t="s">
        <v>658</v>
      </c>
      <c r="G2980" s="10">
        <v>12</v>
      </c>
      <c r="H2980" s="10">
        <v>2700</v>
      </c>
      <c r="I2980" s="10">
        <v>32400</v>
      </c>
      <c r="J2980" t="s">
        <v>37</v>
      </c>
      <c r="K2980" s="11">
        <v>648.20000000000005</v>
      </c>
      <c r="L2980" s="12">
        <v>49.98</v>
      </c>
    </row>
    <row r="2981" spans="1:12" x14ac:dyDescent="0.2">
      <c r="A2981" s="9">
        <v>46251</v>
      </c>
      <c r="B2981" t="s">
        <v>561</v>
      </c>
      <c r="C2981" t="s">
        <v>562</v>
      </c>
      <c r="D2981" t="s">
        <v>46</v>
      </c>
      <c r="E2981" t="s">
        <v>653</v>
      </c>
      <c r="F2981" t="s">
        <v>666</v>
      </c>
      <c r="G2981" s="10">
        <v>31</v>
      </c>
      <c r="H2981" s="10">
        <v>1447</v>
      </c>
      <c r="I2981" s="10">
        <v>44857</v>
      </c>
      <c r="J2981" t="s">
        <v>37</v>
      </c>
      <c r="K2981" s="11">
        <v>648.20000000000005</v>
      </c>
      <c r="L2981" s="12">
        <v>69.2</v>
      </c>
    </row>
    <row r="2982" spans="1:12" x14ac:dyDescent="0.2">
      <c r="A2982" s="9">
        <v>46251</v>
      </c>
      <c r="B2982" t="s">
        <v>564</v>
      </c>
      <c r="C2982" t="s">
        <v>565</v>
      </c>
      <c r="D2982" t="s">
        <v>41</v>
      </c>
      <c r="E2982" t="s">
        <v>651</v>
      </c>
      <c r="F2982" t="s">
        <v>657</v>
      </c>
      <c r="G2982" s="10">
        <v>175</v>
      </c>
      <c r="H2982" s="10">
        <v>31500</v>
      </c>
      <c r="I2982" s="10">
        <v>5512500</v>
      </c>
      <c r="J2982" t="s">
        <v>42</v>
      </c>
      <c r="K2982" s="11">
        <v>3145.8</v>
      </c>
      <c r="L2982" s="12">
        <v>1752.34</v>
      </c>
    </row>
    <row r="2983" spans="1:12" x14ac:dyDescent="0.2">
      <c r="A2983" s="9">
        <v>46251</v>
      </c>
      <c r="B2983" t="s">
        <v>567</v>
      </c>
      <c r="C2983" t="s">
        <v>568</v>
      </c>
      <c r="D2983" t="s">
        <v>41</v>
      </c>
      <c r="E2983" t="s">
        <v>653</v>
      </c>
      <c r="F2983" t="s">
        <v>658</v>
      </c>
      <c r="G2983" s="10">
        <v>8</v>
      </c>
      <c r="H2983" s="10">
        <v>12768</v>
      </c>
      <c r="I2983" s="10">
        <v>102144</v>
      </c>
      <c r="J2983" t="s">
        <v>42</v>
      </c>
      <c r="K2983" s="11">
        <v>3145.8</v>
      </c>
      <c r="L2983" s="12">
        <v>32.47</v>
      </c>
    </row>
    <row r="2984" spans="1:12" x14ac:dyDescent="0.2">
      <c r="A2984" s="9">
        <v>46251</v>
      </c>
      <c r="B2984" t="s">
        <v>567</v>
      </c>
      <c r="C2984" t="s">
        <v>568</v>
      </c>
      <c r="D2984" t="s">
        <v>41</v>
      </c>
      <c r="E2984" t="s">
        <v>660</v>
      </c>
      <c r="F2984" t="s">
        <v>670</v>
      </c>
      <c r="G2984" s="10">
        <v>9</v>
      </c>
      <c r="H2984" s="10">
        <v>67855</v>
      </c>
      <c r="I2984" s="10">
        <v>610695</v>
      </c>
      <c r="J2984" t="s">
        <v>42</v>
      </c>
      <c r="K2984" s="11">
        <v>3145.8</v>
      </c>
      <c r="L2984" s="12">
        <v>194.13</v>
      </c>
    </row>
    <row r="2985" spans="1:12" x14ac:dyDescent="0.2">
      <c r="A2985" s="9">
        <v>46251</v>
      </c>
      <c r="B2985" t="s">
        <v>567</v>
      </c>
      <c r="C2985" t="s">
        <v>568</v>
      </c>
      <c r="D2985" t="s">
        <v>41</v>
      </c>
      <c r="E2985" t="s">
        <v>660</v>
      </c>
      <c r="F2985" t="s">
        <v>661</v>
      </c>
      <c r="G2985" s="10">
        <v>102</v>
      </c>
      <c r="H2985" s="10">
        <v>19964</v>
      </c>
      <c r="I2985" s="10">
        <v>2036328</v>
      </c>
      <c r="J2985" t="s">
        <v>42</v>
      </c>
      <c r="K2985" s="11">
        <v>3145.8</v>
      </c>
      <c r="L2985" s="12">
        <v>647.32000000000005</v>
      </c>
    </row>
    <row r="2986" spans="1:12" x14ac:dyDescent="0.2">
      <c r="A2986" s="9">
        <v>46251</v>
      </c>
      <c r="B2986" t="s">
        <v>567</v>
      </c>
      <c r="C2986" t="s">
        <v>568</v>
      </c>
      <c r="D2986" t="s">
        <v>41</v>
      </c>
      <c r="E2986" t="s">
        <v>660</v>
      </c>
      <c r="F2986" t="s">
        <v>661</v>
      </c>
      <c r="G2986" s="10">
        <v>11</v>
      </c>
      <c r="H2986" s="10">
        <v>20578</v>
      </c>
      <c r="I2986" s="10">
        <v>226358</v>
      </c>
      <c r="J2986" t="s">
        <v>42</v>
      </c>
      <c r="K2986" s="11">
        <v>3145.8</v>
      </c>
      <c r="L2986" s="12">
        <v>71.959999999999994</v>
      </c>
    </row>
    <row r="2987" spans="1:12" x14ac:dyDescent="0.2">
      <c r="A2987" s="9">
        <v>46251</v>
      </c>
      <c r="B2987" t="s">
        <v>567</v>
      </c>
      <c r="C2987" t="s">
        <v>568</v>
      </c>
      <c r="D2987" t="s">
        <v>41</v>
      </c>
      <c r="E2987" t="s">
        <v>647</v>
      </c>
      <c r="F2987" t="s">
        <v>668</v>
      </c>
      <c r="G2987" s="10">
        <v>9</v>
      </c>
      <c r="H2987" s="10">
        <v>121165</v>
      </c>
      <c r="I2987" s="10">
        <v>1090485</v>
      </c>
      <c r="J2987" t="s">
        <v>42</v>
      </c>
      <c r="K2987" s="11">
        <v>3145.8</v>
      </c>
      <c r="L2987" s="12">
        <v>346.65</v>
      </c>
    </row>
    <row r="2988" spans="1:12" x14ac:dyDescent="0.2">
      <c r="A2988" s="9">
        <v>46251</v>
      </c>
      <c r="B2988" t="s">
        <v>573</v>
      </c>
      <c r="C2988" t="s">
        <v>574</v>
      </c>
      <c r="D2988" t="s">
        <v>41</v>
      </c>
      <c r="E2988" t="s">
        <v>655</v>
      </c>
      <c r="F2988" t="s">
        <v>665</v>
      </c>
      <c r="G2988" s="10">
        <v>4</v>
      </c>
      <c r="H2988" s="10">
        <v>3468</v>
      </c>
      <c r="I2988" s="10">
        <v>13872</v>
      </c>
      <c r="J2988" t="s">
        <v>42</v>
      </c>
      <c r="K2988" s="11">
        <v>3145.8</v>
      </c>
      <c r="L2988" s="12">
        <v>4.41</v>
      </c>
    </row>
    <row r="2989" spans="1:12" x14ac:dyDescent="0.2">
      <c r="A2989" s="9">
        <v>46251</v>
      </c>
      <c r="B2989" t="s">
        <v>579</v>
      </c>
      <c r="C2989" t="s">
        <v>580</v>
      </c>
      <c r="D2989" t="s">
        <v>75</v>
      </c>
      <c r="E2989" t="s">
        <v>660</v>
      </c>
      <c r="F2989" t="s">
        <v>669</v>
      </c>
      <c r="G2989" s="10">
        <v>10</v>
      </c>
      <c r="H2989" s="10">
        <v>12468</v>
      </c>
      <c r="I2989" s="10">
        <v>124680</v>
      </c>
      <c r="J2989" t="s">
        <v>42</v>
      </c>
      <c r="K2989" s="11">
        <v>3145.8</v>
      </c>
      <c r="L2989" s="12">
        <v>39.630000000000003</v>
      </c>
    </row>
    <row r="2990" spans="1:12" x14ac:dyDescent="0.2">
      <c r="A2990" s="9">
        <v>46251</v>
      </c>
      <c r="B2990" t="s">
        <v>579</v>
      </c>
      <c r="C2990" t="s">
        <v>580</v>
      </c>
      <c r="D2990" t="s">
        <v>75</v>
      </c>
      <c r="E2990" t="s">
        <v>655</v>
      </c>
      <c r="F2990" t="s">
        <v>665</v>
      </c>
      <c r="G2990" s="10">
        <v>11</v>
      </c>
      <c r="H2990" s="10">
        <v>3463</v>
      </c>
      <c r="I2990" s="10">
        <v>38093</v>
      </c>
      <c r="J2990" t="s">
        <v>42</v>
      </c>
      <c r="K2990" s="11">
        <v>3145.8</v>
      </c>
      <c r="L2990" s="12">
        <v>12.11</v>
      </c>
    </row>
    <row r="2991" spans="1:12" x14ac:dyDescent="0.2">
      <c r="A2991" s="9">
        <v>46251</v>
      </c>
      <c r="B2991" t="s">
        <v>582</v>
      </c>
      <c r="C2991" t="s">
        <v>583</v>
      </c>
      <c r="D2991" t="s">
        <v>36</v>
      </c>
      <c r="E2991" t="s">
        <v>647</v>
      </c>
      <c r="F2991" t="s">
        <v>668</v>
      </c>
      <c r="G2991" s="10">
        <v>5</v>
      </c>
      <c r="H2991" s="10">
        <v>24741</v>
      </c>
      <c r="I2991" s="10">
        <v>123705</v>
      </c>
      <c r="J2991" t="s">
        <v>37</v>
      </c>
      <c r="K2991" s="11">
        <v>648.20000000000005</v>
      </c>
      <c r="L2991" s="12">
        <v>190.84</v>
      </c>
    </row>
    <row r="2992" spans="1:12" x14ac:dyDescent="0.2">
      <c r="A2992" s="9">
        <v>46251</v>
      </c>
      <c r="B2992" t="s">
        <v>585</v>
      </c>
      <c r="C2992" t="s">
        <v>586</v>
      </c>
      <c r="D2992" t="s">
        <v>50</v>
      </c>
      <c r="E2992" t="s">
        <v>655</v>
      </c>
      <c r="F2992" t="s">
        <v>665</v>
      </c>
      <c r="G2992" s="10">
        <v>3</v>
      </c>
      <c r="H2992" s="10">
        <v>699</v>
      </c>
      <c r="I2992" s="10">
        <v>2097</v>
      </c>
      <c r="J2992" t="s">
        <v>51</v>
      </c>
      <c r="K2992" s="11">
        <v>648.20000000000005</v>
      </c>
      <c r="L2992" s="12">
        <v>3.24</v>
      </c>
    </row>
    <row r="2993" spans="1:12" x14ac:dyDescent="0.2">
      <c r="A2993" s="9">
        <v>46251</v>
      </c>
      <c r="B2993" t="s">
        <v>593</v>
      </c>
      <c r="C2993" t="s">
        <v>594</v>
      </c>
      <c r="D2993" t="s">
        <v>50</v>
      </c>
      <c r="E2993" t="s">
        <v>655</v>
      </c>
      <c r="F2993" t="s">
        <v>662</v>
      </c>
      <c r="G2993" s="10">
        <v>13</v>
      </c>
      <c r="H2993" s="10">
        <v>1133</v>
      </c>
      <c r="I2993" s="10">
        <v>14729</v>
      </c>
      <c r="J2993" t="s">
        <v>51</v>
      </c>
      <c r="K2993" s="11">
        <v>648.20000000000005</v>
      </c>
      <c r="L2993" s="12">
        <v>22.72</v>
      </c>
    </row>
    <row r="2994" spans="1:12" x14ac:dyDescent="0.2">
      <c r="A2994" s="9">
        <v>46251</v>
      </c>
      <c r="B2994" t="s">
        <v>596</v>
      </c>
      <c r="C2994" t="s">
        <v>597</v>
      </c>
      <c r="D2994" t="s">
        <v>50</v>
      </c>
      <c r="E2994" t="s">
        <v>651</v>
      </c>
      <c r="F2994" t="s">
        <v>657</v>
      </c>
      <c r="G2994" s="10">
        <v>15</v>
      </c>
      <c r="H2994" s="10">
        <v>6533</v>
      </c>
      <c r="I2994" s="10">
        <v>97995</v>
      </c>
      <c r="J2994" t="s">
        <v>51</v>
      </c>
      <c r="K2994" s="11">
        <v>648.20000000000005</v>
      </c>
      <c r="L2994" s="12">
        <v>151.18</v>
      </c>
    </row>
    <row r="2995" spans="1:12" x14ac:dyDescent="0.2">
      <c r="A2995" s="9">
        <v>46251</v>
      </c>
      <c r="B2995" t="s">
        <v>602</v>
      </c>
      <c r="C2995" t="s">
        <v>603</v>
      </c>
      <c r="D2995" t="s">
        <v>50</v>
      </c>
      <c r="E2995" t="s">
        <v>660</v>
      </c>
      <c r="F2995" t="s">
        <v>670</v>
      </c>
      <c r="G2995" s="10">
        <v>5</v>
      </c>
      <c r="H2995" s="10">
        <v>14996</v>
      </c>
      <c r="I2995" s="10">
        <v>74980</v>
      </c>
      <c r="J2995" t="s">
        <v>51</v>
      </c>
      <c r="K2995" s="11">
        <v>648.20000000000005</v>
      </c>
      <c r="L2995" s="12">
        <v>115.67</v>
      </c>
    </row>
    <row r="2996" spans="1:12" x14ac:dyDescent="0.2">
      <c r="A2996" s="9">
        <v>46251</v>
      </c>
      <c r="B2996" t="s">
        <v>602</v>
      </c>
      <c r="C2996" t="s">
        <v>603</v>
      </c>
      <c r="D2996" t="s">
        <v>50</v>
      </c>
      <c r="E2996" t="s">
        <v>647</v>
      </c>
      <c r="F2996" t="s">
        <v>668</v>
      </c>
      <c r="G2996" s="10">
        <v>6</v>
      </c>
      <c r="H2996" s="10">
        <v>24748</v>
      </c>
      <c r="I2996" s="10">
        <v>148488</v>
      </c>
      <c r="J2996" t="s">
        <v>51</v>
      </c>
      <c r="K2996" s="11">
        <v>648.20000000000005</v>
      </c>
      <c r="L2996" s="12">
        <v>229.08</v>
      </c>
    </row>
    <row r="2997" spans="1:12" x14ac:dyDescent="0.2">
      <c r="A2997" s="9">
        <v>46251</v>
      </c>
      <c r="B2997" t="s">
        <v>605</v>
      </c>
      <c r="C2997" t="s">
        <v>606</v>
      </c>
      <c r="D2997" t="s">
        <v>68</v>
      </c>
      <c r="E2997" t="s">
        <v>647</v>
      </c>
      <c r="F2997" t="s">
        <v>648</v>
      </c>
      <c r="G2997" s="10">
        <v>29</v>
      </c>
      <c r="H2997" s="10">
        <v>15604</v>
      </c>
      <c r="I2997" s="10">
        <v>452516</v>
      </c>
      <c r="J2997" t="s">
        <v>51</v>
      </c>
      <c r="K2997" s="11">
        <v>648.20000000000005</v>
      </c>
      <c r="L2997" s="12">
        <v>698.11</v>
      </c>
    </row>
    <row r="2998" spans="1:12" x14ac:dyDescent="0.2">
      <c r="A2998" s="9">
        <v>46251</v>
      </c>
      <c r="B2998" t="s">
        <v>605</v>
      </c>
      <c r="C2998" t="s">
        <v>606</v>
      </c>
      <c r="D2998" t="s">
        <v>68</v>
      </c>
      <c r="E2998" t="s">
        <v>647</v>
      </c>
      <c r="F2998" t="s">
        <v>648</v>
      </c>
      <c r="G2998" s="10">
        <v>27</v>
      </c>
      <c r="H2998" s="10">
        <v>16164</v>
      </c>
      <c r="I2998" s="10">
        <v>436428</v>
      </c>
      <c r="J2998" t="s">
        <v>51</v>
      </c>
      <c r="K2998" s="11">
        <v>648.20000000000005</v>
      </c>
      <c r="L2998" s="12">
        <v>673.29</v>
      </c>
    </row>
    <row r="2999" spans="1:12" x14ac:dyDescent="0.2">
      <c r="A2999" s="9">
        <v>46251</v>
      </c>
      <c r="B2999" t="s">
        <v>617</v>
      </c>
      <c r="C2999" t="s">
        <v>618</v>
      </c>
      <c r="D2999" t="s">
        <v>75</v>
      </c>
      <c r="E2999" t="s">
        <v>660</v>
      </c>
      <c r="F2999" t="s">
        <v>661</v>
      </c>
      <c r="G2999" s="10">
        <v>21</v>
      </c>
      <c r="H2999" s="10">
        <v>19950</v>
      </c>
      <c r="I2999" s="10">
        <v>418950</v>
      </c>
      <c r="J2999" t="s">
        <v>42</v>
      </c>
      <c r="K2999" s="11">
        <v>3145.8</v>
      </c>
      <c r="L2999" s="12">
        <v>133.18</v>
      </c>
    </row>
    <row r="3000" spans="1:12" x14ac:dyDescent="0.2">
      <c r="A3000" s="9">
        <v>46251</v>
      </c>
      <c r="B3000" t="s">
        <v>620</v>
      </c>
      <c r="C3000" t="s">
        <v>621</v>
      </c>
      <c r="D3000" t="s">
        <v>50</v>
      </c>
      <c r="E3000" t="s">
        <v>655</v>
      </c>
      <c r="F3000" t="s">
        <v>662</v>
      </c>
      <c r="G3000" s="10">
        <v>11</v>
      </c>
      <c r="H3000" s="10">
        <v>1158</v>
      </c>
      <c r="I3000" s="10">
        <v>12738</v>
      </c>
      <c r="J3000" t="s">
        <v>51</v>
      </c>
      <c r="K3000" s="11">
        <v>648.20000000000005</v>
      </c>
      <c r="L3000" s="12">
        <v>19.649999999999999</v>
      </c>
    </row>
    <row r="3001" spans="1:12" x14ac:dyDescent="0.2">
      <c r="A3001" s="9">
        <v>46251</v>
      </c>
      <c r="B3001" t="s">
        <v>623</v>
      </c>
      <c r="C3001" t="s">
        <v>624</v>
      </c>
      <c r="D3001" t="s">
        <v>68</v>
      </c>
      <c r="E3001" t="s">
        <v>651</v>
      </c>
      <c r="F3001" t="s">
        <v>664</v>
      </c>
      <c r="G3001" s="10">
        <v>57</v>
      </c>
      <c r="H3001" s="10">
        <v>11607</v>
      </c>
      <c r="I3001" s="10">
        <v>661599</v>
      </c>
      <c r="J3001" t="s">
        <v>51</v>
      </c>
      <c r="K3001" s="11">
        <v>648.20000000000005</v>
      </c>
      <c r="L3001" s="12">
        <v>1020.67</v>
      </c>
    </row>
    <row r="3002" spans="1:12" x14ac:dyDescent="0.2">
      <c r="A3002" s="9">
        <v>46251</v>
      </c>
      <c r="B3002" t="s">
        <v>626</v>
      </c>
      <c r="C3002" t="s">
        <v>627</v>
      </c>
      <c r="D3002" t="s">
        <v>50</v>
      </c>
      <c r="E3002" t="s">
        <v>649</v>
      </c>
      <c r="F3002" t="s">
        <v>659</v>
      </c>
      <c r="G3002" s="10">
        <v>19</v>
      </c>
      <c r="H3002" s="10">
        <v>8763</v>
      </c>
      <c r="I3002" s="10">
        <v>166497</v>
      </c>
      <c r="J3002" t="s">
        <v>51</v>
      </c>
      <c r="K3002" s="11">
        <v>648.20000000000005</v>
      </c>
      <c r="L3002" s="12">
        <v>256.86</v>
      </c>
    </row>
    <row r="3003" spans="1:12" x14ac:dyDescent="0.2">
      <c r="A3003" s="9">
        <v>46251</v>
      </c>
      <c r="B3003" t="s">
        <v>629</v>
      </c>
      <c r="C3003" t="s">
        <v>630</v>
      </c>
      <c r="D3003" t="s">
        <v>46</v>
      </c>
      <c r="E3003" t="s">
        <v>649</v>
      </c>
      <c r="F3003" t="s">
        <v>659</v>
      </c>
      <c r="G3003" s="10">
        <v>6</v>
      </c>
      <c r="H3003" s="10">
        <v>9065</v>
      </c>
      <c r="I3003" s="10">
        <v>54390</v>
      </c>
      <c r="J3003" t="s">
        <v>37</v>
      </c>
      <c r="K3003" s="11">
        <v>648.20000000000005</v>
      </c>
      <c r="L3003" s="12">
        <v>83.91</v>
      </c>
    </row>
    <row r="3004" spans="1:12" x14ac:dyDescent="0.2">
      <c r="A3004" s="9">
        <v>46251</v>
      </c>
      <c r="B3004" t="s">
        <v>629</v>
      </c>
      <c r="C3004" t="s">
        <v>630</v>
      </c>
      <c r="D3004" t="s">
        <v>46</v>
      </c>
      <c r="E3004" t="s">
        <v>653</v>
      </c>
      <c r="F3004" t="s">
        <v>654</v>
      </c>
      <c r="G3004" s="10">
        <v>8</v>
      </c>
      <c r="H3004" s="10">
        <v>5654</v>
      </c>
      <c r="I3004" s="10">
        <v>45232</v>
      </c>
      <c r="J3004" t="s">
        <v>37</v>
      </c>
      <c r="K3004" s="11">
        <v>648.20000000000005</v>
      </c>
      <c r="L3004" s="12">
        <v>69.78</v>
      </c>
    </row>
    <row r="3005" spans="1:12" x14ac:dyDescent="0.2">
      <c r="A3005" s="9">
        <v>46251</v>
      </c>
      <c r="B3005" t="s">
        <v>629</v>
      </c>
      <c r="C3005" t="s">
        <v>630</v>
      </c>
      <c r="D3005" t="s">
        <v>46</v>
      </c>
      <c r="E3005" t="s">
        <v>647</v>
      </c>
      <c r="F3005" t="s">
        <v>668</v>
      </c>
      <c r="G3005" s="10">
        <v>25</v>
      </c>
      <c r="H3005" s="10">
        <v>25970</v>
      </c>
      <c r="I3005" s="10">
        <v>649250</v>
      </c>
      <c r="J3005" t="s">
        <v>37</v>
      </c>
      <c r="K3005" s="11">
        <v>648.20000000000005</v>
      </c>
      <c r="L3005" s="12">
        <v>1001.62</v>
      </c>
    </row>
    <row r="3006" spans="1:12" x14ac:dyDescent="0.2">
      <c r="A3006" s="9">
        <v>46251</v>
      </c>
      <c r="B3006" t="s">
        <v>632</v>
      </c>
      <c r="C3006" t="s">
        <v>633</v>
      </c>
      <c r="D3006" t="s">
        <v>68</v>
      </c>
      <c r="E3006" t="s">
        <v>660</v>
      </c>
      <c r="F3006" t="s">
        <v>669</v>
      </c>
      <c r="G3006" s="10">
        <v>13</v>
      </c>
      <c r="H3006" s="10">
        <v>2537</v>
      </c>
      <c r="I3006" s="10">
        <v>32981</v>
      </c>
      <c r="J3006" t="s">
        <v>51</v>
      </c>
      <c r="K3006" s="11">
        <v>648.20000000000005</v>
      </c>
      <c r="L3006" s="12">
        <v>50.88</v>
      </c>
    </row>
    <row r="3007" spans="1:12" x14ac:dyDescent="0.2">
      <c r="A3007" s="9">
        <v>46251</v>
      </c>
      <c r="B3007" t="s">
        <v>635</v>
      </c>
      <c r="C3007" t="s">
        <v>636</v>
      </c>
      <c r="D3007" t="s">
        <v>41</v>
      </c>
      <c r="E3007" t="s">
        <v>649</v>
      </c>
      <c r="F3007" t="s">
        <v>659</v>
      </c>
      <c r="G3007" s="10">
        <v>5</v>
      </c>
      <c r="H3007" s="10">
        <v>41626</v>
      </c>
      <c r="I3007" s="10">
        <v>208130</v>
      </c>
      <c r="J3007" t="s">
        <v>42</v>
      </c>
      <c r="K3007" s="11">
        <v>3145.8</v>
      </c>
      <c r="L3007" s="12">
        <v>66.16</v>
      </c>
    </row>
    <row r="3008" spans="1:12" x14ac:dyDescent="0.2">
      <c r="A3008" s="9">
        <v>46252</v>
      </c>
      <c r="B3008" t="s">
        <v>39</v>
      </c>
      <c r="C3008" t="s">
        <v>40</v>
      </c>
      <c r="D3008" t="s">
        <v>41</v>
      </c>
      <c r="E3008" t="s">
        <v>653</v>
      </c>
      <c r="F3008" t="s">
        <v>658</v>
      </c>
      <c r="G3008" s="10">
        <v>2</v>
      </c>
      <c r="H3008" s="10">
        <v>13094</v>
      </c>
      <c r="I3008" s="10">
        <v>26188</v>
      </c>
      <c r="J3008" t="s">
        <v>42</v>
      </c>
      <c r="K3008" s="11">
        <v>3145.8</v>
      </c>
      <c r="L3008" s="12">
        <v>8.32</v>
      </c>
    </row>
    <row r="3009" spans="1:12" x14ac:dyDescent="0.2">
      <c r="A3009" s="9">
        <v>46252</v>
      </c>
      <c r="B3009" t="s">
        <v>39</v>
      </c>
      <c r="C3009" t="s">
        <v>40</v>
      </c>
      <c r="D3009" t="s">
        <v>41</v>
      </c>
      <c r="E3009" t="s">
        <v>649</v>
      </c>
      <c r="F3009" t="s">
        <v>659</v>
      </c>
      <c r="G3009" s="10">
        <v>15</v>
      </c>
      <c r="H3009" s="10">
        <v>42429</v>
      </c>
      <c r="I3009" s="10">
        <v>636435</v>
      </c>
      <c r="J3009" t="s">
        <v>42</v>
      </c>
      <c r="K3009" s="11">
        <v>3145.8</v>
      </c>
      <c r="L3009" s="12">
        <v>202.31</v>
      </c>
    </row>
    <row r="3010" spans="1:12" x14ac:dyDescent="0.2">
      <c r="A3010" s="9">
        <v>46252</v>
      </c>
      <c r="B3010" t="s">
        <v>39</v>
      </c>
      <c r="C3010" t="s">
        <v>40</v>
      </c>
      <c r="D3010" t="s">
        <v>41</v>
      </c>
      <c r="E3010" t="s">
        <v>649</v>
      </c>
      <c r="F3010" t="s">
        <v>659</v>
      </c>
      <c r="G3010" s="10">
        <v>1</v>
      </c>
      <c r="H3010" s="10">
        <v>44437</v>
      </c>
      <c r="I3010" s="10">
        <v>44437</v>
      </c>
      <c r="J3010" t="s">
        <v>42</v>
      </c>
      <c r="K3010" s="11">
        <v>3145.8</v>
      </c>
      <c r="L3010" s="12">
        <v>14.13</v>
      </c>
    </row>
    <row r="3011" spans="1:12" x14ac:dyDescent="0.2">
      <c r="A3011" s="9">
        <v>46252</v>
      </c>
      <c r="B3011" t="s">
        <v>39</v>
      </c>
      <c r="C3011" t="s">
        <v>40</v>
      </c>
      <c r="D3011" t="s">
        <v>41</v>
      </c>
      <c r="E3011" t="s">
        <v>660</v>
      </c>
      <c r="F3011" t="s">
        <v>670</v>
      </c>
      <c r="G3011" s="10">
        <v>1</v>
      </c>
      <c r="H3011" s="10">
        <v>69433</v>
      </c>
      <c r="I3011" s="10">
        <v>69433</v>
      </c>
      <c r="J3011" t="s">
        <v>42</v>
      </c>
      <c r="K3011" s="11">
        <v>3145.8</v>
      </c>
      <c r="L3011" s="12">
        <v>22.07</v>
      </c>
    </row>
    <row r="3012" spans="1:12" x14ac:dyDescent="0.2">
      <c r="A3012" s="9">
        <v>46252</v>
      </c>
      <c r="B3012" t="s">
        <v>44</v>
      </c>
      <c r="C3012" t="s">
        <v>45</v>
      </c>
      <c r="D3012" t="s">
        <v>46</v>
      </c>
      <c r="E3012" t="s">
        <v>660</v>
      </c>
      <c r="F3012" t="s">
        <v>670</v>
      </c>
      <c r="G3012" s="10">
        <v>4</v>
      </c>
      <c r="H3012" s="10">
        <v>14930</v>
      </c>
      <c r="I3012" s="10">
        <v>59720</v>
      </c>
      <c r="J3012" t="s">
        <v>37</v>
      </c>
      <c r="K3012" s="11">
        <v>648.20000000000005</v>
      </c>
      <c r="L3012" s="12">
        <v>92.13</v>
      </c>
    </row>
    <row r="3013" spans="1:12" x14ac:dyDescent="0.2">
      <c r="A3013" s="9">
        <v>46252</v>
      </c>
      <c r="B3013" t="s">
        <v>48</v>
      </c>
      <c r="C3013" t="s">
        <v>49</v>
      </c>
      <c r="D3013" t="s">
        <v>50</v>
      </c>
      <c r="E3013" t="s">
        <v>660</v>
      </c>
      <c r="F3013" t="s">
        <v>670</v>
      </c>
      <c r="G3013" s="10">
        <v>4</v>
      </c>
      <c r="H3013" s="10">
        <v>14491</v>
      </c>
      <c r="I3013" s="10">
        <v>57964</v>
      </c>
      <c r="J3013" t="s">
        <v>51</v>
      </c>
      <c r="K3013" s="11">
        <v>648.20000000000005</v>
      </c>
      <c r="L3013" s="12">
        <v>89.42</v>
      </c>
    </row>
    <row r="3014" spans="1:12" x14ac:dyDescent="0.2">
      <c r="A3014" s="9">
        <v>46252</v>
      </c>
      <c r="B3014" t="s">
        <v>48</v>
      </c>
      <c r="C3014" t="s">
        <v>49</v>
      </c>
      <c r="D3014" t="s">
        <v>50</v>
      </c>
      <c r="E3014" t="s">
        <v>647</v>
      </c>
      <c r="F3014" t="s">
        <v>648</v>
      </c>
      <c r="G3014" s="10">
        <v>6</v>
      </c>
      <c r="H3014" s="10">
        <v>16705</v>
      </c>
      <c r="I3014" s="10">
        <v>100230</v>
      </c>
      <c r="J3014" t="s">
        <v>51</v>
      </c>
      <c r="K3014" s="11">
        <v>648.20000000000005</v>
      </c>
      <c r="L3014" s="12">
        <v>154.63</v>
      </c>
    </row>
    <row r="3015" spans="1:12" x14ac:dyDescent="0.2">
      <c r="A3015" s="9">
        <v>46252</v>
      </c>
      <c r="B3015" t="s">
        <v>53</v>
      </c>
      <c r="C3015" t="s">
        <v>54</v>
      </c>
      <c r="D3015" t="s">
        <v>41</v>
      </c>
      <c r="E3015" t="s">
        <v>647</v>
      </c>
      <c r="F3015" t="s">
        <v>668</v>
      </c>
      <c r="G3015" s="10">
        <v>11</v>
      </c>
      <c r="H3015" s="10">
        <v>127120</v>
      </c>
      <c r="I3015" s="10">
        <v>1398320</v>
      </c>
      <c r="J3015" t="s">
        <v>42</v>
      </c>
      <c r="K3015" s="11">
        <v>3145.8</v>
      </c>
      <c r="L3015" s="12">
        <v>444.5</v>
      </c>
    </row>
    <row r="3016" spans="1:12" x14ac:dyDescent="0.2">
      <c r="A3016" s="9">
        <v>46252</v>
      </c>
      <c r="B3016" t="s">
        <v>60</v>
      </c>
      <c r="C3016" t="s">
        <v>61</v>
      </c>
      <c r="D3016" t="s">
        <v>41</v>
      </c>
      <c r="E3016" t="s">
        <v>649</v>
      </c>
      <c r="F3016" t="s">
        <v>659</v>
      </c>
      <c r="G3016" s="10">
        <v>23</v>
      </c>
      <c r="H3016" s="10">
        <v>42310</v>
      </c>
      <c r="I3016" s="10">
        <v>973130</v>
      </c>
      <c r="J3016" t="s">
        <v>42</v>
      </c>
      <c r="K3016" s="11">
        <v>3145.8</v>
      </c>
      <c r="L3016" s="12">
        <v>309.33999999999997</v>
      </c>
    </row>
    <row r="3017" spans="1:12" x14ac:dyDescent="0.2">
      <c r="A3017" s="9">
        <v>46252</v>
      </c>
      <c r="B3017" t="s">
        <v>66</v>
      </c>
      <c r="C3017" t="s">
        <v>67</v>
      </c>
      <c r="D3017" t="s">
        <v>68</v>
      </c>
      <c r="E3017" t="s">
        <v>649</v>
      </c>
      <c r="F3017" t="s">
        <v>659</v>
      </c>
      <c r="G3017" s="10">
        <v>28</v>
      </c>
      <c r="H3017" s="10">
        <v>8603</v>
      </c>
      <c r="I3017" s="10">
        <v>240884</v>
      </c>
      <c r="J3017" t="s">
        <v>51</v>
      </c>
      <c r="K3017" s="11">
        <v>648.20000000000005</v>
      </c>
      <c r="L3017" s="12">
        <v>371.62</v>
      </c>
    </row>
    <row r="3018" spans="1:12" x14ac:dyDescent="0.2">
      <c r="A3018" s="9">
        <v>46252</v>
      </c>
      <c r="B3018" t="s">
        <v>66</v>
      </c>
      <c r="C3018" t="s">
        <v>67</v>
      </c>
      <c r="D3018" t="s">
        <v>68</v>
      </c>
      <c r="E3018" t="s">
        <v>653</v>
      </c>
      <c r="F3018" t="s">
        <v>654</v>
      </c>
      <c r="G3018" s="10">
        <v>48</v>
      </c>
      <c r="H3018" s="10">
        <v>5712</v>
      </c>
      <c r="I3018" s="10">
        <v>274176</v>
      </c>
      <c r="J3018" t="s">
        <v>51</v>
      </c>
      <c r="K3018" s="11">
        <v>648.20000000000005</v>
      </c>
      <c r="L3018" s="12">
        <v>422.98</v>
      </c>
    </row>
    <row r="3019" spans="1:12" x14ac:dyDescent="0.2">
      <c r="A3019" s="9">
        <v>46252</v>
      </c>
      <c r="B3019" t="s">
        <v>70</v>
      </c>
      <c r="C3019" t="s">
        <v>71</v>
      </c>
      <c r="D3019" t="s">
        <v>46</v>
      </c>
      <c r="E3019" t="s">
        <v>655</v>
      </c>
      <c r="F3019" t="s">
        <v>656</v>
      </c>
      <c r="G3019" s="10">
        <v>3</v>
      </c>
      <c r="H3019" s="10">
        <v>571</v>
      </c>
      <c r="I3019" s="10">
        <v>1713</v>
      </c>
      <c r="J3019" t="s">
        <v>37</v>
      </c>
      <c r="K3019" s="11">
        <v>648.20000000000005</v>
      </c>
      <c r="L3019" s="12">
        <v>2.64</v>
      </c>
    </row>
    <row r="3020" spans="1:12" x14ac:dyDescent="0.2">
      <c r="A3020" s="9">
        <v>46252</v>
      </c>
      <c r="B3020" t="s">
        <v>73</v>
      </c>
      <c r="C3020" t="s">
        <v>74</v>
      </c>
      <c r="D3020" t="s">
        <v>75</v>
      </c>
      <c r="E3020" t="s">
        <v>649</v>
      </c>
      <c r="F3020" t="s">
        <v>659</v>
      </c>
      <c r="G3020" s="10">
        <v>81</v>
      </c>
      <c r="H3020" s="10">
        <v>43127</v>
      </c>
      <c r="I3020" s="10">
        <v>3493287</v>
      </c>
      <c r="J3020" t="s">
        <v>42</v>
      </c>
      <c r="K3020" s="11">
        <v>3145.8</v>
      </c>
      <c r="L3020" s="12">
        <v>1110.46</v>
      </c>
    </row>
    <row r="3021" spans="1:12" x14ac:dyDescent="0.2">
      <c r="A3021" s="9">
        <v>46252</v>
      </c>
      <c r="B3021" t="s">
        <v>73</v>
      </c>
      <c r="C3021" t="s">
        <v>74</v>
      </c>
      <c r="D3021" t="s">
        <v>75</v>
      </c>
      <c r="E3021" t="s">
        <v>655</v>
      </c>
      <c r="F3021" t="s">
        <v>662</v>
      </c>
      <c r="G3021" s="10">
        <v>7</v>
      </c>
      <c r="H3021" s="10">
        <v>5557</v>
      </c>
      <c r="I3021" s="10">
        <v>38899</v>
      </c>
      <c r="J3021" t="s">
        <v>42</v>
      </c>
      <c r="K3021" s="11">
        <v>3145.8</v>
      </c>
      <c r="L3021" s="12">
        <v>12.37</v>
      </c>
    </row>
    <row r="3022" spans="1:12" x14ac:dyDescent="0.2">
      <c r="A3022" s="9">
        <v>46252</v>
      </c>
      <c r="B3022" t="s">
        <v>73</v>
      </c>
      <c r="C3022" t="s">
        <v>74</v>
      </c>
      <c r="D3022" t="s">
        <v>75</v>
      </c>
      <c r="E3022" t="s">
        <v>660</v>
      </c>
      <c r="F3022" t="s">
        <v>661</v>
      </c>
      <c r="G3022" s="10">
        <v>22</v>
      </c>
      <c r="H3022" s="10">
        <v>20633</v>
      </c>
      <c r="I3022" s="10">
        <v>453926</v>
      </c>
      <c r="J3022" t="s">
        <v>42</v>
      </c>
      <c r="K3022" s="11">
        <v>3145.8</v>
      </c>
      <c r="L3022" s="12">
        <v>144.30000000000001</v>
      </c>
    </row>
    <row r="3023" spans="1:12" x14ac:dyDescent="0.2">
      <c r="A3023" s="9">
        <v>46252</v>
      </c>
      <c r="B3023" t="s">
        <v>73</v>
      </c>
      <c r="C3023" t="s">
        <v>74</v>
      </c>
      <c r="D3023" t="s">
        <v>75</v>
      </c>
      <c r="E3023" t="s">
        <v>647</v>
      </c>
      <c r="F3023" t="s">
        <v>648</v>
      </c>
      <c r="G3023" s="10">
        <v>95</v>
      </c>
      <c r="H3023" s="10">
        <v>79481</v>
      </c>
      <c r="I3023" s="10">
        <v>7550695</v>
      </c>
      <c r="J3023" t="s">
        <v>42</v>
      </c>
      <c r="K3023" s="11">
        <v>3145.8</v>
      </c>
      <c r="L3023" s="12">
        <v>2400.25</v>
      </c>
    </row>
    <row r="3024" spans="1:12" x14ac:dyDescent="0.2">
      <c r="A3024" s="9">
        <v>46252</v>
      </c>
      <c r="B3024" t="s">
        <v>73</v>
      </c>
      <c r="C3024" t="s">
        <v>74</v>
      </c>
      <c r="D3024" t="s">
        <v>75</v>
      </c>
      <c r="E3024" t="s">
        <v>655</v>
      </c>
      <c r="F3024" t="s">
        <v>665</v>
      </c>
      <c r="G3024" s="10">
        <v>53</v>
      </c>
      <c r="H3024" s="10">
        <v>3448</v>
      </c>
      <c r="I3024" s="10">
        <v>182744</v>
      </c>
      <c r="J3024" t="s">
        <v>42</v>
      </c>
      <c r="K3024" s="11">
        <v>3145.8</v>
      </c>
      <c r="L3024" s="12">
        <v>58.09</v>
      </c>
    </row>
    <row r="3025" spans="1:12" x14ac:dyDescent="0.2">
      <c r="A3025" s="9">
        <v>46252</v>
      </c>
      <c r="B3025" t="s">
        <v>77</v>
      </c>
      <c r="C3025" t="s">
        <v>78</v>
      </c>
      <c r="D3025" t="s">
        <v>50</v>
      </c>
      <c r="E3025" t="s">
        <v>651</v>
      </c>
      <c r="F3025" t="s">
        <v>657</v>
      </c>
      <c r="G3025" s="10">
        <v>37</v>
      </c>
      <c r="H3025" s="10">
        <v>6578</v>
      </c>
      <c r="I3025" s="10">
        <v>243386</v>
      </c>
      <c r="J3025" t="s">
        <v>51</v>
      </c>
      <c r="K3025" s="11">
        <v>648.20000000000005</v>
      </c>
      <c r="L3025" s="12">
        <v>375.48</v>
      </c>
    </row>
    <row r="3026" spans="1:12" x14ac:dyDescent="0.2">
      <c r="A3026" s="9">
        <v>46252</v>
      </c>
      <c r="B3026" t="s">
        <v>80</v>
      </c>
      <c r="C3026" t="s">
        <v>81</v>
      </c>
      <c r="D3026" t="s">
        <v>46</v>
      </c>
      <c r="E3026" t="s">
        <v>649</v>
      </c>
      <c r="F3026" t="s">
        <v>659</v>
      </c>
      <c r="G3026" s="10">
        <v>3</v>
      </c>
      <c r="H3026" s="10">
        <v>8567</v>
      </c>
      <c r="I3026" s="10">
        <v>25701</v>
      </c>
      <c r="J3026" t="s">
        <v>37</v>
      </c>
      <c r="K3026" s="11">
        <v>648.20000000000005</v>
      </c>
      <c r="L3026" s="12">
        <v>39.65</v>
      </c>
    </row>
    <row r="3027" spans="1:12" x14ac:dyDescent="0.2">
      <c r="A3027" s="9">
        <v>46252</v>
      </c>
      <c r="B3027" t="s">
        <v>83</v>
      </c>
      <c r="C3027" t="s">
        <v>84</v>
      </c>
      <c r="D3027" t="s">
        <v>41</v>
      </c>
      <c r="E3027" t="s">
        <v>660</v>
      </c>
      <c r="F3027" t="s">
        <v>669</v>
      </c>
      <c r="G3027" s="10">
        <v>12</v>
      </c>
      <c r="H3027" s="10">
        <v>12396</v>
      </c>
      <c r="I3027" s="10">
        <v>148752</v>
      </c>
      <c r="J3027" t="s">
        <v>42</v>
      </c>
      <c r="K3027" s="11">
        <v>3145.8</v>
      </c>
      <c r="L3027" s="12">
        <v>47.29</v>
      </c>
    </row>
    <row r="3028" spans="1:12" x14ac:dyDescent="0.2">
      <c r="A3028" s="9">
        <v>46252</v>
      </c>
      <c r="B3028" t="s">
        <v>86</v>
      </c>
      <c r="C3028" t="s">
        <v>87</v>
      </c>
      <c r="D3028" t="s">
        <v>50</v>
      </c>
      <c r="E3028" t="s">
        <v>655</v>
      </c>
      <c r="F3028" t="s">
        <v>665</v>
      </c>
      <c r="G3028" s="10">
        <v>10</v>
      </c>
      <c r="H3028" s="10">
        <v>661</v>
      </c>
      <c r="I3028" s="10">
        <v>6610</v>
      </c>
      <c r="J3028" t="s">
        <v>51</v>
      </c>
      <c r="K3028" s="11">
        <v>648.20000000000005</v>
      </c>
      <c r="L3028" s="12">
        <v>10.199999999999999</v>
      </c>
    </row>
    <row r="3029" spans="1:12" x14ac:dyDescent="0.2">
      <c r="A3029" s="9">
        <v>46252</v>
      </c>
      <c r="B3029" t="s">
        <v>96</v>
      </c>
      <c r="C3029" t="s">
        <v>97</v>
      </c>
      <c r="D3029" t="s">
        <v>41</v>
      </c>
      <c r="E3029" t="s">
        <v>647</v>
      </c>
      <c r="F3029" t="s">
        <v>667</v>
      </c>
      <c r="G3029" s="10">
        <v>6</v>
      </c>
      <c r="H3029" s="10">
        <v>34904</v>
      </c>
      <c r="I3029" s="10">
        <v>209424</v>
      </c>
      <c r="J3029" t="s">
        <v>42</v>
      </c>
      <c r="K3029" s="11">
        <v>3145.8</v>
      </c>
      <c r="L3029" s="12">
        <v>66.569999999999993</v>
      </c>
    </row>
    <row r="3030" spans="1:12" x14ac:dyDescent="0.2">
      <c r="A3030" s="9">
        <v>46252</v>
      </c>
      <c r="B3030" t="s">
        <v>102</v>
      </c>
      <c r="C3030" t="s">
        <v>103</v>
      </c>
      <c r="D3030" t="s">
        <v>41</v>
      </c>
      <c r="E3030" t="s">
        <v>649</v>
      </c>
      <c r="F3030" t="s">
        <v>650</v>
      </c>
      <c r="G3030" s="10">
        <v>6</v>
      </c>
      <c r="H3030" s="10">
        <v>96349</v>
      </c>
      <c r="I3030" s="10">
        <v>578094</v>
      </c>
      <c r="J3030" t="s">
        <v>42</v>
      </c>
      <c r="K3030" s="11">
        <v>3145.8</v>
      </c>
      <c r="L3030" s="12">
        <v>183.77</v>
      </c>
    </row>
    <row r="3031" spans="1:12" x14ac:dyDescent="0.2">
      <c r="A3031" s="9">
        <v>46252</v>
      </c>
      <c r="B3031" t="s">
        <v>102</v>
      </c>
      <c r="C3031" t="s">
        <v>103</v>
      </c>
      <c r="D3031" t="s">
        <v>41</v>
      </c>
      <c r="E3031" t="s">
        <v>647</v>
      </c>
      <c r="F3031" t="s">
        <v>667</v>
      </c>
      <c r="G3031" s="10">
        <v>29</v>
      </c>
      <c r="H3031" s="10">
        <v>36903</v>
      </c>
      <c r="I3031" s="10">
        <v>1070187</v>
      </c>
      <c r="J3031" t="s">
        <v>42</v>
      </c>
      <c r="K3031" s="11">
        <v>3145.8</v>
      </c>
      <c r="L3031" s="12">
        <v>340.2</v>
      </c>
    </row>
    <row r="3032" spans="1:12" x14ac:dyDescent="0.2">
      <c r="A3032" s="9">
        <v>46252</v>
      </c>
      <c r="B3032" t="s">
        <v>102</v>
      </c>
      <c r="C3032" t="s">
        <v>103</v>
      </c>
      <c r="D3032" t="s">
        <v>41</v>
      </c>
      <c r="E3032" t="s">
        <v>651</v>
      </c>
      <c r="F3032" t="s">
        <v>657</v>
      </c>
      <c r="G3032" s="10">
        <v>7</v>
      </c>
      <c r="H3032" s="10">
        <v>31146</v>
      </c>
      <c r="I3032" s="10">
        <v>218022</v>
      </c>
      <c r="J3032" t="s">
        <v>42</v>
      </c>
      <c r="K3032" s="11">
        <v>3145.8</v>
      </c>
      <c r="L3032" s="12">
        <v>69.31</v>
      </c>
    </row>
    <row r="3033" spans="1:12" x14ac:dyDescent="0.2">
      <c r="A3033" s="9">
        <v>46252</v>
      </c>
      <c r="B3033" t="s">
        <v>115</v>
      </c>
      <c r="C3033" t="s">
        <v>116</v>
      </c>
      <c r="D3033" t="s">
        <v>41</v>
      </c>
      <c r="E3033" t="s">
        <v>655</v>
      </c>
      <c r="F3033" t="s">
        <v>662</v>
      </c>
      <c r="G3033" s="10">
        <v>15</v>
      </c>
      <c r="H3033" s="10">
        <v>5544</v>
      </c>
      <c r="I3033" s="10">
        <v>83160</v>
      </c>
      <c r="J3033" t="s">
        <v>42</v>
      </c>
      <c r="K3033" s="11">
        <v>3145.8</v>
      </c>
      <c r="L3033" s="12">
        <v>26.44</v>
      </c>
    </row>
    <row r="3034" spans="1:12" x14ac:dyDescent="0.2">
      <c r="A3034" s="9">
        <v>46252</v>
      </c>
      <c r="B3034" t="s">
        <v>115</v>
      </c>
      <c r="C3034" t="s">
        <v>116</v>
      </c>
      <c r="D3034" t="s">
        <v>41</v>
      </c>
      <c r="E3034" t="s">
        <v>660</v>
      </c>
      <c r="F3034" t="s">
        <v>669</v>
      </c>
      <c r="G3034" s="10">
        <v>13</v>
      </c>
      <c r="H3034" s="10">
        <v>12822</v>
      </c>
      <c r="I3034" s="10">
        <v>166686</v>
      </c>
      <c r="J3034" t="s">
        <v>42</v>
      </c>
      <c r="K3034" s="11">
        <v>3145.8</v>
      </c>
      <c r="L3034" s="12">
        <v>52.99</v>
      </c>
    </row>
    <row r="3035" spans="1:12" x14ac:dyDescent="0.2">
      <c r="A3035" s="9">
        <v>46252</v>
      </c>
      <c r="B3035" t="s">
        <v>115</v>
      </c>
      <c r="C3035" t="s">
        <v>116</v>
      </c>
      <c r="D3035" t="s">
        <v>41</v>
      </c>
      <c r="E3035" t="s">
        <v>660</v>
      </c>
      <c r="F3035" t="s">
        <v>669</v>
      </c>
      <c r="G3035" s="10">
        <v>7</v>
      </c>
      <c r="H3035" s="10">
        <v>13018</v>
      </c>
      <c r="I3035" s="10">
        <v>91126</v>
      </c>
      <c r="J3035" t="s">
        <v>42</v>
      </c>
      <c r="K3035" s="11">
        <v>3145.8</v>
      </c>
      <c r="L3035" s="12">
        <v>28.97</v>
      </c>
    </row>
    <row r="3036" spans="1:12" x14ac:dyDescent="0.2">
      <c r="A3036" s="9">
        <v>46252</v>
      </c>
      <c r="B3036" t="s">
        <v>115</v>
      </c>
      <c r="C3036" t="s">
        <v>116</v>
      </c>
      <c r="D3036" t="s">
        <v>41</v>
      </c>
      <c r="E3036" t="s">
        <v>655</v>
      </c>
      <c r="F3036" t="s">
        <v>665</v>
      </c>
      <c r="G3036" s="10">
        <v>19</v>
      </c>
      <c r="H3036" s="10">
        <v>3467</v>
      </c>
      <c r="I3036" s="10">
        <v>65873</v>
      </c>
      <c r="J3036" t="s">
        <v>42</v>
      </c>
      <c r="K3036" s="11">
        <v>3145.8</v>
      </c>
      <c r="L3036" s="12">
        <v>20.94</v>
      </c>
    </row>
    <row r="3037" spans="1:12" x14ac:dyDescent="0.2">
      <c r="A3037" s="9">
        <v>46252</v>
      </c>
      <c r="B3037" t="s">
        <v>118</v>
      </c>
      <c r="C3037" t="s">
        <v>119</v>
      </c>
      <c r="D3037" t="s">
        <v>36</v>
      </c>
      <c r="E3037" t="s">
        <v>653</v>
      </c>
      <c r="F3037" t="s">
        <v>654</v>
      </c>
      <c r="G3037" s="10">
        <v>33</v>
      </c>
      <c r="H3037" s="10">
        <v>5830</v>
      </c>
      <c r="I3037" s="10">
        <v>192390</v>
      </c>
      <c r="J3037" t="s">
        <v>37</v>
      </c>
      <c r="K3037" s="11">
        <v>648.20000000000005</v>
      </c>
      <c r="L3037" s="12">
        <v>296.81</v>
      </c>
    </row>
    <row r="3038" spans="1:12" x14ac:dyDescent="0.2">
      <c r="A3038" s="9">
        <v>46252</v>
      </c>
      <c r="B3038" t="s">
        <v>118</v>
      </c>
      <c r="C3038" t="s">
        <v>119</v>
      </c>
      <c r="D3038" t="s">
        <v>36</v>
      </c>
      <c r="E3038" t="s">
        <v>653</v>
      </c>
      <c r="F3038" t="s">
        <v>654</v>
      </c>
      <c r="G3038" s="10">
        <v>153</v>
      </c>
      <c r="H3038" s="10">
        <v>5915</v>
      </c>
      <c r="I3038" s="10">
        <v>904995</v>
      </c>
      <c r="J3038" t="s">
        <v>37</v>
      </c>
      <c r="K3038" s="11">
        <v>648.20000000000005</v>
      </c>
      <c r="L3038" s="12">
        <v>1396.17</v>
      </c>
    </row>
    <row r="3039" spans="1:12" x14ac:dyDescent="0.2">
      <c r="A3039" s="9">
        <v>46252</v>
      </c>
      <c r="B3039" t="s">
        <v>118</v>
      </c>
      <c r="C3039" t="s">
        <v>119</v>
      </c>
      <c r="D3039" t="s">
        <v>36</v>
      </c>
      <c r="E3039" t="s">
        <v>655</v>
      </c>
      <c r="F3039" t="s">
        <v>656</v>
      </c>
      <c r="G3039" s="10">
        <v>45</v>
      </c>
      <c r="H3039" s="10">
        <v>576</v>
      </c>
      <c r="I3039" s="10">
        <v>25920</v>
      </c>
      <c r="J3039" t="s">
        <v>37</v>
      </c>
      <c r="K3039" s="11">
        <v>648.20000000000005</v>
      </c>
      <c r="L3039" s="12">
        <v>39.99</v>
      </c>
    </row>
    <row r="3040" spans="1:12" x14ac:dyDescent="0.2">
      <c r="A3040" s="9">
        <v>46252</v>
      </c>
      <c r="B3040" t="s">
        <v>121</v>
      </c>
      <c r="C3040" t="s">
        <v>122</v>
      </c>
      <c r="D3040" t="s">
        <v>75</v>
      </c>
      <c r="E3040" t="s">
        <v>651</v>
      </c>
      <c r="F3040" t="s">
        <v>652</v>
      </c>
      <c r="G3040" s="10">
        <v>94</v>
      </c>
      <c r="H3040" s="10">
        <v>45397</v>
      </c>
      <c r="I3040" s="10">
        <v>4267318</v>
      </c>
      <c r="J3040" t="s">
        <v>42</v>
      </c>
      <c r="K3040" s="11">
        <v>3145.8</v>
      </c>
      <c r="L3040" s="12">
        <v>1356.51</v>
      </c>
    </row>
    <row r="3041" spans="1:12" x14ac:dyDescent="0.2">
      <c r="A3041" s="9">
        <v>46252</v>
      </c>
      <c r="B3041" t="s">
        <v>121</v>
      </c>
      <c r="C3041" t="s">
        <v>122</v>
      </c>
      <c r="D3041" t="s">
        <v>75</v>
      </c>
      <c r="E3041" t="s">
        <v>649</v>
      </c>
      <c r="F3041" t="s">
        <v>650</v>
      </c>
      <c r="G3041" s="10">
        <v>1</v>
      </c>
      <c r="H3041" s="10">
        <v>90791</v>
      </c>
      <c r="I3041" s="10">
        <v>90791</v>
      </c>
      <c r="J3041" t="s">
        <v>42</v>
      </c>
      <c r="K3041" s="11">
        <v>3145.8</v>
      </c>
      <c r="L3041" s="12">
        <v>28.86</v>
      </c>
    </row>
    <row r="3042" spans="1:12" x14ac:dyDescent="0.2">
      <c r="A3042" s="9">
        <v>46252</v>
      </c>
      <c r="B3042" t="s">
        <v>124</v>
      </c>
      <c r="C3042" t="s">
        <v>125</v>
      </c>
      <c r="D3042" t="s">
        <v>75</v>
      </c>
      <c r="E3042" t="s">
        <v>655</v>
      </c>
      <c r="F3042" t="s">
        <v>662</v>
      </c>
      <c r="G3042" s="10">
        <v>15</v>
      </c>
      <c r="H3042" s="10">
        <v>5415</v>
      </c>
      <c r="I3042" s="10">
        <v>81225</v>
      </c>
      <c r="J3042" t="s">
        <v>42</v>
      </c>
      <c r="K3042" s="11">
        <v>3145.8</v>
      </c>
      <c r="L3042" s="12">
        <v>25.82</v>
      </c>
    </row>
    <row r="3043" spans="1:12" x14ac:dyDescent="0.2">
      <c r="A3043" s="9">
        <v>46252</v>
      </c>
      <c r="B3043" t="s">
        <v>124</v>
      </c>
      <c r="C3043" t="s">
        <v>125</v>
      </c>
      <c r="D3043" t="s">
        <v>75</v>
      </c>
      <c r="E3043" t="s">
        <v>647</v>
      </c>
      <c r="F3043" t="s">
        <v>648</v>
      </c>
      <c r="G3043" s="10">
        <v>12</v>
      </c>
      <c r="H3043" s="10">
        <v>79319</v>
      </c>
      <c r="I3043" s="10">
        <v>951828</v>
      </c>
      <c r="J3043" t="s">
        <v>42</v>
      </c>
      <c r="K3043" s="11">
        <v>3145.8</v>
      </c>
      <c r="L3043" s="12">
        <v>302.57</v>
      </c>
    </row>
    <row r="3044" spans="1:12" x14ac:dyDescent="0.2">
      <c r="A3044" s="9">
        <v>46252</v>
      </c>
      <c r="B3044" t="s">
        <v>130</v>
      </c>
      <c r="C3044" t="s">
        <v>131</v>
      </c>
      <c r="D3044" t="s">
        <v>46</v>
      </c>
      <c r="E3044" t="s">
        <v>655</v>
      </c>
      <c r="F3044" t="s">
        <v>662</v>
      </c>
      <c r="G3044" s="10">
        <v>10</v>
      </c>
      <c r="H3044" s="10">
        <v>1151</v>
      </c>
      <c r="I3044" s="10">
        <v>11510</v>
      </c>
      <c r="J3044" t="s">
        <v>37</v>
      </c>
      <c r="K3044" s="11">
        <v>648.20000000000005</v>
      </c>
      <c r="L3044" s="12">
        <v>17.760000000000002</v>
      </c>
    </row>
    <row r="3045" spans="1:12" x14ac:dyDescent="0.2">
      <c r="A3045" s="9">
        <v>46252</v>
      </c>
      <c r="B3045" t="s">
        <v>130</v>
      </c>
      <c r="C3045" t="s">
        <v>131</v>
      </c>
      <c r="D3045" t="s">
        <v>46</v>
      </c>
      <c r="E3045" t="s">
        <v>647</v>
      </c>
      <c r="F3045" t="s">
        <v>648</v>
      </c>
      <c r="G3045" s="10">
        <v>7</v>
      </c>
      <c r="H3045" s="10">
        <v>16687</v>
      </c>
      <c r="I3045" s="10">
        <v>116809</v>
      </c>
      <c r="J3045" t="s">
        <v>37</v>
      </c>
      <c r="K3045" s="11">
        <v>648.20000000000005</v>
      </c>
      <c r="L3045" s="12">
        <v>180.21</v>
      </c>
    </row>
    <row r="3046" spans="1:12" x14ac:dyDescent="0.2">
      <c r="A3046" s="9">
        <v>46252</v>
      </c>
      <c r="B3046" t="s">
        <v>130</v>
      </c>
      <c r="C3046" t="s">
        <v>131</v>
      </c>
      <c r="D3046" t="s">
        <v>46</v>
      </c>
      <c r="E3046" t="s">
        <v>647</v>
      </c>
      <c r="F3046" t="s">
        <v>667</v>
      </c>
      <c r="G3046" s="10">
        <v>1</v>
      </c>
      <c r="H3046" s="10">
        <v>7349</v>
      </c>
      <c r="I3046" s="10">
        <v>7349</v>
      </c>
      <c r="J3046" t="s">
        <v>37</v>
      </c>
      <c r="K3046" s="11">
        <v>648.20000000000005</v>
      </c>
      <c r="L3046" s="12">
        <v>11.34</v>
      </c>
    </row>
    <row r="3047" spans="1:12" x14ac:dyDescent="0.2">
      <c r="A3047" s="9">
        <v>46252</v>
      </c>
      <c r="B3047" t="s">
        <v>133</v>
      </c>
      <c r="C3047" t="s">
        <v>134</v>
      </c>
      <c r="D3047" t="s">
        <v>41</v>
      </c>
      <c r="E3047" t="s">
        <v>653</v>
      </c>
      <c r="F3047" t="s">
        <v>654</v>
      </c>
      <c r="G3047" s="10">
        <v>5</v>
      </c>
      <c r="H3047" s="10">
        <v>27556</v>
      </c>
      <c r="I3047" s="10">
        <v>137780</v>
      </c>
      <c r="J3047" t="s">
        <v>42</v>
      </c>
      <c r="K3047" s="11">
        <v>3145.8</v>
      </c>
      <c r="L3047" s="12">
        <v>43.8</v>
      </c>
    </row>
    <row r="3048" spans="1:12" x14ac:dyDescent="0.2">
      <c r="A3048" s="9">
        <v>46252</v>
      </c>
      <c r="B3048" t="s">
        <v>139</v>
      </c>
      <c r="C3048" t="s">
        <v>140</v>
      </c>
      <c r="D3048" t="s">
        <v>75</v>
      </c>
      <c r="E3048" t="s">
        <v>649</v>
      </c>
      <c r="F3048" t="s">
        <v>659</v>
      </c>
      <c r="G3048" s="10">
        <v>10</v>
      </c>
      <c r="H3048" s="10">
        <v>43491</v>
      </c>
      <c r="I3048" s="10">
        <v>434910</v>
      </c>
      <c r="J3048" t="s">
        <v>42</v>
      </c>
      <c r="K3048" s="11">
        <v>3145.8</v>
      </c>
      <c r="L3048" s="12">
        <v>138.25</v>
      </c>
    </row>
    <row r="3049" spans="1:12" x14ac:dyDescent="0.2">
      <c r="A3049" s="9">
        <v>46252</v>
      </c>
      <c r="B3049" t="s">
        <v>139</v>
      </c>
      <c r="C3049" t="s">
        <v>140</v>
      </c>
      <c r="D3049" t="s">
        <v>75</v>
      </c>
      <c r="E3049" t="s">
        <v>647</v>
      </c>
      <c r="F3049" t="s">
        <v>667</v>
      </c>
      <c r="G3049" s="10">
        <v>27</v>
      </c>
      <c r="H3049" s="10">
        <v>36682</v>
      </c>
      <c r="I3049" s="10">
        <v>990414</v>
      </c>
      <c r="J3049" t="s">
        <v>42</v>
      </c>
      <c r="K3049" s="11">
        <v>3145.8</v>
      </c>
      <c r="L3049" s="12">
        <v>314.83999999999997</v>
      </c>
    </row>
    <row r="3050" spans="1:12" x14ac:dyDescent="0.2">
      <c r="A3050" s="9">
        <v>46252</v>
      </c>
      <c r="B3050" t="s">
        <v>142</v>
      </c>
      <c r="C3050" t="s">
        <v>143</v>
      </c>
      <c r="D3050" t="s">
        <v>75</v>
      </c>
      <c r="E3050" t="s">
        <v>653</v>
      </c>
      <c r="F3050" t="s">
        <v>658</v>
      </c>
      <c r="G3050" s="10">
        <v>12</v>
      </c>
      <c r="H3050" s="10">
        <v>13460</v>
      </c>
      <c r="I3050" s="10">
        <v>161520</v>
      </c>
      <c r="J3050" t="s">
        <v>42</v>
      </c>
      <c r="K3050" s="11">
        <v>3145.8</v>
      </c>
      <c r="L3050" s="12">
        <v>51.34</v>
      </c>
    </row>
    <row r="3051" spans="1:12" x14ac:dyDescent="0.2">
      <c r="A3051" s="9">
        <v>46252</v>
      </c>
      <c r="B3051" t="s">
        <v>145</v>
      </c>
      <c r="C3051" t="s">
        <v>146</v>
      </c>
      <c r="D3051" t="s">
        <v>68</v>
      </c>
      <c r="E3051" t="s">
        <v>649</v>
      </c>
      <c r="F3051" t="s">
        <v>650</v>
      </c>
      <c r="G3051" s="10">
        <v>7</v>
      </c>
      <c r="H3051" s="10">
        <v>18902</v>
      </c>
      <c r="I3051" s="10">
        <v>132314</v>
      </c>
      <c r="J3051" t="s">
        <v>51</v>
      </c>
      <c r="K3051" s="11">
        <v>648.20000000000005</v>
      </c>
      <c r="L3051" s="12">
        <v>204.13</v>
      </c>
    </row>
    <row r="3052" spans="1:12" x14ac:dyDescent="0.2">
      <c r="A3052" s="9">
        <v>46252</v>
      </c>
      <c r="B3052" t="s">
        <v>149</v>
      </c>
      <c r="C3052" t="s">
        <v>150</v>
      </c>
      <c r="D3052" t="s">
        <v>50</v>
      </c>
      <c r="E3052" t="s">
        <v>647</v>
      </c>
      <c r="F3052" t="s">
        <v>648</v>
      </c>
      <c r="G3052" s="10">
        <v>9</v>
      </c>
      <c r="H3052" s="10">
        <v>16752</v>
      </c>
      <c r="I3052" s="10">
        <v>150768</v>
      </c>
      <c r="J3052" t="s">
        <v>51</v>
      </c>
      <c r="K3052" s="11">
        <v>648.20000000000005</v>
      </c>
      <c r="L3052" s="12">
        <v>232.59</v>
      </c>
    </row>
    <row r="3053" spans="1:12" x14ac:dyDescent="0.2">
      <c r="A3053" s="9">
        <v>46252</v>
      </c>
      <c r="B3053" t="s">
        <v>149</v>
      </c>
      <c r="C3053" t="s">
        <v>150</v>
      </c>
      <c r="D3053" t="s">
        <v>50</v>
      </c>
      <c r="E3053" t="s">
        <v>655</v>
      </c>
      <c r="F3053" t="s">
        <v>656</v>
      </c>
      <c r="G3053" s="10">
        <v>11</v>
      </c>
      <c r="H3053" s="10">
        <v>588</v>
      </c>
      <c r="I3053" s="10">
        <v>6468</v>
      </c>
      <c r="J3053" t="s">
        <v>51</v>
      </c>
      <c r="K3053" s="11">
        <v>648.20000000000005</v>
      </c>
      <c r="L3053" s="12">
        <v>9.98</v>
      </c>
    </row>
    <row r="3054" spans="1:12" x14ac:dyDescent="0.2">
      <c r="A3054" s="9">
        <v>46252</v>
      </c>
      <c r="B3054" t="s">
        <v>152</v>
      </c>
      <c r="C3054" t="s">
        <v>153</v>
      </c>
      <c r="D3054" t="s">
        <v>75</v>
      </c>
      <c r="E3054" t="s">
        <v>649</v>
      </c>
      <c r="F3054" t="s">
        <v>663</v>
      </c>
      <c r="G3054" s="10">
        <v>13</v>
      </c>
      <c r="H3054" s="10">
        <v>9800</v>
      </c>
      <c r="I3054" s="10">
        <v>127400</v>
      </c>
      <c r="J3054" t="s">
        <v>42</v>
      </c>
      <c r="K3054" s="11">
        <v>3145.8</v>
      </c>
      <c r="L3054" s="12">
        <v>40.5</v>
      </c>
    </row>
    <row r="3055" spans="1:12" x14ac:dyDescent="0.2">
      <c r="A3055" s="9">
        <v>46252</v>
      </c>
      <c r="B3055" t="s">
        <v>155</v>
      </c>
      <c r="C3055" t="s">
        <v>156</v>
      </c>
      <c r="D3055" t="s">
        <v>46</v>
      </c>
      <c r="E3055" t="s">
        <v>649</v>
      </c>
      <c r="F3055" t="s">
        <v>663</v>
      </c>
      <c r="G3055" s="10">
        <v>20</v>
      </c>
      <c r="H3055" s="10">
        <v>2017</v>
      </c>
      <c r="I3055" s="10">
        <v>40340</v>
      </c>
      <c r="J3055" t="s">
        <v>37</v>
      </c>
      <c r="K3055" s="11">
        <v>648.20000000000005</v>
      </c>
      <c r="L3055" s="12">
        <v>62.23</v>
      </c>
    </row>
    <row r="3056" spans="1:12" x14ac:dyDescent="0.2">
      <c r="A3056" s="9">
        <v>46252</v>
      </c>
      <c r="B3056" t="s">
        <v>155</v>
      </c>
      <c r="C3056" t="s">
        <v>156</v>
      </c>
      <c r="D3056" t="s">
        <v>46</v>
      </c>
      <c r="E3056" t="s">
        <v>647</v>
      </c>
      <c r="F3056" t="s">
        <v>668</v>
      </c>
      <c r="G3056" s="10">
        <v>12</v>
      </c>
      <c r="H3056" s="10">
        <v>24556</v>
      </c>
      <c r="I3056" s="10">
        <v>294672</v>
      </c>
      <c r="J3056" t="s">
        <v>37</v>
      </c>
      <c r="K3056" s="11">
        <v>648.20000000000005</v>
      </c>
      <c r="L3056" s="12">
        <v>454.6</v>
      </c>
    </row>
    <row r="3057" spans="1:12" x14ac:dyDescent="0.2">
      <c r="A3057" s="9">
        <v>46252</v>
      </c>
      <c r="B3057" t="s">
        <v>158</v>
      </c>
      <c r="C3057" t="s">
        <v>159</v>
      </c>
      <c r="D3057" t="s">
        <v>41</v>
      </c>
      <c r="E3057" t="s">
        <v>651</v>
      </c>
      <c r="F3057" t="s">
        <v>652</v>
      </c>
      <c r="G3057" s="10">
        <v>32</v>
      </c>
      <c r="H3057" s="10">
        <v>46085</v>
      </c>
      <c r="I3057" s="10">
        <v>1474720</v>
      </c>
      <c r="J3057" t="s">
        <v>42</v>
      </c>
      <c r="K3057" s="11">
        <v>3145.8</v>
      </c>
      <c r="L3057" s="12">
        <v>468.79</v>
      </c>
    </row>
    <row r="3058" spans="1:12" x14ac:dyDescent="0.2">
      <c r="A3058" s="9">
        <v>46252</v>
      </c>
      <c r="B3058" t="s">
        <v>166</v>
      </c>
      <c r="C3058" t="s">
        <v>167</v>
      </c>
      <c r="D3058" t="s">
        <v>46</v>
      </c>
      <c r="E3058" t="s">
        <v>647</v>
      </c>
      <c r="F3058" t="s">
        <v>668</v>
      </c>
      <c r="G3058" s="10">
        <v>3</v>
      </c>
      <c r="H3058" s="10">
        <v>24766</v>
      </c>
      <c r="I3058" s="10">
        <v>74298</v>
      </c>
      <c r="J3058" t="s">
        <v>37</v>
      </c>
      <c r="K3058" s="11">
        <v>648.20000000000005</v>
      </c>
      <c r="L3058" s="12">
        <v>114.62</v>
      </c>
    </row>
    <row r="3059" spans="1:12" x14ac:dyDescent="0.2">
      <c r="A3059" s="9">
        <v>46252</v>
      </c>
      <c r="B3059" t="s">
        <v>169</v>
      </c>
      <c r="C3059" t="s">
        <v>170</v>
      </c>
      <c r="D3059" t="s">
        <v>41</v>
      </c>
      <c r="E3059" t="s">
        <v>649</v>
      </c>
      <c r="F3059" t="s">
        <v>659</v>
      </c>
      <c r="G3059" s="10">
        <v>6</v>
      </c>
      <c r="H3059" s="10">
        <v>43956</v>
      </c>
      <c r="I3059" s="10">
        <v>263736</v>
      </c>
      <c r="J3059" t="s">
        <v>42</v>
      </c>
      <c r="K3059" s="11">
        <v>3145.8</v>
      </c>
      <c r="L3059" s="12">
        <v>83.84</v>
      </c>
    </row>
    <row r="3060" spans="1:12" x14ac:dyDescent="0.2">
      <c r="A3060" s="9">
        <v>46252</v>
      </c>
      <c r="B3060" t="s">
        <v>172</v>
      </c>
      <c r="C3060" t="s">
        <v>173</v>
      </c>
      <c r="D3060" t="s">
        <v>41</v>
      </c>
      <c r="E3060" t="s">
        <v>655</v>
      </c>
      <c r="F3060" t="s">
        <v>662</v>
      </c>
      <c r="G3060" s="10">
        <v>4</v>
      </c>
      <c r="H3060" s="10">
        <v>5586</v>
      </c>
      <c r="I3060" s="10">
        <v>22344</v>
      </c>
      <c r="J3060" t="s">
        <v>42</v>
      </c>
      <c r="K3060" s="11">
        <v>3145.8</v>
      </c>
      <c r="L3060" s="12">
        <v>7.1</v>
      </c>
    </row>
    <row r="3061" spans="1:12" x14ac:dyDescent="0.2">
      <c r="A3061" s="9">
        <v>46252</v>
      </c>
      <c r="B3061" t="s">
        <v>175</v>
      </c>
      <c r="C3061" t="s">
        <v>176</v>
      </c>
      <c r="D3061" t="s">
        <v>50</v>
      </c>
      <c r="E3061" t="s">
        <v>655</v>
      </c>
      <c r="F3061" t="s">
        <v>665</v>
      </c>
      <c r="G3061" s="10">
        <v>16</v>
      </c>
      <c r="H3061" s="10">
        <v>668</v>
      </c>
      <c r="I3061" s="10">
        <v>10688</v>
      </c>
      <c r="J3061" t="s">
        <v>51</v>
      </c>
      <c r="K3061" s="11">
        <v>648.20000000000005</v>
      </c>
      <c r="L3061" s="12">
        <v>16.489999999999998</v>
      </c>
    </row>
    <row r="3062" spans="1:12" x14ac:dyDescent="0.2">
      <c r="A3062" s="9">
        <v>46252</v>
      </c>
      <c r="B3062" t="s">
        <v>178</v>
      </c>
      <c r="C3062" t="s">
        <v>179</v>
      </c>
      <c r="D3062" t="s">
        <v>50</v>
      </c>
      <c r="E3062" t="s">
        <v>649</v>
      </c>
      <c r="F3062" t="s">
        <v>659</v>
      </c>
      <c r="G3062" s="10">
        <v>1</v>
      </c>
      <c r="H3062" s="10">
        <v>8902</v>
      </c>
      <c r="I3062" s="10">
        <v>8902</v>
      </c>
      <c r="J3062" t="s">
        <v>51</v>
      </c>
      <c r="K3062" s="11">
        <v>648.20000000000005</v>
      </c>
      <c r="L3062" s="12">
        <v>13.73</v>
      </c>
    </row>
    <row r="3063" spans="1:12" x14ac:dyDescent="0.2">
      <c r="A3063" s="9">
        <v>46252</v>
      </c>
      <c r="B3063" t="s">
        <v>178</v>
      </c>
      <c r="C3063" t="s">
        <v>179</v>
      </c>
      <c r="D3063" t="s">
        <v>50</v>
      </c>
      <c r="E3063" t="s">
        <v>655</v>
      </c>
      <c r="F3063" t="s">
        <v>656</v>
      </c>
      <c r="G3063" s="10">
        <v>2</v>
      </c>
      <c r="H3063" s="10">
        <v>556</v>
      </c>
      <c r="I3063" s="10">
        <v>1112</v>
      </c>
      <c r="J3063" t="s">
        <v>51</v>
      </c>
      <c r="K3063" s="11">
        <v>648.20000000000005</v>
      </c>
      <c r="L3063" s="12">
        <v>1.72</v>
      </c>
    </row>
    <row r="3064" spans="1:12" x14ac:dyDescent="0.2">
      <c r="A3064" s="9">
        <v>46252</v>
      </c>
      <c r="B3064" t="s">
        <v>181</v>
      </c>
      <c r="C3064" t="s">
        <v>182</v>
      </c>
      <c r="D3064" t="s">
        <v>41</v>
      </c>
      <c r="E3064" t="s">
        <v>651</v>
      </c>
      <c r="F3064" t="s">
        <v>652</v>
      </c>
      <c r="G3064" s="10">
        <v>8</v>
      </c>
      <c r="H3064" s="10">
        <v>46180</v>
      </c>
      <c r="I3064" s="10">
        <v>369440</v>
      </c>
      <c r="J3064" t="s">
        <v>42</v>
      </c>
      <c r="K3064" s="11">
        <v>3145.8</v>
      </c>
      <c r="L3064" s="12">
        <v>117.44</v>
      </c>
    </row>
    <row r="3065" spans="1:12" x14ac:dyDescent="0.2">
      <c r="A3065" s="9">
        <v>46252</v>
      </c>
      <c r="B3065" t="s">
        <v>184</v>
      </c>
      <c r="C3065" t="s">
        <v>185</v>
      </c>
      <c r="D3065" t="s">
        <v>41</v>
      </c>
      <c r="E3065" t="s">
        <v>653</v>
      </c>
      <c r="F3065" t="s">
        <v>654</v>
      </c>
      <c r="G3065" s="10">
        <v>3</v>
      </c>
      <c r="H3065" s="10">
        <v>26980</v>
      </c>
      <c r="I3065" s="10">
        <v>80940</v>
      </c>
      <c r="J3065" t="s">
        <v>42</v>
      </c>
      <c r="K3065" s="11">
        <v>3145.8</v>
      </c>
      <c r="L3065" s="12">
        <v>25.73</v>
      </c>
    </row>
    <row r="3066" spans="1:12" x14ac:dyDescent="0.2">
      <c r="A3066" s="9">
        <v>46252</v>
      </c>
      <c r="B3066" t="s">
        <v>184</v>
      </c>
      <c r="C3066" t="s">
        <v>185</v>
      </c>
      <c r="D3066" t="s">
        <v>41</v>
      </c>
      <c r="E3066" t="s">
        <v>653</v>
      </c>
      <c r="F3066" t="s">
        <v>654</v>
      </c>
      <c r="G3066" s="10">
        <v>44</v>
      </c>
      <c r="H3066" s="10">
        <v>28594</v>
      </c>
      <c r="I3066" s="10">
        <v>1258136</v>
      </c>
      <c r="J3066" t="s">
        <v>42</v>
      </c>
      <c r="K3066" s="11">
        <v>3145.8</v>
      </c>
      <c r="L3066" s="12">
        <v>399.94</v>
      </c>
    </row>
    <row r="3067" spans="1:12" x14ac:dyDescent="0.2">
      <c r="A3067" s="9">
        <v>46252</v>
      </c>
      <c r="B3067" t="s">
        <v>184</v>
      </c>
      <c r="C3067" t="s">
        <v>185</v>
      </c>
      <c r="D3067" t="s">
        <v>41</v>
      </c>
      <c r="E3067" t="s">
        <v>647</v>
      </c>
      <c r="F3067" t="s">
        <v>648</v>
      </c>
      <c r="G3067" s="10">
        <v>21</v>
      </c>
      <c r="H3067" s="10">
        <v>77082</v>
      </c>
      <c r="I3067" s="10">
        <v>1618722</v>
      </c>
      <c r="J3067" t="s">
        <v>42</v>
      </c>
      <c r="K3067" s="11">
        <v>3145.8</v>
      </c>
      <c r="L3067" s="12">
        <v>514.57000000000005</v>
      </c>
    </row>
    <row r="3068" spans="1:12" x14ac:dyDescent="0.2">
      <c r="A3068" s="9">
        <v>46252</v>
      </c>
      <c r="B3068" t="s">
        <v>190</v>
      </c>
      <c r="C3068" t="s">
        <v>191</v>
      </c>
      <c r="D3068" t="s">
        <v>68</v>
      </c>
      <c r="E3068" t="s">
        <v>653</v>
      </c>
      <c r="F3068" t="s">
        <v>666</v>
      </c>
      <c r="G3068" s="10">
        <v>13</v>
      </c>
      <c r="H3068" s="10">
        <v>1521</v>
      </c>
      <c r="I3068" s="10">
        <v>19773</v>
      </c>
      <c r="J3068" t="s">
        <v>51</v>
      </c>
      <c r="K3068" s="11">
        <v>648.20000000000005</v>
      </c>
      <c r="L3068" s="12">
        <v>30.5</v>
      </c>
    </row>
    <row r="3069" spans="1:12" x14ac:dyDescent="0.2">
      <c r="A3069" s="9">
        <v>46252</v>
      </c>
      <c r="B3069" t="s">
        <v>190</v>
      </c>
      <c r="C3069" t="s">
        <v>191</v>
      </c>
      <c r="D3069" t="s">
        <v>68</v>
      </c>
      <c r="E3069" t="s">
        <v>660</v>
      </c>
      <c r="F3069" t="s">
        <v>661</v>
      </c>
      <c r="G3069" s="10">
        <v>17</v>
      </c>
      <c r="H3069" s="10">
        <v>4067</v>
      </c>
      <c r="I3069" s="10">
        <v>69139</v>
      </c>
      <c r="J3069" t="s">
        <v>51</v>
      </c>
      <c r="K3069" s="11">
        <v>648.20000000000005</v>
      </c>
      <c r="L3069" s="12">
        <v>106.66</v>
      </c>
    </row>
    <row r="3070" spans="1:12" x14ac:dyDescent="0.2">
      <c r="A3070" s="9">
        <v>46252</v>
      </c>
      <c r="B3070" t="s">
        <v>196</v>
      </c>
      <c r="C3070" t="s">
        <v>197</v>
      </c>
      <c r="D3070" t="s">
        <v>46</v>
      </c>
      <c r="E3070" t="s">
        <v>649</v>
      </c>
      <c r="F3070" t="s">
        <v>663</v>
      </c>
      <c r="G3070" s="10">
        <v>8</v>
      </c>
      <c r="H3070" s="10">
        <v>2060</v>
      </c>
      <c r="I3070" s="10">
        <v>16480</v>
      </c>
      <c r="J3070" t="s">
        <v>37</v>
      </c>
      <c r="K3070" s="11">
        <v>648.20000000000005</v>
      </c>
      <c r="L3070" s="12">
        <v>25.42</v>
      </c>
    </row>
    <row r="3071" spans="1:12" x14ac:dyDescent="0.2">
      <c r="A3071" s="9">
        <v>46252</v>
      </c>
      <c r="B3071" t="s">
        <v>196</v>
      </c>
      <c r="C3071" t="s">
        <v>197</v>
      </c>
      <c r="D3071" t="s">
        <v>46</v>
      </c>
      <c r="E3071" t="s">
        <v>655</v>
      </c>
      <c r="F3071" t="s">
        <v>656</v>
      </c>
      <c r="G3071" s="10">
        <v>42</v>
      </c>
      <c r="H3071" s="10">
        <v>591</v>
      </c>
      <c r="I3071" s="10">
        <v>24822</v>
      </c>
      <c r="J3071" t="s">
        <v>37</v>
      </c>
      <c r="K3071" s="11">
        <v>648.20000000000005</v>
      </c>
      <c r="L3071" s="12">
        <v>38.29</v>
      </c>
    </row>
    <row r="3072" spans="1:12" x14ac:dyDescent="0.2">
      <c r="A3072" s="9">
        <v>46252</v>
      </c>
      <c r="B3072" t="s">
        <v>199</v>
      </c>
      <c r="C3072" t="s">
        <v>200</v>
      </c>
      <c r="D3072" t="s">
        <v>46</v>
      </c>
      <c r="E3072" t="s">
        <v>660</v>
      </c>
      <c r="F3072" t="s">
        <v>661</v>
      </c>
      <c r="G3072" s="10">
        <v>6</v>
      </c>
      <c r="H3072" s="10">
        <v>4056</v>
      </c>
      <c r="I3072" s="10">
        <v>24336</v>
      </c>
      <c r="J3072" t="s">
        <v>37</v>
      </c>
      <c r="K3072" s="11">
        <v>648.20000000000005</v>
      </c>
      <c r="L3072" s="12">
        <v>37.54</v>
      </c>
    </row>
    <row r="3073" spans="1:12" x14ac:dyDescent="0.2">
      <c r="A3073" s="9">
        <v>46252</v>
      </c>
      <c r="B3073" t="s">
        <v>199</v>
      </c>
      <c r="C3073" t="s">
        <v>200</v>
      </c>
      <c r="D3073" t="s">
        <v>46</v>
      </c>
      <c r="E3073" t="s">
        <v>647</v>
      </c>
      <c r="F3073" t="s">
        <v>668</v>
      </c>
      <c r="G3073" s="10">
        <v>29</v>
      </c>
      <c r="H3073" s="10">
        <v>25082</v>
      </c>
      <c r="I3073" s="10">
        <v>727378</v>
      </c>
      <c r="J3073" t="s">
        <v>37</v>
      </c>
      <c r="K3073" s="11">
        <v>648.20000000000005</v>
      </c>
      <c r="L3073" s="12">
        <v>1122.1500000000001</v>
      </c>
    </row>
    <row r="3074" spans="1:12" x14ac:dyDescent="0.2">
      <c r="A3074" s="9">
        <v>46252</v>
      </c>
      <c r="B3074" t="s">
        <v>208</v>
      </c>
      <c r="C3074" t="s">
        <v>209</v>
      </c>
      <c r="D3074" t="s">
        <v>46</v>
      </c>
      <c r="E3074" t="s">
        <v>649</v>
      </c>
      <c r="F3074" t="s">
        <v>663</v>
      </c>
      <c r="G3074" s="10">
        <v>5</v>
      </c>
      <c r="H3074" s="10">
        <v>1987</v>
      </c>
      <c r="I3074" s="10">
        <v>9935</v>
      </c>
      <c r="J3074" t="s">
        <v>37</v>
      </c>
      <c r="K3074" s="11">
        <v>648.20000000000005</v>
      </c>
      <c r="L3074" s="12">
        <v>15.33</v>
      </c>
    </row>
    <row r="3075" spans="1:12" x14ac:dyDescent="0.2">
      <c r="A3075" s="9">
        <v>46252</v>
      </c>
      <c r="B3075" t="s">
        <v>211</v>
      </c>
      <c r="C3075" t="s">
        <v>212</v>
      </c>
      <c r="D3075" t="s">
        <v>46</v>
      </c>
      <c r="E3075" t="s">
        <v>660</v>
      </c>
      <c r="F3075" t="s">
        <v>670</v>
      </c>
      <c r="G3075" s="10">
        <v>10</v>
      </c>
      <c r="H3075" s="10">
        <v>14209</v>
      </c>
      <c r="I3075" s="10">
        <v>142090</v>
      </c>
      <c r="J3075" t="s">
        <v>37</v>
      </c>
      <c r="K3075" s="11">
        <v>648.20000000000005</v>
      </c>
      <c r="L3075" s="12">
        <v>219.21</v>
      </c>
    </row>
    <row r="3076" spans="1:12" x14ac:dyDescent="0.2">
      <c r="A3076" s="9">
        <v>46252</v>
      </c>
      <c r="B3076" t="s">
        <v>211</v>
      </c>
      <c r="C3076" t="s">
        <v>212</v>
      </c>
      <c r="D3076" t="s">
        <v>46</v>
      </c>
      <c r="E3076" t="s">
        <v>647</v>
      </c>
      <c r="F3076" t="s">
        <v>648</v>
      </c>
      <c r="G3076" s="10">
        <v>15</v>
      </c>
      <c r="H3076" s="10">
        <v>16488</v>
      </c>
      <c r="I3076" s="10">
        <v>247320</v>
      </c>
      <c r="J3076" t="s">
        <v>37</v>
      </c>
      <c r="K3076" s="11">
        <v>648.20000000000005</v>
      </c>
      <c r="L3076" s="12">
        <v>381.55</v>
      </c>
    </row>
    <row r="3077" spans="1:12" x14ac:dyDescent="0.2">
      <c r="A3077" s="9">
        <v>46252</v>
      </c>
      <c r="B3077" t="s">
        <v>211</v>
      </c>
      <c r="C3077" t="s">
        <v>212</v>
      </c>
      <c r="D3077" t="s">
        <v>46</v>
      </c>
      <c r="E3077" t="s">
        <v>647</v>
      </c>
      <c r="F3077" t="s">
        <v>667</v>
      </c>
      <c r="G3077" s="10">
        <v>29</v>
      </c>
      <c r="H3077" s="10">
        <v>7310</v>
      </c>
      <c r="I3077" s="10">
        <v>211990</v>
      </c>
      <c r="J3077" t="s">
        <v>37</v>
      </c>
      <c r="K3077" s="11">
        <v>648.20000000000005</v>
      </c>
      <c r="L3077" s="12">
        <v>327.04000000000002</v>
      </c>
    </row>
    <row r="3078" spans="1:12" x14ac:dyDescent="0.2">
      <c r="A3078" s="9">
        <v>46252</v>
      </c>
      <c r="B3078" t="s">
        <v>214</v>
      </c>
      <c r="C3078" t="s">
        <v>215</v>
      </c>
      <c r="D3078" t="s">
        <v>46</v>
      </c>
      <c r="E3078" t="s">
        <v>660</v>
      </c>
      <c r="F3078" t="s">
        <v>661</v>
      </c>
      <c r="G3078" s="10">
        <v>11</v>
      </c>
      <c r="H3078" s="10">
        <v>4188</v>
      </c>
      <c r="I3078" s="10">
        <v>46068</v>
      </c>
      <c r="J3078" t="s">
        <v>37</v>
      </c>
      <c r="K3078" s="11">
        <v>648.20000000000005</v>
      </c>
      <c r="L3078" s="12">
        <v>71.069999999999993</v>
      </c>
    </row>
    <row r="3079" spans="1:12" x14ac:dyDescent="0.2">
      <c r="A3079" s="9">
        <v>46252</v>
      </c>
      <c r="B3079" t="s">
        <v>214</v>
      </c>
      <c r="C3079" t="s">
        <v>215</v>
      </c>
      <c r="D3079" t="s">
        <v>46</v>
      </c>
      <c r="E3079" t="s">
        <v>647</v>
      </c>
      <c r="F3079" t="s">
        <v>668</v>
      </c>
      <c r="G3079" s="10">
        <v>16</v>
      </c>
      <c r="H3079" s="10">
        <v>24514</v>
      </c>
      <c r="I3079" s="10">
        <v>392224</v>
      </c>
      <c r="J3079" t="s">
        <v>37</v>
      </c>
      <c r="K3079" s="11">
        <v>648.20000000000005</v>
      </c>
      <c r="L3079" s="12">
        <v>605.1</v>
      </c>
    </row>
    <row r="3080" spans="1:12" x14ac:dyDescent="0.2">
      <c r="A3080" s="9">
        <v>46252</v>
      </c>
      <c r="B3080" t="s">
        <v>214</v>
      </c>
      <c r="C3080" t="s">
        <v>215</v>
      </c>
      <c r="D3080" t="s">
        <v>46</v>
      </c>
      <c r="E3080" t="s">
        <v>647</v>
      </c>
      <c r="F3080" t="s">
        <v>648</v>
      </c>
      <c r="G3080" s="10">
        <v>10</v>
      </c>
      <c r="H3080" s="10">
        <v>15818</v>
      </c>
      <c r="I3080" s="10">
        <v>158180</v>
      </c>
      <c r="J3080" t="s">
        <v>37</v>
      </c>
      <c r="K3080" s="11">
        <v>648.20000000000005</v>
      </c>
      <c r="L3080" s="12">
        <v>244.03</v>
      </c>
    </row>
    <row r="3081" spans="1:12" x14ac:dyDescent="0.2">
      <c r="A3081" s="9">
        <v>46252</v>
      </c>
      <c r="B3081" t="s">
        <v>220</v>
      </c>
      <c r="C3081" t="s">
        <v>221</v>
      </c>
      <c r="D3081" t="s">
        <v>46</v>
      </c>
      <c r="E3081" t="s">
        <v>649</v>
      </c>
      <c r="F3081" t="s">
        <v>650</v>
      </c>
      <c r="G3081" s="10">
        <v>3</v>
      </c>
      <c r="H3081" s="10">
        <v>19737</v>
      </c>
      <c r="I3081" s="10">
        <v>59211</v>
      </c>
      <c r="J3081" t="s">
        <v>37</v>
      </c>
      <c r="K3081" s="11">
        <v>648.20000000000005</v>
      </c>
      <c r="L3081" s="12">
        <v>91.35</v>
      </c>
    </row>
    <row r="3082" spans="1:12" x14ac:dyDescent="0.2">
      <c r="A3082" s="9">
        <v>46252</v>
      </c>
      <c r="B3082" t="s">
        <v>220</v>
      </c>
      <c r="C3082" t="s">
        <v>221</v>
      </c>
      <c r="D3082" t="s">
        <v>46</v>
      </c>
      <c r="E3082" t="s">
        <v>649</v>
      </c>
      <c r="F3082" t="s">
        <v>663</v>
      </c>
      <c r="G3082" s="10">
        <v>13</v>
      </c>
      <c r="H3082" s="10">
        <v>2093</v>
      </c>
      <c r="I3082" s="10">
        <v>27209</v>
      </c>
      <c r="J3082" t="s">
        <v>37</v>
      </c>
      <c r="K3082" s="11">
        <v>648.20000000000005</v>
      </c>
      <c r="L3082" s="12">
        <v>41.98</v>
      </c>
    </row>
    <row r="3083" spans="1:12" x14ac:dyDescent="0.2">
      <c r="A3083" s="9">
        <v>46252</v>
      </c>
      <c r="B3083" t="s">
        <v>220</v>
      </c>
      <c r="C3083" t="s">
        <v>221</v>
      </c>
      <c r="D3083" t="s">
        <v>46</v>
      </c>
      <c r="E3083" t="s">
        <v>655</v>
      </c>
      <c r="F3083" t="s">
        <v>662</v>
      </c>
      <c r="G3083" s="10">
        <v>13</v>
      </c>
      <c r="H3083" s="10">
        <v>1165</v>
      </c>
      <c r="I3083" s="10">
        <v>15145</v>
      </c>
      <c r="J3083" t="s">
        <v>37</v>
      </c>
      <c r="K3083" s="11">
        <v>648.20000000000005</v>
      </c>
      <c r="L3083" s="12">
        <v>23.36</v>
      </c>
    </row>
    <row r="3084" spans="1:12" x14ac:dyDescent="0.2">
      <c r="A3084" s="9">
        <v>46252</v>
      </c>
      <c r="B3084" t="s">
        <v>220</v>
      </c>
      <c r="C3084" t="s">
        <v>221</v>
      </c>
      <c r="D3084" t="s">
        <v>46</v>
      </c>
      <c r="E3084" t="s">
        <v>660</v>
      </c>
      <c r="F3084" t="s">
        <v>670</v>
      </c>
      <c r="G3084" s="10">
        <v>7</v>
      </c>
      <c r="H3084" s="10">
        <v>14472</v>
      </c>
      <c r="I3084" s="10">
        <v>101304</v>
      </c>
      <c r="J3084" t="s">
        <v>37</v>
      </c>
      <c r="K3084" s="11">
        <v>648.20000000000005</v>
      </c>
      <c r="L3084" s="12">
        <v>156.29</v>
      </c>
    </row>
    <row r="3085" spans="1:12" x14ac:dyDescent="0.2">
      <c r="A3085" s="9">
        <v>46252</v>
      </c>
      <c r="B3085" t="s">
        <v>223</v>
      </c>
      <c r="C3085" t="s">
        <v>224</v>
      </c>
      <c r="D3085" t="s">
        <v>36</v>
      </c>
      <c r="E3085" t="s">
        <v>647</v>
      </c>
      <c r="F3085" t="s">
        <v>667</v>
      </c>
      <c r="G3085" s="10">
        <v>6</v>
      </c>
      <c r="H3085" s="10">
        <v>7307</v>
      </c>
      <c r="I3085" s="10">
        <v>43842</v>
      </c>
      <c r="J3085" t="s">
        <v>37</v>
      </c>
      <c r="K3085" s="11">
        <v>648.20000000000005</v>
      </c>
      <c r="L3085" s="12">
        <v>67.64</v>
      </c>
    </row>
    <row r="3086" spans="1:12" x14ac:dyDescent="0.2">
      <c r="A3086" s="9">
        <v>46252</v>
      </c>
      <c r="B3086" t="s">
        <v>226</v>
      </c>
      <c r="C3086" t="s">
        <v>227</v>
      </c>
      <c r="D3086" t="s">
        <v>41</v>
      </c>
      <c r="E3086" t="s">
        <v>653</v>
      </c>
      <c r="F3086" t="s">
        <v>658</v>
      </c>
      <c r="G3086" s="10">
        <v>25</v>
      </c>
      <c r="H3086" s="10">
        <v>13372</v>
      </c>
      <c r="I3086" s="10">
        <v>334300</v>
      </c>
      <c r="J3086" t="s">
        <v>42</v>
      </c>
      <c r="K3086" s="11">
        <v>3145.8</v>
      </c>
      <c r="L3086" s="12">
        <v>106.27</v>
      </c>
    </row>
    <row r="3087" spans="1:12" x14ac:dyDescent="0.2">
      <c r="A3087" s="9">
        <v>46252</v>
      </c>
      <c r="B3087" t="s">
        <v>226</v>
      </c>
      <c r="C3087" t="s">
        <v>227</v>
      </c>
      <c r="D3087" t="s">
        <v>41</v>
      </c>
      <c r="E3087" t="s">
        <v>649</v>
      </c>
      <c r="F3087" t="s">
        <v>663</v>
      </c>
      <c r="G3087" s="10">
        <v>2</v>
      </c>
      <c r="H3087" s="10">
        <v>9949</v>
      </c>
      <c r="I3087" s="10">
        <v>19898</v>
      </c>
      <c r="J3087" t="s">
        <v>42</v>
      </c>
      <c r="K3087" s="11">
        <v>3145.8</v>
      </c>
      <c r="L3087" s="12">
        <v>6.33</v>
      </c>
    </row>
    <row r="3088" spans="1:12" x14ac:dyDescent="0.2">
      <c r="A3088" s="9">
        <v>46252</v>
      </c>
      <c r="B3088" t="s">
        <v>226</v>
      </c>
      <c r="C3088" t="s">
        <v>227</v>
      </c>
      <c r="D3088" t="s">
        <v>41</v>
      </c>
      <c r="E3088" t="s">
        <v>647</v>
      </c>
      <c r="F3088" t="s">
        <v>667</v>
      </c>
      <c r="G3088" s="10">
        <v>56</v>
      </c>
      <c r="H3088" s="10">
        <v>35706</v>
      </c>
      <c r="I3088" s="10">
        <v>1999536</v>
      </c>
      <c r="J3088" t="s">
        <v>42</v>
      </c>
      <c r="K3088" s="11">
        <v>3145.8</v>
      </c>
      <c r="L3088" s="12">
        <v>635.62</v>
      </c>
    </row>
    <row r="3089" spans="1:12" x14ac:dyDescent="0.2">
      <c r="A3089" s="9">
        <v>46252</v>
      </c>
      <c r="B3089" t="s">
        <v>229</v>
      </c>
      <c r="C3089" t="s">
        <v>230</v>
      </c>
      <c r="D3089" t="s">
        <v>36</v>
      </c>
      <c r="E3089" t="s">
        <v>649</v>
      </c>
      <c r="F3089" t="s">
        <v>663</v>
      </c>
      <c r="G3089" s="10">
        <v>5</v>
      </c>
      <c r="H3089" s="10">
        <v>1989</v>
      </c>
      <c r="I3089" s="10">
        <v>9945</v>
      </c>
      <c r="J3089" t="s">
        <v>37</v>
      </c>
      <c r="K3089" s="11">
        <v>648.20000000000005</v>
      </c>
      <c r="L3089" s="12">
        <v>15.34</v>
      </c>
    </row>
    <row r="3090" spans="1:12" x14ac:dyDescent="0.2">
      <c r="A3090" s="9">
        <v>46252</v>
      </c>
      <c r="B3090" t="s">
        <v>229</v>
      </c>
      <c r="C3090" t="s">
        <v>230</v>
      </c>
      <c r="D3090" t="s">
        <v>36</v>
      </c>
      <c r="E3090" t="s">
        <v>647</v>
      </c>
      <c r="F3090" t="s">
        <v>668</v>
      </c>
      <c r="G3090" s="10">
        <v>15</v>
      </c>
      <c r="H3090" s="10">
        <v>26096</v>
      </c>
      <c r="I3090" s="10">
        <v>391440</v>
      </c>
      <c r="J3090" t="s">
        <v>37</v>
      </c>
      <c r="K3090" s="11">
        <v>648.20000000000005</v>
      </c>
      <c r="L3090" s="12">
        <v>603.89</v>
      </c>
    </row>
    <row r="3091" spans="1:12" x14ac:dyDescent="0.2">
      <c r="A3091" s="9">
        <v>46252</v>
      </c>
      <c r="B3091" t="s">
        <v>229</v>
      </c>
      <c r="C3091" t="s">
        <v>230</v>
      </c>
      <c r="D3091" t="s">
        <v>36</v>
      </c>
      <c r="E3091" t="s">
        <v>647</v>
      </c>
      <c r="F3091" t="s">
        <v>648</v>
      </c>
      <c r="G3091" s="10">
        <v>21</v>
      </c>
      <c r="H3091" s="10">
        <v>15970</v>
      </c>
      <c r="I3091" s="10">
        <v>335370</v>
      </c>
      <c r="J3091" t="s">
        <v>37</v>
      </c>
      <c r="K3091" s="11">
        <v>648.20000000000005</v>
      </c>
      <c r="L3091" s="12">
        <v>517.39</v>
      </c>
    </row>
    <row r="3092" spans="1:12" x14ac:dyDescent="0.2">
      <c r="A3092" s="9">
        <v>46252</v>
      </c>
      <c r="B3092" t="s">
        <v>232</v>
      </c>
      <c r="C3092" t="s">
        <v>233</v>
      </c>
      <c r="D3092" t="s">
        <v>46</v>
      </c>
      <c r="E3092" t="s">
        <v>660</v>
      </c>
      <c r="F3092" t="s">
        <v>670</v>
      </c>
      <c r="G3092" s="10">
        <v>12</v>
      </c>
      <c r="H3092" s="10">
        <v>14447</v>
      </c>
      <c r="I3092" s="10">
        <v>173364</v>
      </c>
      <c r="J3092" t="s">
        <v>37</v>
      </c>
      <c r="K3092" s="11">
        <v>648.20000000000005</v>
      </c>
      <c r="L3092" s="12">
        <v>267.45</v>
      </c>
    </row>
    <row r="3093" spans="1:12" x14ac:dyDescent="0.2">
      <c r="A3093" s="9">
        <v>46252</v>
      </c>
      <c r="B3093" t="s">
        <v>235</v>
      </c>
      <c r="C3093" t="s">
        <v>236</v>
      </c>
      <c r="D3093" t="s">
        <v>50</v>
      </c>
      <c r="E3093" t="s">
        <v>651</v>
      </c>
      <c r="F3093" t="s">
        <v>652</v>
      </c>
      <c r="G3093" s="10">
        <v>19</v>
      </c>
      <c r="H3093" s="10">
        <v>9453</v>
      </c>
      <c r="I3093" s="10">
        <v>179607</v>
      </c>
      <c r="J3093" t="s">
        <v>51</v>
      </c>
      <c r="K3093" s="11">
        <v>648.20000000000005</v>
      </c>
      <c r="L3093" s="12">
        <v>277.08999999999997</v>
      </c>
    </row>
    <row r="3094" spans="1:12" x14ac:dyDescent="0.2">
      <c r="A3094" s="9">
        <v>46252</v>
      </c>
      <c r="B3094" t="s">
        <v>235</v>
      </c>
      <c r="C3094" t="s">
        <v>236</v>
      </c>
      <c r="D3094" t="s">
        <v>50</v>
      </c>
      <c r="E3094" t="s">
        <v>647</v>
      </c>
      <c r="F3094" t="s">
        <v>668</v>
      </c>
      <c r="G3094" s="10">
        <v>23</v>
      </c>
      <c r="H3094" s="10">
        <v>25198</v>
      </c>
      <c r="I3094" s="10">
        <v>579554</v>
      </c>
      <c r="J3094" t="s">
        <v>51</v>
      </c>
      <c r="K3094" s="11">
        <v>648.20000000000005</v>
      </c>
      <c r="L3094" s="12">
        <v>894.1</v>
      </c>
    </row>
    <row r="3095" spans="1:12" x14ac:dyDescent="0.2">
      <c r="A3095" s="9">
        <v>46252</v>
      </c>
      <c r="B3095" t="s">
        <v>241</v>
      </c>
      <c r="C3095" t="s">
        <v>242</v>
      </c>
      <c r="D3095" t="s">
        <v>46</v>
      </c>
      <c r="E3095" t="s">
        <v>649</v>
      </c>
      <c r="F3095" t="s">
        <v>663</v>
      </c>
      <c r="G3095" s="10">
        <v>10</v>
      </c>
      <c r="H3095" s="10">
        <v>2103</v>
      </c>
      <c r="I3095" s="10">
        <v>21030</v>
      </c>
      <c r="J3095" t="s">
        <v>37</v>
      </c>
      <c r="K3095" s="11">
        <v>648.20000000000005</v>
      </c>
      <c r="L3095" s="12">
        <v>32.44</v>
      </c>
    </row>
    <row r="3096" spans="1:12" x14ac:dyDescent="0.2">
      <c r="A3096" s="9">
        <v>46252</v>
      </c>
      <c r="B3096" t="s">
        <v>241</v>
      </c>
      <c r="C3096" t="s">
        <v>242</v>
      </c>
      <c r="D3096" t="s">
        <v>46</v>
      </c>
      <c r="E3096" t="s">
        <v>655</v>
      </c>
      <c r="F3096" t="s">
        <v>665</v>
      </c>
      <c r="G3096" s="10">
        <v>38</v>
      </c>
      <c r="H3096" s="10">
        <v>688</v>
      </c>
      <c r="I3096" s="10">
        <v>26144</v>
      </c>
      <c r="J3096" t="s">
        <v>37</v>
      </c>
      <c r="K3096" s="11">
        <v>648.20000000000005</v>
      </c>
      <c r="L3096" s="12">
        <v>40.33</v>
      </c>
    </row>
    <row r="3097" spans="1:12" x14ac:dyDescent="0.2">
      <c r="A3097" s="9">
        <v>46252</v>
      </c>
      <c r="B3097" t="s">
        <v>247</v>
      </c>
      <c r="C3097" t="s">
        <v>248</v>
      </c>
      <c r="D3097" t="s">
        <v>75</v>
      </c>
      <c r="E3097" t="s">
        <v>653</v>
      </c>
      <c r="F3097" t="s">
        <v>666</v>
      </c>
      <c r="G3097" s="10">
        <v>2</v>
      </c>
      <c r="H3097" s="10">
        <v>7591</v>
      </c>
      <c r="I3097" s="10">
        <v>15182</v>
      </c>
      <c r="J3097" t="s">
        <v>42</v>
      </c>
      <c r="K3097" s="11">
        <v>3145.8</v>
      </c>
      <c r="L3097" s="12">
        <v>4.83</v>
      </c>
    </row>
    <row r="3098" spans="1:12" x14ac:dyDescent="0.2">
      <c r="A3098" s="9">
        <v>46252</v>
      </c>
      <c r="B3098" t="s">
        <v>247</v>
      </c>
      <c r="C3098" t="s">
        <v>248</v>
      </c>
      <c r="D3098" t="s">
        <v>75</v>
      </c>
      <c r="E3098" t="s">
        <v>655</v>
      </c>
      <c r="F3098" t="s">
        <v>662</v>
      </c>
      <c r="G3098" s="10">
        <v>6</v>
      </c>
      <c r="H3098" s="10">
        <v>5252</v>
      </c>
      <c r="I3098" s="10">
        <v>31512</v>
      </c>
      <c r="J3098" t="s">
        <v>42</v>
      </c>
      <c r="K3098" s="11">
        <v>3145.8</v>
      </c>
      <c r="L3098" s="12">
        <v>10.02</v>
      </c>
    </row>
    <row r="3099" spans="1:12" x14ac:dyDescent="0.2">
      <c r="A3099" s="9">
        <v>46252</v>
      </c>
      <c r="B3099" t="s">
        <v>256</v>
      </c>
      <c r="C3099" t="s">
        <v>182</v>
      </c>
      <c r="D3099" t="s">
        <v>50</v>
      </c>
      <c r="E3099" t="s">
        <v>651</v>
      </c>
      <c r="F3099" t="s">
        <v>657</v>
      </c>
      <c r="G3099" s="10">
        <v>12</v>
      </c>
      <c r="H3099" s="10">
        <v>6172</v>
      </c>
      <c r="I3099" s="10">
        <v>74064</v>
      </c>
      <c r="J3099" t="s">
        <v>51</v>
      </c>
      <c r="K3099" s="11">
        <v>648.20000000000005</v>
      </c>
      <c r="L3099" s="12">
        <v>114.26</v>
      </c>
    </row>
    <row r="3100" spans="1:12" x14ac:dyDescent="0.2">
      <c r="A3100" s="9">
        <v>46252</v>
      </c>
      <c r="B3100" t="s">
        <v>261</v>
      </c>
      <c r="C3100" t="s">
        <v>262</v>
      </c>
      <c r="D3100" t="s">
        <v>41</v>
      </c>
      <c r="E3100" t="s">
        <v>651</v>
      </c>
      <c r="F3100" t="s">
        <v>664</v>
      </c>
      <c r="G3100" s="10">
        <v>4</v>
      </c>
      <c r="H3100" s="10">
        <v>59402</v>
      </c>
      <c r="I3100" s="10">
        <v>237608</v>
      </c>
      <c r="J3100" t="s">
        <v>42</v>
      </c>
      <c r="K3100" s="11">
        <v>3145.8</v>
      </c>
      <c r="L3100" s="12">
        <v>75.53</v>
      </c>
    </row>
    <row r="3101" spans="1:12" x14ac:dyDescent="0.2">
      <c r="A3101" s="9">
        <v>46252</v>
      </c>
      <c r="B3101" t="s">
        <v>264</v>
      </c>
      <c r="C3101" t="s">
        <v>265</v>
      </c>
      <c r="D3101" t="s">
        <v>41</v>
      </c>
      <c r="E3101" t="s">
        <v>660</v>
      </c>
      <c r="F3101" t="s">
        <v>661</v>
      </c>
      <c r="G3101" s="10">
        <v>6</v>
      </c>
      <c r="H3101" s="10">
        <v>19767</v>
      </c>
      <c r="I3101" s="10">
        <v>118602</v>
      </c>
      <c r="J3101" t="s">
        <v>42</v>
      </c>
      <c r="K3101" s="11">
        <v>3145.8</v>
      </c>
      <c r="L3101" s="12">
        <v>37.700000000000003</v>
      </c>
    </row>
    <row r="3102" spans="1:12" x14ac:dyDescent="0.2">
      <c r="A3102" s="9">
        <v>46252</v>
      </c>
      <c r="B3102" t="s">
        <v>267</v>
      </c>
      <c r="C3102" t="s">
        <v>268</v>
      </c>
      <c r="D3102" t="s">
        <v>46</v>
      </c>
      <c r="E3102" t="s">
        <v>649</v>
      </c>
      <c r="F3102" t="s">
        <v>650</v>
      </c>
      <c r="G3102" s="10">
        <v>22</v>
      </c>
      <c r="H3102" s="10">
        <v>18699</v>
      </c>
      <c r="I3102" s="10">
        <v>411378</v>
      </c>
      <c r="J3102" t="s">
        <v>37</v>
      </c>
      <c r="K3102" s="11">
        <v>648.20000000000005</v>
      </c>
      <c r="L3102" s="12">
        <v>634.65</v>
      </c>
    </row>
    <row r="3103" spans="1:12" x14ac:dyDescent="0.2">
      <c r="A3103" s="9">
        <v>46252</v>
      </c>
      <c r="B3103" t="s">
        <v>270</v>
      </c>
      <c r="C3103" t="s">
        <v>271</v>
      </c>
      <c r="D3103" t="s">
        <v>75</v>
      </c>
      <c r="E3103" t="s">
        <v>655</v>
      </c>
      <c r="F3103" t="s">
        <v>662</v>
      </c>
      <c r="G3103" s="10">
        <v>19</v>
      </c>
      <c r="H3103" s="10">
        <v>5371</v>
      </c>
      <c r="I3103" s="10">
        <v>102049</v>
      </c>
      <c r="J3103" t="s">
        <v>42</v>
      </c>
      <c r="K3103" s="11">
        <v>3145.8</v>
      </c>
      <c r="L3103" s="12">
        <v>32.44</v>
      </c>
    </row>
    <row r="3104" spans="1:12" x14ac:dyDescent="0.2">
      <c r="A3104" s="9">
        <v>46252</v>
      </c>
      <c r="B3104" t="s">
        <v>276</v>
      </c>
      <c r="C3104" t="s">
        <v>277</v>
      </c>
      <c r="D3104" t="s">
        <v>46</v>
      </c>
      <c r="E3104" t="s">
        <v>651</v>
      </c>
      <c r="F3104" t="s">
        <v>652</v>
      </c>
      <c r="G3104" s="10">
        <v>22</v>
      </c>
      <c r="H3104" s="10">
        <v>9493</v>
      </c>
      <c r="I3104" s="10">
        <v>208846</v>
      </c>
      <c r="J3104" t="s">
        <v>37</v>
      </c>
      <c r="K3104" s="11">
        <v>648.20000000000005</v>
      </c>
      <c r="L3104" s="12">
        <v>322.19</v>
      </c>
    </row>
    <row r="3105" spans="1:12" x14ac:dyDescent="0.2">
      <c r="A3105" s="9">
        <v>46252</v>
      </c>
      <c r="B3105" t="s">
        <v>276</v>
      </c>
      <c r="C3105" t="s">
        <v>277</v>
      </c>
      <c r="D3105" t="s">
        <v>46</v>
      </c>
      <c r="E3105" t="s">
        <v>660</v>
      </c>
      <c r="F3105" t="s">
        <v>670</v>
      </c>
      <c r="G3105" s="10">
        <v>9</v>
      </c>
      <c r="H3105" s="10">
        <v>14722</v>
      </c>
      <c r="I3105" s="10">
        <v>132498</v>
      </c>
      <c r="J3105" t="s">
        <v>37</v>
      </c>
      <c r="K3105" s="11">
        <v>648.20000000000005</v>
      </c>
      <c r="L3105" s="12">
        <v>204.41</v>
      </c>
    </row>
    <row r="3106" spans="1:12" x14ac:dyDescent="0.2">
      <c r="A3106" s="9">
        <v>46252</v>
      </c>
      <c r="B3106" t="s">
        <v>279</v>
      </c>
      <c r="C3106" t="s">
        <v>280</v>
      </c>
      <c r="D3106" t="s">
        <v>68</v>
      </c>
      <c r="E3106" t="s">
        <v>649</v>
      </c>
      <c r="F3106" t="s">
        <v>650</v>
      </c>
      <c r="G3106" s="10">
        <v>24</v>
      </c>
      <c r="H3106" s="10">
        <v>19284</v>
      </c>
      <c r="I3106" s="10">
        <v>462816</v>
      </c>
      <c r="J3106" t="s">
        <v>51</v>
      </c>
      <c r="K3106" s="11">
        <v>648.20000000000005</v>
      </c>
      <c r="L3106" s="12">
        <v>714</v>
      </c>
    </row>
    <row r="3107" spans="1:12" x14ac:dyDescent="0.2">
      <c r="A3107" s="9">
        <v>46252</v>
      </c>
      <c r="B3107" t="s">
        <v>279</v>
      </c>
      <c r="C3107" t="s">
        <v>280</v>
      </c>
      <c r="D3107" t="s">
        <v>68</v>
      </c>
      <c r="E3107" t="s">
        <v>660</v>
      </c>
      <c r="F3107" t="s">
        <v>670</v>
      </c>
      <c r="G3107" s="10">
        <v>63</v>
      </c>
      <c r="H3107" s="10">
        <v>14641</v>
      </c>
      <c r="I3107" s="10">
        <v>922383</v>
      </c>
      <c r="J3107" t="s">
        <v>51</v>
      </c>
      <c r="K3107" s="11">
        <v>648.20000000000005</v>
      </c>
      <c r="L3107" s="12">
        <v>1422.99</v>
      </c>
    </row>
    <row r="3108" spans="1:12" x14ac:dyDescent="0.2">
      <c r="A3108" s="9">
        <v>46252</v>
      </c>
      <c r="B3108" t="s">
        <v>279</v>
      </c>
      <c r="C3108" t="s">
        <v>280</v>
      </c>
      <c r="D3108" t="s">
        <v>68</v>
      </c>
      <c r="E3108" t="s">
        <v>651</v>
      </c>
      <c r="F3108" t="s">
        <v>664</v>
      </c>
      <c r="G3108" s="10">
        <v>155</v>
      </c>
      <c r="H3108" s="10">
        <v>11959</v>
      </c>
      <c r="I3108" s="10">
        <v>1853645</v>
      </c>
      <c r="J3108" t="s">
        <v>51</v>
      </c>
      <c r="K3108" s="11">
        <v>648.20000000000005</v>
      </c>
      <c r="L3108" s="12">
        <v>2859.68</v>
      </c>
    </row>
    <row r="3109" spans="1:12" x14ac:dyDescent="0.2">
      <c r="A3109" s="9">
        <v>46252</v>
      </c>
      <c r="B3109" t="s">
        <v>279</v>
      </c>
      <c r="C3109" t="s">
        <v>280</v>
      </c>
      <c r="D3109" t="s">
        <v>68</v>
      </c>
      <c r="E3109" t="s">
        <v>651</v>
      </c>
      <c r="F3109" t="s">
        <v>664</v>
      </c>
      <c r="G3109" s="10">
        <v>166</v>
      </c>
      <c r="H3109" s="10">
        <v>11978</v>
      </c>
      <c r="I3109" s="10">
        <v>1988348</v>
      </c>
      <c r="J3109" t="s">
        <v>51</v>
      </c>
      <c r="K3109" s="11">
        <v>648.20000000000005</v>
      </c>
      <c r="L3109" s="12">
        <v>3067.49</v>
      </c>
    </row>
    <row r="3110" spans="1:12" x14ac:dyDescent="0.2">
      <c r="A3110" s="9">
        <v>46252</v>
      </c>
      <c r="B3110" t="s">
        <v>282</v>
      </c>
      <c r="C3110" t="s">
        <v>283</v>
      </c>
      <c r="D3110" t="s">
        <v>41</v>
      </c>
      <c r="E3110" t="s">
        <v>649</v>
      </c>
      <c r="F3110" t="s">
        <v>663</v>
      </c>
      <c r="G3110" s="10">
        <v>3</v>
      </c>
      <c r="H3110" s="10">
        <v>10023</v>
      </c>
      <c r="I3110" s="10">
        <v>30069</v>
      </c>
      <c r="J3110" t="s">
        <v>42</v>
      </c>
      <c r="K3110" s="11">
        <v>3145.8</v>
      </c>
      <c r="L3110" s="12">
        <v>9.56</v>
      </c>
    </row>
    <row r="3111" spans="1:12" x14ac:dyDescent="0.2">
      <c r="A3111" s="9">
        <v>46252</v>
      </c>
      <c r="B3111" t="s">
        <v>291</v>
      </c>
      <c r="C3111" t="s">
        <v>292</v>
      </c>
      <c r="D3111" t="s">
        <v>68</v>
      </c>
      <c r="E3111" t="s">
        <v>647</v>
      </c>
      <c r="F3111" t="s">
        <v>667</v>
      </c>
      <c r="G3111" s="10">
        <v>29</v>
      </c>
      <c r="H3111" s="10">
        <v>7572</v>
      </c>
      <c r="I3111" s="10">
        <v>219588</v>
      </c>
      <c r="J3111" t="s">
        <v>51</v>
      </c>
      <c r="K3111" s="11">
        <v>648.20000000000005</v>
      </c>
      <c r="L3111" s="12">
        <v>338.77</v>
      </c>
    </row>
    <row r="3112" spans="1:12" x14ac:dyDescent="0.2">
      <c r="A3112" s="9">
        <v>46252</v>
      </c>
      <c r="B3112" t="s">
        <v>291</v>
      </c>
      <c r="C3112" t="s">
        <v>292</v>
      </c>
      <c r="D3112" t="s">
        <v>68</v>
      </c>
      <c r="E3112" t="s">
        <v>655</v>
      </c>
      <c r="F3112" t="s">
        <v>665</v>
      </c>
      <c r="G3112" s="10">
        <v>35</v>
      </c>
      <c r="H3112" s="10">
        <v>689</v>
      </c>
      <c r="I3112" s="10">
        <v>24115</v>
      </c>
      <c r="J3112" t="s">
        <v>51</v>
      </c>
      <c r="K3112" s="11">
        <v>648.20000000000005</v>
      </c>
      <c r="L3112" s="12">
        <v>37.200000000000003</v>
      </c>
    </row>
    <row r="3113" spans="1:12" x14ac:dyDescent="0.2">
      <c r="A3113" s="9">
        <v>46252</v>
      </c>
      <c r="B3113" t="s">
        <v>297</v>
      </c>
      <c r="C3113" t="s">
        <v>298</v>
      </c>
      <c r="D3113" t="s">
        <v>36</v>
      </c>
      <c r="E3113" t="s">
        <v>651</v>
      </c>
      <c r="F3113" t="s">
        <v>652</v>
      </c>
      <c r="G3113" s="10">
        <v>12</v>
      </c>
      <c r="H3113" s="10">
        <v>9280</v>
      </c>
      <c r="I3113" s="10">
        <v>111360</v>
      </c>
      <c r="J3113" t="s">
        <v>37</v>
      </c>
      <c r="K3113" s="11">
        <v>648.20000000000005</v>
      </c>
      <c r="L3113" s="12">
        <v>171.8</v>
      </c>
    </row>
    <row r="3114" spans="1:12" x14ac:dyDescent="0.2">
      <c r="A3114" s="9">
        <v>46252</v>
      </c>
      <c r="B3114" t="s">
        <v>297</v>
      </c>
      <c r="C3114" t="s">
        <v>298</v>
      </c>
      <c r="D3114" t="s">
        <v>36</v>
      </c>
      <c r="E3114" t="s">
        <v>647</v>
      </c>
      <c r="F3114" t="s">
        <v>667</v>
      </c>
      <c r="G3114" s="10">
        <v>8</v>
      </c>
      <c r="H3114" s="10">
        <v>7366</v>
      </c>
      <c r="I3114" s="10">
        <v>58928</v>
      </c>
      <c r="J3114" t="s">
        <v>37</v>
      </c>
      <c r="K3114" s="11">
        <v>648.20000000000005</v>
      </c>
      <c r="L3114" s="12">
        <v>90.91</v>
      </c>
    </row>
    <row r="3115" spans="1:12" x14ac:dyDescent="0.2">
      <c r="A3115" s="9">
        <v>46252</v>
      </c>
      <c r="B3115" t="s">
        <v>297</v>
      </c>
      <c r="C3115" t="s">
        <v>298</v>
      </c>
      <c r="D3115" t="s">
        <v>36</v>
      </c>
      <c r="E3115" t="s">
        <v>647</v>
      </c>
      <c r="F3115" t="s">
        <v>667</v>
      </c>
      <c r="G3115" s="10">
        <v>8</v>
      </c>
      <c r="H3115" s="10">
        <v>7063</v>
      </c>
      <c r="I3115" s="10">
        <v>56504</v>
      </c>
      <c r="J3115" t="s">
        <v>37</v>
      </c>
      <c r="K3115" s="11">
        <v>648.20000000000005</v>
      </c>
      <c r="L3115" s="12">
        <v>87.17</v>
      </c>
    </row>
    <row r="3116" spans="1:12" x14ac:dyDescent="0.2">
      <c r="A3116" s="9">
        <v>46252</v>
      </c>
      <c r="B3116" t="s">
        <v>297</v>
      </c>
      <c r="C3116" t="s">
        <v>298</v>
      </c>
      <c r="D3116" t="s">
        <v>36</v>
      </c>
      <c r="E3116" t="s">
        <v>655</v>
      </c>
      <c r="F3116" t="s">
        <v>656</v>
      </c>
      <c r="G3116" s="10">
        <v>6</v>
      </c>
      <c r="H3116" s="10">
        <v>561</v>
      </c>
      <c r="I3116" s="10">
        <v>3366</v>
      </c>
      <c r="J3116" t="s">
        <v>37</v>
      </c>
      <c r="K3116" s="11">
        <v>648.20000000000005</v>
      </c>
      <c r="L3116" s="12">
        <v>5.19</v>
      </c>
    </row>
    <row r="3117" spans="1:12" x14ac:dyDescent="0.2">
      <c r="A3117" s="9">
        <v>46252</v>
      </c>
      <c r="B3117" t="s">
        <v>300</v>
      </c>
      <c r="C3117" t="s">
        <v>301</v>
      </c>
      <c r="D3117" t="s">
        <v>41</v>
      </c>
      <c r="E3117" t="s">
        <v>649</v>
      </c>
      <c r="F3117" t="s">
        <v>663</v>
      </c>
      <c r="G3117" s="10">
        <v>4</v>
      </c>
      <c r="H3117" s="10">
        <v>9611</v>
      </c>
      <c r="I3117" s="10">
        <v>38444</v>
      </c>
      <c r="J3117" t="s">
        <v>42</v>
      </c>
      <c r="K3117" s="11">
        <v>3145.8</v>
      </c>
      <c r="L3117" s="12">
        <v>12.22</v>
      </c>
    </row>
    <row r="3118" spans="1:12" x14ac:dyDescent="0.2">
      <c r="A3118" s="9">
        <v>46252</v>
      </c>
      <c r="B3118" t="s">
        <v>312</v>
      </c>
      <c r="C3118" t="s">
        <v>313</v>
      </c>
      <c r="D3118" t="s">
        <v>41</v>
      </c>
      <c r="E3118" t="s">
        <v>649</v>
      </c>
      <c r="F3118" t="s">
        <v>663</v>
      </c>
      <c r="G3118" s="10">
        <v>4</v>
      </c>
      <c r="H3118" s="10">
        <v>10214</v>
      </c>
      <c r="I3118" s="10">
        <v>40856</v>
      </c>
      <c r="J3118" t="s">
        <v>42</v>
      </c>
      <c r="K3118" s="11">
        <v>3145.8</v>
      </c>
      <c r="L3118" s="12">
        <v>12.99</v>
      </c>
    </row>
    <row r="3119" spans="1:12" x14ac:dyDescent="0.2">
      <c r="A3119" s="9">
        <v>46252</v>
      </c>
      <c r="B3119" t="s">
        <v>312</v>
      </c>
      <c r="C3119" t="s">
        <v>313</v>
      </c>
      <c r="D3119" t="s">
        <v>41</v>
      </c>
      <c r="E3119" t="s">
        <v>647</v>
      </c>
      <c r="F3119" t="s">
        <v>667</v>
      </c>
      <c r="G3119" s="10">
        <v>15</v>
      </c>
      <c r="H3119" s="10">
        <v>35268</v>
      </c>
      <c r="I3119" s="10">
        <v>529020</v>
      </c>
      <c r="J3119" t="s">
        <v>42</v>
      </c>
      <c r="K3119" s="11">
        <v>3145.8</v>
      </c>
      <c r="L3119" s="12">
        <v>168.17</v>
      </c>
    </row>
    <row r="3120" spans="1:12" x14ac:dyDescent="0.2">
      <c r="A3120" s="9">
        <v>46252</v>
      </c>
      <c r="B3120" t="s">
        <v>315</v>
      </c>
      <c r="C3120" t="s">
        <v>316</v>
      </c>
      <c r="D3120" t="s">
        <v>46</v>
      </c>
      <c r="E3120" t="s">
        <v>655</v>
      </c>
      <c r="F3120" t="s">
        <v>662</v>
      </c>
      <c r="G3120" s="10">
        <v>13</v>
      </c>
      <c r="H3120" s="10">
        <v>1130</v>
      </c>
      <c r="I3120" s="10">
        <v>14690</v>
      </c>
      <c r="J3120" t="s">
        <v>37</v>
      </c>
      <c r="K3120" s="11">
        <v>648.20000000000005</v>
      </c>
      <c r="L3120" s="12">
        <v>22.66</v>
      </c>
    </row>
    <row r="3121" spans="1:12" x14ac:dyDescent="0.2">
      <c r="A3121" s="9">
        <v>46252</v>
      </c>
      <c r="B3121" t="s">
        <v>315</v>
      </c>
      <c r="C3121" t="s">
        <v>316</v>
      </c>
      <c r="D3121" t="s">
        <v>46</v>
      </c>
      <c r="E3121" t="s">
        <v>660</v>
      </c>
      <c r="F3121" t="s">
        <v>669</v>
      </c>
      <c r="G3121" s="10">
        <v>26</v>
      </c>
      <c r="H3121" s="10">
        <v>2609</v>
      </c>
      <c r="I3121" s="10">
        <v>67834</v>
      </c>
      <c r="J3121" t="s">
        <v>37</v>
      </c>
      <c r="K3121" s="11">
        <v>648.20000000000005</v>
      </c>
      <c r="L3121" s="12">
        <v>104.65</v>
      </c>
    </row>
    <row r="3122" spans="1:12" x14ac:dyDescent="0.2">
      <c r="A3122" s="9">
        <v>46252</v>
      </c>
      <c r="B3122" t="s">
        <v>318</v>
      </c>
      <c r="C3122" t="s">
        <v>319</v>
      </c>
      <c r="D3122" t="s">
        <v>41</v>
      </c>
      <c r="E3122" t="s">
        <v>655</v>
      </c>
      <c r="F3122" t="s">
        <v>665</v>
      </c>
      <c r="G3122" s="10">
        <v>14</v>
      </c>
      <c r="H3122" s="10">
        <v>3236</v>
      </c>
      <c r="I3122" s="10">
        <v>45304</v>
      </c>
      <c r="J3122" t="s">
        <v>42</v>
      </c>
      <c r="K3122" s="11">
        <v>3145.8</v>
      </c>
      <c r="L3122" s="12">
        <v>14.4</v>
      </c>
    </row>
    <row r="3123" spans="1:12" x14ac:dyDescent="0.2">
      <c r="A3123" s="9">
        <v>46252</v>
      </c>
      <c r="B3123" t="s">
        <v>321</v>
      </c>
      <c r="C3123" t="s">
        <v>322</v>
      </c>
      <c r="D3123" t="s">
        <v>41</v>
      </c>
      <c r="E3123" t="s">
        <v>647</v>
      </c>
      <c r="F3123" t="s">
        <v>668</v>
      </c>
      <c r="G3123" s="10">
        <v>3</v>
      </c>
      <c r="H3123" s="10">
        <v>120037</v>
      </c>
      <c r="I3123" s="10">
        <v>360111</v>
      </c>
      <c r="J3123" t="s">
        <v>42</v>
      </c>
      <c r="K3123" s="11">
        <v>3145.8</v>
      </c>
      <c r="L3123" s="12">
        <v>114.47</v>
      </c>
    </row>
    <row r="3124" spans="1:12" x14ac:dyDescent="0.2">
      <c r="A3124" s="9">
        <v>46252</v>
      </c>
      <c r="B3124" t="s">
        <v>324</v>
      </c>
      <c r="C3124" t="s">
        <v>325</v>
      </c>
      <c r="D3124" t="s">
        <v>46</v>
      </c>
      <c r="E3124" t="s">
        <v>649</v>
      </c>
      <c r="F3124" t="s">
        <v>650</v>
      </c>
      <c r="G3124" s="10">
        <v>5</v>
      </c>
      <c r="H3124" s="10">
        <v>18942</v>
      </c>
      <c r="I3124" s="10">
        <v>94710</v>
      </c>
      <c r="J3124" t="s">
        <v>37</v>
      </c>
      <c r="K3124" s="11">
        <v>648.20000000000005</v>
      </c>
      <c r="L3124" s="12">
        <v>146.11000000000001</v>
      </c>
    </row>
    <row r="3125" spans="1:12" x14ac:dyDescent="0.2">
      <c r="A3125" s="9">
        <v>46252</v>
      </c>
      <c r="B3125" t="s">
        <v>324</v>
      </c>
      <c r="C3125" t="s">
        <v>325</v>
      </c>
      <c r="D3125" t="s">
        <v>46</v>
      </c>
      <c r="E3125" t="s">
        <v>660</v>
      </c>
      <c r="F3125" t="s">
        <v>670</v>
      </c>
      <c r="G3125" s="10">
        <v>4</v>
      </c>
      <c r="H3125" s="10">
        <v>14817</v>
      </c>
      <c r="I3125" s="10">
        <v>59268</v>
      </c>
      <c r="J3125" t="s">
        <v>37</v>
      </c>
      <c r="K3125" s="11">
        <v>648.20000000000005</v>
      </c>
      <c r="L3125" s="12">
        <v>91.43</v>
      </c>
    </row>
    <row r="3126" spans="1:12" x14ac:dyDescent="0.2">
      <c r="A3126" s="9">
        <v>46252</v>
      </c>
      <c r="B3126" t="s">
        <v>324</v>
      </c>
      <c r="C3126" t="s">
        <v>325</v>
      </c>
      <c r="D3126" t="s">
        <v>46</v>
      </c>
      <c r="E3126" t="s">
        <v>647</v>
      </c>
      <c r="F3126" t="s">
        <v>667</v>
      </c>
      <c r="G3126" s="10">
        <v>15</v>
      </c>
      <c r="H3126" s="10">
        <v>7529</v>
      </c>
      <c r="I3126" s="10">
        <v>112935</v>
      </c>
      <c r="J3126" t="s">
        <v>37</v>
      </c>
      <c r="K3126" s="11">
        <v>648.20000000000005</v>
      </c>
      <c r="L3126" s="12">
        <v>174.23</v>
      </c>
    </row>
    <row r="3127" spans="1:12" x14ac:dyDescent="0.2">
      <c r="A3127" s="9">
        <v>46252</v>
      </c>
      <c r="B3127" t="s">
        <v>327</v>
      </c>
      <c r="C3127" t="s">
        <v>328</v>
      </c>
      <c r="D3127" t="s">
        <v>46</v>
      </c>
      <c r="E3127" t="s">
        <v>649</v>
      </c>
      <c r="F3127" t="s">
        <v>663</v>
      </c>
      <c r="G3127" s="10">
        <v>11</v>
      </c>
      <c r="H3127" s="10">
        <v>2047</v>
      </c>
      <c r="I3127" s="10">
        <v>22517</v>
      </c>
      <c r="J3127" t="s">
        <v>37</v>
      </c>
      <c r="K3127" s="11">
        <v>648.20000000000005</v>
      </c>
      <c r="L3127" s="12">
        <v>34.74</v>
      </c>
    </row>
    <row r="3128" spans="1:12" x14ac:dyDescent="0.2">
      <c r="A3128" s="9">
        <v>46252</v>
      </c>
      <c r="B3128" t="s">
        <v>327</v>
      </c>
      <c r="C3128" t="s">
        <v>328</v>
      </c>
      <c r="D3128" t="s">
        <v>46</v>
      </c>
      <c r="E3128" t="s">
        <v>647</v>
      </c>
      <c r="F3128" t="s">
        <v>648</v>
      </c>
      <c r="G3128" s="10">
        <v>5</v>
      </c>
      <c r="H3128" s="10">
        <v>16195</v>
      </c>
      <c r="I3128" s="10">
        <v>80975</v>
      </c>
      <c r="J3128" t="s">
        <v>37</v>
      </c>
      <c r="K3128" s="11">
        <v>648.20000000000005</v>
      </c>
      <c r="L3128" s="12">
        <v>124.92</v>
      </c>
    </row>
    <row r="3129" spans="1:12" x14ac:dyDescent="0.2">
      <c r="A3129" s="9">
        <v>46252</v>
      </c>
      <c r="B3129" t="s">
        <v>330</v>
      </c>
      <c r="C3129" t="s">
        <v>331</v>
      </c>
      <c r="D3129" t="s">
        <v>68</v>
      </c>
      <c r="E3129" t="s">
        <v>647</v>
      </c>
      <c r="F3129" t="s">
        <v>668</v>
      </c>
      <c r="G3129" s="10">
        <v>92</v>
      </c>
      <c r="H3129" s="10">
        <v>25040</v>
      </c>
      <c r="I3129" s="10">
        <v>2303680</v>
      </c>
      <c r="J3129" t="s">
        <v>51</v>
      </c>
      <c r="K3129" s="11">
        <v>648.20000000000005</v>
      </c>
      <c r="L3129" s="12">
        <v>3553.96</v>
      </c>
    </row>
    <row r="3130" spans="1:12" x14ac:dyDescent="0.2">
      <c r="A3130" s="9">
        <v>46252</v>
      </c>
      <c r="B3130" t="s">
        <v>330</v>
      </c>
      <c r="C3130" t="s">
        <v>331</v>
      </c>
      <c r="D3130" t="s">
        <v>68</v>
      </c>
      <c r="E3130" t="s">
        <v>647</v>
      </c>
      <c r="F3130" t="s">
        <v>667</v>
      </c>
      <c r="G3130" s="10">
        <v>49</v>
      </c>
      <c r="H3130" s="10">
        <v>7411</v>
      </c>
      <c r="I3130" s="10">
        <v>363139</v>
      </c>
      <c r="J3130" t="s">
        <v>51</v>
      </c>
      <c r="K3130" s="11">
        <v>648.20000000000005</v>
      </c>
      <c r="L3130" s="12">
        <v>560.23</v>
      </c>
    </row>
    <row r="3131" spans="1:12" x14ac:dyDescent="0.2">
      <c r="A3131" s="9">
        <v>46252</v>
      </c>
      <c r="B3131" t="s">
        <v>330</v>
      </c>
      <c r="C3131" t="s">
        <v>331</v>
      </c>
      <c r="D3131" t="s">
        <v>68</v>
      </c>
      <c r="E3131" t="s">
        <v>655</v>
      </c>
      <c r="F3131" t="s">
        <v>665</v>
      </c>
      <c r="G3131" s="10">
        <v>10</v>
      </c>
      <c r="H3131" s="10">
        <v>674</v>
      </c>
      <c r="I3131" s="10">
        <v>6740</v>
      </c>
      <c r="J3131" t="s">
        <v>51</v>
      </c>
      <c r="K3131" s="11">
        <v>648.20000000000005</v>
      </c>
      <c r="L3131" s="12">
        <v>10.4</v>
      </c>
    </row>
    <row r="3132" spans="1:12" x14ac:dyDescent="0.2">
      <c r="A3132" s="9">
        <v>46252</v>
      </c>
      <c r="B3132" t="s">
        <v>333</v>
      </c>
      <c r="C3132" t="s">
        <v>334</v>
      </c>
      <c r="D3132" t="s">
        <v>68</v>
      </c>
      <c r="E3132" t="s">
        <v>653</v>
      </c>
      <c r="F3132" t="s">
        <v>666</v>
      </c>
      <c r="G3132" s="10">
        <v>5</v>
      </c>
      <c r="H3132" s="10">
        <v>1454</v>
      </c>
      <c r="I3132" s="10">
        <v>7270</v>
      </c>
      <c r="J3132" t="s">
        <v>51</v>
      </c>
      <c r="K3132" s="11">
        <v>648.20000000000005</v>
      </c>
      <c r="L3132" s="12">
        <v>11.22</v>
      </c>
    </row>
    <row r="3133" spans="1:12" x14ac:dyDescent="0.2">
      <c r="A3133" s="9">
        <v>46252</v>
      </c>
      <c r="B3133" t="s">
        <v>336</v>
      </c>
      <c r="C3133" t="s">
        <v>337</v>
      </c>
      <c r="D3133" t="s">
        <v>68</v>
      </c>
      <c r="E3133" t="s">
        <v>660</v>
      </c>
      <c r="F3133" t="s">
        <v>670</v>
      </c>
      <c r="G3133" s="10">
        <v>7</v>
      </c>
      <c r="H3133" s="10">
        <v>14270</v>
      </c>
      <c r="I3133" s="10">
        <v>99890</v>
      </c>
      <c r="J3133" t="s">
        <v>51</v>
      </c>
      <c r="K3133" s="11">
        <v>648.20000000000005</v>
      </c>
      <c r="L3133" s="12">
        <v>154.1</v>
      </c>
    </row>
    <row r="3134" spans="1:12" x14ac:dyDescent="0.2">
      <c r="A3134" s="9">
        <v>46252</v>
      </c>
      <c r="B3134" t="s">
        <v>339</v>
      </c>
      <c r="C3134" t="s">
        <v>340</v>
      </c>
      <c r="D3134" t="s">
        <v>68</v>
      </c>
      <c r="E3134" t="s">
        <v>651</v>
      </c>
      <c r="F3134" t="s">
        <v>652</v>
      </c>
      <c r="G3134" s="10">
        <v>19</v>
      </c>
      <c r="H3134" s="10">
        <v>9550</v>
      </c>
      <c r="I3134" s="10">
        <v>181450</v>
      </c>
      <c r="J3134" t="s">
        <v>51</v>
      </c>
      <c r="K3134" s="11">
        <v>648.20000000000005</v>
      </c>
      <c r="L3134" s="12">
        <v>279.93</v>
      </c>
    </row>
    <row r="3135" spans="1:12" x14ac:dyDescent="0.2">
      <c r="A3135" s="9">
        <v>46252</v>
      </c>
      <c r="B3135" t="s">
        <v>348</v>
      </c>
      <c r="C3135" t="s">
        <v>349</v>
      </c>
      <c r="D3135" t="s">
        <v>36</v>
      </c>
      <c r="E3135" t="s">
        <v>653</v>
      </c>
      <c r="F3135" t="s">
        <v>658</v>
      </c>
      <c r="G3135" s="10">
        <v>10</v>
      </c>
      <c r="H3135" s="10">
        <v>2777</v>
      </c>
      <c r="I3135" s="10">
        <v>27770</v>
      </c>
      <c r="J3135" t="s">
        <v>37</v>
      </c>
      <c r="K3135" s="11">
        <v>648.20000000000005</v>
      </c>
      <c r="L3135" s="12">
        <v>42.84</v>
      </c>
    </row>
    <row r="3136" spans="1:12" x14ac:dyDescent="0.2">
      <c r="A3136" s="9">
        <v>46252</v>
      </c>
      <c r="B3136" t="s">
        <v>348</v>
      </c>
      <c r="C3136" t="s">
        <v>349</v>
      </c>
      <c r="D3136" t="s">
        <v>36</v>
      </c>
      <c r="E3136" t="s">
        <v>647</v>
      </c>
      <c r="F3136" t="s">
        <v>668</v>
      </c>
      <c r="G3136" s="10">
        <v>69</v>
      </c>
      <c r="H3136" s="10">
        <v>24489</v>
      </c>
      <c r="I3136" s="10">
        <v>1689741</v>
      </c>
      <c r="J3136" t="s">
        <v>37</v>
      </c>
      <c r="K3136" s="11">
        <v>648.20000000000005</v>
      </c>
      <c r="L3136" s="12">
        <v>2606.8200000000002</v>
      </c>
    </row>
    <row r="3137" spans="1:12" x14ac:dyDescent="0.2">
      <c r="A3137" s="9">
        <v>46252</v>
      </c>
      <c r="B3137" t="s">
        <v>357</v>
      </c>
      <c r="C3137" t="s">
        <v>358</v>
      </c>
      <c r="D3137" t="s">
        <v>36</v>
      </c>
      <c r="E3137" t="s">
        <v>649</v>
      </c>
      <c r="F3137" t="s">
        <v>663</v>
      </c>
      <c r="G3137" s="10">
        <v>18</v>
      </c>
      <c r="H3137" s="10">
        <v>1992</v>
      </c>
      <c r="I3137" s="10">
        <v>35856</v>
      </c>
      <c r="J3137" t="s">
        <v>37</v>
      </c>
      <c r="K3137" s="11">
        <v>648.20000000000005</v>
      </c>
      <c r="L3137" s="12">
        <v>55.32</v>
      </c>
    </row>
    <row r="3138" spans="1:12" x14ac:dyDescent="0.2">
      <c r="A3138" s="9">
        <v>46252</v>
      </c>
      <c r="B3138" t="s">
        <v>357</v>
      </c>
      <c r="C3138" t="s">
        <v>358</v>
      </c>
      <c r="D3138" t="s">
        <v>36</v>
      </c>
      <c r="E3138" t="s">
        <v>649</v>
      </c>
      <c r="F3138" t="s">
        <v>659</v>
      </c>
      <c r="G3138" s="10">
        <v>29</v>
      </c>
      <c r="H3138" s="10">
        <v>9052</v>
      </c>
      <c r="I3138" s="10">
        <v>262508</v>
      </c>
      <c r="J3138" t="s">
        <v>37</v>
      </c>
      <c r="K3138" s="11">
        <v>648.20000000000005</v>
      </c>
      <c r="L3138" s="12">
        <v>404.98</v>
      </c>
    </row>
    <row r="3139" spans="1:12" x14ac:dyDescent="0.2">
      <c r="A3139" s="9">
        <v>46252</v>
      </c>
      <c r="B3139" t="s">
        <v>357</v>
      </c>
      <c r="C3139" t="s">
        <v>358</v>
      </c>
      <c r="D3139" t="s">
        <v>36</v>
      </c>
      <c r="E3139" t="s">
        <v>660</v>
      </c>
      <c r="F3139" t="s">
        <v>670</v>
      </c>
      <c r="G3139" s="10">
        <v>45</v>
      </c>
      <c r="H3139" s="10">
        <v>13972</v>
      </c>
      <c r="I3139" s="10">
        <v>628740</v>
      </c>
      <c r="J3139" t="s">
        <v>37</v>
      </c>
      <c r="K3139" s="11">
        <v>648.20000000000005</v>
      </c>
      <c r="L3139" s="12">
        <v>969.98</v>
      </c>
    </row>
    <row r="3140" spans="1:12" x14ac:dyDescent="0.2">
      <c r="A3140" s="9">
        <v>46252</v>
      </c>
      <c r="B3140" t="s">
        <v>357</v>
      </c>
      <c r="C3140" t="s">
        <v>358</v>
      </c>
      <c r="D3140" t="s">
        <v>36</v>
      </c>
      <c r="E3140" t="s">
        <v>651</v>
      </c>
      <c r="F3140" t="s">
        <v>657</v>
      </c>
      <c r="G3140" s="10">
        <v>8</v>
      </c>
      <c r="H3140" s="10">
        <v>6538</v>
      </c>
      <c r="I3140" s="10">
        <v>52304</v>
      </c>
      <c r="J3140" t="s">
        <v>37</v>
      </c>
      <c r="K3140" s="11">
        <v>648.20000000000005</v>
      </c>
      <c r="L3140" s="12">
        <v>80.69</v>
      </c>
    </row>
    <row r="3141" spans="1:12" x14ac:dyDescent="0.2">
      <c r="A3141" s="9">
        <v>46252</v>
      </c>
      <c r="B3141" t="s">
        <v>363</v>
      </c>
      <c r="C3141" t="s">
        <v>364</v>
      </c>
      <c r="D3141" t="s">
        <v>46</v>
      </c>
      <c r="E3141" t="s">
        <v>660</v>
      </c>
      <c r="F3141" t="s">
        <v>669</v>
      </c>
      <c r="G3141" s="10">
        <v>85</v>
      </c>
      <c r="H3141" s="10">
        <v>2508</v>
      </c>
      <c r="I3141" s="10">
        <v>213180</v>
      </c>
      <c r="J3141" t="s">
        <v>37</v>
      </c>
      <c r="K3141" s="11">
        <v>648.20000000000005</v>
      </c>
      <c r="L3141" s="12">
        <v>328.88</v>
      </c>
    </row>
    <row r="3142" spans="1:12" x14ac:dyDescent="0.2">
      <c r="A3142" s="9">
        <v>46252</v>
      </c>
      <c r="B3142" t="s">
        <v>363</v>
      </c>
      <c r="C3142" t="s">
        <v>364</v>
      </c>
      <c r="D3142" t="s">
        <v>46</v>
      </c>
      <c r="E3142" t="s">
        <v>647</v>
      </c>
      <c r="F3142" t="s">
        <v>667</v>
      </c>
      <c r="G3142" s="10">
        <v>44</v>
      </c>
      <c r="H3142" s="10">
        <v>7364</v>
      </c>
      <c r="I3142" s="10">
        <v>324016</v>
      </c>
      <c r="J3142" t="s">
        <v>37</v>
      </c>
      <c r="K3142" s="11">
        <v>648.20000000000005</v>
      </c>
      <c r="L3142" s="12">
        <v>499.87</v>
      </c>
    </row>
    <row r="3143" spans="1:12" x14ac:dyDescent="0.2">
      <c r="A3143" s="9">
        <v>46252</v>
      </c>
      <c r="B3143" t="s">
        <v>363</v>
      </c>
      <c r="C3143" t="s">
        <v>364</v>
      </c>
      <c r="D3143" t="s">
        <v>46</v>
      </c>
      <c r="E3143" t="s">
        <v>655</v>
      </c>
      <c r="F3143" t="s">
        <v>656</v>
      </c>
      <c r="G3143" s="10">
        <v>49</v>
      </c>
      <c r="H3143" s="10">
        <v>564</v>
      </c>
      <c r="I3143" s="10">
        <v>27636</v>
      </c>
      <c r="J3143" t="s">
        <v>37</v>
      </c>
      <c r="K3143" s="11">
        <v>648.20000000000005</v>
      </c>
      <c r="L3143" s="12">
        <v>42.63</v>
      </c>
    </row>
    <row r="3144" spans="1:12" x14ac:dyDescent="0.2">
      <c r="A3144" s="9">
        <v>46252</v>
      </c>
      <c r="B3144" t="s">
        <v>363</v>
      </c>
      <c r="C3144" t="s">
        <v>364</v>
      </c>
      <c r="D3144" t="s">
        <v>46</v>
      </c>
      <c r="E3144" t="s">
        <v>655</v>
      </c>
      <c r="F3144" t="s">
        <v>665</v>
      </c>
      <c r="G3144" s="10">
        <v>83</v>
      </c>
      <c r="H3144" s="10">
        <v>695</v>
      </c>
      <c r="I3144" s="10">
        <v>57685</v>
      </c>
      <c r="J3144" t="s">
        <v>37</v>
      </c>
      <c r="K3144" s="11">
        <v>648.20000000000005</v>
      </c>
      <c r="L3144" s="12">
        <v>88.99</v>
      </c>
    </row>
    <row r="3145" spans="1:12" x14ac:dyDescent="0.2">
      <c r="A3145" s="9">
        <v>46252</v>
      </c>
      <c r="B3145" t="s">
        <v>369</v>
      </c>
      <c r="C3145" t="s">
        <v>370</v>
      </c>
      <c r="D3145" t="s">
        <v>36</v>
      </c>
      <c r="E3145" t="s">
        <v>653</v>
      </c>
      <c r="F3145" t="s">
        <v>658</v>
      </c>
      <c r="G3145" s="10">
        <v>7</v>
      </c>
      <c r="H3145" s="10">
        <v>2820</v>
      </c>
      <c r="I3145" s="10">
        <v>19740</v>
      </c>
      <c r="J3145" t="s">
        <v>37</v>
      </c>
      <c r="K3145" s="11">
        <v>648.20000000000005</v>
      </c>
      <c r="L3145" s="12">
        <v>30.45</v>
      </c>
    </row>
    <row r="3146" spans="1:12" x14ac:dyDescent="0.2">
      <c r="A3146" s="9">
        <v>46252</v>
      </c>
      <c r="B3146" t="s">
        <v>369</v>
      </c>
      <c r="C3146" t="s">
        <v>370</v>
      </c>
      <c r="D3146" t="s">
        <v>36</v>
      </c>
      <c r="E3146" t="s">
        <v>653</v>
      </c>
      <c r="F3146" t="s">
        <v>658</v>
      </c>
      <c r="G3146" s="10">
        <v>15</v>
      </c>
      <c r="H3146" s="10">
        <v>2715</v>
      </c>
      <c r="I3146" s="10">
        <v>40725</v>
      </c>
      <c r="J3146" t="s">
        <v>37</v>
      </c>
      <c r="K3146" s="11">
        <v>648.20000000000005</v>
      </c>
      <c r="L3146" s="12">
        <v>62.83</v>
      </c>
    </row>
    <row r="3147" spans="1:12" x14ac:dyDescent="0.2">
      <c r="A3147" s="9">
        <v>46252</v>
      </c>
      <c r="B3147" t="s">
        <v>372</v>
      </c>
      <c r="C3147" t="s">
        <v>373</v>
      </c>
      <c r="D3147" t="s">
        <v>75</v>
      </c>
      <c r="E3147" t="s">
        <v>649</v>
      </c>
      <c r="F3147" t="s">
        <v>663</v>
      </c>
      <c r="G3147" s="10">
        <v>53</v>
      </c>
      <c r="H3147" s="10">
        <v>10136</v>
      </c>
      <c r="I3147" s="10">
        <v>537208</v>
      </c>
      <c r="J3147" t="s">
        <v>42</v>
      </c>
      <c r="K3147" s="11">
        <v>3145.8</v>
      </c>
      <c r="L3147" s="12">
        <v>170.77</v>
      </c>
    </row>
    <row r="3148" spans="1:12" x14ac:dyDescent="0.2">
      <c r="A3148" s="9">
        <v>46252</v>
      </c>
      <c r="B3148" t="s">
        <v>372</v>
      </c>
      <c r="C3148" t="s">
        <v>373</v>
      </c>
      <c r="D3148" t="s">
        <v>75</v>
      </c>
      <c r="E3148" t="s">
        <v>647</v>
      </c>
      <c r="F3148" t="s">
        <v>648</v>
      </c>
      <c r="G3148" s="10">
        <v>19</v>
      </c>
      <c r="H3148" s="10">
        <v>79948</v>
      </c>
      <c r="I3148" s="10">
        <v>1519012</v>
      </c>
      <c r="J3148" t="s">
        <v>42</v>
      </c>
      <c r="K3148" s="11">
        <v>3145.8</v>
      </c>
      <c r="L3148" s="12">
        <v>482.87</v>
      </c>
    </row>
    <row r="3149" spans="1:12" x14ac:dyDescent="0.2">
      <c r="A3149" s="9">
        <v>46252</v>
      </c>
      <c r="B3149" t="s">
        <v>381</v>
      </c>
      <c r="C3149" t="s">
        <v>382</v>
      </c>
      <c r="D3149" t="s">
        <v>36</v>
      </c>
      <c r="E3149" t="s">
        <v>649</v>
      </c>
      <c r="F3149" t="s">
        <v>663</v>
      </c>
      <c r="G3149" s="10">
        <v>3</v>
      </c>
      <c r="H3149" s="10">
        <v>1957</v>
      </c>
      <c r="I3149" s="10">
        <v>5871</v>
      </c>
      <c r="J3149" t="s">
        <v>37</v>
      </c>
      <c r="K3149" s="11">
        <v>648.20000000000005</v>
      </c>
      <c r="L3149" s="12">
        <v>9.06</v>
      </c>
    </row>
    <row r="3150" spans="1:12" x14ac:dyDescent="0.2">
      <c r="A3150" s="9">
        <v>46252</v>
      </c>
      <c r="B3150" t="s">
        <v>387</v>
      </c>
      <c r="C3150" t="s">
        <v>388</v>
      </c>
      <c r="D3150" t="s">
        <v>50</v>
      </c>
      <c r="E3150" t="s">
        <v>647</v>
      </c>
      <c r="F3150" t="s">
        <v>648</v>
      </c>
      <c r="G3150" s="10">
        <v>5</v>
      </c>
      <c r="H3150" s="10">
        <v>15650</v>
      </c>
      <c r="I3150" s="10">
        <v>78250</v>
      </c>
      <c r="J3150" t="s">
        <v>51</v>
      </c>
      <c r="K3150" s="11">
        <v>648.20000000000005</v>
      </c>
      <c r="L3150" s="12">
        <v>120.72</v>
      </c>
    </row>
    <row r="3151" spans="1:12" x14ac:dyDescent="0.2">
      <c r="A3151" s="9">
        <v>46252</v>
      </c>
      <c r="B3151" t="s">
        <v>390</v>
      </c>
      <c r="C3151" t="s">
        <v>391</v>
      </c>
      <c r="D3151" t="s">
        <v>46</v>
      </c>
      <c r="E3151" t="s">
        <v>649</v>
      </c>
      <c r="F3151" t="s">
        <v>659</v>
      </c>
      <c r="G3151" s="10">
        <v>31</v>
      </c>
      <c r="H3151" s="10">
        <v>8743</v>
      </c>
      <c r="I3151" s="10">
        <v>271033</v>
      </c>
      <c r="J3151" t="s">
        <v>37</v>
      </c>
      <c r="K3151" s="11">
        <v>648.20000000000005</v>
      </c>
      <c r="L3151" s="12">
        <v>418.13</v>
      </c>
    </row>
    <row r="3152" spans="1:12" x14ac:dyDescent="0.2">
      <c r="A3152" s="9">
        <v>46252</v>
      </c>
      <c r="B3152" t="s">
        <v>390</v>
      </c>
      <c r="C3152" t="s">
        <v>391</v>
      </c>
      <c r="D3152" t="s">
        <v>46</v>
      </c>
      <c r="E3152" t="s">
        <v>647</v>
      </c>
      <c r="F3152" t="s">
        <v>667</v>
      </c>
      <c r="G3152" s="10">
        <v>131</v>
      </c>
      <c r="H3152" s="10">
        <v>7332</v>
      </c>
      <c r="I3152" s="10">
        <v>960492</v>
      </c>
      <c r="J3152" t="s">
        <v>37</v>
      </c>
      <c r="K3152" s="11">
        <v>648.20000000000005</v>
      </c>
      <c r="L3152" s="12">
        <v>1481.78</v>
      </c>
    </row>
    <row r="3153" spans="1:12" x14ac:dyDescent="0.2">
      <c r="A3153" s="9">
        <v>46252</v>
      </c>
      <c r="B3153" t="s">
        <v>393</v>
      </c>
      <c r="C3153" t="s">
        <v>307</v>
      </c>
      <c r="D3153" t="s">
        <v>68</v>
      </c>
      <c r="E3153" t="s">
        <v>649</v>
      </c>
      <c r="F3153" t="s">
        <v>650</v>
      </c>
      <c r="G3153" s="10">
        <v>103</v>
      </c>
      <c r="H3153" s="10">
        <v>18715</v>
      </c>
      <c r="I3153" s="10">
        <v>1927645</v>
      </c>
      <c r="J3153" t="s">
        <v>51</v>
      </c>
      <c r="K3153" s="11">
        <v>648.20000000000005</v>
      </c>
      <c r="L3153" s="12">
        <v>2973.84</v>
      </c>
    </row>
    <row r="3154" spans="1:12" x14ac:dyDescent="0.2">
      <c r="A3154" s="9">
        <v>46252</v>
      </c>
      <c r="B3154" t="s">
        <v>393</v>
      </c>
      <c r="C3154" t="s">
        <v>307</v>
      </c>
      <c r="D3154" t="s">
        <v>68</v>
      </c>
      <c r="E3154" t="s">
        <v>649</v>
      </c>
      <c r="F3154" t="s">
        <v>659</v>
      </c>
      <c r="G3154" s="10">
        <v>109</v>
      </c>
      <c r="H3154" s="10">
        <v>9194</v>
      </c>
      <c r="I3154" s="10">
        <v>1002146</v>
      </c>
      <c r="J3154" t="s">
        <v>51</v>
      </c>
      <c r="K3154" s="11">
        <v>648.20000000000005</v>
      </c>
      <c r="L3154" s="12">
        <v>1546.04</v>
      </c>
    </row>
    <row r="3155" spans="1:12" x14ac:dyDescent="0.2">
      <c r="A3155" s="9">
        <v>46252</v>
      </c>
      <c r="B3155" t="s">
        <v>393</v>
      </c>
      <c r="C3155" t="s">
        <v>307</v>
      </c>
      <c r="D3155" t="s">
        <v>68</v>
      </c>
      <c r="E3155" t="s">
        <v>649</v>
      </c>
      <c r="F3155" t="s">
        <v>659</v>
      </c>
      <c r="G3155" s="10">
        <v>33</v>
      </c>
      <c r="H3155" s="10">
        <v>9190</v>
      </c>
      <c r="I3155" s="10">
        <v>303270</v>
      </c>
      <c r="J3155" t="s">
        <v>51</v>
      </c>
      <c r="K3155" s="11">
        <v>648.20000000000005</v>
      </c>
      <c r="L3155" s="12">
        <v>467.86</v>
      </c>
    </row>
    <row r="3156" spans="1:12" x14ac:dyDescent="0.2">
      <c r="A3156" s="9">
        <v>46252</v>
      </c>
      <c r="B3156" t="s">
        <v>393</v>
      </c>
      <c r="C3156" t="s">
        <v>307</v>
      </c>
      <c r="D3156" t="s">
        <v>68</v>
      </c>
      <c r="E3156" t="s">
        <v>655</v>
      </c>
      <c r="F3156" t="s">
        <v>662</v>
      </c>
      <c r="G3156" s="10">
        <v>64</v>
      </c>
      <c r="H3156" s="10">
        <v>1099</v>
      </c>
      <c r="I3156" s="10">
        <v>70336</v>
      </c>
      <c r="J3156" t="s">
        <v>51</v>
      </c>
      <c r="K3156" s="11">
        <v>648.20000000000005</v>
      </c>
      <c r="L3156" s="12">
        <v>108.51</v>
      </c>
    </row>
    <row r="3157" spans="1:12" x14ac:dyDescent="0.2">
      <c r="A3157" s="9">
        <v>46252</v>
      </c>
      <c r="B3157" t="s">
        <v>398</v>
      </c>
      <c r="C3157" t="s">
        <v>399</v>
      </c>
      <c r="D3157" t="s">
        <v>46</v>
      </c>
      <c r="E3157" t="s">
        <v>655</v>
      </c>
      <c r="F3157" t="s">
        <v>662</v>
      </c>
      <c r="G3157" s="10">
        <v>18</v>
      </c>
      <c r="H3157" s="10">
        <v>1094</v>
      </c>
      <c r="I3157" s="10">
        <v>19692</v>
      </c>
      <c r="J3157" t="s">
        <v>37</v>
      </c>
      <c r="K3157" s="11">
        <v>648.20000000000005</v>
      </c>
      <c r="L3157" s="12">
        <v>30.38</v>
      </c>
    </row>
    <row r="3158" spans="1:12" x14ac:dyDescent="0.2">
      <c r="A3158" s="9">
        <v>46252</v>
      </c>
      <c r="B3158" t="s">
        <v>398</v>
      </c>
      <c r="C3158" t="s">
        <v>399</v>
      </c>
      <c r="D3158" t="s">
        <v>46</v>
      </c>
      <c r="E3158" t="s">
        <v>651</v>
      </c>
      <c r="F3158" t="s">
        <v>657</v>
      </c>
      <c r="G3158" s="10">
        <v>27</v>
      </c>
      <c r="H3158" s="10">
        <v>6307</v>
      </c>
      <c r="I3158" s="10">
        <v>170289</v>
      </c>
      <c r="J3158" t="s">
        <v>37</v>
      </c>
      <c r="K3158" s="11">
        <v>648.20000000000005</v>
      </c>
      <c r="L3158" s="12">
        <v>262.70999999999998</v>
      </c>
    </row>
    <row r="3159" spans="1:12" x14ac:dyDescent="0.2">
      <c r="A3159" s="9">
        <v>46252</v>
      </c>
      <c r="B3159" t="s">
        <v>401</v>
      </c>
      <c r="C3159" t="s">
        <v>402</v>
      </c>
      <c r="D3159" t="s">
        <v>36</v>
      </c>
      <c r="E3159" t="s">
        <v>651</v>
      </c>
      <c r="F3159" t="s">
        <v>652</v>
      </c>
      <c r="G3159" s="10">
        <v>17</v>
      </c>
      <c r="H3159" s="10">
        <v>9725</v>
      </c>
      <c r="I3159" s="10">
        <v>165325</v>
      </c>
      <c r="J3159" t="s">
        <v>37</v>
      </c>
      <c r="K3159" s="11">
        <v>648.20000000000005</v>
      </c>
      <c r="L3159" s="12">
        <v>255.05</v>
      </c>
    </row>
    <row r="3160" spans="1:12" x14ac:dyDescent="0.2">
      <c r="A3160" s="9">
        <v>46252</v>
      </c>
      <c r="B3160" t="s">
        <v>404</v>
      </c>
      <c r="C3160" t="s">
        <v>405</v>
      </c>
      <c r="D3160" t="s">
        <v>46</v>
      </c>
      <c r="E3160" t="s">
        <v>647</v>
      </c>
      <c r="F3160" t="s">
        <v>648</v>
      </c>
      <c r="G3160" s="10">
        <v>8</v>
      </c>
      <c r="H3160" s="10">
        <v>16873</v>
      </c>
      <c r="I3160" s="10">
        <v>134984</v>
      </c>
      <c r="J3160" t="s">
        <v>37</v>
      </c>
      <c r="K3160" s="11">
        <v>648.20000000000005</v>
      </c>
      <c r="L3160" s="12">
        <v>208.24</v>
      </c>
    </row>
    <row r="3161" spans="1:12" x14ac:dyDescent="0.2">
      <c r="A3161" s="9">
        <v>46252</v>
      </c>
      <c r="B3161" t="s">
        <v>404</v>
      </c>
      <c r="C3161" t="s">
        <v>405</v>
      </c>
      <c r="D3161" t="s">
        <v>46</v>
      </c>
      <c r="E3161" t="s">
        <v>647</v>
      </c>
      <c r="F3161" t="s">
        <v>667</v>
      </c>
      <c r="G3161" s="10">
        <v>3</v>
      </c>
      <c r="H3161" s="10">
        <v>7439</v>
      </c>
      <c r="I3161" s="10">
        <v>22317</v>
      </c>
      <c r="J3161" t="s">
        <v>37</v>
      </c>
      <c r="K3161" s="11">
        <v>648.20000000000005</v>
      </c>
      <c r="L3161" s="12">
        <v>34.43</v>
      </c>
    </row>
    <row r="3162" spans="1:12" x14ac:dyDescent="0.2">
      <c r="A3162" s="9">
        <v>46252</v>
      </c>
      <c r="B3162" t="s">
        <v>416</v>
      </c>
      <c r="C3162" t="s">
        <v>417</v>
      </c>
      <c r="D3162" t="s">
        <v>36</v>
      </c>
      <c r="E3162" t="s">
        <v>647</v>
      </c>
      <c r="F3162" t="s">
        <v>648</v>
      </c>
      <c r="G3162" s="10">
        <v>14</v>
      </c>
      <c r="H3162" s="10">
        <v>16082</v>
      </c>
      <c r="I3162" s="10">
        <v>225148</v>
      </c>
      <c r="J3162" t="s">
        <v>37</v>
      </c>
      <c r="K3162" s="11">
        <v>648.20000000000005</v>
      </c>
      <c r="L3162" s="12">
        <v>347.34</v>
      </c>
    </row>
    <row r="3163" spans="1:12" x14ac:dyDescent="0.2">
      <c r="A3163" s="9">
        <v>46252</v>
      </c>
      <c r="B3163" t="s">
        <v>419</v>
      </c>
      <c r="C3163" t="s">
        <v>420</v>
      </c>
      <c r="D3163" t="s">
        <v>46</v>
      </c>
      <c r="E3163" t="s">
        <v>660</v>
      </c>
      <c r="F3163" t="s">
        <v>670</v>
      </c>
      <c r="G3163" s="10">
        <v>16</v>
      </c>
      <c r="H3163" s="10">
        <v>14026</v>
      </c>
      <c r="I3163" s="10">
        <v>224416</v>
      </c>
      <c r="J3163" t="s">
        <v>37</v>
      </c>
      <c r="K3163" s="11">
        <v>648.20000000000005</v>
      </c>
      <c r="L3163" s="12">
        <v>346.21</v>
      </c>
    </row>
    <row r="3164" spans="1:12" x14ac:dyDescent="0.2">
      <c r="A3164" s="9">
        <v>46252</v>
      </c>
      <c r="B3164" t="s">
        <v>419</v>
      </c>
      <c r="C3164" t="s">
        <v>420</v>
      </c>
      <c r="D3164" t="s">
        <v>46</v>
      </c>
      <c r="E3164" t="s">
        <v>660</v>
      </c>
      <c r="F3164" t="s">
        <v>661</v>
      </c>
      <c r="G3164" s="10">
        <v>4</v>
      </c>
      <c r="H3164" s="10">
        <v>4088</v>
      </c>
      <c r="I3164" s="10">
        <v>16352</v>
      </c>
      <c r="J3164" t="s">
        <v>37</v>
      </c>
      <c r="K3164" s="11">
        <v>648.20000000000005</v>
      </c>
      <c r="L3164" s="12">
        <v>25.23</v>
      </c>
    </row>
    <row r="3165" spans="1:12" x14ac:dyDescent="0.2">
      <c r="A3165" s="9">
        <v>46252</v>
      </c>
      <c r="B3165" t="s">
        <v>419</v>
      </c>
      <c r="C3165" t="s">
        <v>420</v>
      </c>
      <c r="D3165" t="s">
        <v>46</v>
      </c>
      <c r="E3165" t="s">
        <v>647</v>
      </c>
      <c r="F3165" t="s">
        <v>648</v>
      </c>
      <c r="G3165" s="10">
        <v>6</v>
      </c>
      <c r="H3165" s="10">
        <v>16153</v>
      </c>
      <c r="I3165" s="10">
        <v>96918</v>
      </c>
      <c r="J3165" t="s">
        <v>37</v>
      </c>
      <c r="K3165" s="11">
        <v>648.20000000000005</v>
      </c>
      <c r="L3165" s="12">
        <v>149.52000000000001</v>
      </c>
    </row>
    <row r="3166" spans="1:12" x14ac:dyDescent="0.2">
      <c r="A3166" s="9">
        <v>46252</v>
      </c>
      <c r="B3166" t="s">
        <v>422</v>
      </c>
      <c r="C3166" t="s">
        <v>423</v>
      </c>
      <c r="D3166" t="s">
        <v>68</v>
      </c>
      <c r="E3166" t="s">
        <v>647</v>
      </c>
      <c r="F3166" t="s">
        <v>648</v>
      </c>
      <c r="G3166" s="10">
        <v>7</v>
      </c>
      <c r="H3166" s="10">
        <v>16541</v>
      </c>
      <c r="I3166" s="10">
        <v>115787</v>
      </c>
      <c r="J3166" t="s">
        <v>51</v>
      </c>
      <c r="K3166" s="11">
        <v>648.20000000000005</v>
      </c>
      <c r="L3166" s="12">
        <v>178.63</v>
      </c>
    </row>
    <row r="3167" spans="1:12" x14ac:dyDescent="0.2">
      <c r="A3167" s="9">
        <v>46252</v>
      </c>
      <c r="B3167" t="s">
        <v>425</v>
      </c>
      <c r="C3167" t="s">
        <v>426</v>
      </c>
      <c r="D3167" t="s">
        <v>50</v>
      </c>
      <c r="E3167" t="s">
        <v>647</v>
      </c>
      <c r="F3167" t="s">
        <v>668</v>
      </c>
      <c r="G3167" s="10">
        <v>1</v>
      </c>
      <c r="H3167" s="10">
        <v>25226</v>
      </c>
      <c r="I3167" s="10">
        <v>25226</v>
      </c>
      <c r="J3167" t="s">
        <v>51</v>
      </c>
      <c r="K3167" s="11">
        <v>648.20000000000005</v>
      </c>
      <c r="L3167" s="12">
        <v>38.92</v>
      </c>
    </row>
    <row r="3168" spans="1:12" x14ac:dyDescent="0.2">
      <c r="A3168" s="9">
        <v>46252</v>
      </c>
      <c r="B3168" t="s">
        <v>445</v>
      </c>
      <c r="C3168" t="s">
        <v>446</v>
      </c>
      <c r="D3168" t="s">
        <v>68</v>
      </c>
      <c r="E3168" t="s">
        <v>647</v>
      </c>
      <c r="F3168" t="s">
        <v>667</v>
      </c>
      <c r="G3168" s="10">
        <v>15</v>
      </c>
      <c r="H3168" s="10">
        <v>7322</v>
      </c>
      <c r="I3168" s="10">
        <v>109830</v>
      </c>
      <c r="J3168" t="s">
        <v>51</v>
      </c>
      <c r="K3168" s="11">
        <v>648.20000000000005</v>
      </c>
      <c r="L3168" s="12">
        <v>169.44</v>
      </c>
    </row>
    <row r="3169" spans="1:12" x14ac:dyDescent="0.2">
      <c r="A3169" s="9">
        <v>46252</v>
      </c>
      <c r="B3169" t="s">
        <v>448</v>
      </c>
      <c r="C3169" t="s">
        <v>449</v>
      </c>
      <c r="D3169" t="s">
        <v>75</v>
      </c>
      <c r="E3169" t="s">
        <v>649</v>
      </c>
      <c r="F3169" t="s">
        <v>663</v>
      </c>
      <c r="G3169" s="10">
        <v>13</v>
      </c>
      <c r="H3169" s="10">
        <v>10228</v>
      </c>
      <c r="I3169" s="10">
        <v>132964</v>
      </c>
      <c r="J3169" t="s">
        <v>42</v>
      </c>
      <c r="K3169" s="11">
        <v>3145.8</v>
      </c>
      <c r="L3169" s="12">
        <v>42.27</v>
      </c>
    </row>
    <row r="3170" spans="1:12" x14ac:dyDescent="0.2">
      <c r="A3170" s="9">
        <v>46252</v>
      </c>
      <c r="B3170" t="s">
        <v>448</v>
      </c>
      <c r="C3170" t="s">
        <v>449</v>
      </c>
      <c r="D3170" t="s">
        <v>75</v>
      </c>
      <c r="E3170" t="s">
        <v>649</v>
      </c>
      <c r="F3170" t="s">
        <v>663</v>
      </c>
      <c r="G3170" s="10">
        <v>14</v>
      </c>
      <c r="H3170" s="10">
        <v>9483</v>
      </c>
      <c r="I3170" s="10">
        <v>132762</v>
      </c>
      <c r="J3170" t="s">
        <v>42</v>
      </c>
      <c r="K3170" s="11">
        <v>3145.8</v>
      </c>
      <c r="L3170" s="12">
        <v>42.2</v>
      </c>
    </row>
    <row r="3171" spans="1:12" x14ac:dyDescent="0.2">
      <c r="A3171" s="9">
        <v>46252</v>
      </c>
      <c r="B3171" t="s">
        <v>451</v>
      </c>
      <c r="C3171" t="s">
        <v>452</v>
      </c>
      <c r="D3171" t="s">
        <v>68</v>
      </c>
      <c r="E3171" t="s">
        <v>651</v>
      </c>
      <c r="F3171" t="s">
        <v>657</v>
      </c>
      <c r="G3171" s="10">
        <v>6</v>
      </c>
      <c r="H3171" s="10">
        <v>6443</v>
      </c>
      <c r="I3171" s="10">
        <v>38658</v>
      </c>
      <c r="J3171" t="s">
        <v>51</v>
      </c>
      <c r="K3171" s="11">
        <v>648.20000000000005</v>
      </c>
      <c r="L3171" s="12">
        <v>59.64</v>
      </c>
    </row>
    <row r="3172" spans="1:12" x14ac:dyDescent="0.2">
      <c r="A3172" s="9">
        <v>46252</v>
      </c>
      <c r="B3172" t="s">
        <v>454</v>
      </c>
      <c r="C3172" t="s">
        <v>455</v>
      </c>
      <c r="D3172" t="s">
        <v>41</v>
      </c>
      <c r="E3172" t="s">
        <v>651</v>
      </c>
      <c r="F3172" t="s">
        <v>652</v>
      </c>
      <c r="G3172" s="10">
        <v>24</v>
      </c>
      <c r="H3172" s="10">
        <v>48140</v>
      </c>
      <c r="I3172" s="10">
        <v>1155360</v>
      </c>
      <c r="J3172" t="s">
        <v>42</v>
      </c>
      <c r="K3172" s="11">
        <v>3145.8</v>
      </c>
      <c r="L3172" s="12">
        <v>367.27</v>
      </c>
    </row>
    <row r="3173" spans="1:12" x14ac:dyDescent="0.2">
      <c r="A3173" s="9">
        <v>46252</v>
      </c>
      <c r="B3173" t="s">
        <v>454</v>
      </c>
      <c r="C3173" t="s">
        <v>455</v>
      </c>
      <c r="D3173" t="s">
        <v>41</v>
      </c>
      <c r="E3173" t="s">
        <v>649</v>
      </c>
      <c r="F3173" t="s">
        <v>659</v>
      </c>
      <c r="G3173" s="10">
        <v>5</v>
      </c>
      <c r="H3173" s="10">
        <v>42717</v>
      </c>
      <c r="I3173" s="10">
        <v>213585</v>
      </c>
      <c r="J3173" t="s">
        <v>42</v>
      </c>
      <c r="K3173" s="11">
        <v>3145.8</v>
      </c>
      <c r="L3173" s="12">
        <v>67.900000000000006</v>
      </c>
    </row>
    <row r="3174" spans="1:12" x14ac:dyDescent="0.2">
      <c r="A3174" s="9">
        <v>46252</v>
      </c>
      <c r="B3174" t="s">
        <v>457</v>
      </c>
      <c r="C3174" t="s">
        <v>458</v>
      </c>
      <c r="D3174" t="s">
        <v>46</v>
      </c>
      <c r="E3174" t="s">
        <v>649</v>
      </c>
      <c r="F3174" t="s">
        <v>650</v>
      </c>
      <c r="G3174" s="10">
        <v>29</v>
      </c>
      <c r="H3174" s="10">
        <v>18532</v>
      </c>
      <c r="I3174" s="10">
        <v>537428</v>
      </c>
      <c r="J3174" t="s">
        <v>37</v>
      </c>
      <c r="K3174" s="11">
        <v>648.20000000000005</v>
      </c>
      <c r="L3174" s="12">
        <v>829.11</v>
      </c>
    </row>
    <row r="3175" spans="1:12" x14ac:dyDescent="0.2">
      <c r="A3175" s="9">
        <v>46252</v>
      </c>
      <c r="B3175" t="s">
        <v>457</v>
      </c>
      <c r="C3175" t="s">
        <v>458</v>
      </c>
      <c r="D3175" t="s">
        <v>46</v>
      </c>
      <c r="E3175" t="s">
        <v>649</v>
      </c>
      <c r="F3175" t="s">
        <v>663</v>
      </c>
      <c r="G3175" s="10">
        <v>22</v>
      </c>
      <c r="H3175" s="10">
        <v>1970</v>
      </c>
      <c r="I3175" s="10">
        <v>43340</v>
      </c>
      <c r="J3175" t="s">
        <v>37</v>
      </c>
      <c r="K3175" s="11">
        <v>648.20000000000005</v>
      </c>
      <c r="L3175" s="12">
        <v>66.86</v>
      </c>
    </row>
    <row r="3176" spans="1:12" x14ac:dyDescent="0.2">
      <c r="A3176" s="9">
        <v>46252</v>
      </c>
      <c r="B3176" t="s">
        <v>457</v>
      </c>
      <c r="C3176" t="s">
        <v>458</v>
      </c>
      <c r="D3176" t="s">
        <v>46</v>
      </c>
      <c r="E3176" t="s">
        <v>651</v>
      </c>
      <c r="F3176" t="s">
        <v>657</v>
      </c>
      <c r="G3176" s="10">
        <v>96</v>
      </c>
      <c r="H3176" s="10">
        <v>6572</v>
      </c>
      <c r="I3176" s="10">
        <v>630912</v>
      </c>
      <c r="J3176" t="s">
        <v>37</v>
      </c>
      <c r="K3176" s="11">
        <v>648.20000000000005</v>
      </c>
      <c r="L3176" s="12">
        <v>973.33</v>
      </c>
    </row>
    <row r="3177" spans="1:12" x14ac:dyDescent="0.2">
      <c r="A3177" s="9">
        <v>46252</v>
      </c>
      <c r="B3177" t="s">
        <v>460</v>
      </c>
      <c r="C3177" t="s">
        <v>461</v>
      </c>
      <c r="D3177" t="s">
        <v>75</v>
      </c>
      <c r="E3177" t="s">
        <v>651</v>
      </c>
      <c r="F3177" t="s">
        <v>652</v>
      </c>
      <c r="G3177" s="10">
        <v>7</v>
      </c>
      <c r="H3177" s="10">
        <v>47723</v>
      </c>
      <c r="I3177" s="10">
        <v>334061</v>
      </c>
      <c r="J3177" t="s">
        <v>42</v>
      </c>
      <c r="K3177" s="11">
        <v>3145.8</v>
      </c>
      <c r="L3177" s="12">
        <v>106.19</v>
      </c>
    </row>
    <row r="3178" spans="1:12" x14ac:dyDescent="0.2">
      <c r="A3178" s="9">
        <v>46252</v>
      </c>
      <c r="B3178" t="s">
        <v>460</v>
      </c>
      <c r="C3178" t="s">
        <v>461</v>
      </c>
      <c r="D3178" t="s">
        <v>75</v>
      </c>
      <c r="E3178" t="s">
        <v>660</v>
      </c>
      <c r="F3178" t="s">
        <v>661</v>
      </c>
      <c r="G3178" s="10">
        <v>64</v>
      </c>
      <c r="H3178" s="10">
        <v>20722</v>
      </c>
      <c r="I3178" s="10">
        <v>1326208</v>
      </c>
      <c r="J3178" t="s">
        <v>42</v>
      </c>
      <c r="K3178" s="11">
        <v>3145.8</v>
      </c>
      <c r="L3178" s="12">
        <v>421.58</v>
      </c>
    </row>
    <row r="3179" spans="1:12" x14ac:dyDescent="0.2">
      <c r="A3179" s="9">
        <v>46252</v>
      </c>
      <c r="B3179" t="s">
        <v>460</v>
      </c>
      <c r="C3179" t="s">
        <v>461</v>
      </c>
      <c r="D3179" t="s">
        <v>75</v>
      </c>
      <c r="E3179" t="s">
        <v>660</v>
      </c>
      <c r="F3179" t="s">
        <v>661</v>
      </c>
      <c r="G3179" s="10">
        <v>151</v>
      </c>
      <c r="H3179" s="10">
        <v>20613</v>
      </c>
      <c r="I3179" s="10">
        <v>3112563</v>
      </c>
      <c r="J3179" t="s">
        <v>42</v>
      </c>
      <c r="K3179" s="11">
        <v>3145.8</v>
      </c>
      <c r="L3179" s="12">
        <v>989.43</v>
      </c>
    </row>
    <row r="3180" spans="1:12" x14ac:dyDescent="0.2">
      <c r="A3180" s="9">
        <v>46252</v>
      </c>
      <c r="B3180" t="s">
        <v>463</v>
      </c>
      <c r="C3180" t="s">
        <v>464</v>
      </c>
      <c r="D3180" t="s">
        <v>36</v>
      </c>
      <c r="E3180" t="s">
        <v>647</v>
      </c>
      <c r="F3180" t="s">
        <v>668</v>
      </c>
      <c r="G3180" s="10">
        <v>15</v>
      </c>
      <c r="H3180" s="10">
        <v>24375</v>
      </c>
      <c r="I3180" s="10">
        <v>365625</v>
      </c>
      <c r="J3180" t="s">
        <v>37</v>
      </c>
      <c r="K3180" s="11">
        <v>648.20000000000005</v>
      </c>
      <c r="L3180" s="12">
        <v>564.05999999999995</v>
      </c>
    </row>
    <row r="3181" spans="1:12" x14ac:dyDescent="0.2">
      <c r="A3181" s="9">
        <v>46252</v>
      </c>
      <c r="B3181" t="s">
        <v>466</v>
      </c>
      <c r="C3181" t="s">
        <v>467</v>
      </c>
      <c r="D3181" t="s">
        <v>50</v>
      </c>
      <c r="E3181" t="s">
        <v>653</v>
      </c>
      <c r="F3181" t="s">
        <v>666</v>
      </c>
      <c r="G3181" s="10">
        <v>25</v>
      </c>
      <c r="H3181" s="10">
        <v>1527</v>
      </c>
      <c r="I3181" s="10">
        <v>38175</v>
      </c>
      <c r="J3181" t="s">
        <v>51</v>
      </c>
      <c r="K3181" s="11">
        <v>648.20000000000005</v>
      </c>
      <c r="L3181" s="12">
        <v>58.89</v>
      </c>
    </row>
    <row r="3182" spans="1:12" x14ac:dyDescent="0.2">
      <c r="A3182" s="9">
        <v>46252</v>
      </c>
      <c r="B3182" t="s">
        <v>466</v>
      </c>
      <c r="C3182" t="s">
        <v>467</v>
      </c>
      <c r="D3182" t="s">
        <v>50</v>
      </c>
      <c r="E3182" t="s">
        <v>660</v>
      </c>
      <c r="F3182" t="s">
        <v>661</v>
      </c>
      <c r="G3182" s="10">
        <v>19</v>
      </c>
      <c r="H3182" s="10">
        <v>4350</v>
      </c>
      <c r="I3182" s="10">
        <v>82650</v>
      </c>
      <c r="J3182" t="s">
        <v>51</v>
      </c>
      <c r="K3182" s="11">
        <v>648.20000000000005</v>
      </c>
      <c r="L3182" s="12">
        <v>127.51</v>
      </c>
    </row>
    <row r="3183" spans="1:12" x14ac:dyDescent="0.2">
      <c r="A3183" s="9">
        <v>46252</v>
      </c>
      <c r="B3183" t="s">
        <v>469</v>
      </c>
      <c r="C3183" t="s">
        <v>470</v>
      </c>
      <c r="D3183" t="s">
        <v>41</v>
      </c>
      <c r="E3183" t="s">
        <v>647</v>
      </c>
      <c r="F3183" t="s">
        <v>667</v>
      </c>
      <c r="G3183" s="10">
        <v>19</v>
      </c>
      <c r="H3183" s="10">
        <v>35514</v>
      </c>
      <c r="I3183" s="10">
        <v>674766</v>
      </c>
      <c r="J3183" t="s">
        <v>42</v>
      </c>
      <c r="K3183" s="11">
        <v>3145.8</v>
      </c>
      <c r="L3183" s="12">
        <v>214.5</v>
      </c>
    </row>
    <row r="3184" spans="1:12" x14ac:dyDescent="0.2">
      <c r="A3184" s="9">
        <v>46252</v>
      </c>
      <c r="B3184" t="s">
        <v>472</v>
      </c>
      <c r="C3184" t="s">
        <v>473</v>
      </c>
      <c r="D3184" t="s">
        <v>68</v>
      </c>
      <c r="E3184" t="s">
        <v>653</v>
      </c>
      <c r="F3184" t="s">
        <v>658</v>
      </c>
      <c r="G3184" s="10">
        <v>7</v>
      </c>
      <c r="H3184" s="10">
        <v>2761</v>
      </c>
      <c r="I3184" s="10">
        <v>19327</v>
      </c>
      <c r="J3184" t="s">
        <v>51</v>
      </c>
      <c r="K3184" s="11">
        <v>648.20000000000005</v>
      </c>
      <c r="L3184" s="12">
        <v>29.82</v>
      </c>
    </row>
    <row r="3185" spans="1:12" x14ac:dyDescent="0.2">
      <c r="A3185" s="9">
        <v>46252</v>
      </c>
      <c r="B3185" t="s">
        <v>475</v>
      </c>
      <c r="C3185" t="s">
        <v>476</v>
      </c>
      <c r="D3185" t="s">
        <v>75</v>
      </c>
      <c r="E3185" t="s">
        <v>649</v>
      </c>
      <c r="F3185" t="s">
        <v>659</v>
      </c>
      <c r="G3185" s="10">
        <v>47</v>
      </c>
      <c r="H3185" s="10">
        <v>42497</v>
      </c>
      <c r="I3185" s="10">
        <v>1997359</v>
      </c>
      <c r="J3185" t="s">
        <v>42</v>
      </c>
      <c r="K3185" s="11">
        <v>3145.8</v>
      </c>
      <c r="L3185" s="12">
        <v>634.92999999999995</v>
      </c>
    </row>
    <row r="3186" spans="1:12" x14ac:dyDescent="0.2">
      <c r="A3186" s="9">
        <v>46252</v>
      </c>
      <c r="B3186" t="s">
        <v>475</v>
      </c>
      <c r="C3186" t="s">
        <v>476</v>
      </c>
      <c r="D3186" t="s">
        <v>75</v>
      </c>
      <c r="E3186" t="s">
        <v>655</v>
      </c>
      <c r="F3186" t="s">
        <v>662</v>
      </c>
      <c r="G3186" s="10">
        <v>11</v>
      </c>
      <c r="H3186" s="10">
        <v>5498</v>
      </c>
      <c r="I3186" s="10">
        <v>60478</v>
      </c>
      <c r="J3186" t="s">
        <v>42</v>
      </c>
      <c r="K3186" s="11">
        <v>3145.8</v>
      </c>
      <c r="L3186" s="12">
        <v>19.22</v>
      </c>
    </row>
    <row r="3187" spans="1:12" x14ac:dyDescent="0.2">
      <c r="A3187" s="9">
        <v>46252</v>
      </c>
      <c r="B3187" t="s">
        <v>483</v>
      </c>
      <c r="C3187" t="s">
        <v>340</v>
      </c>
      <c r="D3187" t="s">
        <v>46</v>
      </c>
      <c r="E3187" t="s">
        <v>653</v>
      </c>
      <c r="F3187" t="s">
        <v>658</v>
      </c>
      <c r="G3187" s="10">
        <v>3</v>
      </c>
      <c r="H3187" s="10">
        <v>2671</v>
      </c>
      <c r="I3187" s="10">
        <v>8013</v>
      </c>
      <c r="J3187" t="s">
        <v>37</v>
      </c>
      <c r="K3187" s="11">
        <v>648.20000000000005</v>
      </c>
      <c r="L3187" s="12">
        <v>12.36</v>
      </c>
    </row>
    <row r="3188" spans="1:12" x14ac:dyDescent="0.2">
      <c r="A3188" s="9">
        <v>46252</v>
      </c>
      <c r="B3188" t="s">
        <v>483</v>
      </c>
      <c r="C3188" t="s">
        <v>340</v>
      </c>
      <c r="D3188" t="s">
        <v>46</v>
      </c>
      <c r="E3188" t="s">
        <v>660</v>
      </c>
      <c r="F3188" t="s">
        <v>661</v>
      </c>
      <c r="G3188" s="10">
        <v>5</v>
      </c>
      <c r="H3188" s="10">
        <v>4214</v>
      </c>
      <c r="I3188" s="10">
        <v>21070</v>
      </c>
      <c r="J3188" t="s">
        <v>37</v>
      </c>
      <c r="K3188" s="11">
        <v>648.20000000000005</v>
      </c>
      <c r="L3188" s="12">
        <v>32.51</v>
      </c>
    </row>
    <row r="3189" spans="1:12" x14ac:dyDescent="0.2">
      <c r="A3189" s="9">
        <v>46252</v>
      </c>
      <c r="B3189" t="s">
        <v>483</v>
      </c>
      <c r="C3189" t="s">
        <v>340</v>
      </c>
      <c r="D3189" t="s">
        <v>46</v>
      </c>
      <c r="E3189" t="s">
        <v>647</v>
      </c>
      <c r="F3189" t="s">
        <v>648</v>
      </c>
      <c r="G3189" s="10">
        <v>11</v>
      </c>
      <c r="H3189" s="10">
        <v>16324</v>
      </c>
      <c r="I3189" s="10">
        <v>179564</v>
      </c>
      <c r="J3189" t="s">
        <v>37</v>
      </c>
      <c r="K3189" s="11">
        <v>648.20000000000005</v>
      </c>
      <c r="L3189" s="12">
        <v>277.02</v>
      </c>
    </row>
    <row r="3190" spans="1:12" x14ac:dyDescent="0.2">
      <c r="A3190" s="9">
        <v>46252</v>
      </c>
      <c r="B3190" t="s">
        <v>483</v>
      </c>
      <c r="C3190" t="s">
        <v>340</v>
      </c>
      <c r="D3190" t="s">
        <v>46</v>
      </c>
      <c r="E3190" t="s">
        <v>651</v>
      </c>
      <c r="F3190" t="s">
        <v>664</v>
      </c>
      <c r="G3190" s="10">
        <v>5</v>
      </c>
      <c r="H3190" s="10">
        <v>11976</v>
      </c>
      <c r="I3190" s="10">
        <v>59880</v>
      </c>
      <c r="J3190" t="s">
        <v>37</v>
      </c>
      <c r="K3190" s="11">
        <v>648.20000000000005</v>
      </c>
      <c r="L3190" s="12">
        <v>92.38</v>
      </c>
    </row>
    <row r="3191" spans="1:12" x14ac:dyDescent="0.2">
      <c r="A3191" s="9">
        <v>46252</v>
      </c>
      <c r="B3191" t="s">
        <v>485</v>
      </c>
      <c r="C3191" t="s">
        <v>486</v>
      </c>
      <c r="D3191" t="s">
        <v>41</v>
      </c>
      <c r="E3191" t="s">
        <v>647</v>
      </c>
      <c r="F3191" t="s">
        <v>667</v>
      </c>
      <c r="G3191" s="10">
        <v>6</v>
      </c>
      <c r="H3191" s="10">
        <v>34698</v>
      </c>
      <c r="I3191" s="10">
        <v>208188</v>
      </c>
      <c r="J3191" t="s">
        <v>42</v>
      </c>
      <c r="K3191" s="11">
        <v>3145.8</v>
      </c>
      <c r="L3191" s="12">
        <v>66.180000000000007</v>
      </c>
    </row>
    <row r="3192" spans="1:12" x14ac:dyDescent="0.2">
      <c r="A3192" s="9">
        <v>46252</v>
      </c>
      <c r="B3192" t="s">
        <v>488</v>
      </c>
      <c r="C3192" t="s">
        <v>489</v>
      </c>
      <c r="D3192" t="s">
        <v>46</v>
      </c>
      <c r="E3192" t="s">
        <v>653</v>
      </c>
      <c r="F3192" t="s">
        <v>658</v>
      </c>
      <c r="G3192" s="10">
        <v>32</v>
      </c>
      <c r="H3192" s="10">
        <v>2702</v>
      </c>
      <c r="I3192" s="10">
        <v>86464</v>
      </c>
      <c r="J3192" t="s">
        <v>37</v>
      </c>
      <c r="K3192" s="11">
        <v>648.20000000000005</v>
      </c>
      <c r="L3192" s="12">
        <v>133.38999999999999</v>
      </c>
    </row>
    <row r="3193" spans="1:12" x14ac:dyDescent="0.2">
      <c r="A3193" s="9">
        <v>46252</v>
      </c>
      <c r="B3193" t="s">
        <v>488</v>
      </c>
      <c r="C3193" t="s">
        <v>489</v>
      </c>
      <c r="D3193" t="s">
        <v>46</v>
      </c>
      <c r="E3193" t="s">
        <v>660</v>
      </c>
      <c r="F3193" t="s">
        <v>669</v>
      </c>
      <c r="G3193" s="10">
        <v>8</v>
      </c>
      <c r="H3193" s="10">
        <v>2687</v>
      </c>
      <c r="I3193" s="10">
        <v>21496</v>
      </c>
      <c r="J3193" t="s">
        <v>37</v>
      </c>
      <c r="K3193" s="11">
        <v>648.20000000000005</v>
      </c>
      <c r="L3193" s="12">
        <v>33.159999999999997</v>
      </c>
    </row>
    <row r="3194" spans="1:12" x14ac:dyDescent="0.2">
      <c r="A3194" s="9">
        <v>46252</v>
      </c>
      <c r="B3194" t="s">
        <v>491</v>
      </c>
      <c r="C3194" t="s">
        <v>125</v>
      </c>
      <c r="D3194" t="s">
        <v>75</v>
      </c>
      <c r="E3194" t="s">
        <v>651</v>
      </c>
      <c r="F3194" t="s">
        <v>664</v>
      </c>
      <c r="G3194" s="10">
        <v>50</v>
      </c>
      <c r="H3194" s="10">
        <v>57756</v>
      </c>
      <c r="I3194" s="10">
        <v>2887800</v>
      </c>
      <c r="J3194" t="s">
        <v>42</v>
      </c>
      <c r="K3194" s="11">
        <v>3145.8</v>
      </c>
      <c r="L3194" s="12">
        <v>917.99</v>
      </c>
    </row>
    <row r="3195" spans="1:12" x14ac:dyDescent="0.2">
      <c r="A3195" s="9">
        <v>46252</v>
      </c>
      <c r="B3195" t="s">
        <v>493</v>
      </c>
      <c r="C3195" t="s">
        <v>494</v>
      </c>
      <c r="D3195" t="s">
        <v>46</v>
      </c>
      <c r="E3195" t="s">
        <v>655</v>
      </c>
      <c r="F3195" t="s">
        <v>662</v>
      </c>
      <c r="G3195" s="10">
        <v>6</v>
      </c>
      <c r="H3195" s="10">
        <v>1148</v>
      </c>
      <c r="I3195" s="10">
        <v>6888</v>
      </c>
      <c r="J3195" t="s">
        <v>37</v>
      </c>
      <c r="K3195" s="11">
        <v>648.20000000000005</v>
      </c>
      <c r="L3195" s="12">
        <v>10.63</v>
      </c>
    </row>
    <row r="3196" spans="1:12" x14ac:dyDescent="0.2">
      <c r="A3196" s="9">
        <v>46252</v>
      </c>
      <c r="B3196" t="s">
        <v>496</v>
      </c>
      <c r="C3196" t="s">
        <v>497</v>
      </c>
      <c r="D3196" t="s">
        <v>41</v>
      </c>
      <c r="E3196" t="s">
        <v>660</v>
      </c>
      <c r="F3196" t="s">
        <v>670</v>
      </c>
      <c r="G3196" s="10">
        <v>5</v>
      </c>
      <c r="H3196" s="10">
        <v>72748</v>
      </c>
      <c r="I3196" s="10">
        <v>363740</v>
      </c>
      <c r="J3196" t="s">
        <v>42</v>
      </c>
      <c r="K3196" s="11">
        <v>3145.8</v>
      </c>
      <c r="L3196" s="12">
        <v>115.63</v>
      </c>
    </row>
    <row r="3197" spans="1:12" x14ac:dyDescent="0.2">
      <c r="A3197" s="9">
        <v>46252</v>
      </c>
      <c r="B3197" t="s">
        <v>499</v>
      </c>
      <c r="C3197" t="s">
        <v>500</v>
      </c>
      <c r="D3197" t="s">
        <v>41</v>
      </c>
      <c r="E3197" t="s">
        <v>653</v>
      </c>
      <c r="F3197" t="s">
        <v>658</v>
      </c>
      <c r="G3197" s="10">
        <v>21</v>
      </c>
      <c r="H3197" s="10">
        <v>12833</v>
      </c>
      <c r="I3197" s="10">
        <v>269493</v>
      </c>
      <c r="J3197" t="s">
        <v>42</v>
      </c>
      <c r="K3197" s="11">
        <v>3145.8</v>
      </c>
      <c r="L3197" s="12">
        <v>85.67</v>
      </c>
    </row>
    <row r="3198" spans="1:12" x14ac:dyDescent="0.2">
      <c r="A3198" s="9">
        <v>46252</v>
      </c>
      <c r="B3198" t="s">
        <v>499</v>
      </c>
      <c r="C3198" t="s">
        <v>500</v>
      </c>
      <c r="D3198" t="s">
        <v>41</v>
      </c>
      <c r="E3198" t="s">
        <v>660</v>
      </c>
      <c r="F3198" t="s">
        <v>670</v>
      </c>
      <c r="G3198" s="10">
        <v>15</v>
      </c>
      <c r="H3198" s="10">
        <v>70881</v>
      </c>
      <c r="I3198" s="10">
        <v>1063215</v>
      </c>
      <c r="J3198" t="s">
        <v>42</v>
      </c>
      <c r="K3198" s="11">
        <v>3145.8</v>
      </c>
      <c r="L3198" s="12">
        <v>337.98</v>
      </c>
    </row>
    <row r="3199" spans="1:12" x14ac:dyDescent="0.2">
      <c r="A3199" s="9">
        <v>46252</v>
      </c>
      <c r="B3199" t="s">
        <v>502</v>
      </c>
      <c r="C3199" t="s">
        <v>503</v>
      </c>
      <c r="D3199" t="s">
        <v>41</v>
      </c>
      <c r="E3199" t="s">
        <v>653</v>
      </c>
      <c r="F3199" t="s">
        <v>658</v>
      </c>
      <c r="G3199" s="10">
        <v>5</v>
      </c>
      <c r="H3199" s="10">
        <v>13368</v>
      </c>
      <c r="I3199" s="10">
        <v>66840</v>
      </c>
      <c r="J3199" t="s">
        <v>42</v>
      </c>
      <c r="K3199" s="11">
        <v>3145.8</v>
      </c>
      <c r="L3199" s="12">
        <v>21.25</v>
      </c>
    </row>
    <row r="3200" spans="1:12" x14ac:dyDescent="0.2">
      <c r="A3200" s="9">
        <v>46252</v>
      </c>
      <c r="B3200" t="s">
        <v>511</v>
      </c>
      <c r="C3200" t="s">
        <v>512</v>
      </c>
      <c r="D3200" t="s">
        <v>75</v>
      </c>
      <c r="E3200" t="s">
        <v>660</v>
      </c>
      <c r="F3200" t="s">
        <v>661</v>
      </c>
      <c r="G3200" s="10">
        <v>70</v>
      </c>
      <c r="H3200" s="10">
        <v>20341</v>
      </c>
      <c r="I3200" s="10">
        <v>1423870</v>
      </c>
      <c r="J3200" t="s">
        <v>42</v>
      </c>
      <c r="K3200" s="11">
        <v>3145.8</v>
      </c>
      <c r="L3200" s="12">
        <v>452.63</v>
      </c>
    </row>
    <row r="3201" spans="1:12" x14ac:dyDescent="0.2">
      <c r="A3201" s="9">
        <v>46252</v>
      </c>
      <c r="B3201" t="s">
        <v>511</v>
      </c>
      <c r="C3201" t="s">
        <v>512</v>
      </c>
      <c r="D3201" t="s">
        <v>75</v>
      </c>
      <c r="E3201" t="s">
        <v>647</v>
      </c>
      <c r="F3201" t="s">
        <v>668</v>
      </c>
      <c r="G3201" s="10">
        <v>10</v>
      </c>
      <c r="H3201" s="10">
        <v>122480</v>
      </c>
      <c r="I3201" s="10">
        <v>1224800</v>
      </c>
      <c r="J3201" t="s">
        <v>42</v>
      </c>
      <c r="K3201" s="11">
        <v>3145.8</v>
      </c>
      <c r="L3201" s="12">
        <v>389.34</v>
      </c>
    </row>
    <row r="3202" spans="1:12" x14ac:dyDescent="0.2">
      <c r="A3202" s="9">
        <v>46252</v>
      </c>
      <c r="B3202" t="s">
        <v>511</v>
      </c>
      <c r="C3202" t="s">
        <v>512</v>
      </c>
      <c r="D3202" t="s">
        <v>75</v>
      </c>
      <c r="E3202" t="s">
        <v>655</v>
      </c>
      <c r="F3202" t="s">
        <v>665</v>
      </c>
      <c r="G3202" s="10">
        <v>3</v>
      </c>
      <c r="H3202" s="10">
        <v>3309</v>
      </c>
      <c r="I3202" s="10">
        <v>9927</v>
      </c>
      <c r="J3202" t="s">
        <v>42</v>
      </c>
      <c r="K3202" s="11">
        <v>3145.8</v>
      </c>
      <c r="L3202" s="12">
        <v>3.16</v>
      </c>
    </row>
    <row r="3203" spans="1:12" x14ac:dyDescent="0.2">
      <c r="A3203" s="9">
        <v>46252</v>
      </c>
      <c r="B3203" t="s">
        <v>522</v>
      </c>
      <c r="C3203" t="s">
        <v>523</v>
      </c>
      <c r="D3203" t="s">
        <v>50</v>
      </c>
      <c r="E3203" t="s">
        <v>647</v>
      </c>
      <c r="F3203" t="s">
        <v>667</v>
      </c>
      <c r="G3203" s="10">
        <v>7</v>
      </c>
      <c r="H3203" s="10">
        <v>7154</v>
      </c>
      <c r="I3203" s="10">
        <v>50078</v>
      </c>
      <c r="J3203" t="s">
        <v>51</v>
      </c>
      <c r="K3203" s="11">
        <v>648.20000000000005</v>
      </c>
      <c r="L3203" s="12">
        <v>77.260000000000005</v>
      </c>
    </row>
    <row r="3204" spans="1:12" x14ac:dyDescent="0.2">
      <c r="A3204" s="9">
        <v>46252</v>
      </c>
      <c r="B3204" t="s">
        <v>522</v>
      </c>
      <c r="C3204" t="s">
        <v>523</v>
      </c>
      <c r="D3204" t="s">
        <v>50</v>
      </c>
      <c r="E3204" t="s">
        <v>655</v>
      </c>
      <c r="F3204" t="s">
        <v>656</v>
      </c>
      <c r="G3204" s="10">
        <v>33</v>
      </c>
      <c r="H3204" s="10">
        <v>567</v>
      </c>
      <c r="I3204" s="10">
        <v>18711</v>
      </c>
      <c r="J3204" t="s">
        <v>51</v>
      </c>
      <c r="K3204" s="11">
        <v>648.20000000000005</v>
      </c>
      <c r="L3204" s="12">
        <v>28.87</v>
      </c>
    </row>
    <row r="3205" spans="1:12" x14ac:dyDescent="0.2">
      <c r="A3205" s="9">
        <v>46252</v>
      </c>
      <c r="B3205" t="s">
        <v>525</v>
      </c>
      <c r="C3205" t="s">
        <v>526</v>
      </c>
      <c r="D3205" t="s">
        <v>46</v>
      </c>
      <c r="E3205" t="s">
        <v>649</v>
      </c>
      <c r="F3205" t="s">
        <v>650</v>
      </c>
      <c r="G3205" s="10">
        <v>18</v>
      </c>
      <c r="H3205" s="10">
        <v>18561</v>
      </c>
      <c r="I3205" s="10">
        <v>334098</v>
      </c>
      <c r="J3205" t="s">
        <v>37</v>
      </c>
      <c r="K3205" s="11">
        <v>648.20000000000005</v>
      </c>
      <c r="L3205" s="12">
        <v>515.41999999999996</v>
      </c>
    </row>
    <row r="3206" spans="1:12" x14ac:dyDescent="0.2">
      <c r="A3206" s="9">
        <v>46252</v>
      </c>
      <c r="B3206" t="s">
        <v>528</v>
      </c>
      <c r="C3206" t="s">
        <v>529</v>
      </c>
      <c r="D3206" t="s">
        <v>46</v>
      </c>
      <c r="E3206" t="s">
        <v>651</v>
      </c>
      <c r="F3206" t="s">
        <v>652</v>
      </c>
      <c r="G3206" s="10">
        <v>19</v>
      </c>
      <c r="H3206" s="10">
        <v>9893</v>
      </c>
      <c r="I3206" s="10">
        <v>187967</v>
      </c>
      <c r="J3206" t="s">
        <v>37</v>
      </c>
      <c r="K3206" s="11">
        <v>648.20000000000005</v>
      </c>
      <c r="L3206" s="12">
        <v>289.98</v>
      </c>
    </row>
    <row r="3207" spans="1:12" x14ac:dyDescent="0.2">
      <c r="A3207" s="9">
        <v>46252</v>
      </c>
      <c r="B3207" t="s">
        <v>528</v>
      </c>
      <c r="C3207" t="s">
        <v>529</v>
      </c>
      <c r="D3207" t="s">
        <v>46</v>
      </c>
      <c r="E3207" t="s">
        <v>653</v>
      </c>
      <c r="F3207" t="s">
        <v>654</v>
      </c>
      <c r="G3207" s="10">
        <v>15</v>
      </c>
      <c r="H3207" s="10">
        <v>5676</v>
      </c>
      <c r="I3207" s="10">
        <v>85140</v>
      </c>
      <c r="J3207" t="s">
        <v>37</v>
      </c>
      <c r="K3207" s="11">
        <v>648.20000000000005</v>
      </c>
      <c r="L3207" s="12">
        <v>131.35</v>
      </c>
    </row>
    <row r="3208" spans="1:12" x14ac:dyDescent="0.2">
      <c r="A3208" s="9">
        <v>46252</v>
      </c>
      <c r="B3208" t="s">
        <v>528</v>
      </c>
      <c r="C3208" t="s">
        <v>529</v>
      </c>
      <c r="D3208" t="s">
        <v>46</v>
      </c>
      <c r="E3208" t="s">
        <v>655</v>
      </c>
      <c r="F3208" t="s">
        <v>665</v>
      </c>
      <c r="G3208" s="10">
        <v>32</v>
      </c>
      <c r="H3208" s="10">
        <v>687</v>
      </c>
      <c r="I3208" s="10">
        <v>21984</v>
      </c>
      <c r="J3208" t="s">
        <v>37</v>
      </c>
      <c r="K3208" s="11">
        <v>648.20000000000005</v>
      </c>
      <c r="L3208" s="12">
        <v>33.92</v>
      </c>
    </row>
    <row r="3209" spans="1:12" x14ac:dyDescent="0.2">
      <c r="A3209" s="9">
        <v>46252</v>
      </c>
      <c r="B3209" t="s">
        <v>531</v>
      </c>
      <c r="C3209" t="s">
        <v>532</v>
      </c>
      <c r="D3209" t="s">
        <v>50</v>
      </c>
      <c r="E3209" t="s">
        <v>655</v>
      </c>
      <c r="F3209" t="s">
        <v>662</v>
      </c>
      <c r="G3209" s="10">
        <v>35</v>
      </c>
      <c r="H3209" s="10">
        <v>1148</v>
      </c>
      <c r="I3209" s="10">
        <v>40180</v>
      </c>
      <c r="J3209" t="s">
        <v>51</v>
      </c>
      <c r="K3209" s="11">
        <v>648.20000000000005</v>
      </c>
      <c r="L3209" s="12">
        <v>61.99</v>
      </c>
    </row>
    <row r="3210" spans="1:12" x14ac:dyDescent="0.2">
      <c r="A3210" s="9">
        <v>46252</v>
      </c>
      <c r="B3210" t="s">
        <v>531</v>
      </c>
      <c r="C3210" t="s">
        <v>532</v>
      </c>
      <c r="D3210" t="s">
        <v>50</v>
      </c>
      <c r="E3210" t="s">
        <v>647</v>
      </c>
      <c r="F3210" t="s">
        <v>668</v>
      </c>
      <c r="G3210" s="10">
        <v>81</v>
      </c>
      <c r="H3210" s="10">
        <v>25400</v>
      </c>
      <c r="I3210" s="10">
        <v>2057400</v>
      </c>
      <c r="J3210" t="s">
        <v>51</v>
      </c>
      <c r="K3210" s="11">
        <v>648.20000000000005</v>
      </c>
      <c r="L3210" s="12">
        <v>3174.02</v>
      </c>
    </row>
    <row r="3211" spans="1:12" x14ac:dyDescent="0.2">
      <c r="A3211" s="9">
        <v>46252</v>
      </c>
      <c r="B3211" t="s">
        <v>534</v>
      </c>
      <c r="C3211" t="s">
        <v>535</v>
      </c>
      <c r="D3211" t="s">
        <v>36</v>
      </c>
      <c r="E3211" t="s">
        <v>647</v>
      </c>
      <c r="F3211" t="s">
        <v>648</v>
      </c>
      <c r="G3211" s="10">
        <v>6</v>
      </c>
      <c r="H3211" s="10">
        <v>16053</v>
      </c>
      <c r="I3211" s="10">
        <v>96318</v>
      </c>
      <c r="J3211" t="s">
        <v>37</v>
      </c>
      <c r="K3211" s="11">
        <v>648.20000000000005</v>
      </c>
      <c r="L3211" s="12">
        <v>148.59</v>
      </c>
    </row>
    <row r="3212" spans="1:12" x14ac:dyDescent="0.2">
      <c r="A3212" s="9">
        <v>46252</v>
      </c>
      <c r="B3212" t="s">
        <v>534</v>
      </c>
      <c r="C3212" t="s">
        <v>535</v>
      </c>
      <c r="D3212" t="s">
        <v>36</v>
      </c>
      <c r="E3212" t="s">
        <v>655</v>
      </c>
      <c r="F3212" t="s">
        <v>656</v>
      </c>
      <c r="G3212" s="10">
        <v>2</v>
      </c>
      <c r="H3212" s="10">
        <v>572</v>
      </c>
      <c r="I3212" s="10">
        <v>1144</v>
      </c>
      <c r="J3212" t="s">
        <v>37</v>
      </c>
      <c r="K3212" s="11">
        <v>648.20000000000005</v>
      </c>
      <c r="L3212" s="12">
        <v>1.76</v>
      </c>
    </row>
    <row r="3213" spans="1:12" x14ac:dyDescent="0.2">
      <c r="A3213" s="9">
        <v>46252</v>
      </c>
      <c r="B3213" t="s">
        <v>537</v>
      </c>
      <c r="C3213" t="s">
        <v>538</v>
      </c>
      <c r="D3213" t="s">
        <v>68</v>
      </c>
      <c r="E3213" t="s">
        <v>647</v>
      </c>
      <c r="F3213" t="s">
        <v>648</v>
      </c>
      <c r="G3213" s="10">
        <v>43</v>
      </c>
      <c r="H3213" s="10">
        <v>15757</v>
      </c>
      <c r="I3213" s="10">
        <v>677551</v>
      </c>
      <c r="J3213" t="s">
        <v>51</v>
      </c>
      <c r="K3213" s="11">
        <v>648.20000000000005</v>
      </c>
      <c r="L3213" s="12">
        <v>1045.28</v>
      </c>
    </row>
    <row r="3214" spans="1:12" x14ac:dyDescent="0.2">
      <c r="A3214" s="9">
        <v>46252</v>
      </c>
      <c r="B3214" t="s">
        <v>540</v>
      </c>
      <c r="C3214" t="s">
        <v>541</v>
      </c>
      <c r="D3214" t="s">
        <v>41</v>
      </c>
      <c r="E3214" t="s">
        <v>649</v>
      </c>
      <c r="F3214" t="s">
        <v>650</v>
      </c>
      <c r="G3214" s="10">
        <v>7</v>
      </c>
      <c r="H3214" s="10">
        <v>96720</v>
      </c>
      <c r="I3214" s="10">
        <v>677040</v>
      </c>
      <c r="J3214" t="s">
        <v>42</v>
      </c>
      <c r="K3214" s="11">
        <v>3145.8</v>
      </c>
      <c r="L3214" s="12">
        <v>215.22</v>
      </c>
    </row>
    <row r="3215" spans="1:12" x14ac:dyDescent="0.2">
      <c r="A3215" s="9">
        <v>46252</v>
      </c>
      <c r="B3215" t="s">
        <v>546</v>
      </c>
      <c r="C3215" t="s">
        <v>547</v>
      </c>
      <c r="D3215" t="s">
        <v>41</v>
      </c>
      <c r="E3215" t="s">
        <v>647</v>
      </c>
      <c r="F3215" t="s">
        <v>667</v>
      </c>
      <c r="G3215" s="10">
        <v>71</v>
      </c>
      <c r="H3215" s="10">
        <v>34343</v>
      </c>
      <c r="I3215" s="10">
        <v>2438353</v>
      </c>
      <c r="J3215" t="s">
        <v>42</v>
      </c>
      <c r="K3215" s="11">
        <v>3145.8</v>
      </c>
      <c r="L3215" s="12">
        <v>775.11</v>
      </c>
    </row>
    <row r="3216" spans="1:12" x14ac:dyDescent="0.2">
      <c r="A3216" s="9">
        <v>46252</v>
      </c>
      <c r="B3216" t="s">
        <v>546</v>
      </c>
      <c r="C3216" t="s">
        <v>547</v>
      </c>
      <c r="D3216" t="s">
        <v>41</v>
      </c>
      <c r="E3216" t="s">
        <v>651</v>
      </c>
      <c r="F3216" t="s">
        <v>664</v>
      </c>
      <c r="G3216" s="10">
        <v>6</v>
      </c>
      <c r="H3216" s="10">
        <v>57574</v>
      </c>
      <c r="I3216" s="10">
        <v>345444</v>
      </c>
      <c r="J3216" t="s">
        <v>42</v>
      </c>
      <c r="K3216" s="11">
        <v>3145.8</v>
      </c>
      <c r="L3216" s="12">
        <v>109.81</v>
      </c>
    </row>
    <row r="3217" spans="1:12" x14ac:dyDescent="0.2">
      <c r="A3217" s="9">
        <v>46252</v>
      </c>
      <c r="B3217" t="s">
        <v>549</v>
      </c>
      <c r="C3217" t="s">
        <v>550</v>
      </c>
      <c r="D3217" t="s">
        <v>41</v>
      </c>
      <c r="E3217" t="s">
        <v>660</v>
      </c>
      <c r="F3217" t="s">
        <v>661</v>
      </c>
      <c r="G3217" s="10">
        <v>8</v>
      </c>
      <c r="H3217" s="10">
        <v>20949</v>
      </c>
      <c r="I3217" s="10">
        <v>167592</v>
      </c>
      <c r="J3217" t="s">
        <v>42</v>
      </c>
      <c r="K3217" s="11">
        <v>3145.8</v>
      </c>
      <c r="L3217" s="12">
        <v>53.27</v>
      </c>
    </row>
    <row r="3218" spans="1:12" x14ac:dyDescent="0.2">
      <c r="A3218" s="9">
        <v>46252</v>
      </c>
      <c r="B3218" t="s">
        <v>549</v>
      </c>
      <c r="C3218" t="s">
        <v>550</v>
      </c>
      <c r="D3218" t="s">
        <v>41</v>
      </c>
      <c r="E3218" t="s">
        <v>660</v>
      </c>
      <c r="F3218" t="s">
        <v>661</v>
      </c>
      <c r="G3218" s="10">
        <v>21</v>
      </c>
      <c r="H3218" s="10">
        <v>20044</v>
      </c>
      <c r="I3218" s="10">
        <v>420924</v>
      </c>
      <c r="J3218" t="s">
        <v>42</v>
      </c>
      <c r="K3218" s="11">
        <v>3145.8</v>
      </c>
      <c r="L3218" s="12">
        <v>133.81</v>
      </c>
    </row>
    <row r="3219" spans="1:12" x14ac:dyDescent="0.2">
      <c r="A3219" s="9">
        <v>46252</v>
      </c>
      <c r="B3219" t="s">
        <v>555</v>
      </c>
      <c r="C3219" t="s">
        <v>556</v>
      </c>
      <c r="D3219" t="s">
        <v>41</v>
      </c>
      <c r="E3219" t="s">
        <v>649</v>
      </c>
      <c r="F3219" t="s">
        <v>663</v>
      </c>
      <c r="G3219" s="10">
        <v>9</v>
      </c>
      <c r="H3219" s="10">
        <v>10015</v>
      </c>
      <c r="I3219" s="10">
        <v>90135</v>
      </c>
      <c r="J3219" t="s">
        <v>42</v>
      </c>
      <c r="K3219" s="11">
        <v>3145.8</v>
      </c>
      <c r="L3219" s="12">
        <v>28.65</v>
      </c>
    </row>
    <row r="3220" spans="1:12" x14ac:dyDescent="0.2">
      <c r="A3220" s="9">
        <v>46252</v>
      </c>
      <c r="B3220" t="s">
        <v>558</v>
      </c>
      <c r="C3220" t="s">
        <v>559</v>
      </c>
      <c r="D3220" t="s">
        <v>75</v>
      </c>
      <c r="E3220" t="s">
        <v>649</v>
      </c>
      <c r="F3220" t="s">
        <v>663</v>
      </c>
      <c r="G3220" s="10">
        <v>2</v>
      </c>
      <c r="H3220" s="10">
        <v>10154</v>
      </c>
      <c r="I3220" s="10">
        <v>20308</v>
      </c>
      <c r="J3220" t="s">
        <v>42</v>
      </c>
      <c r="K3220" s="11">
        <v>3145.8</v>
      </c>
      <c r="L3220" s="12">
        <v>6.46</v>
      </c>
    </row>
    <row r="3221" spans="1:12" x14ac:dyDescent="0.2">
      <c r="A3221" s="9">
        <v>46252</v>
      </c>
      <c r="B3221" t="s">
        <v>561</v>
      </c>
      <c r="C3221" t="s">
        <v>562</v>
      </c>
      <c r="D3221" t="s">
        <v>46</v>
      </c>
      <c r="E3221" t="s">
        <v>660</v>
      </c>
      <c r="F3221" t="s">
        <v>669</v>
      </c>
      <c r="G3221" s="10">
        <v>11</v>
      </c>
      <c r="H3221" s="10">
        <v>2499</v>
      </c>
      <c r="I3221" s="10">
        <v>27489</v>
      </c>
      <c r="J3221" t="s">
        <v>37</v>
      </c>
      <c r="K3221" s="11">
        <v>648.20000000000005</v>
      </c>
      <c r="L3221" s="12">
        <v>42.41</v>
      </c>
    </row>
    <row r="3222" spans="1:12" x14ac:dyDescent="0.2">
      <c r="A3222" s="9">
        <v>46252</v>
      </c>
      <c r="B3222" t="s">
        <v>561</v>
      </c>
      <c r="C3222" t="s">
        <v>562</v>
      </c>
      <c r="D3222" t="s">
        <v>46</v>
      </c>
      <c r="E3222" t="s">
        <v>660</v>
      </c>
      <c r="F3222" t="s">
        <v>670</v>
      </c>
      <c r="G3222" s="10">
        <v>22</v>
      </c>
      <c r="H3222" s="10">
        <v>14421</v>
      </c>
      <c r="I3222" s="10">
        <v>317262</v>
      </c>
      <c r="J3222" t="s">
        <v>37</v>
      </c>
      <c r="K3222" s="11">
        <v>648.20000000000005</v>
      </c>
      <c r="L3222" s="12">
        <v>489.45</v>
      </c>
    </row>
    <row r="3223" spans="1:12" x14ac:dyDescent="0.2">
      <c r="A3223" s="9">
        <v>46252</v>
      </c>
      <c r="B3223" t="s">
        <v>561</v>
      </c>
      <c r="C3223" t="s">
        <v>562</v>
      </c>
      <c r="D3223" t="s">
        <v>46</v>
      </c>
      <c r="E3223" t="s">
        <v>647</v>
      </c>
      <c r="F3223" t="s">
        <v>667</v>
      </c>
      <c r="G3223" s="10">
        <v>29</v>
      </c>
      <c r="H3223" s="10">
        <v>7465</v>
      </c>
      <c r="I3223" s="10">
        <v>216485</v>
      </c>
      <c r="J3223" t="s">
        <v>37</v>
      </c>
      <c r="K3223" s="11">
        <v>648.20000000000005</v>
      </c>
      <c r="L3223" s="12">
        <v>333.98</v>
      </c>
    </row>
    <row r="3224" spans="1:12" x14ac:dyDescent="0.2">
      <c r="A3224" s="9">
        <v>46252</v>
      </c>
      <c r="B3224" t="s">
        <v>564</v>
      </c>
      <c r="C3224" t="s">
        <v>565</v>
      </c>
      <c r="D3224" t="s">
        <v>41</v>
      </c>
      <c r="E3224" t="s">
        <v>655</v>
      </c>
      <c r="F3224" t="s">
        <v>656</v>
      </c>
      <c r="G3224" s="10">
        <v>31</v>
      </c>
      <c r="H3224" s="10">
        <v>2792</v>
      </c>
      <c r="I3224" s="10">
        <v>86552</v>
      </c>
      <c r="J3224" t="s">
        <v>42</v>
      </c>
      <c r="K3224" s="11">
        <v>3145.8</v>
      </c>
      <c r="L3224" s="12">
        <v>27.51</v>
      </c>
    </row>
    <row r="3225" spans="1:12" x14ac:dyDescent="0.2">
      <c r="A3225" s="9">
        <v>46252</v>
      </c>
      <c r="B3225" t="s">
        <v>567</v>
      </c>
      <c r="C3225" t="s">
        <v>568</v>
      </c>
      <c r="D3225" t="s">
        <v>41</v>
      </c>
      <c r="E3225" t="s">
        <v>653</v>
      </c>
      <c r="F3225" t="s">
        <v>658</v>
      </c>
      <c r="G3225" s="10">
        <v>21</v>
      </c>
      <c r="H3225" s="10">
        <v>13350</v>
      </c>
      <c r="I3225" s="10">
        <v>280350</v>
      </c>
      <c r="J3225" t="s">
        <v>42</v>
      </c>
      <c r="K3225" s="11">
        <v>3145.8</v>
      </c>
      <c r="L3225" s="12">
        <v>89.12</v>
      </c>
    </row>
    <row r="3226" spans="1:12" x14ac:dyDescent="0.2">
      <c r="A3226" s="9">
        <v>46252</v>
      </c>
      <c r="B3226" t="s">
        <v>567</v>
      </c>
      <c r="C3226" t="s">
        <v>568</v>
      </c>
      <c r="D3226" t="s">
        <v>41</v>
      </c>
      <c r="E3226" t="s">
        <v>660</v>
      </c>
      <c r="F3226" t="s">
        <v>670</v>
      </c>
      <c r="G3226" s="10">
        <v>35</v>
      </c>
      <c r="H3226" s="10">
        <v>69905</v>
      </c>
      <c r="I3226" s="10">
        <v>2446675</v>
      </c>
      <c r="J3226" t="s">
        <v>42</v>
      </c>
      <c r="K3226" s="11">
        <v>3145.8</v>
      </c>
      <c r="L3226" s="12">
        <v>777.76</v>
      </c>
    </row>
    <row r="3227" spans="1:12" x14ac:dyDescent="0.2">
      <c r="A3227" s="9">
        <v>46252</v>
      </c>
      <c r="B3227" t="s">
        <v>570</v>
      </c>
      <c r="C3227" t="s">
        <v>571</v>
      </c>
      <c r="D3227" t="s">
        <v>68</v>
      </c>
      <c r="E3227" t="s">
        <v>647</v>
      </c>
      <c r="F3227" t="s">
        <v>648</v>
      </c>
      <c r="G3227" s="10">
        <v>4</v>
      </c>
      <c r="H3227" s="10">
        <v>16282</v>
      </c>
      <c r="I3227" s="10">
        <v>65128</v>
      </c>
      <c r="J3227" t="s">
        <v>51</v>
      </c>
      <c r="K3227" s="11">
        <v>648.20000000000005</v>
      </c>
      <c r="L3227" s="12">
        <v>100.48</v>
      </c>
    </row>
    <row r="3228" spans="1:12" x14ac:dyDescent="0.2">
      <c r="A3228" s="9">
        <v>46252</v>
      </c>
      <c r="B3228" t="s">
        <v>573</v>
      </c>
      <c r="C3228" t="s">
        <v>574</v>
      </c>
      <c r="D3228" t="s">
        <v>41</v>
      </c>
      <c r="E3228" t="s">
        <v>647</v>
      </c>
      <c r="F3228" t="s">
        <v>668</v>
      </c>
      <c r="G3228" s="10">
        <v>1</v>
      </c>
      <c r="H3228" s="10">
        <v>117485</v>
      </c>
      <c r="I3228" s="10">
        <v>117485</v>
      </c>
      <c r="J3228" t="s">
        <v>42</v>
      </c>
      <c r="K3228" s="11">
        <v>3145.8</v>
      </c>
      <c r="L3228" s="12">
        <v>37.35</v>
      </c>
    </row>
    <row r="3229" spans="1:12" x14ac:dyDescent="0.2">
      <c r="A3229" s="9">
        <v>46252</v>
      </c>
      <c r="B3229" t="s">
        <v>582</v>
      </c>
      <c r="C3229" t="s">
        <v>583</v>
      </c>
      <c r="D3229" t="s">
        <v>36</v>
      </c>
      <c r="E3229" t="s">
        <v>655</v>
      </c>
      <c r="F3229" t="s">
        <v>662</v>
      </c>
      <c r="G3229" s="10">
        <v>8</v>
      </c>
      <c r="H3229" s="10">
        <v>1112</v>
      </c>
      <c r="I3229" s="10">
        <v>8896</v>
      </c>
      <c r="J3229" t="s">
        <v>37</v>
      </c>
      <c r="K3229" s="11">
        <v>648.20000000000005</v>
      </c>
      <c r="L3229" s="12">
        <v>13.72</v>
      </c>
    </row>
    <row r="3230" spans="1:12" x14ac:dyDescent="0.2">
      <c r="A3230" s="9">
        <v>46252</v>
      </c>
      <c r="B3230" t="s">
        <v>582</v>
      </c>
      <c r="C3230" t="s">
        <v>583</v>
      </c>
      <c r="D3230" t="s">
        <v>36</v>
      </c>
      <c r="E3230" t="s">
        <v>653</v>
      </c>
      <c r="F3230" t="s">
        <v>654</v>
      </c>
      <c r="G3230" s="10">
        <v>4</v>
      </c>
      <c r="H3230" s="10">
        <v>5658</v>
      </c>
      <c r="I3230" s="10">
        <v>22632</v>
      </c>
      <c r="J3230" t="s">
        <v>37</v>
      </c>
      <c r="K3230" s="11">
        <v>648.20000000000005</v>
      </c>
      <c r="L3230" s="12">
        <v>34.92</v>
      </c>
    </row>
    <row r="3231" spans="1:12" x14ac:dyDescent="0.2">
      <c r="A3231" s="9">
        <v>46252</v>
      </c>
      <c r="B3231" t="s">
        <v>596</v>
      </c>
      <c r="C3231" t="s">
        <v>597</v>
      </c>
      <c r="D3231" t="s">
        <v>50</v>
      </c>
      <c r="E3231" t="s">
        <v>660</v>
      </c>
      <c r="F3231" t="s">
        <v>670</v>
      </c>
      <c r="G3231" s="10">
        <v>11</v>
      </c>
      <c r="H3231" s="10">
        <v>14056</v>
      </c>
      <c r="I3231" s="10">
        <v>154616</v>
      </c>
      <c r="J3231" t="s">
        <v>51</v>
      </c>
      <c r="K3231" s="11">
        <v>648.20000000000005</v>
      </c>
      <c r="L3231" s="12">
        <v>238.53</v>
      </c>
    </row>
    <row r="3232" spans="1:12" x14ac:dyDescent="0.2">
      <c r="A3232" s="9">
        <v>46252</v>
      </c>
      <c r="B3232" t="s">
        <v>599</v>
      </c>
      <c r="C3232" t="s">
        <v>600</v>
      </c>
      <c r="D3232" t="s">
        <v>75</v>
      </c>
      <c r="E3232" t="s">
        <v>660</v>
      </c>
      <c r="F3232" t="s">
        <v>669</v>
      </c>
      <c r="G3232" s="10">
        <v>65</v>
      </c>
      <c r="H3232" s="10">
        <v>12328</v>
      </c>
      <c r="I3232" s="10">
        <v>801320</v>
      </c>
      <c r="J3232" t="s">
        <v>42</v>
      </c>
      <c r="K3232" s="11">
        <v>3145.8</v>
      </c>
      <c r="L3232" s="12">
        <v>254.73</v>
      </c>
    </row>
    <row r="3233" spans="1:12" x14ac:dyDescent="0.2">
      <c r="A3233" s="9">
        <v>46252</v>
      </c>
      <c r="B3233" t="s">
        <v>605</v>
      </c>
      <c r="C3233" t="s">
        <v>606</v>
      </c>
      <c r="D3233" t="s">
        <v>68</v>
      </c>
      <c r="E3233" t="s">
        <v>649</v>
      </c>
      <c r="F3233" t="s">
        <v>663</v>
      </c>
      <c r="G3233" s="10">
        <v>87</v>
      </c>
      <c r="H3233" s="10">
        <v>1991</v>
      </c>
      <c r="I3233" s="10">
        <v>173217</v>
      </c>
      <c r="J3233" t="s">
        <v>51</v>
      </c>
      <c r="K3233" s="11">
        <v>648.20000000000005</v>
      </c>
      <c r="L3233" s="12">
        <v>267.23</v>
      </c>
    </row>
    <row r="3234" spans="1:12" x14ac:dyDescent="0.2">
      <c r="A3234" s="9">
        <v>46252</v>
      </c>
      <c r="B3234" t="s">
        <v>605</v>
      </c>
      <c r="C3234" t="s">
        <v>606</v>
      </c>
      <c r="D3234" t="s">
        <v>68</v>
      </c>
      <c r="E3234" t="s">
        <v>649</v>
      </c>
      <c r="F3234" t="s">
        <v>663</v>
      </c>
      <c r="G3234" s="10">
        <v>16</v>
      </c>
      <c r="H3234" s="10">
        <v>2048</v>
      </c>
      <c r="I3234" s="10">
        <v>32768</v>
      </c>
      <c r="J3234" t="s">
        <v>51</v>
      </c>
      <c r="K3234" s="11">
        <v>648.20000000000005</v>
      </c>
      <c r="L3234" s="12">
        <v>50.55</v>
      </c>
    </row>
    <row r="3235" spans="1:12" x14ac:dyDescent="0.2">
      <c r="A3235" s="9">
        <v>46252</v>
      </c>
      <c r="B3235" t="s">
        <v>605</v>
      </c>
      <c r="C3235" t="s">
        <v>606</v>
      </c>
      <c r="D3235" t="s">
        <v>68</v>
      </c>
      <c r="E3235" t="s">
        <v>647</v>
      </c>
      <c r="F3235" t="s">
        <v>668</v>
      </c>
      <c r="G3235" s="10">
        <v>6</v>
      </c>
      <c r="H3235" s="10">
        <v>25174</v>
      </c>
      <c r="I3235" s="10">
        <v>151044</v>
      </c>
      <c r="J3235" t="s">
        <v>51</v>
      </c>
      <c r="K3235" s="11">
        <v>648.20000000000005</v>
      </c>
      <c r="L3235" s="12">
        <v>233.02</v>
      </c>
    </row>
    <row r="3236" spans="1:12" x14ac:dyDescent="0.2">
      <c r="A3236" s="9">
        <v>46252</v>
      </c>
      <c r="B3236" t="s">
        <v>623</v>
      </c>
      <c r="C3236" t="s">
        <v>624</v>
      </c>
      <c r="D3236" t="s">
        <v>68</v>
      </c>
      <c r="E3236" t="s">
        <v>647</v>
      </c>
      <c r="F3236" t="s">
        <v>648</v>
      </c>
      <c r="G3236" s="10">
        <v>45</v>
      </c>
      <c r="H3236" s="10">
        <v>16798</v>
      </c>
      <c r="I3236" s="10">
        <v>755910</v>
      </c>
      <c r="J3236" t="s">
        <v>51</v>
      </c>
      <c r="K3236" s="11">
        <v>648.20000000000005</v>
      </c>
      <c r="L3236" s="12">
        <v>1166.17</v>
      </c>
    </row>
    <row r="3237" spans="1:12" x14ac:dyDescent="0.2">
      <c r="A3237" s="9">
        <v>46252</v>
      </c>
      <c r="B3237" t="s">
        <v>629</v>
      </c>
      <c r="C3237" t="s">
        <v>630</v>
      </c>
      <c r="D3237" t="s">
        <v>46</v>
      </c>
      <c r="E3237" t="s">
        <v>653</v>
      </c>
      <c r="F3237" t="s">
        <v>666</v>
      </c>
      <c r="G3237" s="10">
        <v>4</v>
      </c>
      <c r="H3237" s="10">
        <v>1541</v>
      </c>
      <c r="I3237" s="10">
        <v>6164</v>
      </c>
      <c r="J3237" t="s">
        <v>37</v>
      </c>
      <c r="K3237" s="11">
        <v>648.20000000000005</v>
      </c>
      <c r="L3237" s="12">
        <v>9.51</v>
      </c>
    </row>
    <row r="3238" spans="1:12" x14ac:dyDescent="0.2">
      <c r="A3238" s="9">
        <v>46252</v>
      </c>
      <c r="B3238" t="s">
        <v>635</v>
      </c>
      <c r="C3238" t="s">
        <v>636</v>
      </c>
      <c r="D3238" t="s">
        <v>41</v>
      </c>
      <c r="E3238" t="s">
        <v>655</v>
      </c>
      <c r="F3238" t="s">
        <v>665</v>
      </c>
      <c r="G3238" s="10">
        <v>20</v>
      </c>
      <c r="H3238" s="10">
        <v>3393</v>
      </c>
      <c r="I3238" s="10">
        <v>67860</v>
      </c>
      <c r="J3238" t="s">
        <v>42</v>
      </c>
      <c r="K3238" s="11">
        <v>3145.8</v>
      </c>
      <c r="L3238" s="12">
        <v>21.57</v>
      </c>
    </row>
    <row r="3239" spans="1:12" x14ac:dyDescent="0.2">
      <c r="A3239" s="9">
        <v>46253</v>
      </c>
      <c r="B3239" t="s">
        <v>34</v>
      </c>
      <c r="C3239" t="s">
        <v>35</v>
      </c>
      <c r="D3239" t="s">
        <v>36</v>
      </c>
      <c r="E3239" t="s">
        <v>653</v>
      </c>
      <c r="F3239" t="s">
        <v>658</v>
      </c>
      <c r="G3239" s="10">
        <v>63</v>
      </c>
      <c r="H3239" s="10">
        <v>2805</v>
      </c>
      <c r="I3239" s="10">
        <v>176715</v>
      </c>
      <c r="J3239" t="s">
        <v>37</v>
      </c>
      <c r="K3239" s="11">
        <v>648.20000000000005</v>
      </c>
      <c r="L3239" s="12">
        <v>272.62</v>
      </c>
    </row>
    <row r="3240" spans="1:12" x14ac:dyDescent="0.2">
      <c r="A3240" s="9">
        <v>46253</v>
      </c>
      <c r="B3240" t="s">
        <v>44</v>
      </c>
      <c r="C3240" t="s">
        <v>45</v>
      </c>
      <c r="D3240" t="s">
        <v>46</v>
      </c>
      <c r="E3240" t="s">
        <v>649</v>
      </c>
      <c r="F3240" t="s">
        <v>663</v>
      </c>
      <c r="G3240" s="10">
        <v>16</v>
      </c>
      <c r="H3240" s="10">
        <v>2084</v>
      </c>
      <c r="I3240" s="10">
        <v>33344</v>
      </c>
      <c r="J3240" t="s">
        <v>37</v>
      </c>
      <c r="K3240" s="11">
        <v>648.20000000000005</v>
      </c>
      <c r="L3240" s="12">
        <v>51.44</v>
      </c>
    </row>
    <row r="3241" spans="1:12" x14ac:dyDescent="0.2">
      <c r="A3241" s="9">
        <v>46253</v>
      </c>
      <c r="B3241" t="s">
        <v>48</v>
      </c>
      <c r="C3241" t="s">
        <v>49</v>
      </c>
      <c r="D3241" t="s">
        <v>50</v>
      </c>
      <c r="E3241" t="s">
        <v>649</v>
      </c>
      <c r="F3241" t="s">
        <v>650</v>
      </c>
      <c r="G3241" s="10">
        <v>12</v>
      </c>
      <c r="H3241" s="10">
        <v>19146</v>
      </c>
      <c r="I3241" s="10">
        <v>229752</v>
      </c>
      <c r="J3241" t="s">
        <v>51</v>
      </c>
      <c r="K3241" s="11">
        <v>648.20000000000005</v>
      </c>
      <c r="L3241" s="12">
        <v>354.45</v>
      </c>
    </row>
    <row r="3242" spans="1:12" x14ac:dyDescent="0.2">
      <c r="A3242" s="9">
        <v>46253</v>
      </c>
      <c r="B3242" t="s">
        <v>56</v>
      </c>
      <c r="C3242" t="s">
        <v>57</v>
      </c>
      <c r="D3242" t="s">
        <v>46</v>
      </c>
      <c r="E3242" t="s">
        <v>653</v>
      </c>
      <c r="F3242" t="s">
        <v>666</v>
      </c>
      <c r="G3242" s="10">
        <v>4</v>
      </c>
      <c r="H3242" s="10">
        <v>1508</v>
      </c>
      <c r="I3242" s="10">
        <v>6032</v>
      </c>
      <c r="J3242" t="s">
        <v>37</v>
      </c>
      <c r="K3242" s="11">
        <v>648.20000000000005</v>
      </c>
      <c r="L3242" s="12">
        <v>9.31</v>
      </c>
    </row>
    <row r="3243" spans="1:12" x14ac:dyDescent="0.2">
      <c r="A3243" s="9">
        <v>46253</v>
      </c>
      <c r="B3243" t="s">
        <v>56</v>
      </c>
      <c r="C3243" t="s">
        <v>57</v>
      </c>
      <c r="D3243" t="s">
        <v>46</v>
      </c>
      <c r="E3243" t="s">
        <v>660</v>
      </c>
      <c r="F3243" t="s">
        <v>669</v>
      </c>
      <c r="G3243" s="10">
        <v>16</v>
      </c>
      <c r="H3243" s="10">
        <v>2588</v>
      </c>
      <c r="I3243" s="10">
        <v>41408</v>
      </c>
      <c r="J3243" t="s">
        <v>37</v>
      </c>
      <c r="K3243" s="11">
        <v>648.20000000000005</v>
      </c>
      <c r="L3243" s="12">
        <v>63.88</v>
      </c>
    </row>
    <row r="3244" spans="1:12" x14ac:dyDescent="0.2">
      <c r="A3244" s="9">
        <v>46253</v>
      </c>
      <c r="B3244" t="s">
        <v>56</v>
      </c>
      <c r="C3244" t="s">
        <v>57</v>
      </c>
      <c r="D3244" t="s">
        <v>46</v>
      </c>
      <c r="E3244" t="s">
        <v>651</v>
      </c>
      <c r="F3244" t="s">
        <v>657</v>
      </c>
      <c r="G3244" s="10">
        <v>6</v>
      </c>
      <c r="H3244" s="10">
        <v>6462</v>
      </c>
      <c r="I3244" s="10">
        <v>38772</v>
      </c>
      <c r="J3244" t="s">
        <v>37</v>
      </c>
      <c r="K3244" s="11">
        <v>648.20000000000005</v>
      </c>
      <c r="L3244" s="12">
        <v>59.81</v>
      </c>
    </row>
    <row r="3245" spans="1:12" x14ac:dyDescent="0.2">
      <c r="A3245" s="9">
        <v>46253</v>
      </c>
      <c r="B3245" t="s">
        <v>60</v>
      </c>
      <c r="C3245" t="s">
        <v>61</v>
      </c>
      <c r="D3245" t="s">
        <v>41</v>
      </c>
      <c r="E3245" t="s">
        <v>647</v>
      </c>
      <c r="F3245" t="s">
        <v>667</v>
      </c>
      <c r="G3245" s="10">
        <v>5</v>
      </c>
      <c r="H3245" s="10">
        <v>35639</v>
      </c>
      <c r="I3245" s="10">
        <v>178195</v>
      </c>
      <c r="J3245" t="s">
        <v>42</v>
      </c>
      <c r="K3245" s="11">
        <v>3145.8</v>
      </c>
      <c r="L3245" s="12">
        <v>56.65</v>
      </c>
    </row>
    <row r="3246" spans="1:12" x14ac:dyDescent="0.2">
      <c r="A3246" s="9">
        <v>46253</v>
      </c>
      <c r="B3246" t="s">
        <v>66</v>
      </c>
      <c r="C3246" t="s">
        <v>67</v>
      </c>
      <c r="D3246" t="s">
        <v>68</v>
      </c>
      <c r="E3246" t="s">
        <v>647</v>
      </c>
      <c r="F3246" t="s">
        <v>668</v>
      </c>
      <c r="G3246" s="10">
        <v>30</v>
      </c>
      <c r="H3246" s="10">
        <v>25914</v>
      </c>
      <c r="I3246" s="10">
        <v>777420</v>
      </c>
      <c r="J3246" t="s">
        <v>51</v>
      </c>
      <c r="K3246" s="11">
        <v>648.20000000000005</v>
      </c>
      <c r="L3246" s="12">
        <v>1199.3499999999999</v>
      </c>
    </row>
    <row r="3247" spans="1:12" x14ac:dyDescent="0.2">
      <c r="A3247" s="9">
        <v>46253</v>
      </c>
      <c r="B3247" t="s">
        <v>70</v>
      </c>
      <c r="C3247" t="s">
        <v>71</v>
      </c>
      <c r="D3247" t="s">
        <v>46</v>
      </c>
      <c r="E3247" t="s">
        <v>649</v>
      </c>
      <c r="F3247" t="s">
        <v>650</v>
      </c>
      <c r="G3247" s="10">
        <v>3</v>
      </c>
      <c r="H3247" s="10">
        <v>19606</v>
      </c>
      <c r="I3247" s="10">
        <v>58818</v>
      </c>
      <c r="J3247" t="s">
        <v>37</v>
      </c>
      <c r="K3247" s="11">
        <v>648.20000000000005</v>
      </c>
      <c r="L3247" s="12">
        <v>90.74</v>
      </c>
    </row>
    <row r="3248" spans="1:12" x14ac:dyDescent="0.2">
      <c r="A3248" s="9">
        <v>46253</v>
      </c>
      <c r="B3248" t="s">
        <v>73</v>
      </c>
      <c r="C3248" t="s">
        <v>74</v>
      </c>
      <c r="D3248" t="s">
        <v>75</v>
      </c>
      <c r="E3248" t="s">
        <v>649</v>
      </c>
      <c r="F3248" t="s">
        <v>663</v>
      </c>
      <c r="G3248" s="10">
        <v>14</v>
      </c>
      <c r="H3248" s="10">
        <v>9561</v>
      </c>
      <c r="I3248" s="10">
        <v>133854</v>
      </c>
      <c r="J3248" t="s">
        <v>42</v>
      </c>
      <c r="K3248" s="11">
        <v>3145.8</v>
      </c>
      <c r="L3248" s="12">
        <v>42.55</v>
      </c>
    </row>
    <row r="3249" spans="1:12" x14ac:dyDescent="0.2">
      <c r="A3249" s="9">
        <v>46253</v>
      </c>
      <c r="B3249" t="s">
        <v>73</v>
      </c>
      <c r="C3249" t="s">
        <v>74</v>
      </c>
      <c r="D3249" t="s">
        <v>75</v>
      </c>
      <c r="E3249" t="s">
        <v>655</v>
      </c>
      <c r="F3249" t="s">
        <v>662</v>
      </c>
      <c r="G3249" s="10">
        <v>87</v>
      </c>
      <c r="H3249" s="10">
        <v>5320</v>
      </c>
      <c r="I3249" s="10">
        <v>462840</v>
      </c>
      <c r="J3249" t="s">
        <v>42</v>
      </c>
      <c r="K3249" s="11">
        <v>3145.8</v>
      </c>
      <c r="L3249" s="12">
        <v>147.13</v>
      </c>
    </row>
    <row r="3250" spans="1:12" x14ac:dyDescent="0.2">
      <c r="A3250" s="9">
        <v>46253</v>
      </c>
      <c r="B3250" t="s">
        <v>77</v>
      </c>
      <c r="C3250" t="s">
        <v>78</v>
      </c>
      <c r="D3250" t="s">
        <v>50</v>
      </c>
      <c r="E3250" t="s">
        <v>649</v>
      </c>
      <c r="F3250" t="s">
        <v>650</v>
      </c>
      <c r="G3250" s="10">
        <v>19</v>
      </c>
      <c r="H3250" s="10">
        <v>18798</v>
      </c>
      <c r="I3250" s="10">
        <v>357162</v>
      </c>
      <c r="J3250" t="s">
        <v>51</v>
      </c>
      <c r="K3250" s="11">
        <v>648.20000000000005</v>
      </c>
      <c r="L3250" s="12">
        <v>551.01</v>
      </c>
    </row>
    <row r="3251" spans="1:12" x14ac:dyDescent="0.2">
      <c r="A3251" s="9">
        <v>46253</v>
      </c>
      <c r="B3251" t="s">
        <v>80</v>
      </c>
      <c r="C3251" t="s">
        <v>81</v>
      </c>
      <c r="D3251" t="s">
        <v>46</v>
      </c>
      <c r="E3251" t="s">
        <v>651</v>
      </c>
      <c r="F3251" t="s">
        <v>652</v>
      </c>
      <c r="G3251" s="10">
        <v>7</v>
      </c>
      <c r="H3251" s="10">
        <v>9450</v>
      </c>
      <c r="I3251" s="10">
        <v>66150</v>
      </c>
      <c r="J3251" t="s">
        <v>37</v>
      </c>
      <c r="K3251" s="11">
        <v>648.20000000000005</v>
      </c>
      <c r="L3251" s="12">
        <v>102.05</v>
      </c>
    </row>
    <row r="3252" spans="1:12" x14ac:dyDescent="0.2">
      <c r="A3252" s="9">
        <v>46253</v>
      </c>
      <c r="B3252" t="s">
        <v>83</v>
      </c>
      <c r="C3252" t="s">
        <v>84</v>
      </c>
      <c r="D3252" t="s">
        <v>41</v>
      </c>
      <c r="E3252" t="s">
        <v>647</v>
      </c>
      <c r="F3252" t="s">
        <v>667</v>
      </c>
      <c r="G3252" s="10">
        <v>25</v>
      </c>
      <c r="H3252" s="10">
        <v>36849</v>
      </c>
      <c r="I3252" s="10">
        <v>921225</v>
      </c>
      <c r="J3252" t="s">
        <v>42</v>
      </c>
      <c r="K3252" s="11">
        <v>3145.8</v>
      </c>
      <c r="L3252" s="12">
        <v>292.83999999999997</v>
      </c>
    </row>
    <row r="3253" spans="1:12" x14ac:dyDescent="0.2">
      <c r="A3253" s="9">
        <v>46253</v>
      </c>
      <c r="B3253" t="s">
        <v>86</v>
      </c>
      <c r="C3253" t="s">
        <v>87</v>
      </c>
      <c r="D3253" t="s">
        <v>50</v>
      </c>
      <c r="E3253" t="s">
        <v>653</v>
      </c>
      <c r="F3253" t="s">
        <v>666</v>
      </c>
      <c r="G3253" s="10">
        <v>3</v>
      </c>
      <c r="H3253" s="10">
        <v>1457</v>
      </c>
      <c r="I3253" s="10">
        <v>4371</v>
      </c>
      <c r="J3253" t="s">
        <v>51</v>
      </c>
      <c r="K3253" s="11">
        <v>648.20000000000005</v>
      </c>
      <c r="L3253" s="12">
        <v>6.74</v>
      </c>
    </row>
    <row r="3254" spans="1:12" x14ac:dyDescent="0.2">
      <c r="A3254" s="9">
        <v>46253</v>
      </c>
      <c r="B3254" t="s">
        <v>86</v>
      </c>
      <c r="C3254" t="s">
        <v>87</v>
      </c>
      <c r="D3254" t="s">
        <v>50</v>
      </c>
      <c r="E3254" t="s">
        <v>653</v>
      </c>
      <c r="F3254" t="s">
        <v>654</v>
      </c>
      <c r="G3254" s="10">
        <v>13</v>
      </c>
      <c r="H3254" s="10">
        <v>5800</v>
      </c>
      <c r="I3254" s="10">
        <v>75400</v>
      </c>
      <c r="J3254" t="s">
        <v>51</v>
      </c>
      <c r="K3254" s="11">
        <v>648.20000000000005</v>
      </c>
      <c r="L3254" s="12">
        <v>116.32</v>
      </c>
    </row>
    <row r="3255" spans="1:12" x14ac:dyDescent="0.2">
      <c r="A3255" s="9">
        <v>46253</v>
      </c>
      <c r="B3255" t="s">
        <v>86</v>
      </c>
      <c r="C3255" t="s">
        <v>87</v>
      </c>
      <c r="D3255" t="s">
        <v>50</v>
      </c>
      <c r="E3255" t="s">
        <v>651</v>
      </c>
      <c r="F3255" t="s">
        <v>657</v>
      </c>
      <c r="G3255" s="10">
        <v>5</v>
      </c>
      <c r="H3255" s="10">
        <v>6530</v>
      </c>
      <c r="I3255" s="10">
        <v>32650</v>
      </c>
      <c r="J3255" t="s">
        <v>51</v>
      </c>
      <c r="K3255" s="11">
        <v>648.20000000000005</v>
      </c>
      <c r="L3255" s="12">
        <v>50.37</v>
      </c>
    </row>
    <row r="3256" spans="1:12" x14ac:dyDescent="0.2">
      <c r="A3256" s="9">
        <v>46253</v>
      </c>
      <c r="B3256" t="s">
        <v>89</v>
      </c>
      <c r="C3256" t="s">
        <v>90</v>
      </c>
      <c r="D3256" t="s">
        <v>68</v>
      </c>
      <c r="E3256" t="s">
        <v>647</v>
      </c>
      <c r="F3256" t="s">
        <v>648</v>
      </c>
      <c r="G3256" s="10">
        <v>13</v>
      </c>
      <c r="H3256" s="10">
        <v>15949</v>
      </c>
      <c r="I3256" s="10">
        <v>207337</v>
      </c>
      <c r="J3256" t="s">
        <v>51</v>
      </c>
      <c r="K3256" s="11">
        <v>648.20000000000005</v>
      </c>
      <c r="L3256" s="12">
        <v>319.87</v>
      </c>
    </row>
    <row r="3257" spans="1:12" x14ac:dyDescent="0.2">
      <c r="A3257" s="9">
        <v>46253</v>
      </c>
      <c r="B3257" t="s">
        <v>89</v>
      </c>
      <c r="C3257" t="s">
        <v>90</v>
      </c>
      <c r="D3257" t="s">
        <v>68</v>
      </c>
      <c r="E3257" t="s">
        <v>647</v>
      </c>
      <c r="F3257" t="s">
        <v>648</v>
      </c>
      <c r="G3257" s="10">
        <v>70</v>
      </c>
      <c r="H3257" s="10">
        <v>16714</v>
      </c>
      <c r="I3257" s="10">
        <v>1169980</v>
      </c>
      <c r="J3257" t="s">
        <v>51</v>
      </c>
      <c r="K3257" s="11">
        <v>648.20000000000005</v>
      </c>
      <c r="L3257" s="12">
        <v>1804.97</v>
      </c>
    </row>
    <row r="3258" spans="1:12" x14ac:dyDescent="0.2">
      <c r="A3258" s="9">
        <v>46253</v>
      </c>
      <c r="B3258" t="s">
        <v>96</v>
      </c>
      <c r="C3258" t="s">
        <v>97</v>
      </c>
      <c r="D3258" t="s">
        <v>41</v>
      </c>
      <c r="E3258" t="s">
        <v>649</v>
      </c>
      <c r="F3258" t="s">
        <v>659</v>
      </c>
      <c r="G3258" s="10">
        <v>2</v>
      </c>
      <c r="H3258" s="10">
        <v>44461</v>
      </c>
      <c r="I3258" s="10">
        <v>88922</v>
      </c>
      <c r="J3258" t="s">
        <v>42</v>
      </c>
      <c r="K3258" s="11">
        <v>3145.8</v>
      </c>
      <c r="L3258" s="12">
        <v>28.27</v>
      </c>
    </row>
    <row r="3259" spans="1:12" x14ac:dyDescent="0.2">
      <c r="A3259" s="9">
        <v>46253</v>
      </c>
      <c r="B3259" t="s">
        <v>96</v>
      </c>
      <c r="C3259" t="s">
        <v>97</v>
      </c>
      <c r="D3259" t="s">
        <v>41</v>
      </c>
      <c r="E3259" t="s">
        <v>647</v>
      </c>
      <c r="F3259" t="s">
        <v>667</v>
      </c>
      <c r="G3259" s="10">
        <v>17</v>
      </c>
      <c r="H3259" s="10">
        <v>36778</v>
      </c>
      <c r="I3259" s="10">
        <v>625226</v>
      </c>
      <c r="J3259" t="s">
        <v>42</v>
      </c>
      <c r="K3259" s="11">
        <v>3145.8</v>
      </c>
      <c r="L3259" s="12">
        <v>198.75</v>
      </c>
    </row>
    <row r="3260" spans="1:12" x14ac:dyDescent="0.2">
      <c r="A3260" s="9">
        <v>46253</v>
      </c>
      <c r="B3260" t="s">
        <v>99</v>
      </c>
      <c r="C3260" t="s">
        <v>100</v>
      </c>
      <c r="D3260" t="s">
        <v>75</v>
      </c>
      <c r="E3260" t="s">
        <v>649</v>
      </c>
      <c r="F3260" t="s">
        <v>663</v>
      </c>
      <c r="G3260" s="10">
        <v>16</v>
      </c>
      <c r="H3260" s="10">
        <v>9492</v>
      </c>
      <c r="I3260" s="10">
        <v>151872</v>
      </c>
      <c r="J3260" t="s">
        <v>42</v>
      </c>
      <c r="K3260" s="11">
        <v>3145.8</v>
      </c>
      <c r="L3260" s="12">
        <v>48.28</v>
      </c>
    </row>
    <row r="3261" spans="1:12" x14ac:dyDescent="0.2">
      <c r="A3261" s="9">
        <v>46253</v>
      </c>
      <c r="B3261" t="s">
        <v>108</v>
      </c>
      <c r="C3261" t="s">
        <v>109</v>
      </c>
      <c r="D3261" t="s">
        <v>36</v>
      </c>
      <c r="E3261" t="s">
        <v>649</v>
      </c>
      <c r="F3261" t="s">
        <v>650</v>
      </c>
      <c r="G3261" s="10">
        <v>16</v>
      </c>
      <c r="H3261" s="10">
        <v>18532</v>
      </c>
      <c r="I3261" s="10">
        <v>296512</v>
      </c>
      <c r="J3261" t="s">
        <v>37</v>
      </c>
      <c r="K3261" s="11">
        <v>648.20000000000005</v>
      </c>
      <c r="L3261" s="12">
        <v>457.44</v>
      </c>
    </row>
    <row r="3262" spans="1:12" x14ac:dyDescent="0.2">
      <c r="A3262" s="9">
        <v>46253</v>
      </c>
      <c r="B3262" t="s">
        <v>111</v>
      </c>
      <c r="C3262" t="s">
        <v>112</v>
      </c>
      <c r="D3262" t="s">
        <v>41</v>
      </c>
      <c r="E3262" t="s">
        <v>655</v>
      </c>
      <c r="F3262" t="s">
        <v>662</v>
      </c>
      <c r="G3262" s="10">
        <v>9</v>
      </c>
      <c r="H3262" s="10">
        <v>5263</v>
      </c>
      <c r="I3262" s="10">
        <v>47367</v>
      </c>
      <c r="J3262" t="s">
        <v>42</v>
      </c>
      <c r="K3262" s="11">
        <v>3145.8</v>
      </c>
      <c r="L3262" s="12">
        <v>15.06</v>
      </c>
    </row>
    <row r="3263" spans="1:12" x14ac:dyDescent="0.2">
      <c r="A3263" s="9">
        <v>46253</v>
      </c>
      <c r="B3263" t="s">
        <v>115</v>
      </c>
      <c r="C3263" t="s">
        <v>116</v>
      </c>
      <c r="D3263" t="s">
        <v>41</v>
      </c>
      <c r="E3263" t="s">
        <v>649</v>
      </c>
      <c r="F3263" t="s">
        <v>663</v>
      </c>
      <c r="G3263" s="10">
        <v>6</v>
      </c>
      <c r="H3263" s="10">
        <v>9591</v>
      </c>
      <c r="I3263" s="10">
        <v>57546</v>
      </c>
      <c r="J3263" t="s">
        <v>42</v>
      </c>
      <c r="K3263" s="11">
        <v>3145.8</v>
      </c>
      <c r="L3263" s="12">
        <v>18.29</v>
      </c>
    </row>
    <row r="3264" spans="1:12" x14ac:dyDescent="0.2">
      <c r="A3264" s="9">
        <v>46253</v>
      </c>
      <c r="B3264" t="s">
        <v>115</v>
      </c>
      <c r="C3264" t="s">
        <v>116</v>
      </c>
      <c r="D3264" t="s">
        <v>41</v>
      </c>
      <c r="E3264" t="s">
        <v>649</v>
      </c>
      <c r="F3264" t="s">
        <v>659</v>
      </c>
      <c r="G3264" s="10">
        <v>19</v>
      </c>
      <c r="H3264" s="10">
        <v>42104</v>
      </c>
      <c r="I3264" s="10">
        <v>799976</v>
      </c>
      <c r="J3264" t="s">
        <v>42</v>
      </c>
      <c r="K3264" s="11">
        <v>3145.8</v>
      </c>
      <c r="L3264" s="12">
        <v>254.3</v>
      </c>
    </row>
    <row r="3265" spans="1:12" x14ac:dyDescent="0.2">
      <c r="A3265" s="9">
        <v>46253</v>
      </c>
      <c r="B3265" t="s">
        <v>115</v>
      </c>
      <c r="C3265" t="s">
        <v>116</v>
      </c>
      <c r="D3265" t="s">
        <v>41</v>
      </c>
      <c r="E3265" t="s">
        <v>660</v>
      </c>
      <c r="F3265" t="s">
        <v>670</v>
      </c>
      <c r="G3265" s="10">
        <v>6</v>
      </c>
      <c r="H3265" s="10">
        <v>70310</v>
      </c>
      <c r="I3265" s="10">
        <v>421860</v>
      </c>
      <c r="J3265" t="s">
        <v>42</v>
      </c>
      <c r="K3265" s="11">
        <v>3145.8</v>
      </c>
      <c r="L3265" s="12">
        <v>134.1</v>
      </c>
    </row>
    <row r="3266" spans="1:12" x14ac:dyDescent="0.2">
      <c r="A3266" s="9">
        <v>46253</v>
      </c>
      <c r="B3266" t="s">
        <v>118</v>
      </c>
      <c r="C3266" t="s">
        <v>119</v>
      </c>
      <c r="D3266" t="s">
        <v>36</v>
      </c>
      <c r="E3266" t="s">
        <v>655</v>
      </c>
      <c r="F3266" t="s">
        <v>662</v>
      </c>
      <c r="G3266" s="10">
        <v>15</v>
      </c>
      <c r="H3266" s="10">
        <v>1105</v>
      </c>
      <c r="I3266" s="10">
        <v>16575</v>
      </c>
      <c r="J3266" t="s">
        <v>37</v>
      </c>
      <c r="K3266" s="11">
        <v>648.20000000000005</v>
      </c>
      <c r="L3266" s="12">
        <v>25.57</v>
      </c>
    </row>
    <row r="3267" spans="1:12" x14ac:dyDescent="0.2">
      <c r="A3267" s="9">
        <v>46253</v>
      </c>
      <c r="B3267" t="s">
        <v>121</v>
      </c>
      <c r="C3267" t="s">
        <v>122</v>
      </c>
      <c r="D3267" t="s">
        <v>75</v>
      </c>
      <c r="E3267" t="s">
        <v>649</v>
      </c>
      <c r="F3267" t="s">
        <v>659</v>
      </c>
      <c r="G3267" s="10">
        <v>10</v>
      </c>
      <c r="H3267" s="10">
        <v>42818</v>
      </c>
      <c r="I3267" s="10">
        <v>428180</v>
      </c>
      <c r="J3267" t="s">
        <v>42</v>
      </c>
      <c r="K3267" s="11">
        <v>3145.8</v>
      </c>
      <c r="L3267" s="12">
        <v>136.11000000000001</v>
      </c>
    </row>
    <row r="3268" spans="1:12" x14ac:dyDescent="0.2">
      <c r="A3268" s="9">
        <v>46253</v>
      </c>
      <c r="B3268" t="s">
        <v>121</v>
      </c>
      <c r="C3268" t="s">
        <v>122</v>
      </c>
      <c r="D3268" t="s">
        <v>75</v>
      </c>
      <c r="E3268" t="s">
        <v>660</v>
      </c>
      <c r="F3268" t="s">
        <v>670</v>
      </c>
      <c r="G3268" s="10">
        <v>8</v>
      </c>
      <c r="H3268" s="10">
        <v>71581</v>
      </c>
      <c r="I3268" s="10">
        <v>572648</v>
      </c>
      <c r="J3268" t="s">
        <v>42</v>
      </c>
      <c r="K3268" s="11">
        <v>3145.8</v>
      </c>
      <c r="L3268" s="12">
        <v>182.04</v>
      </c>
    </row>
    <row r="3269" spans="1:12" x14ac:dyDescent="0.2">
      <c r="A3269" s="9">
        <v>46253</v>
      </c>
      <c r="B3269" t="s">
        <v>121</v>
      </c>
      <c r="C3269" t="s">
        <v>122</v>
      </c>
      <c r="D3269" t="s">
        <v>75</v>
      </c>
      <c r="E3269" t="s">
        <v>647</v>
      </c>
      <c r="F3269" t="s">
        <v>648</v>
      </c>
      <c r="G3269" s="10">
        <v>12</v>
      </c>
      <c r="H3269" s="10">
        <v>81791</v>
      </c>
      <c r="I3269" s="10">
        <v>981492</v>
      </c>
      <c r="J3269" t="s">
        <v>42</v>
      </c>
      <c r="K3269" s="11">
        <v>3145.8</v>
      </c>
      <c r="L3269" s="12">
        <v>312</v>
      </c>
    </row>
    <row r="3270" spans="1:12" x14ac:dyDescent="0.2">
      <c r="A3270" s="9">
        <v>46253</v>
      </c>
      <c r="B3270" t="s">
        <v>121</v>
      </c>
      <c r="C3270" t="s">
        <v>122</v>
      </c>
      <c r="D3270" t="s">
        <v>75</v>
      </c>
      <c r="E3270" t="s">
        <v>655</v>
      </c>
      <c r="F3270" t="s">
        <v>665</v>
      </c>
      <c r="G3270" s="10">
        <v>10</v>
      </c>
      <c r="H3270" s="10">
        <v>3378</v>
      </c>
      <c r="I3270" s="10">
        <v>33780</v>
      </c>
      <c r="J3270" t="s">
        <v>42</v>
      </c>
      <c r="K3270" s="11">
        <v>3145.8</v>
      </c>
      <c r="L3270" s="12">
        <v>10.74</v>
      </c>
    </row>
    <row r="3271" spans="1:12" x14ac:dyDescent="0.2">
      <c r="A3271" s="9">
        <v>46253</v>
      </c>
      <c r="B3271" t="s">
        <v>136</v>
      </c>
      <c r="C3271" t="s">
        <v>137</v>
      </c>
      <c r="D3271" t="s">
        <v>41</v>
      </c>
      <c r="E3271" t="s">
        <v>660</v>
      </c>
      <c r="F3271" t="s">
        <v>669</v>
      </c>
      <c r="G3271" s="10">
        <v>40</v>
      </c>
      <c r="H3271" s="10">
        <v>13003</v>
      </c>
      <c r="I3271" s="10">
        <v>520120</v>
      </c>
      <c r="J3271" t="s">
        <v>42</v>
      </c>
      <c r="K3271" s="11">
        <v>3145.8</v>
      </c>
      <c r="L3271" s="12">
        <v>165.34</v>
      </c>
    </row>
    <row r="3272" spans="1:12" x14ac:dyDescent="0.2">
      <c r="A3272" s="9">
        <v>46253</v>
      </c>
      <c r="B3272" t="s">
        <v>136</v>
      </c>
      <c r="C3272" t="s">
        <v>137</v>
      </c>
      <c r="D3272" t="s">
        <v>41</v>
      </c>
      <c r="E3272" t="s">
        <v>651</v>
      </c>
      <c r="F3272" t="s">
        <v>664</v>
      </c>
      <c r="G3272" s="10">
        <v>7</v>
      </c>
      <c r="H3272" s="10">
        <v>56303</v>
      </c>
      <c r="I3272" s="10">
        <v>394121</v>
      </c>
      <c r="J3272" t="s">
        <v>42</v>
      </c>
      <c r="K3272" s="11">
        <v>3145.8</v>
      </c>
      <c r="L3272" s="12">
        <v>125.28</v>
      </c>
    </row>
    <row r="3273" spans="1:12" x14ac:dyDescent="0.2">
      <c r="A3273" s="9">
        <v>46253</v>
      </c>
      <c r="B3273" t="s">
        <v>145</v>
      </c>
      <c r="C3273" t="s">
        <v>146</v>
      </c>
      <c r="D3273" t="s">
        <v>68</v>
      </c>
      <c r="E3273" t="s">
        <v>660</v>
      </c>
      <c r="F3273" t="s">
        <v>661</v>
      </c>
      <c r="G3273" s="10">
        <v>8</v>
      </c>
      <c r="H3273" s="10">
        <v>4031</v>
      </c>
      <c r="I3273" s="10">
        <v>32248</v>
      </c>
      <c r="J3273" t="s">
        <v>51</v>
      </c>
      <c r="K3273" s="11">
        <v>648.20000000000005</v>
      </c>
      <c r="L3273" s="12">
        <v>49.75</v>
      </c>
    </row>
    <row r="3274" spans="1:12" x14ac:dyDescent="0.2">
      <c r="A3274" s="9">
        <v>46253</v>
      </c>
      <c r="B3274" t="s">
        <v>149</v>
      </c>
      <c r="C3274" t="s">
        <v>150</v>
      </c>
      <c r="D3274" t="s">
        <v>50</v>
      </c>
      <c r="E3274" t="s">
        <v>649</v>
      </c>
      <c r="F3274" t="s">
        <v>650</v>
      </c>
      <c r="G3274" s="10">
        <v>22</v>
      </c>
      <c r="H3274" s="10">
        <v>19811</v>
      </c>
      <c r="I3274" s="10">
        <v>435842</v>
      </c>
      <c r="J3274" t="s">
        <v>51</v>
      </c>
      <c r="K3274" s="11">
        <v>648.20000000000005</v>
      </c>
      <c r="L3274" s="12">
        <v>672.39</v>
      </c>
    </row>
    <row r="3275" spans="1:12" x14ac:dyDescent="0.2">
      <c r="A3275" s="9">
        <v>46253</v>
      </c>
      <c r="B3275" t="s">
        <v>149</v>
      </c>
      <c r="C3275" t="s">
        <v>150</v>
      </c>
      <c r="D3275" t="s">
        <v>50</v>
      </c>
      <c r="E3275" t="s">
        <v>649</v>
      </c>
      <c r="F3275" t="s">
        <v>663</v>
      </c>
      <c r="G3275" s="10">
        <v>1</v>
      </c>
      <c r="H3275" s="10">
        <v>2096</v>
      </c>
      <c r="I3275" s="10">
        <v>2096</v>
      </c>
      <c r="J3275" t="s">
        <v>51</v>
      </c>
      <c r="K3275" s="11">
        <v>648.20000000000005</v>
      </c>
      <c r="L3275" s="12">
        <v>3.23</v>
      </c>
    </row>
    <row r="3276" spans="1:12" x14ac:dyDescent="0.2">
      <c r="A3276" s="9">
        <v>46253</v>
      </c>
      <c r="B3276" t="s">
        <v>149</v>
      </c>
      <c r="C3276" t="s">
        <v>150</v>
      </c>
      <c r="D3276" t="s">
        <v>50</v>
      </c>
      <c r="E3276" t="s">
        <v>649</v>
      </c>
      <c r="F3276" t="s">
        <v>659</v>
      </c>
      <c r="G3276" s="10">
        <v>3</v>
      </c>
      <c r="H3276" s="10">
        <v>8788</v>
      </c>
      <c r="I3276" s="10">
        <v>26364</v>
      </c>
      <c r="J3276" t="s">
        <v>51</v>
      </c>
      <c r="K3276" s="11">
        <v>648.20000000000005</v>
      </c>
      <c r="L3276" s="12">
        <v>40.67</v>
      </c>
    </row>
    <row r="3277" spans="1:12" x14ac:dyDescent="0.2">
      <c r="A3277" s="9">
        <v>46253</v>
      </c>
      <c r="B3277" t="s">
        <v>149</v>
      </c>
      <c r="C3277" t="s">
        <v>150</v>
      </c>
      <c r="D3277" t="s">
        <v>50</v>
      </c>
      <c r="E3277" t="s">
        <v>660</v>
      </c>
      <c r="F3277" t="s">
        <v>670</v>
      </c>
      <c r="G3277" s="10">
        <v>7</v>
      </c>
      <c r="H3277" s="10">
        <v>14021</v>
      </c>
      <c r="I3277" s="10">
        <v>98147</v>
      </c>
      <c r="J3277" t="s">
        <v>51</v>
      </c>
      <c r="K3277" s="11">
        <v>648.20000000000005</v>
      </c>
      <c r="L3277" s="12">
        <v>151.41</v>
      </c>
    </row>
    <row r="3278" spans="1:12" x14ac:dyDescent="0.2">
      <c r="A3278" s="9">
        <v>46253</v>
      </c>
      <c r="B3278" t="s">
        <v>149</v>
      </c>
      <c r="C3278" t="s">
        <v>150</v>
      </c>
      <c r="D3278" t="s">
        <v>50</v>
      </c>
      <c r="E3278" t="s">
        <v>655</v>
      </c>
      <c r="F3278" t="s">
        <v>656</v>
      </c>
      <c r="G3278" s="10">
        <v>27</v>
      </c>
      <c r="H3278" s="10">
        <v>564</v>
      </c>
      <c r="I3278" s="10">
        <v>15228</v>
      </c>
      <c r="J3278" t="s">
        <v>51</v>
      </c>
      <c r="K3278" s="11">
        <v>648.20000000000005</v>
      </c>
      <c r="L3278" s="12">
        <v>23.49</v>
      </c>
    </row>
    <row r="3279" spans="1:12" x14ac:dyDescent="0.2">
      <c r="A3279" s="9">
        <v>46253</v>
      </c>
      <c r="B3279" t="s">
        <v>158</v>
      </c>
      <c r="C3279" t="s">
        <v>159</v>
      </c>
      <c r="D3279" t="s">
        <v>41</v>
      </c>
      <c r="E3279" t="s">
        <v>647</v>
      </c>
      <c r="F3279" t="s">
        <v>648</v>
      </c>
      <c r="G3279" s="10">
        <v>141</v>
      </c>
      <c r="H3279" s="10">
        <v>79684</v>
      </c>
      <c r="I3279" s="10">
        <v>11235444</v>
      </c>
      <c r="J3279" t="s">
        <v>42</v>
      </c>
      <c r="K3279" s="11">
        <v>3145.8</v>
      </c>
      <c r="L3279" s="12">
        <v>3571.57</v>
      </c>
    </row>
    <row r="3280" spans="1:12" x14ac:dyDescent="0.2">
      <c r="A3280" s="9">
        <v>46253</v>
      </c>
      <c r="B3280" t="s">
        <v>158</v>
      </c>
      <c r="C3280" t="s">
        <v>159</v>
      </c>
      <c r="D3280" t="s">
        <v>41</v>
      </c>
      <c r="E3280" t="s">
        <v>647</v>
      </c>
      <c r="F3280" t="s">
        <v>667</v>
      </c>
      <c r="G3280" s="10">
        <v>9</v>
      </c>
      <c r="H3280" s="10">
        <v>36584</v>
      </c>
      <c r="I3280" s="10">
        <v>329256</v>
      </c>
      <c r="J3280" t="s">
        <v>42</v>
      </c>
      <c r="K3280" s="11">
        <v>3145.8</v>
      </c>
      <c r="L3280" s="12">
        <v>104.67</v>
      </c>
    </row>
    <row r="3281" spans="1:12" x14ac:dyDescent="0.2">
      <c r="A3281" s="9">
        <v>46253</v>
      </c>
      <c r="B3281" t="s">
        <v>161</v>
      </c>
      <c r="C3281" t="s">
        <v>67</v>
      </c>
      <c r="D3281" t="s">
        <v>41</v>
      </c>
      <c r="E3281" t="s">
        <v>649</v>
      </c>
      <c r="F3281" t="s">
        <v>663</v>
      </c>
      <c r="G3281" s="10">
        <v>41</v>
      </c>
      <c r="H3281" s="10">
        <v>9594</v>
      </c>
      <c r="I3281" s="10">
        <v>393354</v>
      </c>
      <c r="J3281" t="s">
        <v>42</v>
      </c>
      <c r="K3281" s="11">
        <v>3145.8</v>
      </c>
      <c r="L3281" s="12">
        <v>125.04</v>
      </c>
    </row>
    <row r="3282" spans="1:12" x14ac:dyDescent="0.2">
      <c r="A3282" s="9">
        <v>46253</v>
      </c>
      <c r="B3282" t="s">
        <v>161</v>
      </c>
      <c r="C3282" t="s">
        <v>67</v>
      </c>
      <c r="D3282" t="s">
        <v>41</v>
      </c>
      <c r="E3282" t="s">
        <v>660</v>
      </c>
      <c r="F3282" t="s">
        <v>661</v>
      </c>
      <c r="G3282" s="10">
        <v>21</v>
      </c>
      <c r="H3282" s="10">
        <v>20774</v>
      </c>
      <c r="I3282" s="10">
        <v>436254</v>
      </c>
      <c r="J3282" t="s">
        <v>42</v>
      </c>
      <c r="K3282" s="11">
        <v>3145.8</v>
      </c>
      <c r="L3282" s="12">
        <v>138.68</v>
      </c>
    </row>
    <row r="3283" spans="1:12" x14ac:dyDescent="0.2">
      <c r="A3283" s="9">
        <v>46253</v>
      </c>
      <c r="B3283" t="s">
        <v>163</v>
      </c>
      <c r="C3283" t="s">
        <v>164</v>
      </c>
      <c r="D3283" t="s">
        <v>41</v>
      </c>
      <c r="E3283" t="s">
        <v>651</v>
      </c>
      <c r="F3283" t="s">
        <v>664</v>
      </c>
      <c r="G3283" s="10">
        <v>12</v>
      </c>
      <c r="H3283" s="10">
        <v>58363</v>
      </c>
      <c r="I3283" s="10">
        <v>700356</v>
      </c>
      <c r="J3283" t="s">
        <v>42</v>
      </c>
      <c r="K3283" s="11">
        <v>3145.8</v>
      </c>
      <c r="L3283" s="12">
        <v>222.63</v>
      </c>
    </row>
    <row r="3284" spans="1:12" x14ac:dyDescent="0.2">
      <c r="A3284" s="9">
        <v>46253</v>
      </c>
      <c r="B3284" t="s">
        <v>163</v>
      </c>
      <c r="C3284" t="s">
        <v>164</v>
      </c>
      <c r="D3284" t="s">
        <v>41</v>
      </c>
      <c r="E3284" t="s">
        <v>655</v>
      </c>
      <c r="F3284" t="s">
        <v>665</v>
      </c>
      <c r="G3284" s="10">
        <v>2</v>
      </c>
      <c r="H3284" s="10">
        <v>3463</v>
      </c>
      <c r="I3284" s="10">
        <v>6926</v>
      </c>
      <c r="J3284" t="s">
        <v>42</v>
      </c>
      <c r="K3284" s="11">
        <v>3145.8</v>
      </c>
      <c r="L3284" s="12">
        <v>2.2000000000000002</v>
      </c>
    </row>
    <row r="3285" spans="1:12" x14ac:dyDescent="0.2">
      <c r="A3285" s="9">
        <v>46253</v>
      </c>
      <c r="B3285" t="s">
        <v>163</v>
      </c>
      <c r="C3285" t="s">
        <v>164</v>
      </c>
      <c r="D3285" t="s">
        <v>41</v>
      </c>
      <c r="E3285" t="s">
        <v>655</v>
      </c>
      <c r="F3285" t="s">
        <v>665</v>
      </c>
      <c r="G3285" s="10">
        <v>4</v>
      </c>
      <c r="H3285" s="10">
        <v>3367</v>
      </c>
      <c r="I3285" s="10">
        <v>13468</v>
      </c>
      <c r="J3285" t="s">
        <v>42</v>
      </c>
      <c r="K3285" s="11">
        <v>3145.8</v>
      </c>
      <c r="L3285" s="12">
        <v>4.28</v>
      </c>
    </row>
    <row r="3286" spans="1:12" x14ac:dyDescent="0.2">
      <c r="A3286" s="9">
        <v>46253</v>
      </c>
      <c r="B3286" t="s">
        <v>166</v>
      </c>
      <c r="C3286" t="s">
        <v>167</v>
      </c>
      <c r="D3286" t="s">
        <v>46</v>
      </c>
      <c r="E3286" t="s">
        <v>649</v>
      </c>
      <c r="F3286" t="s">
        <v>659</v>
      </c>
      <c r="G3286" s="10">
        <v>4</v>
      </c>
      <c r="H3286" s="10">
        <v>8772</v>
      </c>
      <c r="I3286" s="10">
        <v>35088</v>
      </c>
      <c r="J3286" t="s">
        <v>37</v>
      </c>
      <c r="K3286" s="11">
        <v>648.20000000000005</v>
      </c>
      <c r="L3286" s="12">
        <v>54.13</v>
      </c>
    </row>
    <row r="3287" spans="1:12" x14ac:dyDescent="0.2">
      <c r="A3287" s="9">
        <v>46253</v>
      </c>
      <c r="B3287" t="s">
        <v>166</v>
      </c>
      <c r="C3287" t="s">
        <v>167</v>
      </c>
      <c r="D3287" t="s">
        <v>46</v>
      </c>
      <c r="E3287" t="s">
        <v>655</v>
      </c>
      <c r="F3287" t="s">
        <v>656</v>
      </c>
      <c r="G3287" s="10">
        <v>1</v>
      </c>
      <c r="H3287" s="10">
        <v>557</v>
      </c>
      <c r="I3287" s="10">
        <v>557</v>
      </c>
      <c r="J3287" t="s">
        <v>37</v>
      </c>
      <c r="K3287" s="11">
        <v>648.20000000000005</v>
      </c>
      <c r="L3287" s="12">
        <v>0.86</v>
      </c>
    </row>
    <row r="3288" spans="1:12" x14ac:dyDescent="0.2">
      <c r="A3288" s="9">
        <v>46253</v>
      </c>
      <c r="B3288" t="s">
        <v>169</v>
      </c>
      <c r="C3288" t="s">
        <v>170</v>
      </c>
      <c r="D3288" t="s">
        <v>41</v>
      </c>
      <c r="E3288" t="s">
        <v>647</v>
      </c>
      <c r="F3288" t="s">
        <v>667</v>
      </c>
      <c r="G3288" s="10">
        <v>21</v>
      </c>
      <c r="H3288" s="10">
        <v>34680</v>
      </c>
      <c r="I3288" s="10">
        <v>728280</v>
      </c>
      <c r="J3288" t="s">
        <v>42</v>
      </c>
      <c r="K3288" s="11">
        <v>3145.8</v>
      </c>
      <c r="L3288" s="12">
        <v>231.51</v>
      </c>
    </row>
    <row r="3289" spans="1:12" x14ac:dyDescent="0.2">
      <c r="A3289" s="9">
        <v>46253</v>
      </c>
      <c r="B3289" t="s">
        <v>175</v>
      </c>
      <c r="C3289" t="s">
        <v>176</v>
      </c>
      <c r="D3289" t="s">
        <v>50</v>
      </c>
      <c r="E3289" t="s">
        <v>649</v>
      </c>
      <c r="F3289" t="s">
        <v>663</v>
      </c>
      <c r="G3289" s="10">
        <v>14</v>
      </c>
      <c r="H3289" s="10">
        <v>1969</v>
      </c>
      <c r="I3289" s="10">
        <v>27566</v>
      </c>
      <c r="J3289" t="s">
        <v>51</v>
      </c>
      <c r="K3289" s="11">
        <v>648.20000000000005</v>
      </c>
      <c r="L3289" s="12">
        <v>42.53</v>
      </c>
    </row>
    <row r="3290" spans="1:12" x14ac:dyDescent="0.2">
      <c r="A3290" s="9">
        <v>46253</v>
      </c>
      <c r="B3290" t="s">
        <v>175</v>
      </c>
      <c r="C3290" t="s">
        <v>176</v>
      </c>
      <c r="D3290" t="s">
        <v>50</v>
      </c>
      <c r="E3290" t="s">
        <v>647</v>
      </c>
      <c r="F3290" t="s">
        <v>667</v>
      </c>
      <c r="G3290" s="10">
        <v>7</v>
      </c>
      <c r="H3290" s="10">
        <v>7248</v>
      </c>
      <c r="I3290" s="10">
        <v>50736</v>
      </c>
      <c r="J3290" t="s">
        <v>51</v>
      </c>
      <c r="K3290" s="11">
        <v>648.20000000000005</v>
      </c>
      <c r="L3290" s="12">
        <v>78.27</v>
      </c>
    </row>
    <row r="3291" spans="1:12" x14ac:dyDescent="0.2">
      <c r="A3291" s="9">
        <v>46253</v>
      </c>
      <c r="B3291" t="s">
        <v>178</v>
      </c>
      <c r="C3291" t="s">
        <v>179</v>
      </c>
      <c r="D3291" t="s">
        <v>50</v>
      </c>
      <c r="E3291" t="s">
        <v>653</v>
      </c>
      <c r="F3291" t="s">
        <v>658</v>
      </c>
      <c r="G3291" s="10">
        <v>41</v>
      </c>
      <c r="H3291" s="10">
        <v>2663</v>
      </c>
      <c r="I3291" s="10">
        <v>109183</v>
      </c>
      <c r="J3291" t="s">
        <v>51</v>
      </c>
      <c r="K3291" s="11">
        <v>648.20000000000005</v>
      </c>
      <c r="L3291" s="12">
        <v>168.44</v>
      </c>
    </row>
    <row r="3292" spans="1:12" x14ac:dyDescent="0.2">
      <c r="A3292" s="9">
        <v>46253</v>
      </c>
      <c r="B3292" t="s">
        <v>181</v>
      </c>
      <c r="C3292" t="s">
        <v>182</v>
      </c>
      <c r="D3292" t="s">
        <v>41</v>
      </c>
      <c r="E3292" t="s">
        <v>649</v>
      </c>
      <c r="F3292" t="s">
        <v>650</v>
      </c>
      <c r="G3292" s="10">
        <v>27</v>
      </c>
      <c r="H3292" s="10">
        <v>96763</v>
      </c>
      <c r="I3292" s="10">
        <v>2612601</v>
      </c>
      <c r="J3292" t="s">
        <v>42</v>
      </c>
      <c r="K3292" s="11">
        <v>3145.8</v>
      </c>
      <c r="L3292" s="12">
        <v>830.5</v>
      </c>
    </row>
    <row r="3293" spans="1:12" x14ac:dyDescent="0.2">
      <c r="A3293" s="9">
        <v>46253</v>
      </c>
      <c r="B3293" t="s">
        <v>184</v>
      </c>
      <c r="C3293" t="s">
        <v>185</v>
      </c>
      <c r="D3293" t="s">
        <v>41</v>
      </c>
      <c r="E3293" t="s">
        <v>651</v>
      </c>
      <c r="F3293" t="s">
        <v>652</v>
      </c>
      <c r="G3293" s="10">
        <v>7</v>
      </c>
      <c r="H3293" s="10">
        <v>47050</v>
      </c>
      <c r="I3293" s="10">
        <v>329350</v>
      </c>
      <c r="J3293" t="s">
        <v>42</v>
      </c>
      <c r="K3293" s="11">
        <v>3145.8</v>
      </c>
      <c r="L3293" s="12">
        <v>104.7</v>
      </c>
    </row>
    <row r="3294" spans="1:12" x14ac:dyDescent="0.2">
      <c r="A3294" s="9">
        <v>46253</v>
      </c>
      <c r="B3294" t="s">
        <v>190</v>
      </c>
      <c r="C3294" t="s">
        <v>191</v>
      </c>
      <c r="D3294" t="s">
        <v>68</v>
      </c>
      <c r="E3294" t="s">
        <v>653</v>
      </c>
      <c r="F3294" t="s">
        <v>658</v>
      </c>
      <c r="G3294" s="10">
        <v>42</v>
      </c>
      <c r="H3294" s="10">
        <v>2719</v>
      </c>
      <c r="I3294" s="10">
        <v>114198</v>
      </c>
      <c r="J3294" t="s">
        <v>51</v>
      </c>
      <c r="K3294" s="11">
        <v>648.20000000000005</v>
      </c>
      <c r="L3294" s="12">
        <v>176.18</v>
      </c>
    </row>
    <row r="3295" spans="1:12" x14ac:dyDescent="0.2">
      <c r="A3295" s="9">
        <v>46253</v>
      </c>
      <c r="B3295" t="s">
        <v>190</v>
      </c>
      <c r="C3295" t="s">
        <v>191</v>
      </c>
      <c r="D3295" t="s">
        <v>68</v>
      </c>
      <c r="E3295" t="s">
        <v>653</v>
      </c>
      <c r="F3295" t="s">
        <v>658</v>
      </c>
      <c r="G3295" s="10">
        <v>12</v>
      </c>
      <c r="H3295" s="10">
        <v>2808</v>
      </c>
      <c r="I3295" s="10">
        <v>33696</v>
      </c>
      <c r="J3295" t="s">
        <v>51</v>
      </c>
      <c r="K3295" s="11">
        <v>648.20000000000005</v>
      </c>
      <c r="L3295" s="12">
        <v>51.98</v>
      </c>
    </row>
    <row r="3296" spans="1:12" x14ac:dyDescent="0.2">
      <c r="A3296" s="9">
        <v>46253</v>
      </c>
      <c r="B3296" t="s">
        <v>190</v>
      </c>
      <c r="C3296" t="s">
        <v>191</v>
      </c>
      <c r="D3296" t="s">
        <v>68</v>
      </c>
      <c r="E3296" t="s">
        <v>660</v>
      </c>
      <c r="F3296" t="s">
        <v>669</v>
      </c>
      <c r="G3296" s="10">
        <v>9</v>
      </c>
      <c r="H3296" s="10">
        <v>2658</v>
      </c>
      <c r="I3296" s="10">
        <v>23922</v>
      </c>
      <c r="J3296" t="s">
        <v>51</v>
      </c>
      <c r="K3296" s="11">
        <v>648.20000000000005</v>
      </c>
      <c r="L3296" s="12">
        <v>36.909999999999997</v>
      </c>
    </row>
    <row r="3297" spans="1:12" x14ac:dyDescent="0.2">
      <c r="A3297" s="9">
        <v>46253</v>
      </c>
      <c r="B3297" t="s">
        <v>193</v>
      </c>
      <c r="C3297" t="s">
        <v>194</v>
      </c>
      <c r="D3297" t="s">
        <v>68</v>
      </c>
      <c r="E3297" t="s">
        <v>655</v>
      </c>
      <c r="F3297" t="s">
        <v>665</v>
      </c>
      <c r="G3297" s="10">
        <v>8</v>
      </c>
      <c r="H3297" s="10">
        <v>671</v>
      </c>
      <c r="I3297" s="10">
        <v>5368</v>
      </c>
      <c r="J3297" t="s">
        <v>51</v>
      </c>
      <c r="K3297" s="11">
        <v>648.20000000000005</v>
      </c>
      <c r="L3297" s="12">
        <v>8.2799999999999994</v>
      </c>
    </row>
    <row r="3298" spans="1:12" x14ac:dyDescent="0.2">
      <c r="A3298" s="9">
        <v>46253</v>
      </c>
      <c r="B3298" t="s">
        <v>199</v>
      </c>
      <c r="C3298" t="s">
        <v>200</v>
      </c>
      <c r="D3298" t="s">
        <v>46</v>
      </c>
      <c r="E3298" t="s">
        <v>660</v>
      </c>
      <c r="F3298" t="s">
        <v>661</v>
      </c>
      <c r="G3298" s="10">
        <v>23</v>
      </c>
      <c r="H3298" s="10">
        <v>4267</v>
      </c>
      <c r="I3298" s="10">
        <v>98141</v>
      </c>
      <c r="J3298" t="s">
        <v>37</v>
      </c>
      <c r="K3298" s="11">
        <v>648.20000000000005</v>
      </c>
      <c r="L3298" s="12">
        <v>151.41</v>
      </c>
    </row>
    <row r="3299" spans="1:12" x14ac:dyDescent="0.2">
      <c r="A3299" s="9">
        <v>46253</v>
      </c>
      <c r="B3299" t="s">
        <v>199</v>
      </c>
      <c r="C3299" t="s">
        <v>200</v>
      </c>
      <c r="D3299" t="s">
        <v>46</v>
      </c>
      <c r="E3299" t="s">
        <v>660</v>
      </c>
      <c r="F3299" t="s">
        <v>661</v>
      </c>
      <c r="G3299" s="10">
        <v>40</v>
      </c>
      <c r="H3299" s="10">
        <v>4099</v>
      </c>
      <c r="I3299" s="10">
        <v>163960</v>
      </c>
      <c r="J3299" t="s">
        <v>37</v>
      </c>
      <c r="K3299" s="11">
        <v>648.20000000000005</v>
      </c>
      <c r="L3299" s="12">
        <v>252.95</v>
      </c>
    </row>
    <row r="3300" spans="1:12" x14ac:dyDescent="0.2">
      <c r="A3300" s="9">
        <v>46253</v>
      </c>
      <c r="B3300" t="s">
        <v>199</v>
      </c>
      <c r="C3300" t="s">
        <v>200</v>
      </c>
      <c r="D3300" t="s">
        <v>46</v>
      </c>
      <c r="E3300" t="s">
        <v>653</v>
      </c>
      <c r="F3300" t="s">
        <v>654</v>
      </c>
      <c r="G3300" s="10">
        <v>35</v>
      </c>
      <c r="H3300" s="10">
        <v>5604</v>
      </c>
      <c r="I3300" s="10">
        <v>196140</v>
      </c>
      <c r="J3300" t="s">
        <v>37</v>
      </c>
      <c r="K3300" s="11">
        <v>648.20000000000005</v>
      </c>
      <c r="L3300" s="12">
        <v>302.58999999999997</v>
      </c>
    </row>
    <row r="3301" spans="1:12" x14ac:dyDescent="0.2">
      <c r="A3301" s="9">
        <v>46253</v>
      </c>
      <c r="B3301" t="s">
        <v>199</v>
      </c>
      <c r="C3301" t="s">
        <v>200</v>
      </c>
      <c r="D3301" t="s">
        <v>46</v>
      </c>
      <c r="E3301" t="s">
        <v>647</v>
      </c>
      <c r="F3301" t="s">
        <v>668</v>
      </c>
      <c r="G3301" s="10">
        <v>11</v>
      </c>
      <c r="H3301" s="10">
        <v>24563</v>
      </c>
      <c r="I3301" s="10">
        <v>270193</v>
      </c>
      <c r="J3301" t="s">
        <v>37</v>
      </c>
      <c r="K3301" s="11">
        <v>648.20000000000005</v>
      </c>
      <c r="L3301" s="12">
        <v>416.84</v>
      </c>
    </row>
    <row r="3302" spans="1:12" x14ac:dyDescent="0.2">
      <c r="A3302" s="9">
        <v>46253</v>
      </c>
      <c r="B3302" t="s">
        <v>199</v>
      </c>
      <c r="C3302" t="s">
        <v>200</v>
      </c>
      <c r="D3302" t="s">
        <v>46</v>
      </c>
      <c r="E3302" t="s">
        <v>647</v>
      </c>
      <c r="F3302" t="s">
        <v>648</v>
      </c>
      <c r="G3302" s="10">
        <v>51</v>
      </c>
      <c r="H3302" s="10">
        <v>16844</v>
      </c>
      <c r="I3302" s="10">
        <v>859044</v>
      </c>
      <c r="J3302" t="s">
        <v>37</v>
      </c>
      <c r="K3302" s="11">
        <v>648.20000000000005</v>
      </c>
      <c r="L3302" s="12">
        <v>1325.28</v>
      </c>
    </row>
    <row r="3303" spans="1:12" x14ac:dyDescent="0.2">
      <c r="A3303" s="9">
        <v>46253</v>
      </c>
      <c r="B3303" t="s">
        <v>199</v>
      </c>
      <c r="C3303" t="s">
        <v>200</v>
      </c>
      <c r="D3303" t="s">
        <v>46</v>
      </c>
      <c r="E3303" t="s">
        <v>647</v>
      </c>
      <c r="F3303" t="s">
        <v>648</v>
      </c>
      <c r="G3303" s="10">
        <v>10</v>
      </c>
      <c r="H3303" s="10">
        <v>16462</v>
      </c>
      <c r="I3303" s="10">
        <v>164620</v>
      </c>
      <c r="J3303" t="s">
        <v>37</v>
      </c>
      <c r="K3303" s="11">
        <v>648.20000000000005</v>
      </c>
      <c r="L3303" s="12">
        <v>253.96</v>
      </c>
    </row>
    <row r="3304" spans="1:12" x14ac:dyDescent="0.2">
      <c r="A3304" s="9">
        <v>46253</v>
      </c>
      <c r="B3304" t="s">
        <v>208</v>
      </c>
      <c r="C3304" t="s">
        <v>209</v>
      </c>
      <c r="D3304" t="s">
        <v>46</v>
      </c>
      <c r="E3304" t="s">
        <v>649</v>
      </c>
      <c r="F3304" t="s">
        <v>663</v>
      </c>
      <c r="G3304" s="10">
        <v>26</v>
      </c>
      <c r="H3304" s="10">
        <v>2064</v>
      </c>
      <c r="I3304" s="10">
        <v>53664</v>
      </c>
      <c r="J3304" t="s">
        <v>37</v>
      </c>
      <c r="K3304" s="11">
        <v>648.20000000000005</v>
      </c>
      <c r="L3304" s="12">
        <v>82.79</v>
      </c>
    </row>
    <row r="3305" spans="1:12" x14ac:dyDescent="0.2">
      <c r="A3305" s="9">
        <v>46253</v>
      </c>
      <c r="B3305" t="s">
        <v>211</v>
      </c>
      <c r="C3305" t="s">
        <v>212</v>
      </c>
      <c r="D3305" t="s">
        <v>46</v>
      </c>
      <c r="E3305" t="s">
        <v>647</v>
      </c>
      <c r="F3305" t="s">
        <v>668</v>
      </c>
      <c r="G3305" s="10">
        <v>5</v>
      </c>
      <c r="H3305" s="10">
        <v>25267</v>
      </c>
      <c r="I3305" s="10">
        <v>126335</v>
      </c>
      <c r="J3305" t="s">
        <v>37</v>
      </c>
      <c r="K3305" s="11">
        <v>648.20000000000005</v>
      </c>
      <c r="L3305" s="12">
        <v>194.9</v>
      </c>
    </row>
    <row r="3306" spans="1:12" x14ac:dyDescent="0.2">
      <c r="A3306" s="9">
        <v>46253</v>
      </c>
      <c r="B3306" t="s">
        <v>211</v>
      </c>
      <c r="C3306" t="s">
        <v>212</v>
      </c>
      <c r="D3306" t="s">
        <v>46</v>
      </c>
      <c r="E3306" t="s">
        <v>647</v>
      </c>
      <c r="F3306" t="s">
        <v>648</v>
      </c>
      <c r="G3306" s="10">
        <v>20</v>
      </c>
      <c r="H3306" s="10">
        <v>16813</v>
      </c>
      <c r="I3306" s="10">
        <v>336260</v>
      </c>
      <c r="J3306" t="s">
        <v>37</v>
      </c>
      <c r="K3306" s="11">
        <v>648.20000000000005</v>
      </c>
      <c r="L3306" s="12">
        <v>518.76</v>
      </c>
    </row>
    <row r="3307" spans="1:12" x14ac:dyDescent="0.2">
      <c r="A3307" s="9">
        <v>46253</v>
      </c>
      <c r="B3307" t="s">
        <v>214</v>
      </c>
      <c r="C3307" t="s">
        <v>215</v>
      </c>
      <c r="D3307" t="s">
        <v>46</v>
      </c>
      <c r="E3307" t="s">
        <v>660</v>
      </c>
      <c r="F3307" t="s">
        <v>669</v>
      </c>
      <c r="G3307" s="10">
        <v>3</v>
      </c>
      <c r="H3307" s="10">
        <v>2547</v>
      </c>
      <c r="I3307" s="10">
        <v>7641</v>
      </c>
      <c r="J3307" t="s">
        <v>37</v>
      </c>
      <c r="K3307" s="11">
        <v>648.20000000000005</v>
      </c>
      <c r="L3307" s="12">
        <v>11.79</v>
      </c>
    </row>
    <row r="3308" spans="1:12" x14ac:dyDescent="0.2">
      <c r="A3308" s="9">
        <v>46253</v>
      </c>
      <c r="B3308" t="s">
        <v>220</v>
      </c>
      <c r="C3308" t="s">
        <v>221</v>
      </c>
      <c r="D3308" t="s">
        <v>46</v>
      </c>
      <c r="E3308" t="s">
        <v>649</v>
      </c>
      <c r="F3308" t="s">
        <v>659</v>
      </c>
      <c r="G3308" s="10">
        <v>22</v>
      </c>
      <c r="H3308" s="10">
        <v>8633</v>
      </c>
      <c r="I3308" s="10">
        <v>189926</v>
      </c>
      <c r="J3308" t="s">
        <v>37</v>
      </c>
      <c r="K3308" s="11">
        <v>648.20000000000005</v>
      </c>
      <c r="L3308" s="12">
        <v>293.01</v>
      </c>
    </row>
    <row r="3309" spans="1:12" x14ac:dyDescent="0.2">
      <c r="A3309" s="9">
        <v>46253</v>
      </c>
      <c r="B3309" t="s">
        <v>223</v>
      </c>
      <c r="C3309" t="s">
        <v>224</v>
      </c>
      <c r="D3309" t="s">
        <v>36</v>
      </c>
      <c r="E3309" t="s">
        <v>653</v>
      </c>
      <c r="F3309" t="s">
        <v>654</v>
      </c>
      <c r="G3309" s="10">
        <v>15</v>
      </c>
      <c r="H3309" s="10">
        <v>5880</v>
      </c>
      <c r="I3309" s="10">
        <v>88200</v>
      </c>
      <c r="J3309" t="s">
        <v>37</v>
      </c>
      <c r="K3309" s="11">
        <v>648.20000000000005</v>
      </c>
      <c r="L3309" s="12">
        <v>136.07</v>
      </c>
    </row>
    <row r="3310" spans="1:12" x14ac:dyDescent="0.2">
      <c r="A3310" s="9">
        <v>46253</v>
      </c>
      <c r="B3310" t="s">
        <v>226</v>
      </c>
      <c r="C3310" t="s">
        <v>227</v>
      </c>
      <c r="D3310" t="s">
        <v>41</v>
      </c>
      <c r="E3310" t="s">
        <v>651</v>
      </c>
      <c r="F3310" t="s">
        <v>652</v>
      </c>
      <c r="G3310" s="10">
        <v>16</v>
      </c>
      <c r="H3310" s="10">
        <v>44922</v>
      </c>
      <c r="I3310" s="10">
        <v>718752</v>
      </c>
      <c r="J3310" t="s">
        <v>42</v>
      </c>
      <c r="K3310" s="11">
        <v>3145.8</v>
      </c>
      <c r="L3310" s="12">
        <v>228.48</v>
      </c>
    </row>
    <row r="3311" spans="1:12" x14ac:dyDescent="0.2">
      <c r="A3311" s="9">
        <v>46253</v>
      </c>
      <c r="B3311" t="s">
        <v>229</v>
      </c>
      <c r="C3311" t="s">
        <v>230</v>
      </c>
      <c r="D3311" t="s">
        <v>36</v>
      </c>
      <c r="E3311" t="s">
        <v>649</v>
      </c>
      <c r="F3311" t="s">
        <v>650</v>
      </c>
      <c r="G3311" s="10">
        <v>12</v>
      </c>
      <c r="H3311" s="10">
        <v>19013</v>
      </c>
      <c r="I3311" s="10">
        <v>228156</v>
      </c>
      <c r="J3311" t="s">
        <v>37</v>
      </c>
      <c r="K3311" s="11">
        <v>648.20000000000005</v>
      </c>
      <c r="L3311" s="12">
        <v>351.98</v>
      </c>
    </row>
    <row r="3312" spans="1:12" x14ac:dyDescent="0.2">
      <c r="A3312" s="9">
        <v>46253</v>
      </c>
      <c r="B3312" t="s">
        <v>229</v>
      </c>
      <c r="C3312" t="s">
        <v>230</v>
      </c>
      <c r="D3312" t="s">
        <v>36</v>
      </c>
      <c r="E3312" t="s">
        <v>655</v>
      </c>
      <c r="F3312" t="s">
        <v>662</v>
      </c>
      <c r="G3312" s="10">
        <v>8</v>
      </c>
      <c r="H3312" s="10">
        <v>1098</v>
      </c>
      <c r="I3312" s="10">
        <v>8784</v>
      </c>
      <c r="J3312" t="s">
        <v>37</v>
      </c>
      <c r="K3312" s="11">
        <v>648.20000000000005</v>
      </c>
      <c r="L3312" s="12">
        <v>13.55</v>
      </c>
    </row>
    <row r="3313" spans="1:12" x14ac:dyDescent="0.2">
      <c r="A3313" s="9">
        <v>46253</v>
      </c>
      <c r="B3313" t="s">
        <v>229</v>
      </c>
      <c r="C3313" t="s">
        <v>230</v>
      </c>
      <c r="D3313" t="s">
        <v>36</v>
      </c>
      <c r="E3313" t="s">
        <v>655</v>
      </c>
      <c r="F3313" t="s">
        <v>665</v>
      </c>
      <c r="G3313" s="10">
        <v>7</v>
      </c>
      <c r="H3313" s="10">
        <v>695</v>
      </c>
      <c r="I3313" s="10">
        <v>4865</v>
      </c>
      <c r="J3313" t="s">
        <v>37</v>
      </c>
      <c r="K3313" s="11">
        <v>648.20000000000005</v>
      </c>
      <c r="L3313" s="12">
        <v>7.51</v>
      </c>
    </row>
    <row r="3314" spans="1:12" x14ac:dyDescent="0.2">
      <c r="A3314" s="9">
        <v>46253</v>
      </c>
      <c r="B3314" t="s">
        <v>232</v>
      </c>
      <c r="C3314" t="s">
        <v>233</v>
      </c>
      <c r="D3314" t="s">
        <v>46</v>
      </c>
      <c r="E3314" t="s">
        <v>647</v>
      </c>
      <c r="F3314" t="s">
        <v>667</v>
      </c>
      <c r="G3314" s="10">
        <v>14</v>
      </c>
      <c r="H3314" s="10">
        <v>7226</v>
      </c>
      <c r="I3314" s="10">
        <v>101164</v>
      </c>
      <c r="J3314" t="s">
        <v>37</v>
      </c>
      <c r="K3314" s="11">
        <v>648.20000000000005</v>
      </c>
      <c r="L3314" s="12">
        <v>156.07</v>
      </c>
    </row>
    <row r="3315" spans="1:12" x14ac:dyDescent="0.2">
      <c r="A3315" s="9">
        <v>46253</v>
      </c>
      <c r="B3315" t="s">
        <v>235</v>
      </c>
      <c r="C3315" t="s">
        <v>236</v>
      </c>
      <c r="D3315" t="s">
        <v>50</v>
      </c>
      <c r="E3315" t="s">
        <v>647</v>
      </c>
      <c r="F3315" t="s">
        <v>668</v>
      </c>
      <c r="G3315" s="10">
        <v>60</v>
      </c>
      <c r="H3315" s="10">
        <v>24705</v>
      </c>
      <c r="I3315" s="10">
        <v>1482300</v>
      </c>
      <c r="J3315" t="s">
        <v>51</v>
      </c>
      <c r="K3315" s="11">
        <v>648.20000000000005</v>
      </c>
      <c r="L3315" s="12">
        <v>2286.79</v>
      </c>
    </row>
    <row r="3316" spans="1:12" x14ac:dyDescent="0.2">
      <c r="A3316" s="9">
        <v>46253</v>
      </c>
      <c r="B3316" t="s">
        <v>241</v>
      </c>
      <c r="C3316" t="s">
        <v>242</v>
      </c>
      <c r="D3316" t="s">
        <v>46</v>
      </c>
      <c r="E3316" t="s">
        <v>655</v>
      </c>
      <c r="F3316" t="s">
        <v>662</v>
      </c>
      <c r="G3316" s="10">
        <v>10</v>
      </c>
      <c r="H3316" s="10">
        <v>1158</v>
      </c>
      <c r="I3316" s="10">
        <v>11580</v>
      </c>
      <c r="J3316" t="s">
        <v>37</v>
      </c>
      <c r="K3316" s="11">
        <v>648.20000000000005</v>
      </c>
      <c r="L3316" s="12">
        <v>17.86</v>
      </c>
    </row>
    <row r="3317" spans="1:12" x14ac:dyDescent="0.2">
      <c r="A3317" s="9">
        <v>46253</v>
      </c>
      <c r="B3317" t="s">
        <v>244</v>
      </c>
      <c r="C3317" t="s">
        <v>245</v>
      </c>
      <c r="D3317" t="s">
        <v>75</v>
      </c>
      <c r="E3317" t="s">
        <v>647</v>
      </c>
      <c r="F3317" t="s">
        <v>667</v>
      </c>
      <c r="G3317" s="10">
        <v>9</v>
      </c>
      <c r="H3317" s="10">
        <v>34936</v>
      </c>
      <c r="I3317" s="10">
        <v>314424</v>
      </c>
      <c r="J3317" t="s">
        <v>42</v>
      </c>
      <c r="K3317" s="11">
        <v>3145.8</v>
      </c>
      <c r="L3317" s="12">
        <v>99.95</v>
      </c>
    </row>
    <row r="3318" spans="1:12" x14ac:dyDescent="0.2">
      <c r="A3318" s="9">
        <v>46253</v>
      </c>
      <c r="B3318" t="s">
        <v>244</v>
      </c>
      <c r="C3318" t="s">
        <v>245</v>
      </c>
      <c r="D3318" t="s">
        <v>75</v>
      </c>
      <c r="E3318" t="s">
        <v>651</v>
      </c>
      <c r="F3318" t="s">
        <v>664</v>
      </c>
      <c r="G3318" s="10">
        <v>30</v>
      </c>
      <c r="H3318" s="10">
        <v>59670</v>
      </c>
      <c r="I3318" s="10">
        <v>1790100</v>
      </c>
      <c r="J3318" t="s">
        <v>42</v>
      </c>
      <c r="K3318" s="11">
        <v>3145.8</v>
      </c>
      <c r="L3318" s="12">
        <v>569.04</v>
      </c>
    </row>
    <row r="3319" spans="1:12" x14ac:dyDescent="0.2">
      <c r="A3319" s="9">
        <v>46253</v>
      </c>
      <c r="B3319" t="s">
        <v>247</v>
      </c>
      <c r="C3319" t="s">
        <v>248</v>
      </c>
      <c r="D3319" t="s">
        <v>75</v>
      </c>
      <c r="E3319" t="s">
        <v>653</v>
      </c>
      <c r="F3319" t="s">
        <v>658</v>
      </c>
      <c r="G3319" s="10">
        <v>17</v>
      </c>
      <c r="H3319" s="10">
        <v>12998</v>
      </c>
      <c r="I3319" s="10">
        <v>220966</v>
      </c>
      <c r="J3319" t="s">
        <v>42</v>
      </c>
      <c r="K3319" s="11">
        <v>3145.8</v>
      </c>
      <c r="L3319" s="12">
        <v>70.239999999999995</v>
      </c>
    </row>
    <row r="3320" spans="1:12" x14ac:dyDescent="0.2">
      <c r="A3320" s="9">
        <v>46253</v>
      </c>
      <c r="B3320" t="s">
        <v>247</v>
      </c>
      <c r="C3320" t="s">
        <v>248</v>
      </c>
      <c r="D3320" t="s">
        <v>75</v>
      </c>
      <c r="E3320" t="s">
        <v>655</v>
      </c>
      <c r="F3320" t="s">
        <v>662</v>
      </c>
      <c r="G3320" s="10">
        <v>3</v>
      </c>
      <c r="H3320" s="10">
        <v>5568</v>
      </c>
      <c r="I3320" s="10">
        <v>16704</v>
      </c>
      <c r="J3320" t="s">
        <v>42</v>
      </c>
      <c r="K3320" s="11">
        <v>3145.8</v>
      </c>
      <c r="L3320" s="12">
        <v>5.31</v>
      </c>
    </row>
    <row r="3321" spans="1:12" x14ac:dyDescent="0.2">
      <c r="A3321" s="9">
        <v>46253</v>
      </c>
      <c r="B3321" t="s">
        <v>247</v>
      </c>
      <c r="C3321" t="s">
        <v>248</v>
      </c>
      <c r="D3321" t="s">
        <v>75</v>
      </c>
      <c r="E3321" t="s">
        <v>660</v>
      </c>
      <c r="F3321" t="s">
        <v>670</v>
      </c>
      <c r="G3321" s="10">
        <v>9</v>
      </c>
      <c r="H3321" s="10">
        <v>70235</v>
      </c>
      <c r="I3321" s="10">
        <v>632115</v>
      </c>
      <c r="J3321" t="s">
        <v>42</v>
      </c>
      <c r="K3321" s="11">
        <v>3145.8</v>
      </c>
      <c r="L3321" s="12">
        <v>200.94</v>
      </c>
    </row>
    <row r="3322" spans="1:12" x14ac:dyDescent="0.2">
      <c r="A3322" s="9">
        <v>46253</v>
      </c>
      <c r="B3322" t="s">
        <v>250</v>
      </c>
      <c r="C3322" t="s">
        <v>251</v>
      </c>
      <c r="D3322" t="s">
        <v>46</v>
      </c>
      <c r="E3322" t="s">
        <v>649</v>
      </c>
      <c r="F3322" t="s">
        <v>650</v>
      </c>
      <c r="G3322" s="10">
        <v>3</v>
      </c>
      <c r="H3322" s="10">
        <v>19262</v>
      </c>
      <c r="I3322" s="10">
        <v>57786</v>
      </c>
      <c r="J3322" t="s">
        <v>37</v>
      </c>
      <c r="K3322" s="11">
        <v>648.20000000000005</v>
      </c>
      <c r="L3322" s="12">
        <v>89.15</v>
      </c>
    </row>
    <row r="3323" spans="1:12" x14ac:dyDescent="0.2">
      <c r="A3323" s="9">
        <v>46253</v>
      </c>
      <c r="B3323" t="s">
        <v>253</v>
      </c>
      <c r="C3323" t="s">
        <v>254</v>
      </c>
      <c r="D3323" t="s">
        <v>50</v>
      </c>
      <c r="E3323" t="s">
        <v>660</v>
      </c>
      <c r="F3323" t="s">
        <v>669</v>
      </c>
      <c r="G3323" s="10">
        <v>9</v>
      </c>
      <c r="H3323" s="10">
        <v>2490</v>
      </c>
      <c r="I3323" s="10">
        <v>22410</v>
      </c>
      <c r="J3323" t="s">
        <v>51</v>
      </c>
      <c r="K3323" s="11">
        <v>648.20000000000005</v>
      </c>
      <c r="L3323" s="12">
        <v>34.57</v>
      </c>
    </row>
    <row r="3324" spans="1:12" x14ac:dyDescent="0.2">
      <c r="A3324" s="9">
        <v>46253</v>
      </c>
      <c r="B3324" t="s">
        <v>253</v>
      </c>
      <c r="C3324" t="s">
        <v>254</v>
      </c>
      <c r="D3324" t="s">
        <v>50</v>
      </c>
      <c r="E3324" t="s">
        <v>660</v>
      </c>
      <c r="F3324" t="s">
        <v>661</v>
      </c>
      <c r="G3324" s="10">
        <v>9</v>
      </c>
      <c r="H3324" s="10">
        <v>4143</v>
      </c>
      <c r="I3324" s="10">
        <v>37287</v>
      </c>
      <c r="J3324" t="s">
        <v>51</v>
      </c>
      <c r="K3324" s="11">
        <v>648.20000000000005</v>
      </c>
      <c r="L3324" s="12">
        <v>57.52</v>
      </c>
    </row>
    <row r="3325" spans="1:12" x14ac:dyDescent="0.2">
      <c r="A3325" s="9">
        <v>46253</v>
      </c>
      <c r="B3325" t="s">
        <v>261</v>
      </c>
      <c r="C3325" t="s">
        <v>262</v>
      </c>
      <c r="D3325" t="s">
        <v>41</v>
      </c>
      <c r="E3325" t="s">
        <v>653</v>
      </c>
      <c r="F3325" t="s">
        <v>658</v>
      </c>
      <c r="G3325" s="10">
        <v>158</v>
      </c>
      <c r="H3325" s="10">
        <v>13581</v>
      </c>
      <c r="I3325" s="10">
        <v>2145798</v>
      </c>
      <c r="J3325" t="s">
        <v>42</v>
      </c>
      <c r="K3325" s="11">
        <v>3145.8</v>
      </c>
      <c r="L3325" s="12">
        <v>682.12</v>
      </c>
    </row>
    <row r="3326" spans="1:12" x14ac:dyDescent="0.2">
      <c r="A3326" s="9">
        <v>46253</v>
      </c>
      <c r="B3326" t="s">
        <v>261</v>
      </c>
      <c r="C3326" t="s">
        <v>262</v>
      </c>
      <c r="D3326" t="s">
        <v>41</v>
      </c>
      <c r="E3326" t="s">
        <v>647</v>
      </c>
      <c r="F3326" t="s">
        <v>668</v>
      </c>
      <c r="G3326" s="10">
        <v>13</v>
      </c>
      <c r="H3326" s="10">
        <v>121880</v>
      </c>
      <c r="I3326" s="10">
        <v>1584440</v>
      </c>
      <c r="J3326" t="s">
        <v>42</v>
      </c>
      <c r="K3326" s="11">
        <v>3145.8</v>
      </c>
      <c r="L3326" s="12">
        <v>503.67</v>
      </c>
    </row>
    <row r="3327" spans="1:12" x14ac:dyDescent="0.2">
      <c r="A3327" s="9">
        <v>46253</v>
      </c>
      <c r="B3327" t="s">
        <v>261</v>
      </c>
      <c r="C3327" t="s">
        <v>262</v>
      </c>
      <c r="D3327" t="s">
        <v>41</v>
      </c>
      <c r="E3327" t="s">
        <v>647</v>
      </c>
      <c r="F3327" t="s">
        <v>648</v>
      </c>
      <c r="G3327" s="10">
        <v>4</v>
      </c>
      <c r="H3327" s="10">
        <v>79675</v>
      </c>
      <c r="I3327" s="10">
        <v>318700</v>
      </c>
      <c r="J3327" t="s">
        <v>42</v>
      </c>
      <c r="K3327" s="11">
        <v>3145.8</v>
      </c>
      <c r="L3327" s="12">
        <v>101.31</v>
      </c>
    </row>
    <row r="3328" spans="1:12" x14ac:dyDescent="0.2">
      <c r="A3328" s="9">
        <v>46253</v>
      </c>
      <c r="B3328" t="s">
        <v>261</v>
      </c>
      <c r="C3328" t="s">
        <v>262</v>
      </c>
      <c r="D3328" t="s">
        <v>41</v>
      </c>
      <c r="E3328" t="s">
        <v>647</v>
      </c>
      <c r="F3328" t="s">
        <v>667</v>
      </c>
      <c r="G3328" s="10">
        <v>31</v>
      </c>
      <c r="H3328" s="10">
        <v>35962</v>
      </c>
      <c r="I3328" s="10">
        <v>1114822</v>
      </c>
      <c r="J3328" t="s">
        <v>42</v>
      </c>
      <c r="K3328" s="11">
        <v>3145.8</v>
      </c>
      <c r="L3328" s="12">
        <v>354.38</v>
      </c>
    </row>
    <row r="3329" spans="1:12" x14ac:dyDescent="0.2">
      <c r="A3329" s="9">
        <v>46253</v>
      </c>
      <c r="B3329" t="s">
        <v>261</v>
      </c>
      <c r="C3329" t="s">
        <v>262</v>
      </c>
      <c r="D3329" t="s">
        <v>41</v>
      </c>
      <c r="E3329" t="s">
        <v>647</v>
      </c>
      <c r="F3329" t="s">
        <v>667</v>
      </c>
      <c r="G3329" s="10">
        <v>52</v>
      </c>
      <c r="H3329" s="10">
        <v>35814</v>
      </c>
      <c r="I3329" s="10">
        <v>1862328</v>
      </c>
      <c r="J3329" t="s">
        <v>42</v>
      </c>
      <c r="K3329" s="11">
        <v>3145.8</v>
      </c>
      <c r="L3329" s="12">
        <v>592</v>
      </c>
    </row>
    <row r="3330" spans="1:12" x14ac:dyDescent="0.2">
      <c r="A3330" s="9">
        <v>46253</v>
      </c>
      <c r="B3330" t="s">
        <v>270</v>
      </c>
      <c r="C3330" t="s">
        <v>271</v>
      </c>
      <c r="D3330" t="s">
        <v>75</v>
      </c>
      <c r="E3330" t="s">
        <v>647</v>
      </c>
      <c r="F3330" t="s">
        <v>648</v>
      </c>
      <c r="G3330" s="10">
        <v>12</v>
      </c>
      <c r="H3330" s="10">
        <v>81802</v>
      </c>
      <c r="I3330" s="10">
        <v>981624</v>
      </c>
      <c r="J3330" t="s">
        <v>42</v>
      </c>
      <c r="K3330" s="11">
        <v>3145.8</v>
      </c>
      <c r="L3330" s="12">
        <v>312.04000000000002</v>
      </c>
    </row>
    <row r="3331" spans="1:12" x14ac:dyDescent="0.2">
      <c r="A3331" s="9">
        <v>46253</v>
      </c>
      <c r="B3331" t="s">
        <v>273</v>
      </c>
      <c r="C3331" t="s">
        <v>274</v>
      </c>
      <c r="D3331" t="s">
        <v>41</v>
      </c>
      <c r="E3331" t="s">
        <v>660</v>
      </c>
      <c r="F3331" t="s">
        <v>669</v>
      </c>
      <c r="G3331" s="10">
        <v>3</v>
      </c>
      <c r="H3331" s="10">
        <v>12197</v>
      </c>
      <c r="I3331" s="10">
        <v>36591</v>
      </c>
      <c r="J3331" t="s">
        <v>42</v>
      </c>
      <c r="K3331" s="11">
        <v>3145.8</v>
      </c>
      <c r="L3331" s="12">
        <v>11.63</v>
      </c>
    </row>
    <row r="3332" spans="1:12" x14ac:dyDescent="0.2">
      <c r="A3332" s="9">
        <v>46253</v>
      </c>
      <c r="B3332" t="s">
        <v>282</v>
      </c>
      <c r="C3332" t="s">
        <v>283</v>
      </c>
      <c r="D3332" t="s">
        <v>41</v>
      </c>
      <c r="E3332" t="s">
        <v>651</v>
      </c>
      <c r="F3332" t="s">
        <v>657</v>
      </c>
      <c r="G3332" s="10">
        <v>1</v>
      </c>
      <c r="H3332" s="10">
        <v>31826</v>
      </c>
      <c r="I3332" s="10">
        <v>31826</v>
      </c>
      <c r="J3332" t="s">
        <v>42</v>
      </c>
      <c r="K3332" s="11">
        <v>3145.8</v>
      </c>
      <c r="L3332" s="12">
        <v>10.119999999999999</v>
      </c>
    </row>
    <row r="3333" spans="1:12" x14ac:dyDescent="0.2">
      <c r="A3333" s="9">
        <v>46253</v>
      </c>
      <c r="B3333" t="s">
        <v>282</v>
      </c>
      <c r="C3333" t="s">
        <v>283</v>
      </c>
      <c r="D3333" t="s">
        <v>41</v>
      </c>
      <c r="E3333" t="s">
        <v>655</v>
      </c>
      <c r="F3333" t="s">
        <v>665</v>
      </c>
      <c r="G3333" s="10">
        <v>5</v>
      </c>
      <c r="H3333" s="10">
        <v>3326</v>
      </c>
      <c r="I3333" s="10">
        <v>16630</v>
      </c>
      <c r="J3333" t="s">
        <v>42</v>
      </c>
      <c r="K3333" s="11">
        <v>3145.8</v>
      </c>
      <c r="L3333" s="12">
        <v>5.29</v>
      </c>
    </row>
    <row r="3334" spans="1:12" x14ac:dyDescent="0.2">
      <c r="A3334" s="9">
        <v>46253</v>
      </c>
      <c r="B3334" t="s">
        <v>285</v>
      </c>
      <c r="C3334" t="s">
        <v>286</v>
      </c>
      <c r="D3334" t="s">
        <v>68</v>
      </c>
      <c r="E3334" t="s">
        <v>649</v>
      </c>
      <c r="F3334" t="s">
        <v>663</v>
      </c>
      <c r="G3334" s="10">
        <v>11</v>
      </c>
      <c r="H3334" s="10">
        <v>1956</v>
      </c>
      <c r="I3334" s="10">
        <v>21516</v>
      </c>
      <c r="J3334" t="s">
        <v>51</v>
      </c>
      <c r="K3334" s="11">
        <v>648.20000000000005</v>
      </c>
      <c r="L3334" s="12">
        <v>33.19</v>
      </c>
    </row>
    <row r="3335" spans="1:12" x14ac:dyDescent="0.2">
      <c r="A3335" s="9">
        <v>46253</v>
      </c>
      <c r="B3335" t="s">
        <v>285</v>
      </c>
      <c r="C3335" t="s">
        <v>286</v>
      </c>
      <c r="D3335" t="s">
        <v>68</v>
      </c>
      <c r="E3335" t="s">
        <v>655</v>
      </c>
      <c r="F3335" t="s">
        <v>665</v>
      </c>
      <c r="G3335" s="10">
        <v>5</v>
      </c>
      <c r="H3335" s="10">
        <v>671</v>
      </c>
      <c r="I3335" s="10">
        <v>3355</v>
      </c>
      <c r="J3335" t="s">
        <v>51</v>
      </c>
      <c r="K3335" s="11">
        <v>648.20000000000005</v>
      </c>
      <c r="L3335" s="12">
        <v>5.18</v>
      </c>
    </row>
    <row r="3336" spans="1:12" x14ac:dyDescent="0.2">
      <c r="A3336" s="9">
        <v>46253</v>
      </c>
      <c r="B3336" t="s">
        <v>291</v>
      </c>
      <c r="C3336" t="s">
        <v>292</v>
      </c>
      <c r="D3336" t="s">
        <v>68</v>
      </c>
      <c r="E3336" t="s">
        <v>647</v>
      </c>
      <c r="F3336" t="s">
        <v>668</v>
      </c>
      <c r="G3336" s="10">
        <v>8</v>
      </c>
      <c r="H3336" s="10">
        <v>26035</v>
      </c>
      <c r="I3336" s="10">
        <v>208280</v>
      </c>
      <c r="J3336" t="s">
        <v>51</v>
      </c>
      <c r="K3336" s="11">
        <v>648.20000000000005</v>
      </c>
      <c r="L3336" s="12">
        <v>321.32</v>
      </c>
    </row>
    <row r="3337" spans="1:12" x14ac:dyDescent="0.2">
      <c r="A3337" s="9">
        <v>46253</v>
      </c>
      <c r="B3337" t="s">
        <v>294</v>
      </c>
      <c r="C3337" t="s">
        <v>295</v>
      </c>
      <c r="D3337" t="s">
        <v>41</v>
      </c>
      <c r="E3337" t="s">
        <v>660</v>
      </c>
      <c r="F3337" t="s">
        <v>669</v>
      </c>
      <c r="G3337" s="10">
        <v>5</v>
      </c>
      <c r="H3337" s="10">
        <v>12271</v>
      </c>
      <c r="I3337" s="10">
        <v>61355</v>
      </c>
      <c r="J3337" t="s">
        <v>42</v>
      </c>
      <c r="K3337" s="11">
        <v>3145.8</v>
      </c>
      <c r="L3337" s="12">
        <v>19.5</v>
      </c>
    </row>
    <row r="3338" spans="1:12" x14ac:dyDescent="0.2">
      <c r="A3338" s="9">
        <v>46253</v>
      </c>
      <c r="B3338" t="s">
        <v>300</v>
      </c>
      <c r="C3338" t="s">
        <v>301</v>
      </c>
      <c r="D3338" t="s">
        <v>41</v>
      </c>
      <c r="E3338" t="s">
        <v>660</v>
      </c>
      <c r="F3338" t="s">
        <v>670</v>
      </c>
      <c r="G3338" s="10">
        <v>17</v>
      </c>
      <c r="H3338" s="10">
        <v>71004</v>
      </c>
      <c r="I3338" s="10">
        <v>1207068</v>
      </c>
      <c r="J3338" t="s">
        <v>42</v>
      </c>
      <c r="K3338" s="11">
        <v>3145.8</v>
      </c>
      <c r="L3338" s="12">
        <v>383.71</v>
      </c>
    </row>
    <row r="3339" spans="1:12" x14ac:dyDescent="0.2">
      <c r="A3339" s="9">
        <v>46253</v>
      </c>
      <c r="B3339" t="s">
        <v>306</v>
      </c>
      <c r="C3339" t="s">
        <v>307</v>
      </c>
      <c r="D3339" t="s">
        <v>36</v>
      </c>
      <c r="E3339" t="s">
        <v>647</v>
      </c>
      <c r="F3339" t="s">
        <v>648</v>
      </c>
      <c r="G3339" s="10">
        <v>7</v>
      </c>
      <c r="H3339" s="10">
        <v>16576</v>
      </c>
      <c r="I3339" s="10">
        <v>116032</v>
      </c>
      <c r="J3339" t="s">
        <v>37</v>
      </c>
      <c r="K3339" s="11">
        <v>648.20000000000005</v>
      </c>
      <c r="L3339" s="12">
        <v>179.01</v>
      </c>
    </row>
    <row r="3340" spans="1:12" x14ac:dyDescent="0.2">
      <c r="A3340" s="9">
        <v>46253</v>
      </c>
      <c r="B3340" t="s">
        <v>309</v>
      </c>
      <c r="C3340" t="s">
        <v>310</v>
      </c>
      <c r="D3340" t="s">
        <v>41</v>
      </c>
      <c r="E3340" t="s">
        <v>647</v>
      </c>
      <c r="F3340" t="s">
        <v>648</v>
      </c>
      <c r="G3340" s="10">
        <v>2</v>
      </c>
      <c r="H3340" s="10">
        <v>78119</v>
      </c>
      <c r="I3340" s="10">
        <v>156238</v>
      </c>
      <c r="J3340" t="s">
        <v>42</v>
      </c>
      <c r="K3340" s="11">
        <v>3145.8</v>
      </c>
      <c r="L3340" s="12">
        <v>49.67</v>
      </c>
    </row>
    <row r="3341" spans="1:12" x14ac:dyDescent="0.2">
      <c r="A3341" s="9">
        <v>46253</v>
      </c>
      <c r="B3341" t="s">
        <v>315</v>
      </c>
      <c r="C3341" t="s">
        <v>316</v>
      </c>
      <c r="D3341" t="s">
        <v>46</v>
      </c>
      <c r="E3341" t="s">
        <v>649</v>
      </c>
      <c r="F3341" t="s">
        <v>663</v>
      </c>
      <c r="G3341" s="10">
        <v>11</v>
      </c>
      <c r="H3341" s="10">
        <v>2076</v>
      </c>
      <c r="I3341" s="10">
        <v>22836</v>
      </c>
      <c r="J3341" t="s">
        <v>37</v>
      </c>
      <c r="K3341" s="11">
        <v>648.20000000000005</v>
      </c>
      <c r="L3341" s="12">
        <v>35.229999999999997</v>
      </c>
    </row>
    <row r="3342" spans="1:12" x14ac:dyDescent="0.2">
      <c r="A3342" s="9">
        <v>46253</v>
      </c>
      <c r="B3342" t="s">
        <v>315</v>
      </c>
      <c r="C3342" t="s">
        <v>316</v>
      </c>
      <c r="D3342" t="s">
        <v>46</v>
      </c>
      <c r="E3342" t="s">
        <v>647</v>
      </c>
      <c r="F3342" t="s">
        <v>648</v>
      </c>
      <c r="G3342" s="10">
        <v>16</v>
      </c>
      <c r="H3342" s="10">
        <v>16822</v>
      </c>
      <c r="I3342" s="10">
        <v>269152</v>
      </c>
      <c r="J3342" t="s">
        <v>37</v>
      </c>
      <c r="K3342" s="11">
        <v>648.20000000000005</v>
      </c>
      <c r="L3342" s="12">
        <v>415.23</v>
      </c>
    </row>
    <row r="3343" spans="1:12" x14ac:dyDescent="0.2">
      <c r="A3343" s="9">
        <v>46253</v>
      </c>
      <c r="B3343" t="s">
        <v>315</v>
      </c>
      <c r="C3343" t="s">
        <v>316</v>
      </c>
      <c r="D3343" t="s">
        <v>46</v>
      </c>
      <c r="E3343" t="s">
        <v>655</v>
      </c>
      <c r="F3343" t="s">
        <v>665</v>
      </c>
      <c r="G3343" s="10">
        <v>18</v>
      </c>
      <c r="H3343" s="10">
        <v>671</v>
      </c>
      <c r="I3343" s="10">
        <v>12078</v>
      </c>
      <c r="J3343" t="s">
        <v>37</v>
      </c>
      <c r="K3343" s="11">
        <v>648.20000000000005</v>
      </c>
      <c r="L3343" s="12">
        <v>18.63</v>
      </c>
    </row>
    <row r="3344" spans="1:12" x14ac:dyDescent="0.2">
      <c r="A3344" s="9">
        <v>46253</v>
      </c>
      <c r="B3344" t="s">
        <v>324</v>
      </c>
      <c r="C3344" t="s">
        <v>325</v>
      </c>
      <c r="D3344" t="s">
        <v>46</v>
      </c>
      <c r="E3344" t="s">
        <v>651</v>
      </c>
      <c r="F3344" t="s">
        <v>652</v>
      </c>
      <c r="G3344" s="10">
        <v>28</v>
      </c>
      <c r="H3344" s="10">
        <v>9277</v>
      </c>
      <c r="I3344" s="10">
        <v>259756</v>
      </c>
      <c r="J3344" t="s">
        <v>37</v>
      </c>
      <c r="K3344" s="11">
        <v>648.20000000000005</v>
      </c>
      <c r="L3344" s="12">
        <v>400.73</v>
      </c>
    </row>
    <row r="3345" spans="1:12" x14ac:dyDescent="0.2">
      <c r="A3345" s="9">
        <v>46253</v>
      </c>
      <c r="B3345" t="s">
        <v>324</v>
      </c>
      <c r="C3345" t="s">
        <v>325</v>
      </c>
      <c r="D3345" t="s">
        <v>46</v>
      </c>
      <c r="E3345" t="s">
        <v>655</v>
      </c>
      <c r="F3345" t="s">
        <v>665</v>
      </c>
      <c r="G3345" s="10">
        <v>3</v>
      </c>
      <c r="H3345" s="10">
        <v>688</v>
      </c>
      <c r="I3345" s="10">
        <v>2064</v>
      </c>
      <c r="J3345" t="s">
        <v>37</v>
      </c>
      <c r="K3345" s="11">
        <v>648.20000000000005</v>
      </c>
      <c r="L3345" s="12">
        <v>3.18</v>
      </c>
    </row>
    <row r="3346" spans="1:12" x14ac:dyDescent="0.2">
      <c r="A3346" s="9">
        <v>46253</v>
      </c>
      <c r="B3346" t="s">
        <v>333</v>
      </c>
      <c r="C3346" t="s">
        <v>334</v>
      </c>
      <c r="D3346" t="s">
        <v>68</v>
      </c>
      <c r="E3346" t="s">
        <v>653</v>
      </c>
      <c r="F3346" t="s">
        <v>658</v>
      </c>
      <c r="G3346" s="10">
        <v>17</v>
      </c>
      <c r="H3346" s="10">
        <v>2686</v>
      </c>
      <c r="I3346" s="10">
        <v>45662</v>
      </c>
      <c r="J3346" t="s">
        <v>51</v>
      </c>
      <c r="K3346" s="11">
        <v>648.20000000000005</v>
      </c>
      <c r="L3346" s="12">
        <v>70.44</v>
      </c>
    </row>
    <row r="3347" spans="1:12" x14ac:dyDescent="0.2">
      <c r="A3347" s="9">
        <v>46253</v>
      </c>
      <c r="B3347" t="s">
        <v>333</v>
      </c>
      <c r="C3347" t="s">
        <v>334</v>
      </c>
      <c r="D3347" t="s">
        <v>68</v>
      </c>
      <c r="E3347" t="s">
        <v>649</v>
      </c>
      <c r="F3347" t="s">
        <v>659</v>
      </c>
      <c r="G3347" s="10">
        <v>24</v>
      </c>
      <c r="H3347" s="10">
        <v>8738</v>
      </c>
      <c r="I3347" s="10">
        <v>209712</v>
      </c>
      <c r="J3347" t="s">
        <v>51</v>
      </c>
      <c r="K3347" s="11">
        <v>648.20000000000005</v>
      </c>
      <c r="L3347" s="12">
        <v>323.52999999999997</v>
      </c>
    </row>
    <row r="3348" spans="1:12" x14ac:dyDescent="0.2">
      <c r="A3348" s="9">
        <v>46253</v>
      </c>
      <c r="B3348" t="s">
        <v>336</v>
      </c>
      <c r="C3348" t="s">
        <v>337</v>
      </c>
      <c r="D3348" t="s">
        <v>68</v>
      </c>
      <c r="E3348" t="s">
        <v>653</v>
      </c>
      <c r="F3348" t="s">
        <v>658</v>
      </c>
      <c r="G3348" s="10">
        <v>10</v>
      </c>
      <c r="H3348" s="10">
        <v>2752</v>
      </c>
      <c r="I3348" s="10">
        <v>27520</v>
      </c>
      <c r="J3348" t="s">
        <v>51</v>
      </c>
      <c r="K3348" s="11">
        <v>648.20000000000005</v>
      </c>
      <c r="L3348" s="12">
        <v>42.46</v>
      </c>
    </row>
    <row r="3349" spans="1:12" x14ac:dyDescent="0.2">
      <c r="A3349" s="9">
        <v>46253</v>
      </c>
      <c r="B3349" t="s">
        <v>339</v>
      </c>
      <c r="C3349" t="s">
        <v>340</v>
      </c>
      <c r="D3349" t="s">
        <v>68</v>
      </c>
      <c r="E3349" t="s">
        <v>649</v>
      </c>
      <c r="F3349" t="s">
        <v>663</v>
      </c>
      <c r="G3349" s="10">
        <v>10</v>
      </c>
      <c r="H3349" s="10">
        <v>2037</v>
      </c>
      <c r="I3349" s="10">
        <v>20370</v>
      </c>
      <c r="J3349" t="s">
        <v>51</v>
      </c>
      <c r="K3349" s="11">
        <v>648.20000000000005</v>
      </c>
      <c r="L3349" s="12">
        <v>31.43</v>
      </c>
    </row>
    <row r="3350" spans="1:12" x14ac:dyDescent="0.2">
      <c r="A3350" s="9">
        <v>46253</v>
      </c>
      <c r="B3350" t="s">
        <v>339</v>
      </c>
      <c r="C3350" t="s">
        <v>340</v>
      </c>
      <c r="D3350" t="s">
        <v>68</v>
      </c>
      <c r="E3350" t="s">
        <v>647</v>
      </c>
      <c r="F3350" t="s">
        <v>648</v>
      </c>
      <c r="G3350" s="10">
        <v>26</v>
      </c>
      <c r="H3350" s="10">
        <v>15865</v>
      </c>
      <c r="I3350" s="10">
        <v>412490</v>
      </c>
      <c r="J3350" t="s">
        <v>51</v>
      </c>
      <c r="K3350" s="11">
        <v>648.20000000000005</v>
      </c>
      <c r="L3350" s="12">
        <v>636.36</v>
      </c>
    </row>
    <row r="3351" spans="1:12" x14ac:dyDescent="0.2">
      <c r="A3351" s="9">
        <v>46253</v>
      </c>
      <c r="B3351" t="s">
        <v>342</v>
      </c>
      <c r="C3351" t="s">
        <v>343</v>
      </c>
      <c r="D3351" t="s">
        <v>41</v>
      </c>
      <c r="E3351" t="s">
        <v>660</v>
      </c>
      <c r="F3351" t="s">
        <v>661</v>
      </c>
      <c r="G3351" s="10">
        <v>7</v>
      </c>
      <c r="H3351" s="10">
        <v>20414</v>
      </c>
      <c r="I3351" s="10">
        <v>142898</v>
      </c>
      <c r="J3351" t="s">
        <v>42</v>
      </c>
      <c r="K3351" s="11">
        <v>3145.8</v>
      </c>
      <c r="L3351" s="12">
        <v>45.43</v>
      </c>
    </row>
    <row r="3352" spans="1:12" x14ac:dyDescent="0.2">
      <c r="A3352" s="9">
        <v>46253</v>
      </c>
      <c r="B3352" t="s">
        <v>342</v>
      </c>
      <c r="C3352" t="s">
        <v>343</v>
      </c>
      <c r="D3352" t="s">
        <v>41</v>
      </c>
      <c r="E3352" t="s">
        <v>655</v>
      </c>
      <c r="F3352" t="s">
        <v>665</v>
      </c>
      <c r="G3352" s="10">
        <v>11</v>
      </c>
      <c r="H3352" s="10">
        <v>3309</v>
      </c>
      <c r="I3352" s="10">
        <v>36399</v>
      </c>
      <c r="J3352" t="s">
        <v>42</v>
      </c>
      <c r="K3352" s="11">
        <v>3145.8</v>
      </c>
      <c r="L3352" s="12">
        <v>11.57</v>
      </c>
    </row>
    <row r="3353" spans="1:12" x14ac:dyDescent="0.2">
      <c r="A3353" s="9">
        <v>46253</v>
      </c>
      <c r="B3353" t="s">
        <v>348</v>
      </c>
      <c r="C3353" t="s">
        <v>349</v>
      </c>
      <c r="D3353" t="s">
        <v>36</v>
      </c>
      <c r="E3353" t="s">
        <v>653</v>
      </c>
      <c r="F3353" t="s">
        <v>666</v>
      </c>
      <c r="G3353" s="10">
        <v>9</v>
      </c>
      <c r="H3353" s="10">
        <v>1455</v>
      </c>
      <c r="I3353" s="10">
        <v>13095</v>
      </c>
      <c r="J3353" t="s">
        <v>37</v>
      </c>
      <c r="K3353" s="11">
        <v>648.20000000000005</v>
      </c>
      <c r="L3353" s="12">
        <v>20.2</v>
      </c>
    </row>
    <row r="3354" spans="1:12" x14ac:dyDescent="0.2">
      <c r="A3354" s="9">
        <v>46253</v>
      </c>
      <c r="B3354" t="s">
        <v>348</v>
      </c>
      <c r="C3354" t="s">
        <v>349</v>
      </c>
      <c r="D3354" t="s">
        <v>36</v>
      </c>
      <c r="E3354" t="s">
        <v>655</v>
      </c>
      <c r="F3354" t="s">
        <v>656</v>
      </c>
      <c r="G3354" s="10">
        <v>39</v>
      </c>
      <c r="H3354" s="10">
        <v>578</v>
      </c>
      <c r="I3354" s="10">
        <v>22542</v>
      </c>
      <c r="J3354" t="s">
        <v>37</v>
      </c>
      <c r="K3354" s="11">
        <v>648.20000000000005</v>
      </c>
      <c r="L3354" s="12">
        <v>34.78</v>
      </c>
    </row>
    <row r="3355" spans="1:12" x14ac:dyDescent="0.2">
      <c r="A3355" s="9">
        <v>46253</v>
      </c>
      <c r="B3355" t="s">
        <v>351</v>
      </c>
      <c r="C3355" t="s">
        <v>352</v>
      </c>
      <c r="D3355" t="s">
        <v>41</v>
      </c>
      <c r="E3355" t="s">
        <v>660</v>
      </c>
      <c r="F3355" t="s">
        <v>669</v>
      </c>
      <c r="G3355" s="10">
        <v>1</v>
      </c>
      <c r="H3355" s="10">
        <v>12443</v>
      </c>
      <c r="I3355" s="10">
        <v>12443</v>
      </c>
      <c r="J3355" t="s">
        <v>42</v>
      </c>
      <c r="K3355" s="11">
        <v>3145.8</v>
      </c>
      <c r="L3355" s="12">
        <v>3.96</v>
      </c>
    </row>
    <row r="3356" spans="1:12" x14ac:dyDescent="0.2">
      <c r="A3356" s="9">
        <v>46253</v>
      </c>
      <c r="B3356" t="s">
        <v>357</v>
      </c>
      <c r="C3356" t="s">
        <v>358</v>
      </c>
      <c r="D3356" t="s">
        <v>36</v>
      </c>
      <c r="E3356" t="s">
        <v>647</v>
      </c>
      <c r="F3356" t="s">
        <v>648</v>
      </c>
      <c r="G3356" s="10">
        <v>7</v>
      </c>
      <c r="H3356" s="10">
        <v>15990</v>
      </c>
      <c r="I3356" s="10">
        <v>111930</v>
      </c>
      <c r="J3356" t="s">
        <v>37</v>
      </c>
      <c r="K3356" s="11">
        <v>648.20000000000005</v>
      </c>
      <c r="L3356" s="12">
        <v>172.68</v>
      </c>
    </row>
    <row r="3357" spans="1:12" x14ac:dyDescent="0.2">
      <c r="A3357" s="9">
        <v>46253</v>
      </c>
      <c r="B3357" t="s">
        <v>357</v>
      </c>
      <c r="C3357" t="s">
        <v>358</v>
      </c>
      <c r="D3357" t="s">
        <v>36</v>
      </c>
      <c r="E3357" t="s">
        <v>647</v>
      </c>
      <c r="F3357" t="s">
        <v>667</v>
      </c>
      <c r="G3357" s="10">
        <v>24</v>
      </c>
      <c r="H3357" s="10">
        <v>7542</v>
      </c>
      <c r="I3357" s="10">
        <v>181008</v>
      </c>
      <c r="J3357" t="s">
        <v>37</v>
      </c>
      <c r="K3357" s="11">
        <v>648.20000000000005</v>
      </c>
      <c r="L3357" s="12">
        <v>279.25</v>
      </c>
    </row>
    <row r="3358" spans="1:12" x14ac:dyDescent="0.2">
      <c r="A3358" s="9">
        <v>46253</v>
      </c>
      <c r="B3358" t="s">
        <v>363</v>
      </c>
      <c r="C3358" t="s">
        <v>364</v>
      </c>
      <c r="D3358" t="s">
        <v>46</v>
      </c>
      <c r="E3358" t="s">
        <v>660</v>
      </c>
      <c r="F3358" t="s">
        <v>669</v>
      </c>
      <c r="G3358" s="10">
        <v>51</v>
      </c>
      <c r="H3358" s="10">
        <v>2615</v>
      </c>
      <c r="I3358" s="10">
        <v>133365</v>
      </c>
      <c r="J3358" t="s">
        <v>37</v>
      </c>
      <c r="K3358" s="11">
        <v>648.20000000000005</v>
      </c>
      <c r="L3358" s="12">
        <v>205.75</v>
      </c>
    </row>
    <row r="3359" spans="1:12" x14ac:dyDescent="0.2">
      <c r="A3359" s="9">
        <v>46253</v>
      </c>
      <c r="B3359" t="s">
        <v>363</v>
      </c>
      <c r="C3359" t="s">
        <v>364</v>
      </c>
      <c r="D3359" t="s">
        <v>46</v>
      </c>
      <c r="E3359" t="s">
        <v>660</v>
      </c>
      <c r="F3359" t="s">
        <v>670</v>
      </c>
      <c r="G3359" s="10">
        <v>63</v>
      </c>
      <c r="H3359" s="10">
        <v>14414</v>
      </c>
      <c r="I3359" s="10">
        <v>908082</v>
      </c>
      <c r="J3359" t="s">
        <v>37</v>
      </c>
      <c r="K3359" s="11">
        <v>648.20000000000005</v>
      </c>
      <c r="L3359" s="12">
        <v>1400.93</v>
      </c>
    </row>
    <row r="3360" spans="1:12" x14ac:dyDescent="0.2">
      <c r="A3360" s="9">
        <v>46253</v>
      </c>
      <c r="B3360" t="s">
        <v>363</v>
      </c>
      <c r="C3360" t="s">
        <v>364</v>
      </c>
      <c r="D3360" t="s">
        <v>46</v>
      </c>
      <c r="E3360" t="s">
        <v>655</v>
      </c>
      <c r="F3360" t="s">
        <v>656</v>
      </c>
      <c r="G3360" s="10">
        <v>18</v>
      </c>
      <c r="H3360" s="10">
        <v>573</v>
      </c>
      <c r="I3360" s="10">
        <v>10314</v>
      </c>
      <c r="J3360" t="s">
        <v>37</v>
      </c>
      <c r="K3360" s="11">
        <v>648.20000000000005</v>
      </c>
      <c r="L3360" s="12">
        <v>15.91</v>
      </c>
    </row>
    <row r="3361" spans="1:12" x14ac:dyDescent="0.2">
      <c r="A3361" s="9">
        <v>46253</v>
      </c>
      <c r="B3361" t="s">
        <v>363</v>
      </c>
      <c r="C3361" t="s">
        <v>364</v>
      </c>
      <c r="D3361" t="s">
        <v>46</v>
      </c>
      <c r="E3361" t="s">
        <v>651</v>
      </c>
      <c r="F3361" t="s">
        <v>657</v>
      </c>
      <c r="G3361" s="10">
        <v>101</v>
      </c>
      <c r="H3361" s="10">
        <v>6377</v>
      </c>
      <c r="I3361" s="10">
        <v>644077</v>
      </c>
      <c r="J3361" t="s">
        <v>37</v>
      </c>
      <c r="K3361" s="11">
        <v>648.20000000000005</v>
      </c>
      <c r="L3361" s="12">
        <v>993.64</v>
      </c>
    </row>
    <row r="3362" spans="1:12" x14ac:dyDescent="0.2">
      <c r="A3362" s="9">
        <v>46253</v>
      </c>
      <c r="B3362" t="s">
        <v>369</v>
      </c>
      <c r="C3362" t="s">
        <v>370</v>
      </c>
      <c r="D3362" t="s">
        <v>36</v>
      </c>
      <c r="E3362" t="s">
        <v>647</v>
      </c>
      <c r="F3362" t="s">
        <v>668</v>
      </c>
      <c r="G3362" s="10">
        <v>14</v>
      </c>
      <c r="H3362" s="10">
        <v>25641</v>
      </c>
      <c r="I3362" s="10">
        <v>358974</v>
      </c>
      <c r="J3362" t="s">
        <v>37</v>
      </c>
      <c r="K3362" s="11">
        <v>648.20000000000005</v>
      </c>
      <c r="L3362" s="12">
        <v>553.79999999999995</v>
      </c>
    </row>
    <row r="3363" spans="1:12" x14ac:dyDescent="0.2">
      <c r="A3363" s="9">
        <v>46253</v>
      </c>
      <c r="B3363" t="s">
        <v>378</v>
      </c>
      <c r="C3363" t="s">
        <v>379</v>
      </c>
      <c r="D3363" t="s">
        <v>50</v>
      </c>
      <c r="E3363" t="s">
        <v>660</v>
      </c>
      <c r="F3363" t="s">
        <v>669</v>
      </c>
      <c r="G3363" s="10">
        <v>6</v>
      </c>
      <c r="H3363" s="10">
        <v>2484</v>
      </c>
      <c r="I3363" s="10">
        <v>14904</v>
      </c>
      <c r="J3363" t="s">
        <v>51</v>
      </c>
      <c r="K3363" s="11">
        <v>648.20000000000005</v>
      </c>
      <c r="L3363" s="12">
        <v>22.99</v>
      </c>
    </row>
    <row r="3364" spans="1:12" x14ac:dyDescent="0.2">
      <c r="A3364" s="9">
        <v>46253</v>
      </c>
      <c r="B3364" t="s">
        <v>381</v>
      </c>
      <c r="C3364" t="s">
        <v>382</v>
      </c>
      <c r="D3364" t="s">
        <v>36</v>
      </c>
      <c r="E3364" t="s">
        <v>647</v>
      </c>
      <c r="F3364" t="s">
        <v>668</v>
      </c>
      <c r="G3364" s="10">
        <v>12</v>
      </c>
      <c r="H3364" s="10">
        <v>24807</v>
      </c>
      <c r="I3364" s="10">
        <v>297684</v>
      </c>
      <c r="J3364" t="s">
        <v>37</v>
      </c>
      <c r="K3364" s="11">
        <v>648.20000000000005</v>
      </c>
      <c r="L3364" s="12">
        <v>459.25</v>
      </c>
    </row>
    <row r="3365" spans="1:12" x14ac:dyDescent="0.2">
      <c r="A3365" s="9">
        <v>46253</v>
      </c>
      <c r="B3365" t="s">
        <v>381</v>
      </c>
      <c r="C3365" t="s">
        <v>382</v>
      </c>
      <c r="D3365" t="s">
        <v>36</v>
      </c>
      <c r="E3365" t="s">
        <v>647</v>
      </c>
      <c r="F3365" t="s">
        <v>667</v>
      </c>
      <c r="G3365" s="10">
        <v>34</v>
      </c>
      <c r="H3365" s="10">
        <v>7077</v>
      </c>
      <c r="I3365" s="10">
        <v>240618</v>
      </c>
      <c r="J3365" t="s">
        <v>37</v>
      </c>
      <c r="K3365" s="11">
        <v>648.20000000000005</v>
      </c>
      <c r="L3365" s="12">
        <v>371.21</v>
      </c>
    </row>
    <row r="3366" spans="1:12" x14ac:dyDescent="0.2">
      <c r="A3366" s="9">
        <v>46253</v>
      </c>
      <c r="B3366" t="s">
        <v>384</v>
      </c>
      <c r="C3366" t="s">
        <v>385</v>
      </c>
      <c r="D3366" t="s">
        <v>46</v>
      </c>
      <c r="E3366" t="s">
        <v>660</v>
      </c>
      <c r="F3366" t="s">
        <v>670</v>
      </c>
      <c r="G3366" s="10">
        <v>5</v>
      </c>
      <c r="H3366" s="10">
        <v>15033</v>
      </c>
      <c r="I3366" s="10">
        <v>75165</v>
      </c>
      <c r="J3366" t="s">
        <v>37</v>
      </c>
      <c r="K3366" s="11">
        <v>648.20000000000005</v>
      </c>
      <c r="L3366" s="12">
        <v>115.96</v>
      </c>
    </row>
    <row r="3367" spans="1:12" x14ac:dyDescent="0.2">
      <c r="A3367" s="9">
        <v>46253</v>
      </c>
      <c r="B3367" t="s">
        <v>384</v>
      </c>
      <c r="C3367" t="s">
        <v>385</v>
      </c>
      <c r="D3367" t="s">
        <v>46</v>
      </c>
      <c r="E3367" t="s">
        <v>655</v>
      </c>
      <c r="F3367" t="s">
        <v>656</v>
      </c>
      <c r="G3367" s="10">
        <v>18</v>
      </c>
      <c r="H3367" s="10">
        <v>580</v>
      </c>
      <c r="I3367" s="10">
        <v>10440</v>
      </c>
      <c r="J3367" t="s">
        <v>37</v>
      </c>
      <c r="K3367" s="11">
        <v>648.20000000000005</v>
      </c>
      <c r="L3367" s="12">
        <v>16.11</v>
      </c>
    </row>
    <row r="3368" spans="1:12" x14ac:dyDescent="0.2">
      <c r="A3368" s="9">
        <v>46253</v>
      </c>
      <c r="B3368" t="s">
        <v>387</v>
      </c>
      <c r="C3368" t="s">
        <v>388</v>
      </c>
      <c r="D3368" t="s">
        <v>50</v>
      </c>
      <c r="E3368" t="s">
        <v>660</v>
      </c>
      <c r="F3368" t="s">
        <v>661</v>
      </c>
      <c r="G3368" s="10">
        <v>6</v>
      </c>
      <c r="H3368" s="10">
        <v>4220</v>
      </c>
      <c r="I3368" s="10">
        <v>25320</v>
      </c>
      <c r="J3368" t="s">
        <v>51</v>
      </c>
      <c r="K3368" s="11">
        <v>648.20000000000005</v>
      </c>
      <c r="L3368" s="12">
        <v>39.06</v>
      </c>
    </row>
    <row r="3369" spans="1:12" x14ac:dyDescent="0.2">
      <c r="A3369" s="9">
        <v>46253</v>
      </c>
      <c r="B3369" t="s">
        <v>393</v>
      </c>
      <c r="C3369" t="s">
        <v>307</v>
      </c>
      <c r="D3369" t="s">
        <v>68</v>
      </c>
      <c r="E3369" t="s">
        <v>653</v>
      </c>
      <c r="F3369" t="s">
        <v>666</v>
      </c>
      <c r="G3369" s="10">
        <v>48</v>
      </c>
      <c r="H3369" s="10">
        <v>1487</v>
      </c>
      <c r="I3369" s="10">
        <v>71376</v>
      </c>
      <c r="J3369" t="s">
        <v>51</v>
      </c>
      <c r="K3369" s="11">
        <v>648.20000000000005</v>
      </c>
      <c r="L3369" s="12">
        <v>110.11</v>
      </c>
    </row>
    <row r="3370" spans="1:12" x14ac:dyDescent="0.2">
      <c r="A3370" s="9">
        <v>46253</v>
      </c>
      <c r="B3370" t="s">
        <v>398</v>
      </c>
      <c r="C3370" t="s">
        <v>399</v>
      </c>
      <c r="D3370" t="s">
        <v>46</v>
      </c>
      <c r="E3370" t="s">
        <v>653</v>
      </c>
      <c r="F3370" t="s">
        <v>658</v>
      </c>
      <c r="G3370" s="10">
        <v>14</v>
      </c>
      <c r="H3370" s="10">
        <v>2619</v>
      </c>
      <c r="I3370" s="10">
        <v>36666</v>
      </c>
      <c r="J3370" t="s">
        <v>37</v>
      </c>
      <c r="K3370" s="11">
        <v>648.20000000000005</v>
      </c>
      <c r="L3370" s="12">
        <v>56.57</v>
      </c>
    </row>
    <row r="3371" spans="1:12" x14ac:dyDescent="0.2">
      <c r="A3371" s="9">
        <v>46253</v>
      </c>
      <c r="B3371" t="s">
        <v>398</v>
      </c>
      <c r="C3371" t="s">
        <v>399</v>
      </c>
      <c r="D3371" t="s">
        <v>46</v>
      </c>
      <c r="E3371" t="s">
        <v>660</v>
      </c>
      <c r="F3371" t="s">
        <v>669</v>
      </c>
      <c r="G3371" s="10">
        <v>36</v>
      </c>
      <c r="H3371" s="10">
        <v>2678</v>
      </c>
      <c r="I3371" s="10">
        <v>96408</v>
      </c>
      <c r="J3371" t="s">
        <v>37</v>
      </c>
      <c r="K3371" s="11">
        <v>648.20000000000005</v>
      </c>
      <c r="L3371" s="12">
        <v>148.72999999999999</v>
      </c>
    </row>
    <row r="3372" spans="1:12" x14ac:dyDescent="0.2">
      <c r="A3372" s="9">
        <v>46253</v>
      </c>
      <c r="B3372" t="s">
        <v>398</v>
      </c>
      <c r="C3372" t="s">
        <v>399</v>
      </c>
      <c r="D3372" t="s">
        <v>46</v>
      </c>
      <c r="E3372" t="s">
        <v>653</v>
      </c>
      <c r="F3372" t="s">
        <v>654</v>
      </c>
      <c r="G3372" s="10">
        <v>22</v>
      </c>
      <c r="H3372" s="10">
        <v>5688</v>
      </c>
      <c r="I3372" s="10">
        <v>125136</v>
      </c>
      <c r="J3372" t="s">
        <v>37</v>
      </c>
      <c r="K3372" s="11">
        <v>648.20000000000005</v>
      </c>
      <c r="L3372" s="12">
        <v>193.05</v>
      </c>
    </row>
    <row r="3373" spans="1:12" x14ac:dyDescent="0.2">
      <c r="A3373" s="9">
        <v>46253</v>
      </c>
      <c r="B3373" t="s">
        <v>398</v>
      </c>
      <c r="C3373" t="s">
        <v>399</v>
      </c>
      <c r="D3373" t="s">
        <v>46</v>
      </c>
      <c r="E3373" t="s">
        <v>651</v>
      </c>
      <c r="F3373" t="s">
        <v>664</v>
      </c>
      <c r="G3373" s="10">
        <v>8</v>
      </c>
      <c r="H3373" s="10">
        <v>11949</v>
      </c>
      <c r="I3373" s="10">
        <v>95592</v>
      </c>
      <c r="J3373" t="s">
        <v>37</v>
      </c>
      <c r="K3373" s="11">
        <v>648.20000000000005</v>
      </c>
      <c r="L3373" s="12">
        <v>147.47</v>
      </c>
    </row>
    <row r="3374" spans="1:12" x14ac:dyDescent="0.2">
      <c r="A3374" s="9">
        <v>46253</v>
      </c>
      <c r="B3374" t="s">
        <v>401</v>
      </c>
      <c r="C3374" t="s">
        <v>402</v>
      </c>
      <c r="D3374" t="s">
        <v>36</v>
      </c>
      <c r="E3374" t="s">
        <v>649</v>
      </c>
      <c r="F3374" t="s">
        <v>663</v>
      </c>
      <c r="G3374" s="10">
        <v>5</v>
      </c>
      <c r="H3374" s="10">
        <v>2065</v>
      </c>
      <c r="I3374" s="10">
        <v>10325</v>
      </c>
      <c r="J3374" t="s">
        <v>37</v>
      </c>
      <c r="K3374" s="11">
        <v>648.20000000000005</v>
      </c>
      <c r="L3374" s="12">
        <v>15.93</v>
      </c>
    </row>
    <row r="3375" spans="1:12" x14ac:dyDescent="0.2">
      <c r="A3375" s="9">
        <v>46253</v>
      </c>
      <c r="B3375" t="s">
        <v>401</v>
      </c>
      <c r="C3375" t="s">
        <v>402</v>
      </c>
      <c r="D3375" t="s">
        <v>36</v>
      </c>
      <c r="E3375" t="s">
        <v>660</v>
      </c>
      <c r="F3375" t="s">
        <v>669</v>
      </c>
      <c r="G3375" s="10">
        <v>14</v>
      </c>
      <c r="H3375" s="10">
        <v>2666</v>
      </c>
      <c r="I3375" s="10">
        <v>37324</v>
      </c>
      <c r="J3375" t="s">
        <v>37</v>
      </c>
      <c r="K3375" s="11">
        <v>648.20000000000005</v>
      </c>
      <c r="L3375" s="12">
        <v>57.58</v>
      </c>
    </row>
    <row r="3376" spans="1:12" x14ac:dyDescent="0.2">
      <c r="A3376" s="9">
        <v>46253</v>
      </c>
      <c r="B3376" t="s">
        <v>407</v>
      </c>
      <c r="C3376" t="s">
        <v>408</v>
      </c>
      <c r="D3376" t="s">
        <v>75</v>
      </c>
      <c r="E3376" t="s">
        <v>649</v>
      </c>
      <c r="F3376" t="s">
        <v>659</v>
      </c>
      <c r="G3376" s="10">
        <v>7</v>
      </c>
      <c r="H3376" s="10">
        <v>43061</v>
      </c>
      <c r="I3376" s="10">
        <v>301427</v>
      </c>
      <c r="J3376" t="s">
        <v>42</v>
      </c>
      <c r="K3376" s="11">
        <v>3145.8</v>
      </c>
      <c r="L3376" s="12">
        <v>95.82</v>
      </c>
    </row>
    <row r="3377" spans="1:12" x14ac:dyDescent="0.2">
      <c r="A3377" s="9">
        <v>46253</v>
      </c>
      <c r="B3377" t="s">
        <v>407</v>
      </c>
      <c r="C3377" t="s">
        <v>408</v>
      </c>
      <c r="D3377" t="s">
        <v>75</v>
      </c>
      <c r="E3377" t="s">
        <v>660</v>
      </c>
      <c r="F3377" t="s">
        <v>669</v>
      </c>
      <c r="G3377" s="10">
        <v>2</v>
      </c>
      <c r="H3377" s="10">
        <v>12791</v>
      </c>
      <c r="I3377" s="10">
        <v>25582</v>
      </c>
      <c r="J3377" t="s">
        <v>42</v>
      </c>
      <c r="K3377" s="11">
        <v>3145.8</v>
      </c>
      <c r="L3377" s="12">
        <v>8.1300000000000008</v>
      </c>
    </row>
    <row r="3378" spans="1:12" x14ac:dyDescent="0.2">
      <c r="A3378" s="9">
        <v>46253</v>
      </c>
      <c r="B3378" t="s">
        <v>407</v>
      </c>
      <c r="C3378" t="s">
        <v>408</v>
      </c>
      <c r="D3378" t="s">
        <v>75</v>
      </c>
      <c r="E3378" t="s">
        <v>660</v>
      </c>
      <c r="F3378" t="s">
        <v>669</v>
      </c>
      <c r="G3378" s="10">
        <v>4</v>
      </c>
      <c r="H3378" s="10">
        <v>12659</v>
      </c>
      <c r="I3378" s="10">
        <v>50636</v>
      </c>
      <c r="J3378" t="s">
        <v>42</v>
      </c>
      <c r="K3378" s="11">
        <v>3145.8</v>
      </c>
      <c r="L3378" s="12">
        <v>16.100000000000001</v>
      </c>
    </row>
    <row r="3379" spans="1:12" x14ac:dyDescent="0.2">
      <c r="A3379" s="9">
        <v>46253</v>
      </c>
      <c r="B3379" t="s">
        <v>410</v>
      </c>
      <c r="C3379" t="s">
        <v>411</v>
      </c>
      <c r="D3379" t="s">
        <v>46</v>
      </c>
      <c r="E3379" t="s">
        <v>649</v>
      </c>
      <c r="F3379" t="s">
        <v>659</v>
      </c>
      <c r="G3379" s="10">
        <v>8</v>
      </c>
      <c r="H3379" s="10">
        <v>8556</v>
      </c>
      <c r="I3379" s="10">
        <v>68448</v>
      </c>
      <c r="J3379" t="s">
        <v>37</v>
      </c>
      <c r="K3379" s="11">
        <v>648.20000000000005</v>
      </c>
      <c r="L3379" s="12">
        <v>105.6</v>
      </c>
    </row>
    <row r="3380" spans="1:12" x14ac:dyDescent="0.2">
      <c r="A3380" s="9">
        <v>46253</v>
      </c>
      <c r="B3380" t="s">
        <v>410</v>
      </c>
      <c r="C3380" t="s">
        <v>411</v>
      </c>
      <c r="D3380" t="s">
        <v>46</v>
      </c>
      <c r="E3380" t="s">
        <v>647</v>
      </c>
      <c r="F3380" t="s">
        <v>668</v>
      </c>
      <c r="G3380" s="10">
        <v>6</v>
      </c>
      <c r="H3380" s="10">
        <v>24747</v>
      </c>
      <c r="I3380" s="10">
        <v>148482</v>
      </c>
      <c r="J3380" t="s">
        <v>37</v>
      </c>
      <c r="K3380" s="11">
        <v>648.20000000000005</v>
      </c>
      <c r="L3380" s="12">
        <v>229.07</v>
      </c>
    </row>
    <row r="3381" spans="1:12" x14ac:dyDescent="0.2">
      <c r="A3381" s="9">
        <v>46253</v>
      </c>
      <c r="B3381" t="s">
        <v>410</v>
      </c>
      <c r="C3381" t="s">
        <v>411</v>
      </c>
      <c r="D3381" t="s">
        <v>46</v>
      </c>
      <c r="E3381" t="s">
        <v>647</v>
      </c>
      <c r="F3381" t="s">
        <v>668</v>
      </c>
      <c r="G3381" s="10">
        <v>15</v>
      </c>
      <c r="H3381" s="10">
        <v>24541</v>
      </c>
      <c r="I3381" s="10">
        <v>368115</v>
      </c>
      <c r="J3381" t="s">
        <v>37</v>
      </c>
      <c r="K3381" s="11">
        <v>648.20000000000005</v>
      </c>
      <c r="L3381" s="12">
        <v>567.9</v>
      </c>
    </row>
    <row r="3382" spans="1:12" x14ac:dyDescent="0.2">
      <c r="A3382" s="9">
        <v>46253</v>
      </c>
      <c r="B3382" t="s">
        <v>425</v>
      </c>
      <c r="C3382" t="s">
        <v>426</v>
      </c>
      <c r="D3382" t="s">
        <v>50</v>
      </c>
      <c r="E3382" t="s">
        <v>647</v>
      </c>
      <c r="F3382" t="s">
        <v>667</v>
      </c>
      <c r="G3382" s="10">
        <v>16</v>
      </c>
      <c r="H3382" s="10">
        <v>7512</v>
      </c>
      <c r="I3382" s="10">
        <v>120192</v>
      </c>
      <c r="J3382" t="s">
        <v>51</v>
      </c>
      <c r="K3382" s="11">
        <v>648.20000000000005</v>
      </c>
      <c r="L3382" s="12">
        <v>185.42</v>
      </c>
    </row>
    <row r="3383" spans="1:12" x14ac:dyDescent="0.2">
      <c r="A3383" s="9">
        <v>46253</v>
      </c>
      <c r="B3383" t="s">
        <v>431</v>
      </c>
      <c r="C3383" t="s">
        <v>432</v>
      </c>
      <c r="D3383" t="s">
        <v>36</v>
      </c>
      <c r="E3383" t="s">
        <v>660</v>
      </c>
      <c r="F3383" t="s">
        <v>669</v>
      </c>
      <c r="G3383" s="10">
        <v>7</v>
      </c>
      <c r="H3383" s="10">
        <v>2484</v>
      </c>
      <c r="I3383" s="10">
        <v>17388</v>
      </c>
      <c r="J3383" t="s">
        <v>37</v>
      </c>
      <c r="K3383" s="11">
        <v>648.20000000000005</v>
      </c>
      <c r="L3383" s="12">
        <v>26.83</v>
      </c>
    </row>
    <row r="3384" spans="1:12" x14ac:dyDescent="0.2">
      <c r="A3384" s="9">
        <v>46253</v>
      </c>
      <c r="B3384" t="s">
        <v>434</v>
      </c>
      <c r="C3384" t="s">
        <v>176</v>
      </c>
      <c r="D3384" t="s">
        <v>46</v>
      </c>
      <c r="E3384" t="s">
        <v>655</v>
      </c>
      <c r="F3384" t="s">
        <v>662</v>
      </c>
      <c r="G3384" s="10">
        <v>24</v>
      </c>
      <c r="H3384" s="10">
        <v>1104</v>
      </c>
      <c r="I3384" s="10">
        <v>26496</v>
      </c>
      <c r="J3384" t="s">
        <v>37</v>
      </c>
      <c r="K3384" s="11">
        <v>648.20000000000005</v>
      </c>
      <c r="L3384" s="12">
        <v>40.880000000000003</v>
      </c>
    </row>
    <row r="3385" spans="1:12" x14ac:dyDescent="0.2">
      <c r="A3385" s="9">
        <v>46253</v>
      </c>
      <c r="B3385" t="s">
        <v>434</v>
      </c>
      <c r="C3385" t="s">
        <v>176</v>
      </c>
      <c r="D3385" t="s">
        <v>46</v>
      </c>
      <c r="E3385" t="s">
        <v>655</v>
      </c>
      <c r="F3385" t="s">
        <v>662</v>
      </c>
      <c r="G3385" s="10">
        <v>4</v>
      </c>
      <c r="H3385" s="10">
        <v>1086</v>
      </c>
      <c r="I3385" s="10">
        <v>4344</v>
      </c>
      <c r="J3385" t="s">
        <v>37</v>
      </c>
      <c r="K3385" s="11">
        <v>648.20000000000005</v>
      </c>
      <c r="L3385" s="12">
        <v>6.7</v>
      </c>
    </row>
    <row r="3386" spans="1:12" x14ac:dyDescent="0.2">
      <c r="A3386" s="9">
        <v>46253</v>
      </c>
      <c r="B3386" t="s">
        <v>439</v>
      </c>
      <c r="C3386" t="s">
        <v>440</v>
      </c>
      <c r="D3386" t="s">
        <v>50</v>
      </c>
      <c r="E3386" t="s">
        <v>655</v>
      </c>
      <c r="F3386" t="s">
        <v>665</v>
      </c>
      <c r="G3386" s="10">
        <v>5</v>
      </c>
      <c r="H3386" s="10">
        <v>709</v>
      </c>
      <c r="I3386" s="10">
        <v>3545</v>
      </c>
      <c r="J3386" t="s">
        <v>51</v>
      </c>
      <c r="K3386" s="11">
        <v>648.20000000000005</v>
      </c>
      <c r="L3386" s="12">
        <v>5.47</v>
      </c>
    </row>
    <row r="3387" spans="1:12" x14ac:dyDescent="0.2">
      <c r="A3387" s="9">
        <v>46253</v>
      </c>
      <c r="B3387" t="s">
        <v>448</v>
      </c>
      <c r="C3387" t="s">
        <v>449</v>
      </c>
      <c r="D3387" t="s">
        <v>75</v>
      </c>
      <c r="E3387" t="s">
        <v>655</v>
      </c>
      <c r="F3387" t="s">
        <v>665</v>
      </c>
      <c r="G3387" s="10">
        <v>14</v>
      </c>
      <c r="H3387" s="10">
        <v>3360</v>
      </c>
      <c r="I3387" s="10">
        <v>47040</v>
      </c>
      <c r="J3387" t="s">
        <v>42</v>
      </c>
      <c r="K3387" s="11">
        <v>3145.8</v>
      </c>
      <c r="L3387" s="12">
        <v>14.95</v>
      </c>
    </row>
    <row r="3388" spans="1:12" x14ac:dyDescent="0.2">
      <c r="A3388" s="9">
        <v>46253</v>
      </c>
      <c r="B3388" t="s">
        <v>451</v>
      </c>
      <c r="C3388" t="s">
        <v>452</v>
      </c>
      <c r="D3388" t="s">
        <v>68</v>
      </c>
      <c r="E3388" t="s">
        <v>655</v>
      </c>
      <c r="F3388" t="s">
        <v>656</v>
      </c>
      <c r="G3388" s="10">
        <v>31</v>
      </c>
      <c r="H3388" s="10">
        <v>591</v>
      </c>
      <c r="I3388" s="10">
        <v>18321</v>
      </c>
      <c r="J3388" t="s">
        <v>51</v>
      </c>
      <c r="K3388" s="11">
        <v>648.20000000000005</v>
      </c>
      <c r="L3388" s="12">
        <v>28.26</v>
      </c>
    </row>
    <row r="3389" spans="1:12" x14ac:dyDescent="0.2">
      <c r="A3389" s="9">
        <v>46253</v>
      </c>
      <c r="B3389" t="s">
        <v>457</v>
      </c>
      <c r="C3389" t="s">
        <v>458</v>
      </c>
      <c r="D3389" t="s">
        <v>46</v>
      </c>
      <c r="E3389" t="s">
        <v>647</v>
      </c>
      <c r="F3389" t="s">
        <v>648</v>
      </c>
      <c r="G3389" s="10">
        <v>13</v>
      </c>
      <c r="H3389" s="10">
        <v>16767</v>
      </c>
      <c r="I3389" s="10">
        <v>217971</v>
      </c>
      <c r="J3389" t="s">
        <v>37</v>
      </c>
      <c r="K3389" s="11">
        <v>648.20000000000005</v>
      </c>
      <c r="L3389" s="12">
        <v>336.27</v>
      </c>
    </row>
    <row r="3390" spans="1:12" x14ac:dyDescent="0.2">
      <c r="A3390" s="9">
        <v>46253</v>
      </c>
      <c r="B3390" t="s">
        <v>457</v>
      </c>
      <c r="C3390" t="s">
        <v>458</v>
      </c>
      <c r="D3390" t="s">
        <v>46</v>
      </c>
      <c r="E3390" t="s">
        <v>651</v>
      </c>
      <c r="F3390" t="s">
        <v>657</v>
      </c>
      <c r="G3390" s="10">
        <v>14</v>
      </c>
      <c r="H3390" s="10">
        <v>6647</v>
      </c>
      <c r="I3390" s="10">
        <v>93058</v>
      </c>
      <c r="J3390" t="s">
        <v>37</v>
      </c>
      <c r="K3390" s="11">
        <v>648.20000000000005</v>
      </c>
      <c r="L3390" s="12">
        <v>143.56</v>
      </c>
    </row>
    <row r="3391" spans="1:12" x14ac:dyDescent="0.2">
      <c r="A3391" s="9">
        <v>46253</v>
      </c>
      <c r="B3391" t="s">
        <v>457</v>
      </c>
      <c r="C3391" t="s">
        <v>458</v>
      </c>
      <c r="D3391" t="s">
        <v>46</v>
      </c>
      <c r="E3391" t="s">
        <v>651</v>
      </c>
      <c r="F3391" t="s">
        <v>657</v>
      </c>
      <c r="G3391" s="10">
        <v>18</v>
      </c>
      <c r="H3391" s="10">
        <v>6164</v>
      </c>
      <c r="I3391" s="10">
        <v>110952</v>
      </c>
      <c r="J3391" t="s">
        <v>37</v>
      </c>
      <c r="K3391" s="11">
        <v>648.20000000000005</v>
      </c>
      <c r="L3391" s="12">
        <v>171.17</v>
      </c>
    </row>
    <row r="3392" spans="1:12" x14ac:dyDescent="0.2">
      <c r="A3392" s="9">
        <v>46253</v>
      </c>
      <c r="B3392" t="s">
        <v>460</v>
      </c>
      <c r="C3392" t="s">
        <v>461</v>
      </c>
      <c r="D3392" t="s">
        <v>75</v>
      </c>
      <c r="E3392" t="s">
        <v>651</v>
      </c>
      <c r="F3392" t="s">
        <v>657</v>
      </c>
      <c r="G3392" s="10">
        <v>9</v>
      </c>
      <c r="H3392" s="10">
        <v>31323</v>
      </c>
      <c r="I3392" s="10">
        <v>281907</v>
      </c>
      <c r="J3392" t="s">
        <v>42</v>
      </c>
      <c r="K3392" s="11">
        <v>3145.8</v>
      </c>
      <c r="L3392" s="12">
        <v>89.61</v>
      </c>
    </row>
    <row r="3393" spans="1:12" x14ac:dyDescent="0.2">
      <c r="A3393" s="9">
        <v>46253</v>
      </c>
      <c r="B3393" t="s">
        <v>466</v>
      </c>
      <c r="C3393" t="s">
        <v>467</v>
      </c>
      <c r="D3393" t="s">
        <v>50</v>
      </c>
      <c r="E3393" t="s">
        <v>647</v>
      </c>
      <c r="F3393" t="s">
        <v>668</v>
      </c>
      <c r="G3393" s="10">
        <v>68</v>
      </c>
      <c r="H3393" s="10">
        <v>24930</v>
      </c>
      <c r="I3393" s="10">
        <v>1695240</v>
      </c>
      <c r="J3393" t="s">
        <v>51</v>
      </c>
      <c r="K3393" s="11">
        <v>648.20000000000005</v>
      </c>
      <c r="L3393" s="12">
        <v>2615.3000000000002</v>
      </c>
    </row>
    <row r="3394" spans="1:12" x14ac:dyDescent="0.2">
      <c r="A3394" s="9">
        <v>46253</v>
      </c>
      <c r="B3394" t="s">
        <v>466</v>
      </c>
      <c r="C3394" t="s">
        <v>467</v>
      </c>
      <c r="D3394" t="s">
        <v>50</v>
      </c>
      <c r="E3394" t="s">
        <v>647</v>
      </c>
      <c r="F3394" t="s">
        <v>648</v>
      </c>
      <c r="G3394" s="10">
        <v>18</v>
      </c>
      <c r="H3394" s="10">
        <v>15963</v>
      </c>
      <c r="I3394" s="10">
        <v>287334</v>
      </c>
      <c r="J3394" t="s">
        <v>51</v>
      </c>
      <c r="K3394" s="11">
        <v>648.20000000000005</v>
      </c>
      <c r="L3394" s="12">
        <v>443.28</v>
      </c>
    </row>
    <row r="3395" spans="1:12" x14ac:dyDescent="0.2">
      <c r="A3395" s="9">
        <v>46253</v>
      </c>
      <c r="B3395" t="s">
        <v>469</v>
      </c>
      <c r="C3395" t="s">
        <v>470</v>
      </c>
      <c r="D3395" t="s">
        <v>41</v>
      </c>
      <c r="E3395" t="s">
        <v>653</v>
      </c>
      <c r="F3395" t="s">
        <v>658</v>
      </c>
      <c r="G3395" s="10">
        <v>17</v>
      </c>
      <c r="H3395" s="10">
        <v>13668</v>
      </c>
      <c r="I3395" s="10">
        <v>232356</v>
      </c>
      <c r="J3395" t="s">
        <v>42</v>
      </c>
      <c r="K3395" s="11">
        <v>3145.8</v>
      </c>
      <c r="L3395" s="12">
        <v>73.86</v>
      </c>
    </row>
    <row r="3396" spans="1:12" x14ac:dyDescent="0.2">
      <c r="A3396" s="9">
        <v>46253</v>
      </c>
      <c r="B3396" t="s">
        <v>469</v>
      </c>
      <c r="C3396" t="s">
        <v>470</v>
      </c>
      <c r="D3396" t="s">
        <v>41</v>
      </c>
      <c r="E3396" t="s">
        <v>649</v>
      </c>
      <c r="F3396" t="s">
        <v>663</v>
      </c>
      <c r="G3396" s="10">
        <v>13</v>
      </c>
      <c r="H3396" s="10">
        <v>9802</v>
      </c>
      <c r="I3396" s="10">
        <v>127426</v>
      </c>
      <c r="J3396" t="s">
        <v>42</v>
      </c>
      <c r="K3396" s="11">
        <v>3145.8</v>
      </c>
      <c r="L3396" s="12">
        <v>40.51</v>
      </c>
    </row>
    <row r="3397" spans="1:12" x14ac:dyDescent="0.2">
      <c r="A3397" s="9">
        <v>46253</v>
      </c>
      <c r="B3397" t="s">
        <v>469</v>
      </c>
      <c r="C3397" t="s">
        <v>470</v>
      </c>
      <c r="D3397" t="s">
        <v>41</v>
      </c>
      <c r="E3397" t="s">
        <v>649</v>
      </c>
      <c r="F3397" t="s">
        <v>659</v>
      </c>
      <c r="G3397" s="10">
        <v>20</v>
      </c>
      <c r="H3397" s="10">
        <v>42763</v>
      </c>
      <c r="I3397" s="10">
        <v>855260</v>
      </c>
      <c r="J3397" t="s">
        <v>42</v>
      </c>
      <c r="K3397" s="11">
        <v>3145.8</v>
      </c>
      <c r="L3397" s="12">
        <v>271.87</v>
      </c>
    </row>
    <row r="3398" spans="1:12" x14ac:dyDescent="0.2">
      <c r="A3398" s="9">
        <v>46253</v>
      </c>
      <c r="B3398" t="s">
        <v>469</v>
      </c>
      <c r="C3398" t="s">
        <v>470</v>
      </c>
      <c r="D3398" t="s">
        <v>41</v>
      </c>
      <c r="E3398" t="s">
        <v>660</v>
      </c>
      <c r="F3398" t="s">
        <v>661</v>
      </c>
      <c r="G3398" s="10">
        <v>118</v>
      </c>
      <c r="H3398" s="10">
        <v>19781</v>
      </c>
      <c r="I3398" s="10">
        <v>2334158</v>
      </c>
      <c r="J3398" t="s">
        <v>42</v>
      </c>
      <c r="K3398" s="11">
        <v>3145.8</v>
      </c>
      <c r="L3398" s="12">
        <v>741.99</v>
      </c>
    </row>
    <row r="3399" spans="1:12" x14ac:dyDescent="0.2">
      <c r="A3399" s="9">
        <v>46253</v>
      </c>
      <c r="B3399" t="s">
        <v>472</v>
      </c>
      <c r="C3399" t="s">
        <v>473</v>
      </c>
      <c r="D3399" t="s">
        <v>68</v>
      </c>
      <c r="E3399" t="s">
        <v>647</v>
      </c>
      <c r="F3399" t="s">
        <v>667</v>
      </c>
      <c r="G3399" s="10">
        <v>2</v>
      </c>
      <c r="H3399" s="10">
        <v>7188</v>
      </c>
      <c r="I3399" s="10">
        <v>14376</v>
      </c>
      <c r="J3399" t="s">
        <v>51</v>
      </c>
      <c r="K3399" s="11">
        <v>648.20000000000005</v>
      </c>
      <c r="L3399" s="12">
        <v>22.18</v>
      </c>
    </row>
    <row r="3400" spans="1:12" x14ac:dyDescent="0.2">
      <c r="A3400" s="9">
        <v>46253</v>
      </c>
      <c r="B3400" t="s">
        <v>475</v>
      </c>
      <c r="C3400" t="s">
        <v>476</v>
      </c>
      <c r="D3400" t="s">
        <v>75</v>
      </c>
      <c r="E3400" t="s">
        <v>653</v>
      </c>
      <c r="F3400" t="s">
        <v>666</v>
      </c>
      <c r="G3400" s="10">
        <v>14</v>
      </c>
      <c r="H3400" s="10">
        <v>7383</v>
      </c>
      <c r="I3400" s="10">
        <v>103362</v>
      </c>
      <c r="J3400" t="s">
        <v>42</v>
      </c>
      <c r="K3400" s="11">
        <v>3145.8</v>
      </c>
      <c r="L3400" s="12">
        <v>32.86</v>
      </c>
    </row>
    <row r="3401" spans="1:12" x14ac:dyDescent="0.2">
      <c r="A3401" s="9">
        <v>46253</v>
      </c>
      <c r="B3401" t="s">
        <v>475</v>
      </c>
      <c r="C3401" t="s">
        <v>476</v>
      </c>
      <c r="D3401" t="s">
        <v>75</v>
      </c>
      <c r="E3401" t="s">
        <v>660</v>
      </c>
      <c r="F3401" t="s">
        <v>669</v>
      </c>
      <c r="G3401" s="10">
        <v>66</v>
      </c>
      <c r="H3401" s="10">
        <v>12427</v>
      </c>
      <c r="I3401" s="10">
        <v>820182</v>
      </c>
      <c r="J3401" t="s">
        <v>42</v>
      </c>
      <c r="K3401" s="11">
        <v>3145.8</v>
      </c>
      <c r="L3401" s="12">
        <v>260.72000000000003</v>
      </c>
    </row>
    <row r="3402" spans="1:12" x14ac:dyDescent="0.2">
      <c r="A3402" s="9">
        <v>46253</v>
      </c>
      <c r="B3402" t="s">
        <v>475</v>
      </c>
      <c r="C3402" t="s">
        <v>476</v>
      </c>
      <c r="D3402" t="s">
        <v>75</v>
      </c>
      <c r="E3402" t="s">
        <v>647</v>
      </c>
      <c r="F3402" t="s">
        <v>668</v>
      </c>
      <c r="G3402" s="10">
        <v>14</v>
      </c>
      <c r="H3402" s="10">
        <v>122153</v>
      </c>
      <c r="I3402" s="10">
        <v>1710142</v>
      </c>
      <c r="J3402" t="s">
        <v>42</v>
      </c>
      <c r="K3402" s="11">
        <v>3145.8</v>
      </c>
      <c r="L3402" s="12">
        <v>543.63</v>
      </c>
    </row>
    <row r="3403" spans="1:12" x14ac:dyDescent="0.2">
      <c r="A3403" s="9">
        <v>46253</v>
      </c>
      <c r="B3403" t="s">
        <v>485</v>
      </c>
      <c r="C3403" t="s">
        <v>486</v>
      </c>
      <c r="D3403" t="s">
        <v>41</v>
      </c>
      <c r="E3403" t="s">
        <v>651</v>
      </c>
      <c r="F3403" t="s">
        <v>652</v>
      </c>
      <c r="G3403" s="10">
        <v>2</v>
      </c>
      <c r="H3403" s="10">
        <v>47931</v>
      </c>
      <c r="I3403" s="10">
        <v>95862</v>
      </c>
      <c r="J3403" t="s">
        <v>42</v>
      </c>
      <c r="K3403" s="11">
        <v>3145.8</v>
      </c>
      <c r="L3403" s="12">
        <v>30.47</v>
      </c>
    </row>
    <row r="3404" spans="1:12" x14ac:dyDescent="0.2">
      <c r="A3404" s="9">
        <v>46253</v>
      </c>
      <c r="B3404" t="s">
        <v>485</v>
      </c>
      <c r="C3404" t="s">
        <v>486</v>
      </c>
      <c r="D3404" t="s">
        <v>41</v>
      </c>
      <c r="E3404" t="s">
        <v>660</v>
      </c>
      <c r="F3404" t="s">
        <v>669</v>
      </c>
      <c r="G3404" s="10">
        <v>3</v>
      </c>
      <c r="H3404" s="10">
        <v>12174</v>
      </c>
      <c r="I3404" s="10">
        <v>36522</v>
      </c>
      <c r="J3404" t="s">
        <v>42</v>
      </c>
      <c r="K3404" s="11">
        <v>3145.8</v>
      </c>
      <c r="L3404" s="12">
        <v>11.61</v>
      </c>
    </row>
    <row r="3405" spans="1:12" x14ac:dyDescent="0.2">
      <c r="A3405" s="9">
        <v>46253</v>
      </c>
      <c r="B3405" t="s">
        <v>488</v>
      </c>
      <c r="C3405" t="s">
        <v>489</v>
      </c>
      <c r="D3405" t="s">
        <v>46</v>
      </c>
      <c r="E3405" t="s">
        <v>653</v>
      </c>
      <c r="F3405" t="s">
        <v>666</v>
      </c>
      <c r="G3405" s="10">
        <v>20</v>
      </c>
      <c r="H3405" s="10">
        <v>1557</v>
      </c>
      <c r="I3405" s="10">
        <v>31140</v>
      </c>
      <c r="J3405" t="s">
        <v>37</v>
      </c>
      <c r="K3405" s="11">
        <v>648.20000000000005</v>
      </c>
      <c r="L3405" s="12">
        <v>48.04</v>
      </c>
    </row>
    <row r="3406" spans="1:12" x14ac:dyDescent="0.2">
      <c r="A3406" s="9">
        <v>46253</v>
      </c>
      <c r="B3406" t="s">
        <v>488</v>
      </c>
      <c r="C3406" t="s">
        <v>489</v>
      </c>
      <c r="D3406" t="s">
        <v>46</v>
      </c>
      <c r="E3406" t="s">
        <v>647</v>
      </c>
      <c r="F3406" t="s">
        <v>648</v>
      </c>
      <c r="G3406" s="10">
        <v>18</v>
      </c>
      <c r="H3406" s="10">
        <v>16516</v>
      </c>
      <c r="I3406" s="10">
        <v>297288</v>
      </c>
      <c r="J3406" t="s">
        <v>37</v>
      </c>
      <c r="K3406" s="11">
        <v>648.20000000000005</v>
      </c>
      <c r="L3406" s="12">
        <v>458.64</v>
      </c>
    </row>
    <row r="3407" spans="1:12" x14ac:dyDescent="0.2">
      <c r="A3407" s="9">
        <v>46253</v>
      </c>
      <c r="B3407" t="s">
        <v>488</v>
      </c>
      <c r="C3407" t="s">
        <v>489</v>
      </c>
      <c r="D3407" t="s">
        <v>46</v>
      </c>
      <c r="E3407" t="s">
        <v>647</v>
      </c>
      <c r="F3407" t="s">
        <v>648</v>
      </c>
      <c r="G3407" s="10">
        <v>15</v>
      </c>
      <c r="H3407" s="10">
        <v>16809</v>
      </c>
      <c r="I3407" s="10">
        <v>252135</v>
      </c>
      <c r="J3407" t="s">
        <v>37</v>
      </c>
      <c r="K3407" s="11">
        <v>648.20000000000005</v>
      </c>
      <c r="L3407" s="12">
        <v>388.98</v>
      </c>
    </row>
    <row r="3408" spans="1:12" x14ac:dyDescent="0.2">
      <c r="A3408" s="9">
        <v>46253</v>
      </c>
      <c r="B3408" t="s">
        <v>493</v>
      </c>
      <c r="C3408" t="s">
        <v>494</v>
      </c>
      <c r="D3408" t="s">
        <v>46</v>
      </c>
      <c r="E3408" t="s">
        <v>660</v>
      </c>
      <c r="F3408" t="s">
        <v>661</v>
      </c>
      <c r="G3408" s="10">
        <v>8</v>
      </c>
      <c r="H3408" s="10">
        <v>4304</v>
      </c>
      <c r="I3408" s="10">
        <v>34432</v>
      </c>
      <c r="J3408" t="s">
        <v>37</v>
      </c>
      <c r="K3408" s="11">
        <v>648.20000000000005</v>
      </c>
      <c r="L3408" s="12">
        <v>53.12</v>
      </c>
    </row>
    <row r="3409" spans="1:12" x14ac:dyDescent="0.2">
      <c r="A3409" s="9">
        <v>46253</v>
      </c>
      <c r="B3409" t="s">
        <v>496</v>
      </c>
      <c r="C3409" t="s">
        <v>497</v>
      </c>
      <c r="D3409" t="s">
        <v>41</v>
      </c>
      <c r="E3409" t="s">
        <v>649</v>
      </c>
      <c r="F3409" t="s">
        <v>650</v>
      </c>
      <c r="G3409" s="10">
        <v>12</v>
      </c>
      <c r="H3409" s="10">
        <v>90884</v>
      </c>
      <c r="I3409" s="10">
        <v>1090608</v>
      </c>
      <c r="J3409" t="s">
        <v>42</v>
      </c>
      <c r="K3409" s="11">
        <v>3145.8</v>
      </c>
      <c r="L3409" s="12">
        <v>346.69</v>
      </c>
    </row>
    <row r="3410" spans="1:12" x14ac:dyDescent="0.2">
      <c r="A3410" s="9">
        <v>46253</v>
      </c>
      <c r="B3410" t="s">
        <v>499</v>
      </c>
      <c r="C3410" t="s">
        <v>500</v>
      </c>
      <c r="D3410" t="s">
        <v>41</v>
      </c>
      <c r="E3410" t="s">
        <v>647</v>
      </c>
      <c r="F3410" t="s">
        <v>668</v>
      </c>
      <c r="G3410" s="10">
        <v>8</v>
      </c>
      <c r="H3410" s="10">
        <v>122220</v>
      </c>
      <c r="I3410" s="10">
        <v>977760</v>
      </c>
      <c r="J3410" t="s">
        <v>42</v>
      </c>
      <c r="K3410" s="11">
        <v>3145.8</v>
      </c>
      <c r="L3410" s="12">
        <v>310.81</v>
      </c>
    </row>
    <row r="3411" spans="1:12" x14ac:dyDescent="0.2">
      <c r="A3411" s="9">
        <v>46253</v>
      </c>
      <c r="B3411" t="s">
        <v>505</v>
      </c>
      <c r="C3411" t="s">
        <v>506</v>
      </c>
      <c r="D3411" t="s">
        <v>36</v>
      </c>
      <c r="E3411" t="s">
        <v>649</v>
      </c>
      <c r="F3411" t="s">
        <v>659</v>
      </c>
      <c r="G3411" s="10">
        <v>17</v>
      </c>
      <c r="H3411" s="10">
        <v>8644</v>
      </c>
      <c r="I3411" s="10">
        <v>146948</v>
      </c>
      <c r="J3411" t="s">
        <v>37</v>
      </c>
      <c r="K3411" s="11">
        <v>648.20000000000005</v>
      </c>
      <c r="L3411" s="12">
        <v>226.7</v>
      </c>
    </row>
    <row r="3412" spans="1:12" x14ac:dyDescent="0.2">
      <c r="A3412" s="9">
        <v>46253</v>
      </c>
      <c r="B3412" t="s">
        <v>505</v>
      </c>
      <c r="C3412" t="s">
        <v>506</v>
      </c>
      <c r="D3412" t="s">
        <v>36</v>
      </c>
      <c r="E3412" t="s">
        <v>649</v>
      </c>
      <c r="F3412" t="s">
        <v>659</v>
      </c>
      <c r="G3412" s="10">
        <v>2</v>
      </c>
      <c r="H3412" s="10">
        <v>8979</v>
      </c>
      <c r="I3412" s="10">
        <v>17958</v>
      </c>
      <c r="J3412" t="s">
        <v>37</v>
      </c>
      <c r="K3412" s="11">
        <v>648.20000000000005</v>
      </c>
      <c r="L3412" s="12">
        <v>27.7</v>
      </c>
    </row>
    <row r="3413" spans="1:12" x14ac:dyDescent="0.2">
      <c r="A3413" s="9">
        <v>46253</v>
      </c>
      <c r="B3413" t="s">
        <v>517</v>
      </c>
      <c r="C3413" t="s">
        <v>518</v>
      </c>
      <c r="D3413" t="s">
        <v>41</v>
      </c>
      <c r="E3413" t="s">
        <v>653</v>
      </c>
      <c r="F3413" t="s">
        <v>666</v>
      </c>
      <c r="G3413" s="10">
        <v>12</v>
      </c>
      <c r="H3413" s="10">
        <v>7355</v>
      </c>
      <c r="I3413" s="10">
        <v>88260</v>
      </c>
      <c r="J3413" t="s">
        <v>42</v>
      </c>
      <c r="K3413" s="11">
        <v>3145.8</v>
      </c>
      <c r="L3413" s="12">
        <v>28.06</v>
      </c>
    </row>
    <row r="3414" spans="1:12" x14ac:dyDescent="0.2">
      <c r="A3414" s="9">
        <v>46253</v>
      </c>
      <c r="B3414" t="s">
        <v>517</v>
      </c>
      <c r="C3414" t="s">
        <v>518</v>
      </c>
      <c r="D3414" t="s">
        <v>41</v>
      </c>
      <c r="E3414" t="s">
        <v>660</v>
      </c>
      <c r="F3414" t="s">
        <v>661</v>
      </c>
      <c r="G3414" s="10">
        <v>7</v>
      </c>
      <c r="H3414" s="10">
        <v>20554</v>
      </c>
      <c r="I3414" s="10">
        <v>143878</v>
      </c>
      <c r="J3414" t="s">
        <v>42</v>
      </c>
      <c r="K3414" s="11">
        <v>3145.8</v>
      </c>
      <c r="L3414" s="12">
        <v>45.74</v>
      </c>
    </row>
    <row r="3415" spans="1:12" x14ac:dyDescent="0.2">
      <c r="A3415" s="9">
        <v>46253</v>
      </c>
      <c r="B3415" t="s">
        <v>525</v>
      </c>
      <c r="C3415" t="s">
        <v>526</v>
      </c>
      <c r="D3415" t="s">
        <v>46</v>
      </c>
      <c r="E3415" t="s">
        <v>655</v>
      </c>
      <c r="F3415" t="s">
        <v>662</v>
      </c>
      <c r="G3415" s="10">
        <v>18</v>
      </c>
      <c r="H3415" s="10">
        <v>1088</v>
      </c>
      <c r="I3415" s="10">
        <v>19584</v>
      </c>
      <c r="J3415" t="s">
        <v>37</v>
      </c>
      <c r="K3415" s="11">
        <v>648.20000000000005</v>
      </c>
      <c r="L3415" s="12">
        <v>30.21</v>
      </c>
    </row>
    <row r="3416" spans="1:12" x14ac:dyDescent="0.2">
      <c r="A3416" s="9">
        <v>46253</v>
      </c>
      <c r="B3416" t="s">
        <v>525</v>
      </c>
      <c r="C3416" t="s">
        <v>526</v>
      </c>
      <c r="D3416" t="s">
        <v>46</v>
      </c>
      <c r="E3416" t="s">
        <v>647</v>
      </c>
      <c r="F3416" t="s">
        <v>648</v>
      </c>
      <c r="G3416" s="10">
        <v>21</v>
      </c>
      <c r="H3416" s="10">
        <v>16380</v>
      </c>
      <c r="I3416" s="10">
        <v>343980</v>
      </c>
      <c r="J3416" t="s">
        <v>37</v>
      </c>
      <c r="K3416" s="11">
        <v>648.20000000000005</v>
      </c>
      <c r="L3416" s="12">
        <v>530.66999999999996</v>
      </c>
    </row>
    <row r="3417" spans="1:12" x14ac:dyDescent="0.2">
      <c r="A3417" s="9">
        <v>46253</v>
      </c>
      <c r="B3417" t="s">
        <v>528</v>
      </c>
      <c r="C3417" t="s">
        <v>529</v>
      </c>
      <c r="D3417" t="s">
        <v>46</v>
      </c>
      <c r="E3417" t="s">
        <v>653</v>
      </c>
      <c r="F3417" t="s">
        <v>666</v>
      </c>
      <c r="G3417" s="10">
        <v>81</v>
      </c>
      <c r="H3417" s="10">
        <v>1524</v>
      </c>
      <c r="I3417" s="10">
        <v>123444</v>
      </c>
      <c r="J3417" t="s">
        <v>37</v>
      </c>
      <c r="K3417" s="11">
        <v>648.20000000000005</v>
      </c>
      <c r="L3417" s="12">
        <v>190.44</v>
      </c>
    </row>
    <row r="3418" spans="1:12" x14ac:dyDescent="0.2">
      <c r="A3418" s="9">
        <v>46253</v>
      </c>
      <c r="B3418" t="s">
        <v>528</v>
      </c>
      <c r="C3418" t="s">
        <v>529</v>
      </c>
      <c r="D3418" t="s">
        <v>46</v>
      </c>
      <c r="E3418" t="s">
        <v>660</v>
      </c>
      <c r="F3418" t="s">
        <v>670</v>
      </c>
      <c r="G3418" s="10">
        <v>52</v>
      </c>
      <c r="H3418" s="10">
        <v>14032</v>
      </c>
      <c r="I3418" s="10">
        <v>729664</v>
      </c>
      <c r="J3418" t="s">
        <v>37</v>
      </c>
      <c r="K3418" s="11">
        <v>648.20000000000005</v>
      </c>
      <c r="L3418" s="12">
        <v>1125.68</v>
      </c>
    </row>
    <row r="3419" spans="1:12" x14ac:dyDescent="0.2">
      <c r="A3419" s="9">
        <v>46253</v>
      </c>
      <c r="B3419" t="s">
        <v>528</v>
      </c>
      <c r="C3419" t="s">
        <v>529</v>
      </c>
      <c r="D3419" t="s">
        <v>46</v>
      </c>
      <c r="E3419" t="s">
        <v>660</v>
      </c>
      <c r="F3419" t="s">
        <v>661</v>
      </c>
      <c r="G3419" s="10">
        <v>34</v>
      </c>
      <c r="H3419" s="10">
        <v>4074</v>
      </c>
      <c r="I3419" s="10">
        <v>138516</v>
      </c>
      <c r="J3419" t="s">
        <v>37</v>
      </c>
      <c r="K3419" s="11">
        <v>648.20000000000005</v>
      </c>
      <c r="L3419" s="12">
        <v>213.69</v>
      </c>
    </row>
    <row r="3420" spans="1:12" x14ac:dyDescent="0.2">
      <c r="A3420" s="9">
        <v>46253</v>
      </c>
      <c r="B3420" t="s">
        <v>528</v>
      </c>
      <c r="C3420" t="s">
        <v>529</v>
      </c>
      <c r="D3420" t="s">
        <v>46</v>
      </c>
      <c r="E3420" t="s">
        <v>660</v>
      </c>
      <c r="F3420" t="s">
        <v>661</v>
      </c>
      <c r="G3420" s="10">
        <v>109</v>
      </c>
      <c r="H3420" s="10">
        <v>4267</v>
      </c>
      <c r="I3420" s="10">
        <v>465103</v>
      </c>
      <c r="J3420" t="s">
        <v>37</v>
      </c>
      <c r="K3420" s="11">
        <v>648.20000000000005</v>
      </c>
      <c r="L3420" s="12">
        <v>717.53</v>
      </c>
    </row>
    <row r="3421" spans="1:12" x14ac:dyDescent="0.2">
      <c r="A3421" s="9">
        <v>46253</v>
      </c>
      <c r="B3421" t="s">
        <v>528</v>
      </c>
      <c r="C3421" t="s">
        <v>529</v>
      </c>
      <c r="D3421" t="s">
        <v>46</v>
      </c>
      <c r="E3421" t="s">
        <v>651</v>
      </c>
      <c r="F3421" t="s">
        <v>664</v>
      </c>
      <c r="G3421" s="10">
        <v>22</v>
      </c>
      <c r="H3421" s="10">
        <v>11499</v>
      </c>
      <c r="I3421" s="10">
        <v>252978</v>
      </c>
      <c r="J3421" t="s">
        <v>37</v>
      </c>
      <c r="K3421" s="11">
        <v>648.20000000000005</v>
      </c>
      <c r="L3421" s="12">
        <v>390.28</v>
      </c>
    </row>
    <row r="3422" spans="1:12" x14ac:dyDescent="0.2">
      <c r="A3422" s="9">
        <v>46253</v>
      </c>
      <c r="B3422" t="s">
        <v>531</v>
      </c>
      <c r="C3422" t="s">
        <v>532</v>
      </c>
      <c r="D3422" t="s">
        <v>50</v>
      </c>
      <c r="E3422" t="s">
        <v>651</v>
      </c>
      <c r="F3422" t="s">
        <v>652</v>
      </c>
      <c r="G3422" s="10">
        <v>18</v>
      </c>
      <c r="H3422" s="10">
        <v>9484</v>
      </c>
      <c r="I3422" s="10">
        <v>170712</v>
      </c>
      <c r="J3422" t="s">
        <v>51</v>
      </c>
      <c r="K3422" s="11">
        <v>648.20000000000005</v>
      </c>
      <c r="L3422" s="12">
        <v>263.36</v>
      </c>
    </row>
    <row r="3423" spans="1:12" x14ac:dyDescent="0.2">
      <c r="A3423" s="9">
        <v>46253</v>
      </c>
      <c r="B3423" t="s">
        <v>531</v>
      </c>
      <c r="C3423" t="s">
        <v>532</v>
      </c>
      <c r="D3423" t="s">
        <v>50</v>
      </c>
      <c r="E3423" t="s">
        <v>653</v>
      </c>
      <c r="F3423" t="s">
        <v>666</v>
      </c>
      <c r="G3423" s="10">
        <v>22</v>
      </c>
      <c r="H3423" s="10">
        <v>1540</v>
      </c>
      <c r="I3423" s="10">
        <v>33880</v>
      </c>
      <c r="J3423" t="s">
        <v>51</v>
      </c>
      <c r="K3423" s="11">
        <v>648.20000000000005</v>
      </c>
      <c r="L3423" s="12">
        <v>52.27</v>
      </c>
    </row>
    <row r="3424" spans="1:12" x14ac:dyDescent="0.2">
      <c r="A3424" s="9">
        <v>46253</v>
      </c>
      <c r="B3424" t="s">
        <v>531</v>
      </c>
      <c r="C3424" t="s">
        <v>532</v>
      </c>
      <c r="D3424" t="s">
        <v>50</v>
      </c>
      <c r="E3424" t="s">
        <v>649</v>
      </c>
      <c r="F3424" t="s">
        <v>663</v>
      </c>
      <c r="G3424" s="10">
        <v>146</v>
      </c>
      <c r="H3424" s="10">
        <v>2057</v>
      </c>
      <c r="I3424" s="10">
        <v>300322</v>
      </c>
      <c r="J3424" t="s">
        <v>51</v>
      </c>
      <c r="K3424" s="11">
        <v>648.20000000000005</v>
      </c>
      <c r="L3424" s="12">
        <v>463.32</v>
      </c>
    </row>
    <row r="3425" spans="1:12" x14ac:dyDescent="0.2">
      <c r="A3425" s="9">
        <v>46253</v>
      </c>
      <c r="B3425" t="s">
        <v>531</v>
      </c>
      <c r="C3425" t="s">
        <v>532</v>
      </c>
      <c r="D3425" t="s">
        <v>50</v>
      </c>
      <c r="E3425" t="s">
        <v>647</v>
      </c>
      <c r="F3425" t="s">
        <v>668</v>
      </c>
      <c r="G3425" s="10">
        <v>81</v>
      </c>
      <c r="H3425" s="10">
        <v>25847</v>
      </c>
      <c r="I3425" s="10">
        <v>2093607</v>
      </c>
      <c r="J3425" t="s">
        <v>51</v>
      </c>
      <c r="K3425" s="11">
        <v>648.20000000000005</v>
      </c>
      <c r="L3425" s="12">
        <v>3229.88</v>
      </c>
    </row>
    <row r="3426" spans="1:12" x14ac:dyDescent="0.2">
      <c r="A3426" s="9">
        <v>46253</v>
      </c>
      <c r="B3426" t="s">
        <v>531</v>
      </c>
      <c r="C3426" t="s">
        <v>532</v>
      </c>
      <c r="D3426" t="s">
        <v>50</v>
      </c>
      <c r="E3426" t="s">
        <v>647</v>
      </c>
      <c r="F3426" t="s">
        <v>668</v>
      </c>
      <c r="G3426" s="10">
        <v>27</v>
      </c>
      <c r="H3426" s="10">
        <v>25792</v>
      </c>
      <c r="I3426" s="10">
        <v>696384</v>
      </c>
      <c r="J3426" t="s">
        <v>51</v>
      </c>
      <c r="K3426" s="11">
        <v>648.20000000000005</v>
      </c>
      <c r="L3426" s="12">
        <v>1074.3399999999999</v>
      </c>
    </row>
    <row r="3427" spans="1:12" x14ac:dyDescent="0.2">
      <c r="A3427" s="9">
        <v>46253</v>
      </c>
      <c r="B3427" t="s">
        <v>534</v>
      </c>
      <c r="C3427" t="s">
        <v>535</v>
      </c>
      <c r="D3427" t="s">
        <v>36</v>
      </c>
      <c r="E3427" t="s">
        <v>647</v>
      </c>
      <c r="F3427" t="s">
        <v>667</v>
      </c>
      <c r="G3427" s="10">
        <v>4</v>
      </c>
      <c r="H3427" s="10">
        <v>7547</v>
      </c>
      <c r="I3427" s="10">
        <v>30188</v>
      </c>
      <c r="J3427" t="s">
        <v>37</v>
      </c>
      <c r="K3427" s="11">
        <v>648.20000000000005</v>
      </c>
      <c r="L3427" s="12">
        <v>46.57</v>
      </c>
    </row>
    <row r="3428" spans="1:12" x14ac:dyDescent="0.2">
      <c r="A3428" s="9">
        <v>46253</v>
      </c>
      <c r="B3428" t="s">
        <v>537</v>
      </c>
      <c r="C3428" t="s">
        <v>538</v>
      </c>
      <c r="D3428" t="s">
        <v>68</v>
      </c>
      <c r="E3428" t="s">
        <v>660</v>
      </c>
      <c r="F3428" t="s">
        <v>669</v>
      </c>
      <c r="G3428" s="10">
        <v>39</v>
      </c>
      <c r="H3428" s="10">
        <v>2566</v>
      </c>
      <c r="I3428" s="10">
        <v>100074</v>
      </c>
      <c r="J3428" t="s">
        <v>51</v>
      </c>
      <c r="K3428" s="11">
        <v>648.20000000000005</v>
      </c>
      <c r="L3428" s="12">
        <v>154.38999999999999</v>
      </c>
    </row>
    <row r="3429" spans="1:12" x14ac:dyDescent="0.2">
      <c r="A3429" s="9">
        <v>46253</v>
      </c>
      <c r="B3429" t="s">
        <v>537</v>
      </c>
      <c r="C3429" t="s">
        <v>538</v>
      </c>
      <c r="D3429" t="s">
        <v>68</v>
      </c>
      <c r="E3429" t="s">
        <v>660</v>
      </c>
      <c r="F3429" t="s">
        <v>670</v>
      </c>
      <c r="G3429" s="10">
        <v>64</v>
      </c>
      <c r="H3429" s="10">
        <v>14636</v>
      </c>
      <c r="I3429" s="10">
        <v>936704</v>
      </c>
      <c r="J3429" t="s">
        <v>51</v>
      </c>
      <c r="K3429" s="11">
        <v>648.20000000000005</v>
      </c>
      <c r="L3429" s="12">
        <v>1445.08</v>
      </c>
    </row>
    <row r="3430" spans="1:12" x14ac:dyDescent="0.2">
      <c r="A3430" s="9">
        <v>46253</v>
      </c>
      <c r="B3430" t="s">
        <v>537</v>
      </c>
      <c r="C3430" t="s">
        <v>538</v>
      </c>
      <c r="D3430" t="s">
        <v>68</v>
      </c>
      <c r="E3430" t="s">
        <v>647</v>
      </c>
      <c r="F3430" t="s">
        <v>648</v>
      </c>
      <c r="G3430" s="10">
        <v>32</v>
      </c>
      <c r="H3430" s="10">
        <v>16462</v>
      </c>
      <c r="I3430" s="10">
        <v>526784</v>
      </c>
      <c r="J3430" t="s">
        <v>51</v>
      </c>
      <c r="K3430" s="11">
        <v>648.20000000000005</v>
      </c>
      <c r="L3430" s="12">
        <v>812.69</v>
      </c>
    </row>
    <row r="3431" spans="1:12" x14ac:dyDescent="0.2">
      <c r="A3431" s="9">
        <v>46253</v>
      </c>
      <c r="B3431" t="s">
        <v>540</v>
      </c>
      <c r="C3431" t="s">
        <v>541</v>
      </c>
      <c r="D3431" t="s">
        <v>41</v>
      </c>
      <c r="E3431" t="s">
        <v>655</v>
      </c>
      <c r="F3431" t="s">
        <v>662</v>
      </c>
      <c r="G3431" s="10">
        <v>26</v>
      </c>
      <c r="H3431" s="10">
        <v>5349</v>
      </c>
      <c r="I3431" s="10">
        <v>139074</v>
      </c>
      <c r="J3431" t="s">
        <v>42</v>
      </c>
      <c r="K3431" s="11">
        <v>3145.8</v>
      </c>
      <c r="L3431" s="12">
        <v>44.21</v>
      </c>
    </row>
    <row r="3432" spans="1:12" x14ac:dyDescent="0.2">
      <c r="A3432" s="9">
        <v>46253</v>
      </c>
      <c r="B3432" t="s">
        <v>543</v>
      </c>
      <c r="C3432" t="s">
        <v>544</v>
      </c>
      <c r="D3432" t="s">
        <v>68</v>
      </c>
      <c r="E3432" t="s">
        <v>660</v>
      </c>
      <c r="F3432" t="s">
        <v>670</v>
      </c>
      <c r="G3432" s="10">
        <v>45</v>
      </c>
      <c r="H3432" s="10">
        <v>14633</v>
      </c>
      <c r="I3432" s="10">
        <v>658485</v>
      </c>
      <c r="J3432" t="s">
        <v>51</v>
      </c>
      <c r="K3432" s="11">
        <v>648.20000000000005</v>
      </c>
      <c r="L3432" s="12">
        <v>1015.87</v>
      </c>
    </row>
    <row r="3433" spans="1:12" x14ac:dyDescent="0.2">
      <c r="A3433" s="9">
        <v>46253</v>
      </c>
      <c r="B3433" t="s">
        <v>546</v>
      </c>
      <c r="C3433" t="s">
        <v>547</v>
      </c>
      <c r="D3433" t="s">
        <v>41</v>
      </c>
      <c r="E3433" t="s">
        <v>660</v>
      </c>
      <c r="F3433" t="s">
        <v>661</v>
      </c>
      <c r="G3433" s="10">
        <v>17</v>
      </c>
      <c r="H3433" s="10">
        <v>19704</v>
      </c>
      <c r="I3433" s="10">
        <v>334968</v>
      </c>
      <c r="J3433" t="s">
        <v>42</v>
      </c>
      <c r="K3433" s="11">
        <v>3145.8</v>
      </c>
      <c r="L3433" s="12">
        <v>106.48</v>
      </c>
    </row>
    <row r="3434" spans="1:12" x14ac:dyDescent="0.2">
      <c r="A3434" s="9">
        <v>46253</v>
      </c>
      <c r="B3434" t="s">
        <v>549</v>
      </c>
      <c r="C3434" t="s">
        <v>550</v>
      </c>
      <c r="D3434" t="s">
        <v>41</v>
      </c>
      <c r="E3434" t="s">
        <v>647</v>
      </c>
      <c r="F3434" t="s">
        <v>648</v>
      </c>
      <c r="G3434" s="10">
        <v>18</v>
      </c>
      <c r="H3434" s="10">
        <v>79823</v>
      </c>
      <c r="I3434" s="10">
        <v>1436814</v>
      </c>
      <c r="J3434" t="s">
        <v>42</v>
      </c>
      <c r="K3434" s="11">
        <v>3145.8</v>
      </c>
      <c r="L3434" s="12">
        <v>456.74</v>
      </c>
    </row>
    <row r="3435" spans="1:12" x14ac:dyDescent="0.2">
      <c r="A3435" s="9">
        <v>46253</v>
      </c>
      <c r="B3435" t="s">
        <v>549</v>
      </c>
      <c r="C3435" t="s">
        <v>550</v>
      </c>
      <c r="D3435" t="s">
        <v>41</v>
      </c>
      <c r="E3435" t="s">
        <v>647</v>
      </c>
      <c r="F3435" t="s">
        <v>667</v>
      </c>
      <c r="G3435" s="10">
        <v>17</v>
      </c>
      <c r="H3435" s="10">
        <v>36963</v>
      </c>
      <c r="I3435" s="10">
        <v>628371</v>
      </c>
      <c r="J3435" t="s">
        <v>42</v>
      </c>
      <c r="K3435" s="11">
        <v>3145.8</v>
      </c>
      <c r="L3435" s="12">
        <v>199.75</v>
      </c>
    </row>
    <row r="3436" spans="1:12" x14ac:dyDescent="0.2">
      <c r="A3436" s="9">
        <v>46253</v>
      </c>
      <c r="B3436" t="s">
        <v>564</v>
      </c>
      <c r="C3436" t="s">
        <v>565</v>
      </c>
      <c r="D3436" t="s">
        <v>41</v>
      </c>
      <c r="E3436" t="s">
        <v>655</v>
      </c>
      <c r="F3436" t="s">
        <v>662</v>
      </c>
      <c r="G3436" s="10">
        <v>30</v>
      </c>
      <c r="H3436" s="10">
        <v>5395</v>
      </c>
      <c r="I3436" s="10">
        <v>161850</v>
      </c>
      <c r="J3436" t="s">
        <v>42</v>
      </c>
      <c r="K3436" s="11">
        <v>3145.8</v>
      </c>
      <c r="L3436" s="12">
        <v>51.45</v>
      </c>
    </row>
    <row r="3437" spans="1:12" x14ac:dyDescent="0.2">
      <c r="A3437" s="9">
        <v>46253</v>
      </c>
      <c r="B3437" t="s">
        <v>564</v>
      </c>
      <c r="C3437" t="s">
        <v>565</v>
      </c>
      <c r="D3437" t="s">
        <v>41</v>
      </c>
      <c r="E3437" t="s">
        <v>647</v>
      </c>
      <c r="F3437" t="s">
        <v>668</v>
      </c>
      <c r="G3437" s="10">
        <v>57</v>
      </c>
      <c r="H3437" s="10">
        <v>124550</v>
      </c>
      <c r="I3437" s="10">
        <v>7099350</v>
      </c>
      <c r="J3437" t="s">
        <v>42</v>
      </c>
      <c r="K3437" s="11">
        <v>3145.8</v>
      </c>
      <c r="L3437" s="12">
        <v>2256.77</v>
      </c>
    </row>
    <row r="3438" spans="1:12" x14ac:dyDescent="0.2">
      <c r="A3438" s="9">
        <v>46253</v>
      </c>
      <c r="B3438" t="s">
        <v>567</v>
      </c>
      <c r="C3438" t="s">
        <v>568</v>
      </c>
      <c r="D3438" t="s">
        <v>41</v>
      </c>
      <c r="E3438" t="s">
        <v>660</v>
      </c>
      <c r="F3438" t="s">
        <v>669</v>
      </c>
      <c r="G3438" s="10">
        <v>25</v>
      </c>
      <c r="H3438" s="10">
        <v>12188</v>
      </c>
      <c r="I3438" s="10">
        <v>304700</v>
      </c>
      <c r="J3438" t="s">
        <v>42</v>
      </c>
      <c r="K3438" s="11">
        <v>3145.8</v>
      </c>
      <c r="L3438" s="12">
        <v>96.86</v>
      </c>
    </row>
    <row r="3439" spans="1:12" x14ac:dyDescent="0.2">
      <c r="A3439" s="9">
        <v>46253</v>
      </c>
      <c r="B3439" t="s">
        <v>567</v>
      </c>
      <c r="C3439" t="s">
        <v>568</v>
      </c>
      <c r="D3439" t="s">
        <v>41</v>
      </c>
      <c r="E3439" t="s">
        <v>647</v>
      </c>
      <c r="F3439" t="s">
        <v>668</v>
      </c>
      <c r="G3439" s="10">
        <v>78</v>
      </c>
      <c r="H3439" s="10">
        <v>125101</v>
      </c>
      <c r="I3439" s="10">
        <v>9757878</v>
      </c>
      <c r="J3439" t="s">
        <v>42</v>
      </c>
      <c r="K3439" s="11">
        <v>3145.8</v>
      </c>
      <c r="L3439" s="12">
        <v>3101.87</v>
      </c>
    </row>
    <row r="3440" spans="1:12" x14ac:dyDescent="0.2">
      <c r="A3440" s="9">
        <v>46253</v>
      </c>
      <c r="B3440" t="s">
        <v>567</v>
      </c>
      <c r="C3440" t="s">
        <v>568</v>
      </c>
      <c r="D3440" t="s">
        <v>41</v>
      </c>
      <c r="E3440" t="s">
        <v>651</v>
      </c>
      <c r="F3440" t="s">
        <v>664</v>
      </c>
      <c r="G3440" s="10">
        <v>13</v>
      </c>
      <c r="H3440" s="10">
        <v>56308</v>
      </c>
      <c r="I3440" s="10">
        <v>732004</v>
      </c>
      <c r="J3440" t="s">
        <v>42</v>
      </c>
      <c r="K3440" s="11">
        <v>3145.8</v>
      </c>
      <c r="L3440" s="12">
        <v>232.69</v>
      </c>
    </row>
    <row r="3441" spans="1:12" x14ac:dyDescent="0.2">
      <c r="A3441" s="9">
        <v>46253</v>
      </c>
      <c r="B3441" t="s">
        <v>567</v>
      </c>
      <c r="C3441" t="s">
        <v>568</v>
      </c>
      <c r="D3441" t="s">
        <v>41</v>
      </c>
      <c r="E3441" t="s">
        <v>651</v>
      </c>
      <c r="F3441" t="s">
        <v>664</v>
      </c>
      <c r="G3441" s="10">
        <v>28</v>
      </c>
      <c r="H3441" s="10">
        <v>59202</v>
      </c>
      <c r="I3441" s="10">
        <v>1657656</v>
      </c>
      <c r="J3441" t="s">
        <v>42</v>
      </c>
      <c r="K3441" s="11">
        <v>3145.8</v>
      </c>
      <c r="L3441" s="12">
        <v>526.94000000000005</v>
      </c>
    </row>
    <row r="3442" spans="1:12" x14ac:dyDescent="0.2">
      <c r="A3442" s="9">
        <v>46253</v>
      </c>
      <c r="B3442" t="s">
        <v>570</v>
      </c>
      <c r="C3442" t="s">
        <v>571</v>
      </c>
      <c r="D3442" t="s">
        <v>68</v>
      </c>
      <c r="E3442" t="s">
        <v>653</v>
      </c>
      <c r="F3442" t="s">
        <v>666</v>
      </c>
      <c r="G3442" s="10">
        <v>6</v>
      </c>
      <c r="H3442" s="10">
        <v>1524</v>
      </c>
      <c r="I3442" s="10">
        <v>9144</v>
      </c>
      <c r="J3442" t="s">
        <v>51</v>
      </c>
      <c r="K3442" s="11">
        <v>648.20000000000005</v>
      </c>
      <c r="L3442" s="12">
        <v>14.11</v>
      </c>
    </row>
    <row r="3443" spans="1:12" x14ac:dyDescent="0.2">
      <c r="A3443" s="9">
        <v>46253</v>
      </c>
      <c r="B3443" t="s">
        <v>570</v>
      </c>
      <c r="C3443" t="s">
        <v>571</v>
      </c>
      <c r="D3443" t="s">
        <v>68</v>
      </c>
      <c r="E3443" t="s">
        <v>649</v>
      </c>
      <c r="F3443" t="s">
        <v>663</v>
      </c>
      <c r="G3443" s="10">
        <v>3</v>
      </c>
      <c r="H3443" s="10">
        <v>2026</v>
      </c>
      <c r="I3443" s="10">
        <v>6078</v>
      </c>
      <c r="J3443" t="s">
        <v>51</v>
      </c>
      <c r="K3443" s="11">
        <v>648.20000000000005</v>
      </c>
      <c r="L3443" s="12">
        <v>9.3800000000000008</v>
      </c>
    </row>
    <row r="3444" spans="1:12" x14ac:dyDescent="0.2">
      <c r="A3444" s="9">
        <v>46253</v>
      </c>
      <c r="B3444" t="s">
        <v>570</v>
      </c>
      <c r="C3444" t="s">
        <v>571</v>
      </c>
      <c r="D3444" t="s">
        <v>68</v>
      </c>
      <c r="E3444" t="s">
        <v>655</v>
      </c>
      <c r="F3444" t="s">
        <v>662</v>
      </c>
      <c r="G3444" s="10">
        <v>6</v>
      </c>
      <c r="H3444" s="10">
        <v>1158</v>
      </c>
      <c r="I3444" s="10">
        <v>6948</v>
      </c>
      <c r="J3444" t="s">
        <v>51</v>
      </c>
      <c r="K3444" s="11">
        <v>648.20000000000005</v>
      </c>
      <c r="L3444" s="12">
        <v>10.72</v>
      </c>
    </row>
    <row r="3445" spans="1:12" x14ac:dyDescent="0.2">
      <c r="A3445" s="9">
        <v>46253</v>
      </c>
      <c r="B3445" t="s">
        <v>573</v>
      </c>
      <c r="C3445" t="s">
        <v>574</v>
      </c>
      <c r="D3445" t="s">
        <v>41</v>
      </c>
      <c r="E3445" t="s">
        <v>647</v>
      </c>
      <c r="F3445" t="s">
        <v>648</v>
      </c>
      <c r="G3445" s="10">
        <v>4</v>
      </c>
      <c r="H3445" s="10">
        <v>81281</v>
      </c>
      <c r="I3445" s="10">
        <v>325124</v>
      </c>
      <c r="J3445" t="s">
        <v>42</v>
      </c>
      <c r="K3445" s="11">
        <v>3145.8</v>
      </c>
      <c r="L3445" s="12">
        <v>103.35</v>
      </c>
    </row>
    <row r="3446" spans="1:12" x14ac:dyDescent="0.2">
      <c r="A3446" s="9">
        <v>46253</v>
      </c>
      <c r="B3446" t="s">
        <v>573</v>
      </c>
      <c r="C3446" t="s">
        <v>574</v>
      </c>
      <c r="D3446" t="s">
        <v>41</v>
      </c>
      <c r="E3446" t="s">
        <v>655</v>
      </c>
      <c r="F3446" t="s">
        <v>656</v>
      </c>
      <c r="G3446" s="10">
        <v>16</v>
      </c>
      <c r="H3446" s="10">
        <v>2711</v>
      </c>
      <c r="I3446" s="10">
        <v>43376</v>
      </c>
      <c r="J3446" t="s">
        <v>42</v>
      </c>
      <c r="K3446" s="11">
        <v>3145.8</v>
      </c>
      <c r="L3446" s="12">
        <v>13.79</v>
      </c>
    </row>
    <row r="3447" spans="1:12" x14ac:dyDescent="0.2">
      <c r="A3447" s="9">
        <v>46253</v>
      </c>
      <c r="B3447" t="s">
        <v>582</v>
      </c>
      <c r="C3447" t="s">
        <v>583</v>
      </c>
      <c r="D3447" t="s">
        <v>36</v>
      </c>
      <c r="E3447" t="s">
        <v>660</v>
      </c>
      <c r="F3447" t="s">
        <v>670</v>
      </c>
      <c r="G3447" s="10">
        <v>42</v>
      </c>
      <c r="H3447" s="10">
        <v>14935</v>
      </c>
      <c r="I3447" s="10">
        <v>627270</v>
      </c>
      <c r="J3447" t="s">
        <v>37</v>
      </c>
      <c r="K3447" s="11">
        <v>648.20000000000005</v>
      </c>
      <c r="L3447" s="12">
        <v>967.71</v>
      </c>
    </row>
    <row r="3448" spans="1:12" x14ac:dyDescent="0.2">
      <c r="A3448" s="9">
        <v>46253</v>
      </c>
      <c r="B3448" t="s">
        <v>582</v>
      </c>
      <c r="C3448" t="s">
        <v>583</v>
      </c>
      <c r="D3448" t="s">
        <v>36</v>
      </c>
      <c r="E3448" t="s">
        <v>647</v>
      </c>
      <c r="F3448" t="s">
        <v>668</v>
      </c>
      <c r="G3448" s="10">
        <v>14</v>
      </c>
      <c r="H3448" s="10">
        <v>26141</v>
      </c>
      <c r="I3448" s="10">
        <v>365974</v>
      </c>
      <c r="J3448" t="s">
        <v>37</v>
      </c>
      <c r="K3448" s="11">
        <v>648.20000000000005</v>
      </c>
      <c r="L3448" s="12">
        <v>564.6</v>
      </c>
    </row>
    <row r="3449" spans="1:12" x14ac:dyDescent="0.2">
      <c r="A3449" s="9">
        <v>46253</v>
      </c>
      <c r="B3449" t="s">
        <v>585</v>
      </c>
      <c r="C3449" t="s">
        <v>586</v>
      </c>
      <c r="D3449" t="s">
        <v>50</v>
      </c>
      <c r="E3449" t="s">
        <v>649</v>
      </c>
      <c r="F3449" t="s">
        <v>650</v>
      </c>
      <c r="G3449" s="10">
        <v>20</v>
      </c>
      <c r="H3449" s="10">
        <v>19335</v>
      </c>
      <c r="I3449" s="10">
        <v>386700</v>
      </c>
      <c r="J3449" t="s">
        <v>51</v>
      </c>
      <c r="K3449" s="11">
        <v>648.20000000000005</v>
      </c>
      <c r="L3449" s="12">
        <v>596.58000000000004</v>
      </c>
    </row>
    <row r="3450" spans="1:12" x14ac:dyDescent="0.2">
      <c r="A3450" s="9">
        <v>46253</v>
      </c>
      <c r="B3450" t="s">
        <v>590</v>
      </c>
      <c r="C3450" t="s">
        <v>591</v>
      </c>
      <c r="D3450" t="s">
        <v>41</v>
      </c>
      <c r="E3450" t="s">
        <v>647</v>
      </c>
      <c r="F3450" t="s">
        <v>668</v>
      </c>
      <c r="G3450" s="10">
        <v>25</v>
      </c>
      <c r="H3450" s="10">
        <v>121694</v>
      </c>
      <c r="I3450" s="10">
        <v>3042350</v>
      </c>
      <c r="J3450" t="s">
        <v>42</v>
      </c>
      <c r="K3450" s="11">
        <v>3145.8</v>
      </c>
      <c r="L3450" s="12">
        <v>967.11</v>
      </c>
    </row>
    <row r="3451" spans="1:12" x14ac:dyDescent="0.2">
      <c r="A3451" s="9">
        <v>46253</v>
      </c>
      <c r="B3451" t="s">
        <v>596</v>
      </c>
      <c r="C3451" t="s">
        <v>597</v>
      </c>
      <c r="D3451" t="s">
        <v>50</v>
      </c>
      <c r="E3451" t="s">
        <v>651</v>
      </c>
      <c r="F3451" t="s">
        <v>652</v>
      </c>
      <c r="G3451" s="10">
        <v>5</v>
      </c>
      <c r="H3451" s="10">
        <v>9751</v>
      </c>
      <c r="I3451" s="10">
        <v>48755</v>
      </c>
      <c r="J3451" t="s">
        <v>51</v>
      </c>
      <c r="K3451" s="11">
        <v>648.20000000000005</v>
      </c>
      <c r="L3451" s="12">
        <v>75.22</v>
      </c>
    </row>
    <row r="3452" spans="1:12" x14ac:dyDescent="0.2">
      <c r="A3452" s="9">
        <v>46253</v>
      </c>
      <c r="B3452" t="s">
        <v>596</v>
      </c>
      <c r="C3452" t="s">
        <v>597</v>
      </c>
      <c r="D3452" t="s">
        <v>50</v>
      </c>
      <c r="E3452" t="s">
        <v>647</v>
      </c>
      <c r="F3452" t="s">
        <v>667</v>
      </c>
      <c r="G3452" s="10">
        <v>9</v>
      </c>
      <c r="H3452" s="10">
        <v>7609</v>
      </c>
      <c r="I3452" s="10">
        <v>68481</v>
      </c>
      <c r="J3452" t="s">
        <v>51</v>
      </c>
      <c r="K3452" s="11">
        <v>648.20000000000005</v>
      </c>
      <c r="L3452" s="12">
        <v>105.65</v>
      </c>
    </row>
    <row r="3453" spans="1:12" x14ac:dyDescent="0.2">
      <c r="A3453" s="9">
        <v>46253</v>
      </c>
      <c r="B3453" t="s">
        <v>599</v>
      </c>
      <c r="C3453" t="s">
        <v>600</v>
      </c>
      <c r="D3453" t="s">
        <v>75</v>
      </c>
      <c r="E3453" t="s">
        <v>655</v>
      </c>
      <c r="F3453" t="s">
        <v>662</v>
      </c>
      <c r="G3453" s="10">
        <v>18</v>
      </c>
      <c r="H3453" s="10">
        <v>5302</v>
      </c>
      <c r="I3453" s="10">
        <v>95436</v>
      </c>
      <c r="J3453" t="s">
        <v>42</v>
      </c>
      <c r="K3453" s="11">
        <v>3145.8</v>
      </c>
      <c r="L3453" s="12">
        <v>30.34</v>
      </c>
    </row>
    <row r="3454" spans="1:12" x14ac:dyDescent="0.2">
      <c r="A3454" s="9">
        <v>46253</v>
      </c>
      <c r="B3454" t="s">
        <v>599</v>
      </c>
      <c r="C3454" t="s">
        <v>600</v>
      </c>
      <c r="D3454" t="s">
        <v>75</v>
      </c>
      <c r="E3454" t="s">
        <v>647</v>
      </c>
      <c r="F3454" t="s">
        <v>648</v>
      </c>
      <c r="G3454" s="10">
        <v>19</v>
      </c>
      <c r="H3454" s="10">
        <v>81453</v>
      </c>
      <c r="I3454" s="10">
        <v>1547607</v>
      </c>
      <c r="J3454" t="s">
        <v>42</v>
      </c>
      <c r="K3454" s="11">
        <v>3145.8</v>
      </c>
      <c r="L3454" s="12">
        <v>491.96</v>
      </c>
    </row>
    <row r="3455" spans="1:12" x14ac:dyDescent="0.2">
      <c r="A3455" s="9">
        <v>46253</v>
      </c>
      <c r="B3455" t="s">
        <v>605</v>
      </c>
      <c r="C3455" t="s">
        <v>606</v>
      </c>
      <c r="D3455" t="s">
        <v>68</v>
      </c>
      <c r="E3455" t="s">
        <v>655</v>
      </c>
      <c r="F3455" t="s">
        <v>662</v>
      </c>
      <c r="G3455" s="10">
        <v>5</v>
      </c>
      <c r="H3455" s="10">
        <v>1146</v>
      </c>
      <c r="I3455" s="10">
        <v>5730</v>
      </c>
      <c r="J3455" t="s">
        <v>51</v>
      </c>
      <c r="K3455" s="11">
        <v>648.20000000000005</v>
      </c>
      <c r="L3455" s="12">
        <v>8.84</v>
      </c>
    </row>
    <row r="3456" spans="1:12" x14ac:dyDescent="0.2">
      <c r="A3456" s="9">
        <v>46253</v>
      </c>
      <c r="B3456" t="s">
        <v>605</v>
      </c>
      <c r="C3456" t="s">
        <v>606</v>
      </c>
      <c r="D3456" t="s">
        <v>68</v>
      </c>
      <c r="E3456" t="s">
        <v>647</v>
      </c>
      <c r="F3456" t="s">
        <v>648</v>
      </c>
      <c r="G3456" s="10">
        <v>8</v>
      </c>
      <c r="H3456" s="10">
        <v>15925</v>
      </c>
      <c r="I3456" s="10">
        <v>127400</v>
      </c>
      <c r="J3456" t="s">
        <v>51</v>
      </c>
      <c r="K3456" s="11">
        <v>648.20000000000005</v>
      </c>
      <c r="L3456" s="12">
        <v>196.54</v>
      </c>
    </row>
    <row r="3457" spans="1:12" x14ac:dyDescent="0.2">
      <c r="A3457" s="9">
        <v>46253</v>
      </c>
      <c r="B3457" t="s">
        <v>608</v>
      </c>
      <c r="C3457" t="s">
        <v>609</v>
      </c>
      <c r="D3457" t="s">
        <v>75</v>
      </c>
      <c r="E3457" t="s">
        <v>647</v>
      </c>
      <c r="F3457" t="s">
        <v>648</v>
      </c>
      <c r="G3457" s="10">
        <v>2</v>
      </c>
      <c r="H3457" s="10">
        <v>75979</v>
      </c>
      <c r="I3457" s="10">
        <v>151958</v>
      </c>
      <c r="J3457" t="s">
        <v>42</v>
      </c>
      <c r="K3457" s="11">
        <v>3145.8</v>
      </c>
      <c r="L3457" s="12">
        <v>48.31</v>
      </c>
    </row>
    <row r="3458" spans="1:12" x14ac:dyDescent="0.2">
      <c r="A3458" s="9">
        <v>46253</v>
      </c>
      <c r="B3458" t="s">
        <v>614</v>
      </c>
      <c r="C3458" t="s">
        <v>615</v>
      </c>
      <c r="D3458" t="s">
        <v>68</v>
      </c>
      <c r="E3458" t="s">
        <v>660</v>
      </c>
      <c r="F3458" t="s">
        <v>669</v>
      </c>
      <c r="G3458" s="10">
        <v>8</v>
      </c>
      <c r="H3458" s="10">
        <v>2532</v>
      </c>
      <c r="I3458" s="10">
        <v>20256</v>
      </c>
      <c r="J3458" t="s">
        <v>51</v>
      </c>
      <c r="K3458" s="11">
        <v>648.20000000000005</v>
      </c>
      <c r="L3458" s="12">
        <v>31.25</v>
      </c>
    </row>
    <row r="3459" spans="1:12" x14ac:dyDescent="0.2">
      <c r="A3459" s="9">
        <v>46253</v>
      </c>
      <c r="B3459" t="s">
        <v>614</v>
      </c>
      <c r="C3459" t="s">
        <v>615</v>
      </c>
      <c r="D3459" t="s">
        <v>68</v>
      </c>
      <c r="E3459" t="s">
        <v>660</v>
      </c>
      <c r="F3459" t="s">
        <v>669</v>
      </c>
      <c r="G3459" s="10">
        <v>75</v>
      </c>
      <c r="H3459" s="10">
        <v>2570</v>
      </c>
      <c r="I3459" s="10">
        <v>192750</v>
      </c>
      <c r="J3459" t="s">
        <v>51</v>
      </c>
      <c r="K3459" s="11">
        <v>648.20000000000005</v>
      </c>
      <c r="L3459" s="12">
        <v>297.36</v>
      </c>
    </row>
    <row r="3460" spans="1:12" x14ac:dyDescent="0.2">
      <c r="A3460" s="9">
        <v>46253</v>
      </c>
      <c r="B3460" t="s">
        <v>620</v>
      </c>
      <c r="C3460" t="s">
        <v>621</v>
      </c>
      <c r="D3460" t="s">
        <v>50</v>
      </c>
      <c r="E3460" t="s">
        <v>655</v>
      </c>
      <c r="F3460" t="s">
        <v>662</v>
      </c>
      <c r="G3460" s="10">
        <v>13</v>
      </c>
      <c r="H3460" s="10">
        <v>1129</v>
      </c>
      <c r="I3460" s="10">
        <v>14677</v>
      </c>
      <c r="J3460" t="s">
        <v>51</v>
      </c>
      <c r="K3460" s="11">
        <v>648.20000000000005</v>
      </c>
      <c r="L3460" s="12">
        <v>22.64</v>
      </c>
    </row>
    <row r="3461" spans="1:12" x14ac:dyDescent="0.2">
      <c r="A3461" s="9">
        <v>46253</v>
      </c>
      <c r="B3461" t="s">
        <v>626</v>
      </c>
      <c r="C3461" t="s">
        <v>627</v>
      </c>
      <c r="D3461" t="s">
        <v>50</v>
      </c>
      <c r="E3461" t="s">
        <v>660</v>
      </c>
      <c r="F3461" t="s">
        <v>670</v>
      </c>
      <c r="G3461" s="10">
        <v>8</v>
      </c>
      <c r="H3461" s="10">
        <v>14882</v>
      </c>
      <c r="I3461" s="10">
        <v>119056</v>
      </c>
      <c r="J3461" t="s">
        <v>51</v>
      </c>
      <c r="K3461" s="11">
        <v>648.20000000000005</v>
      </c>
      <c r="L3461" s="12">
        <v>183.67</v>
      </c>
    </row>
    <row r="3462" spans="1:12" x14ac:dyDescent="0.2">
      <c r="A3462" s="9">
        <v>46253</v>
      </c>
      <c r="B3462" t="s">
        <v>629</v>
      </c>
      <c r="C3462" t="s">
        <v>630</v>
      </c>
      <c r="D3462" t="s">
        <v>46</v>
      </c>
      <c r="E3462" t="s">
        <v>653</v>
      </c>
      <c r="F3462" t="s">
        <v>666</v>
      </c>
      <c r="G3462" s="10">
        <v>2</v>
      </c>
      <c r="H3462" s="10">
        <v>1561</v>
      </c>
      <c r="I3462" s="10">
        <v>3122</v>
      </c>
      <c r="J3462" t="s">
        <v>37</v>
      </c>
      <c r="K3462" s="11">
        <v>648.20000000000005</v>
      </c>
      <c r="L3462" s="12">
        <v>4.82</v>
      </c>
    </row>
    <row r="3463" spans="1:12" x14ac:dyDescent="0.2">
      <c r="A3463" s="9">
        <v>46253</v>
      </c>
      <c r="B3463" t="s">
        <v>629</v>
      </c>
      <c r="C3463" t="s">
        <v>630</v>
      </c>
      <c r="D3463" t="s">
        <v>46</v>
      </c>
      <c r="E3463" t="s">
        <v>649</v>
      </c>
      <c r="F3463" t="s">
        <v>663</v>
      </c>
      <c r="G3463" s="10">
        <v>20</v>
      </c>
      <c r="H3463" s="10">
        <v>1968</v>
      </c>
      <c r="I3463" s="10">
        <v>39360</v>
      </c>
      <c r="J3463" t="s">
        <v>37</v>
      </c>
      <c r="K3463" s="11">
        <v>648.20000000000005</v>
      </c>
      <c r="L3463" s="12">
        <v>60.72</v>
      </c>
    </row>
    <row r="3464" spans="1:12" x14ac:dyDescent="0.2">
      <c r="A3464" s="9">
        <v>46253</v>
      </c>
      <c r="B3464" t="s">
        <v>629</v>
      </c>
      <c r="C3464" t="s">
        <v>630</v>
      </c>
      <c r="D3464" t="s">
        <v>46</v>
      </c>
      <c r="E3464" t="s">
        <v>655</v>
      </c>
      <c r="F3464" t="s">
        <v>662</v>
      </c>
      <c r="G3464" s="10">
        <v>15</v>
      </c>
      <c r="H3464" s="10">
        <v>1139</v>
      </c>
      <c r="I3464" s="10">
        <v>17085</v>
      </c>
      <c r="J3464" t="s">
        <v>37</v>
      </c>
      <c r="K3464" s="11">
        <v>648.20000000000005</v>
      </c>
      <c r="L3464" s="12">
        <v>26.36</v>
      </c>
    </row>
    <row r="3465" spans="1:12" x14ac:dyDescent="0.2">
      <c r="A3465" s="9">
        <v>46253</v>
      </c>
      <c r="B3465" t="s">
        <v>629</v>
      </c>
      <c r="C3465" t="s">
        <v>630</v>
      </c>
      <c r="D3465" t="s">
        <v>46</v>
      </c>
      <c r="E3465" t="s">
        <v>660</v>
      </c>
      <c r="F3465" t="s">
        <v>661</v>
      </c>
      <c r="G3465" s="10">
        <v>1</v>
      </c>
      <c r="H3465" s="10">
        <v>4176</v>
      </c>
      <c r="I3465" s="10">
        <v>4176</v>
      </c>
      <c r="J3465" t="s">
        <v>37</v>
      </c>
      <c r="K3465" s="11">
        <v>648.20000000000005</v>
      </c>
      <c r="L3465" s="12">
        <v>6.44</v>
      </c>
    </row>
    <row r="3466" spans="1:12" x14ac:dyDescent="0.2">
      <c r="A3466" s="9">
        <v>46253</v>
      </c>
      <c r="B3466" t="s">
        <v>632</v>
      </c>
      <c r="C3466" t="s">
        <v>633</v>
      </c>
      <c r="D3466" t="s">
        <v>68</v>
      </c>
      <c r="E3466" t="s">
        <v>649</v>
      </c>
      <c r="F3466" t="s">
        <v>663</v>
      </c>
      <c r="G3466" s="10">
        <v>11</v>
      </c>
      <c r="H3466" s="10">
        <v>1952</v>
      </c>
      <c r="I3466" s="10">
        <v>21472</v>
      </c>
      <c r="J3466" t="s">
        <v>51</v>
      </c>
      <c r="K3466" s="11">
        <v>648.20000000000005</v>
      </c>
      <c r="L3466" s="12">
        <v>33.130000000000003</v>
      </c>
    </row>
    <row r="3467" spans="1:12" x14ac:dyDescent="0.2">
      <c r="A3467" s="9">
        <v>46253</v>
      </c>
      <c r="B3467" t="s">
        <v>635</v>
      </c>
      <c r="C3467" t="s">
        <v>636</v>
      </c>
      <c r="D3467" t="s">
        <v>41</v>
      </c>
      <c r="E3467" t="s">
        <v>660</v>
      </c>
      <c r="F3467" t="s">
        <v>669</v>
      </c>
      <c r="G3467" s="10">
        <v>24</v>
      </c>
      <c r="H3467" s="10">
        <v>13033</v>
      </c>
      <c r="I3467" s="10">
        <v>312792</v>
      </c>
      <c r="J3467" t="s">
        <v>42</v>
      </c>
      <c r="K3467" s="11">
        <v>3145.8</v>
      </c>
      <c r="L3467" s="12">
        <v>99.43</v>
      </c>
    </row>
    <row r="3468" spans="1:12" x14ac:dyDescent="0.2">
      <c r="A3468" s="9">
        <v>46253</v>
      </c>
      <c r="B3468" t="s">
        <v>635</v>
      </c>
      <c r="C3468" t="s">
        <v>636</v>
      </c>
      <c r="D3468" t="s">
        <v>41</v>
      </c>
      <c r="E3468" t="s">
        <v>660</v>
      </c>
      <c r="F3468" t="s">
        <v>661</v>
      </c>
      <c r="G3468" s="10">
        <v>9</v>
      </c>
      <c r="H3468" s="10">
        <v>20849</v>
      </c>
      <c r="I3468" s="10">
        <v>187641</v>
      </c>
      <c r="J3468" t="s">
        <v>42</v>
      </c>
      <c r="K3468" s="11">
        <v>3145.8</v>
      </c>
      <c r="L3468" s="12">
        <v>59.65</v>
      </c>
    </row>
    <row r="3469" spans="1:12" x14ac:dyDescent="0.2">
      <c r="A3469" s="9">
        <v>46254</v>
      </c>
      <c r="B3469" t="s">
        <v>34</v>
      </c>
      <c r="C3469" t="s">
        <v>35</v>
      </c>
      <c r="D3469" t="s">
        <v>36</v>
      </c>
      <c r="E3469" t="s">
        <v>647</v>
      </c>
      <c r="F3469" t="s">
        <v>648</v>
      </c>
      <c r="G3469" s="10">
        <v>32</v>
      </c>
      <c r="H3469" s="10">
        <v>16101</v>
      </c>
      <c r="I3469" s="10">
        <v>515232</v>
      </c>
      <c r="J3469" t="s">
        <v>37</v>
      </c>
      <c r="K3469" s="11">
        <v>648.20000000000005</v>
      </c>
      <c r="L3469" s="12">
        <v>794.87</v>
      </c>
    </row>
    <row r="3470" spans="1:12" x14ac:dyDescent="0.2">
      <c r="A3470" s="9">
        <v>46254</v>
      </c>
      <c r="B3470" t="s">
        <v>34</v>
      </c>
      <c r="C3470" t="s">
        <v>35</v>
      </c>
      <c r="D3470" t="s">
        <v>36</v>
      </c>
      <c r="E3470" t="s">
        <v>647</v>
      </c>
      <c r="F3470" t="s">
        <v>667</v>
      </c>
      <c r="G3470" s="10">
        <v>3</v>
      </c>
      <c r="H3470" s="10">
        <v>7354</v>
      </c>
      <c r="I3470" s="10">
        <v>22062</v>
      </c>
      <c r="J3470" t="s">
        <v>37</v>
      </c>
      <c r="K3470" s="11">
        <v>648.20000000000005</v>
      </c>
      <c r="L3470" s="12">
        <v>34.04</v>
      </c>
    </row>
    <row r="3471" spans="1:12" x14ac:dyDescent="0.2">
      <c r="A3471" s="9">
        <v>46254</v>
      </c>
      <c r="B3471" t="s">
        <v>39</v>
      </c>
      <c r="C3471" t="s">
        <v>40</v>
      </c>
      <c r="D3471" t="s">
        <v>41</v>
      </c>
      <c r="E3471" t="s">
        <v>647</v>
      </c>
      <c r="F3471" t="s">
        <v>667</v>
      </c>
      <c r="G3471" s="10">
        <v>9</v>
      </c>
      <c r="H3471" s="10">
        <v>36715</v>
      </c>
      <c r="I3471" s="10">
        <v>330435</v>
      </c>
      <c r="J3471" t="s">
        <v>42</v>
      </c>
      <c r="K3471" s="11">
        <v>3145.8</v>
      </c>
      <c r="L3471" s="12">
        <v>105.04</v>
      </c>
    </row>
    <row r="3472" spans="1:12" x14ac:dyDescent="0.2">
      <c r="A3472" s="9">
        <v>46254</v>
      </c>
      <c r="B3472" t="s">
        <v>44</v>
      </c>
      <c r="C3472" t="s">
        <v>45</v>
      </c>
      <c r="D3472" t="s">
        <v>46</v>
      </c>
      <c r="E3472" t="s">
        <v>660</v>
      </c>
      <c r="F3472" t="s">
        <v>669</v>
      </c>
      <c r="G3472" s="10">
        <v>53</v>
      </c>
      <c r="H3472" s="10">
        <v>2554</v>
      </c>
      <c r="I3472" s="10">
        <v>135362</v>
      </c>
      <c r="J3472" t="s">
        <v>37</v>
      </c>
      <c r="K3472" s="11">
        <v>648.20000000000005</v>
      </c>
      <c r="L3472" s="12">
        <v>208.83</v>
      </c>
    </row>
    <row r="3473" spans="1:12" x14ac:dyDescent="0.2">
      <c r="A3473" s="9">
        <v>46254</v>
      </c>
      <c r="B3473" t="s">
        <v>44</v>
      </c>
      <c r="C3473" t="s">
        <v>45</v>
      </c>
      <c r="D3473" t="s">
        <v>46</v>
      </c>
      <c r="E3473" t="s">
        <v>647</v>
      </c>
      <c r="F3473" t="s">
        <v>648</v>
      </c>
      <c r="G3473" s="10">
        <v>2</v>
      </c>
      <c r="H3473" s="10">
        <v>16092</v>
      </c>
      <c r="I3473" s="10">
        <v>32184</v>
      </c>
      <c r="J3473" t="s">
        <v>37</v>
      </c>
      <c r="K3473" s="11">
        <v>648.20000000000005</v>
      </c>
      <c r="L3473" s="12">
        <v>49.65</v>
      </c>
    </row>
    <row r="3474" spans="1:12" x14ac:dyDescent="0.2">
      <c r="A3474" s="9">
        <v>46254</v>
      </c>
      <c r="B3474" t="s">
        <v>56</v>
      </c>
      <c r="C3474" t="s">
        <v>57</v>
      </c>
      <c r="D3474" t="s">
        <v>46</v>
      </c>
      <c r="E3474" t="s">
        <v>649</v>
      </c>
      <c r="F3474" t="s">
        <v>650</v>
      </c>
      <c r="G3474" s="10">
        <v>9</v>
      </c>
      <c r="H3474" s="10">
        <v>19953</v>
      </c>
      <c r="I3474" s="10">
        <v>179577</v>
      </c>
      <c r="J3474" t="s">
        <v>37</v>
      </c>
      <c r="K3474" s="11">
        <v>648.20000000000005</v>
      </c>
      <c r="L3474" s="12">
        <v>277.04000000000002</v>
      </c>
    </row>
    <row r="3475" spans="1:12" x14ac:dyDescent="0.2">
      <c r="A3475" s="9">
        <v>46254</v>
      </c>
      <c r="B3475" t="s">
        <v>63</v>
      </c>
      <c r="C3475" t="s">
        <v>64</v>
      </c>
      <c r="D3475" t="s">
        <v>50</v>
      </c>
      <c r="E3475" t="s">
        <v>647</v>
      </c>
      <c r="F3475" t="s">
        <v>668</v>
      </c>
      <c r="G3475" s="10">
        <v>6</v>
      </c>
      <c r="H3475" s="10">
        <v>24661</v>
      </c>
      <c r="I3475" s="10">
        <v>147966</v>
      </c>
      <c r="J3475" t="s">
        <v>51</v>
      </c>
      <c r="K3475" s="11">
        <v>648.20000000000005</v>
      </c>
      <c r="L3475" s="12">
        <v>228.27</v>
      </c>
    </row>
    <row r="3476" spans="1:12" x14ac:dyDescent="0.2">
      <c r="A3476" s="9">
        <v>46254</v>
      </c>
      <c r="B3476" t="s">
        <v>63</v>
      </c>
      <c r="C3476" t="s">
        <v>64</v>
      </c>
      <c r="D3476" t="s">
        <v>50</v>
      </c>
      <c r="E3476" t="s">
        <v>647</v>
      </c>
      <c r="F3476" t="s">
        <v>668</v>
      </c>
      <c r="G3476" s="10">
        <v>5</v>
      </c>
      <c r="H3476" s="10">
        <v>24248</v>
      </c>
      <c r="I3476" s="10">
        <v>121240</v>
      </c>
      <c r="J3476" t="s">
        <v>51</v>
      </c>
      <c r="K3476" s="11">
        <v>648.20000000000005</v>
      </c>
      <c r="L3476" s="12">
        <v>187.04</v>
      </c>
    </row>
    <row r="3477" spans="1:12" x14ac:dyDescent="0.2">
      <c r="A3477" s="9">
        <v>46254</v>
      </c>
      <c r="B3477" t="s">
        <v>63</v>
      </c>
      <c r="C3477" t="s">
        <v>64</v>
      </c>
      <c r="D3477" t="s">
        <v>50</v>
      </c>
      <c r="E3477" t="s">
        <v>655</v>
      </c>
      <c r="F3477" t="s">
        <v>665</v>
      </c>
      <c r="G3477" s="10">
        <v>30</v>
      </c>
      <c r="H3477" s="10">
        <v>711</v>
      </c>
      <c r="I3477" s="10">
        <v>21330</v>
      </c>
      <c r="J3477" t="s">
        <v>51</v>
      </c>
      <c r="K3477" s="11">
        <v>648.20000000000005</v>
      </c>
      <c r="L3477" s="12">
        <v>32.909999999999997</v>
      </c>
    </row>
    <row r="3478" spans="1:12" x14ac:dyDescent="0.2">
      <c r="A3478" s="9">
        <v>46254</v>
      </c>
      <c r="B3478" t="s">
        <v>73</v>
      </c>
      <c r="C3478" t="s">
        <v>74</v>
      </c>
      <c r="D3478" t="s">
        <v>75</v>
      </c>
      <c r="E3478" t="s">
        <v>647</v>
      </c>
      <c r="F3478" t="s">
        <v>648</v>
      </c>
      <c r="G3478" s="10">
        <v>84</v>
      </c>
      <c r="H3478" s="10">
        <v>77974</v>
      </c>
      <c r="I3478" s="10">
        <v>6549816</v>
      </c>
      <c r="J3478" t="s">
        <v>42</v>
      </c>
      <c r="K3478" s="11">
        <v>3145.8</v>
      </c>
      <c r="L3478" s="12">
        <v>2082.08</v>
      </c>
    </row>
    <row r="3479" spans="1:12" x14ac:dyDescent="0.2">
      <c r="A3479" s="9">
        <v>46254</v>
      </c>
      <c r="B3479" t="s">
        <v>73</v>
      </c>
      <c r="C3479" t="s">
        <v>74</v>
      </c>
      <c r="D3479" t="s">
        <v>75</v>
      </c>
      <c r="E3479" t="s">
        <v>647</v>
      </c>
      <c r="F3479" t="s">
        <v>648</v>
      </c>
      <c r="G3479" s="10">
        <v>64</v>
      </c>
      <c r="H3479" s="10">
        <v>80681</v>
      </c>
      <c r="I3479" s="10">
        <v>5163584</v>
      </c>
      <c r="J3479" t="s">
        <v>42</v>
      </c>
      <c r="K3479" s="11">
        <v>3145.8</v>
      </c>
      <c r="L3479" s="12">
        <v>1641.42</v>
      </c>
    </row>
    <row r="3480" spans="1:12" x14ac:dyDescent="0.2">
      <c r="A3480" s="9">
        <v>46254</v>
      </c>
      <c r="B3480" t="s">
        <v>73</v>
      </c>
      <c r="C3480" t="s">
        <v>74</v>
      </c>
      <c r="D3480" t="s">
        <v>75</v>
      </c>
      <c r="E3480" t="s">
        <v>647</v>
      </c>
      <c r="F3480" t="s">
        <v>648</v>
      </c>
      <c r="G3480" s="10">
        <v>30</v>
      </c>
      <c r="H3480" s="10">
        <v>78497</v>
      </c>
      <c r="I3480" s="10">
        <v>2354910</v>
      </c>
      <c r="J3480" t="s">
        <v>42</v>
      </c>
      <c r="K3480" s="11">
        <v>3145.8</v>
      </c>
      <c r="L3480" s="12">
        <v>748.59</v>
      </c>
    </row>
    <row r="3481" spans="1:12" x14ac:dyDescent="0.2">
      <c r="A3481" s="9">
        <v>46254</v>
      </c>
      <c r="B3481" t="s">
        <v>73</v>
      </c>
      <c r="C3481" t="s">
        <v>74</v>
      </c>
      <c r="D3481" t="s">
        <v>75</v>
      </c>
      <c r="E3481" t="s">
        <v>655</v>
      </c>
      <c r="F3481" t="s">
        <v>656</v>
      </c>
      <c r="G3481" s="10">
        <v>9</v>
      </c>
      <c r="H3481" s="10">
        <v>2861</v>
      </c>
      <c r="I3481" s="10">
        <v>25749</v>
      </c>
      <c r="J3481" t="s">
        <v>42</v>
      </c>
      <c r="K3481" s="11">
        <v>3145.8</v>
      </c>
      <c r="L3481" s="12">
        <v>8.19</v>
      </c>
    </row>
    <row r="3482" spans="1:12" x14ac:dyDescent="0.2">
      <c r="A3482" s="9">
        <v>46254</v>
      </c>
      <c r="B3482" t="s">
        <v>73</v>
      </c>
      <c r="C3482" t="s">
        <v>74</v>
      </c>
      <c r="D3482" t="s">
        <v>75</v>
      </c>
      <c r="E3482" t="s">
        <v>655</v>
      </c>
      <c r="F3482" t="s">
        <v>656</v>
      </c>
      <c r="G3482" s="10">
        <v>27</v>
      </c>
      <c r="H3482" s="10">
        <v>2741</v>
      </c>
      <c r="I3482" s="10">
        <v>74007</v>
      </c>
      <c r="J3482" t="s">
        <v>42</v>
      </c>
      <c r="K3482" s="11">
        <v>3145.8</v>
      </c>
      <c r="L3482" s="12">
        <v>23.53</v>
      </c>
    </row>
    <row r="3483" spans="1:12" x14ac:dyDescent="0.2">
      <c r="A3483" s="9">
        <v>46254</v>
      </c>
      <c r="B3483" t="s">
        <v>77</v>
      </c>
      <c r="C3483" t="s">
        <v>78</v>
      </c>
      <c r="D3483" t="s">
        <v>50</v>
      </c>
      <c r="E3483" t="s">
        <v>649</v>
      </c>
      <c r="F3483" t="s">
        <v>659</v>
      </c>
      <c r="G3483" s="10">
        <v>5</v>
      </c>
      <c r="H3483" s="10">
        <v>8587</v>
      </c>
      <c r="I3483" s="10">
        <v>42935</v>
      </c>
      <c r="J3483" t="s">
        <v>51</v>
      </c>
      <c r="K3483" s="11">
        <v>648.20000000000005</v>
      </c>
      <c r="L3483" s="12">
        <v>66.239999999999995</v>
      </c>
    </row>
    <row r="3484" spans="1:12" x14ac:dyDescent="0.2">
      <c r="A3484" s="9">
        <v>46254</v>
      </c>
      <c r="B3484" t="s">
        <v>77</v>
      </c>
      <c r="C3484" t="s">
        <v>78</v>
      </c>
      <c r="D3484" t="s">
        <v>50</v>
      </c>
      <c r="E3484" t="s">
        <v>660</v>
      </c>
      <c r="F3484" t="s">
        <v>661</v>
      </c>
      <c r="G3484" s="10">
        <v>13</v>
      </c>
      <c r="H3484" s="10">
        <v>4085</v>
      </c>
      <c r="I3484" s="10">
        <v>53105</v>
      </c>
      <c r="J3484" t="s">
        <v>51</v>
      </c>
      <c r="K3484" s="11">
        <v>648.20000000000005</v>
      </c>
      <c r="L3484" s="12">
        <v>81.93</v>
      </c>
    </row>
    <row r="3485" spans="1:12" x14ac:dyDescent="0.2">
      <c r="A3485" s="9">
        <v>46254</v>
      </c>
      <c r="B3485" t="s">
        <v>77</v>
      </c>
      <c r="C3485" t="s">
        <v>78</v>
      </c>
      <c r="D3485" t="s">
        <v>50</v>
      </c>
      <c r="E3485" t="s">
        <v>647</v>
      </c>
      <c r="F3485" t="s">
        <v>667</v>
      </c>
      <c r="G3485" s="10">
        <v>13</v>
      </c>
      <c r="H3485" s="10">
        <v>7517</v>
      </c>
      <c r="I3485" s="10">
        <v>97721</v>
      </c>
      <c r="J3485" t="s">
        <v>51</v>
      </c>
      <c r="K3485" s="11">
        <v>648.20000000000005</v>
      </c>
      <c r="L3485" s="12">
        <v>150.76</v>
      </c>
    </row>
    <row r="3486" spans="1:12" x14ac:dyDescent="0.2">
      <c r="A3486" s="9">
        <v>46254</v>
      </c>
      <c r="B3486" t="s">
        <v>83</v>
      </c>
      <c r="C3486" t="s">
        <v>84</v>
      </c>
      <c r="D3486" t="s">
        <v>41</v>
      </c>
      <c r="E3486" t="s">
        <v>651</v>
      </c>
      <c r="F3486" t="s">
        <v>652</v>
      </c>
      <c r="G3486" s="10">
        <v>20</v>
      </c>
      <c r="H3486" s="10">
        <v>46697</v>
      </c>
      <c r="I3486" s="10">
        <v>933940</v>
      </c>
      <c r="J3486" t="s">
        <v>42</v>
      </c>
      <c r="K3486" s="11">
        <v>3145.8</v>
      </c>
      <c r="L3486" s="12">
        <v>296.88</v>
      </c>
    </row>
    <row r="3487" spans="1:12" x14ac:dyDescent="0.2">
      <c r="A3487" s="9">
        <v>46254</v>
      </c>
      <c r="B3487" t="s">
        <v>83</v>
      </c>
      <c r="C3487" t="s">
        <v>84</v>
      </c>
      <c r="D3487" t="s">
        <v>41</v>
      </c>
      <c r="E3487" t="s">
        <v>655</v>
      </c>
      <c r="F3487" t="s">
        <v>665</v>
      </c>
      <c r="G3487" s="10">
        <v>12</v>
      </c>
      <c r="H3487" s="10">
        <v>3252</v>
      </c>
      <c r="I3487" s="10">
        <v>39024</v>
      </c>
      <c r="J3487" t="s">
        <v>42</v>
      </c>
      <c r="K3487" s="11">
        <v>3145.8</v>
      </c>
      <c r="L3487" s="12">
        <v>12.41</v>
      </c>
    </row>
    <row r="3488" spans="1:12" x14ac:dyDescent="0.2">
      <c r="A3488" s="9">
        <v>46254</v>
      </c>
      <c r="B3488" t="s">
        <v>96</v>
      </c>
      <c r="C3488" t="s">
        <v>97</v>
      </c>
      <c r="D3488" t="s">
        <v>41</v>
      </c>
      <c r="E3488" t="s">
        <v>660</v>
      </c>
      <c r="F3488" t="s">
        <v>661</v>
      </c>
      <c r="G3488" s="10">
        <v>8</v>
      </c>
      <c r="H3488" s="10">
        <v>19678</v>
      </c>
      <c r="I3488" s="10">
        <v>157424</v>
      </c>
      <c r="J3488" t="s">
        <v>42</v>
      </c>
      <c r="K3488" s="11">
        <v>3145.8</v>
      </c>
      <c r="L3488" s="12">
        <v>50.04</v>
      </c>
    </row>
    <row r="3489" spans="1:12" x14ac:dyDescent="0.2">
      <c r="A3489" s="9">
        <v>46254</v>
      </c>
      <c r="B3489" t="s">
        <v>102</v>
      </c>
      <c r="C3489" t="s">
        <v>103</v>
      </c>
      <c r="D3489" t="s">
        <v>41</v>
      </c>
      <c r="E3489" t="s">
        <v>647</v>
      </c>
      <c r="F3489" t="s">
        <v>668</v>
      </c>
      <c r="G3489" s="10">
        <v>7</v>
      </c>
      <c r="H3489" s="10">
        <v>120819</v>
      </c>
      <c r="I3489" s="10">
        <v>845733</v>
      </c>
      <c r="J3489" t="s">
        <v>42</v>
      </c>
      <c r="K3489" s="11">
        <v>3145.8</v>
      </c>
      <c r="L3489" s="12">
        <v>268.85000000000002</v>
      </c>
    </row>
    <row r="3490" spans="1:12" x14ac:dyDescent="0.2">
      <c r="A3490" s="9">
        <v>46254</v>
      </c>
      <c r="B3490" t="s">
        <v>102</v>
      </c>
      <c r="C3490" t="s">
        <v>103</v>
      </c>
      <c r="D3490" t="s">
        <v>41</v>
      </c>
      <c r="E3490" t="s">
        <v>647</v>
      </c>
      <c r="F3490" t="s">
        <v>648</v>
      </c>
      <c r="G3490" s="10">
        <v>12</v>
      </c>
      <c r="H3490" s="10">
        <v>79205</v>
      </c>
      <c r="I3490" s="10">
        <v>950460</v>
      </c>
      <c r="J3490" t="s">
        <v>42</v>
      </c>
      <c r="K3490" s="11">
        <v>3145.8</v>
      </c>
      <c r="L3490" s="12">
        <v>302.14</v>
      </c>
    </row>
    <row r="3491" spans="1:12" x14ac:dyDescent="0.2">
      <c r="A3491" s="9">
        <v>46254</v>
      </c>
      <c r="B3491" t="s">
        <v>111</v>
      </c>
      <c r="C3491" t="s">
        <v>112</v>
      </c>
      <c r="D3491" t="s">
        <v>41</v>
      </c>
      <c r="E3491" t="s">
        <v>649</v>
      </c>
      <c r="F3491" t="s">
        <v>650</v>
      </c>
      <c r="G3491" s="10">
        <v>25</v>
      </c>
      <c r="H3491" s="10">
        <v>94364</v>
      </c>
      <c r="I3491" s="10">
        <v>2359100</v>
      </c>
      <c r="J3491" t="s">
        <v>42</v>
      </c>
      <c r="K3491" s="11">
        <v>3145.8</v>
      </c>
      <c r="L3491" s="12">
        <v>749.92</v>
      </c>
    </row>
    <row r="3492" spans="1:12" x14ac:dyDescent="0.2">
      <c r="A3492" s="9">
        <v>46254</v>
      </c>
      <c r="B3492" t="s">
        <v>111</v>
      </c>
      <c r="C3492" t="s">
        <v>112</v>
      </c>
      <c r="D3492" t="s">
        <v>41</v>
      </c>
      <c r="E3492" t="s">
        <v>649</v>
      </c>
      <c r="F3492" t="s">
        <v>650</v>
      </c>
      <c r="G3492" s="10">
        <v>27</v>
      </c>
      <c r="H3492" s="10">
        <v>92494</v>
      </c>
      <c r="I3492" s="10">
        <v>2497338</v>
      </c>
      <c r="J3492" t="s">
        <v>42</v>
      </c>
      <c r="K3492" s="11">
        <v>3145.8</v>
      </c>
      <c r="L3492" s="12">
        <v>793.86</v>
      </c>
    </row>
    <row r="3493" spans="1:12" x14ac:dyDescent="0.2">
      <c r="A3493" s="9">
        <v>46254</v>
      </c>
      <c r="B3493" t="s">
        <v>111</v>
      </c>
      <c r="C3493" t="s">
        <v>112</v>
      </c>
      <c r="D3493" t="s">
        <v>41</v>
      </c>
      <c r="E3493" t="s">
        <v>647</v>
      </c>
      <c r="F3493" t="s">
        <v>668</v>
      </c>
      <c r="G3493" s="10">
        <v>27</v>
      </c>
      <c r="H3493" s="10">
        <v>125513</v>
      </c>
      <c r="I3493" s="10">
        <v>3388851</v>
      </c>
      <c r="J3493" t="s">
        <v>42</v>
      </c>
      <c r="K3493" s="11">
        <v>3145.8</v>
      </c>
      <c r="L3493" s="12">
        <v>1077.26</v>
      </c>
    </row>
    <row r="3494" spans="1:12" x14ac:dyDescent="0.2">
      <c r="A3494" s="9">
        <v>46254</v>
      </c>
      <c r="B3494" t="s">
        <v>115</v>
      </c>
      <c r="C3494" t="s">
        <v>116</v>
      </c>
      <c r="D3494" t="s">
        <v>41</v>
      </c>
      <c r="E3494" t="s">
        <v>649</v>
      </c>
      <c r="F3494" t="s">
        <v>663</v>
      </c>
      <c r="G3494" s="10">
        <v>13</v>
      </c>
      <c r="H3494" s="10">
        <v>10099</v>
      </c>
      <c r="I3494" s="10">
        <v>131287</v>
      </c>
      <c r="J3494" t="s">
        <v>42</v>
      </c>
      <c r="K3494" s="11">
        <v>3145.8</v>
      </c>
      <c r="L3494" s="12">
        <v>41.73</v>
      </c>
    </row>
    <row r="3495" spans="1:12" x14ac:dyDescent="0.2">
      <c r="A3495" s="9">
        <v>46254</v>
      </c>
      <c r="B3495" t="s">
        <v>115</v>
      </c>
      <c r="C3495" t="s">
        <v>116</v>
      </c>
      <c r="D3495" t="s">
        <v>41</v>
      </c>
      <c r="E3495" t="s">
        <v>655</v>
      </c>
      <c r="F3495" t="s">
        <v>665</v>
      </c>
      <c r="G3495" s="10">
        <v>28</v>
      </c>
      <c r="H3495" s="10">
        <v>3277</v>
      </c>
      <c r="I3495" s="10">
        <v>91756</v>
      </c>
      <c r="J3495" t="s">
        <v>42</v>
      </c>
      <c r="K3495" s="11">
        <v>3145.8</v>
      </c>
      <c r="L3495" s="12">
        <v>29.17</v>
      </c>
    </row>
    <row r="3496" spans="1:12" x14ac:dyDescent="0.2">
      <c r="A3496" s="9">
        <v>46254</v>
      </c>
      <c r="B3496" t="s">
        <v>121</v>
      </c>
      <c r="C3496" t="s">
        <v>122</v>
      </c>
      <c r="D3496" t="s">
        <v>75</v>
      </c>
      <c r="E3496" t="s">
        <v>655</v>
      </c>
      <c r="F3496" t="s">
        <v>656</v>
      </c>
      <c r="G3496" s="10">
        <v>4</v>
      </c>
      <c r="H3496" s="10">
        <v>2821</v>
      </c>
      <c r="I3496" s="10">
        <v>11284</v>
      </c>
      <c r="J3496" t="s">
        <v>42</v>
      </c>
      <c r="K3496" s="11">
        <v>3145.8</v>
      </c>
      <c r="L3496" s="12">
        <v>3.59</v>
      </c>
    </row>
    <row r="3497" spans="1:12" x14ac:dyDescent="0.2">
      <c r="A3497" s="9">
        <v>46254</v>
      </c>
      <c r="B3497" t="s">
        <v>121</v>
      </c>
      <c r="C3497" t="s">
        <v>122</v>
      </c>
      <c r="D3497" t="s">
        <v>75</v>
      </c>
      <c r="E3497" t="s">
        <v>651</v>
      </c>
      <c r="F3497" t="s">
        <v>657</v>
      </c>
      <c r="G3497" s="10">
        <v>1</v>
      </c>
      <c r="H3497" s="10">
        <v>32327</v>
      </c>
      <c r="I3497" s="10">
        <v>32327</v>
      </c>
      <c r="J3497" t="s">
        <v>42</v>
      </c>
      <c r="K3497" s="11">
        <v>3145.8</v>
      </c>
      <c r="L3497" s="12">
        <v>10.28</v>
      </c>
    </row>
    <row r="3498" spans="1:12" x14ac:dyDescent="0.2">
      <c r="A3498" s="9">
        <v>46254</v>
      </c>
      <c r="B3498" t="s">
        <v>124</v>
      </c>
      <c r="C3498" t="s">
        <v>125</v>
      </c>
      <c r="D3498" t="s">
        <v>75</v>
      </c>
      <c r="E3498" t="s">
        <v>649</v>
      </c>
      <c r="F3498" t="s">
        <v>663</v>
      </c>
      <c r="G3498" s="10">
        <v>3</v>
      </c>
      <c r="H3498" s="10">
        <v>9840</v>
      </c>
      <c r="I3498" s="10">
        <v>29520</v>
      </c>
      <c r="J3498" t="s">
        <v>42</v>
      </c>
      <c r="K3498" s="11">
        <v>3145.8</v>
      </c>
      <c r="L3498" s="12">
        <v>9.3800000000000008</v>
      </c>
    </row>
    <row r="3499" spans="1:12" x14ac:dyDescent="0.2">
      <c r="A3499" s="9">
        <v>46254</v>
      </c>
      <c r="B3499" t="s">
        <v>127</v>
      </c>
      <c r="C3499" t="s">
        <v>128</v>
      </c>
      <c r="D3499" t="s">
        <v>41</v>
      </c>
      <c r="E3499" t="s">
        <v>660</v>
      </c>
      <c r="F3499" t="s">
        <v>661</v>
      </c>
      <c r="G3499" s="10">
        <v>4</v>
      </c>
      <c r="H3499" s="10">
        <v>19855</v>
      </c>
      <c r="I3499" s="10">
        <v>79420</v>
      </c>
      <c r="J3499" t="s">
        <v>42</v>
      </c>
      <c r="K3499" s="11">
        <v>3145.8</v>
      </c>
      <c r="L3499" s="12">
        <v>25.25</v>
      </c>
    </row>
    <row r="3500" spans="1:12" x14ac:dyDescent="0.2">
      <c r="A3500" s="9">
        <v>46254</v>
      </c>
      <c r="B3500" t="s">
        <v>133</v>
      </c>
      <c r="C3500" t="s">
        <v>134</v>
      </c>
      <c r="D3500" t="s">
        <v>41</v>
      </c>
      <c r="E3500" t="s">
        <v>651</v>
      </c>
      <c r="F3500" t="s">
        <v>652</v>
      </c>
      <c r="G3500" s="10">
        <v>1</v>
      </c>
      <c r="H3500" s="10">
        <v>44771</v>
      </c>
      <c r="I3500" s="10">
        <v>44771</v>
      </c>
      <c r="J3500" t="s">
        <v>42</v>
      </c>
      <c r="K3500" s="11">
        <v>3145.8</v>
      </c>
      <c r="L3500" s="12">
        <v>14.23</v>
      </c>
    </row>
    <row r="3501" spans="1:12" x14ac:dyDescent="0.2">
      <c r="A3501" s="9">
        <v>46254</v>
      </c>
      <c r="B3501" t="s">
        <v>133</v>
      </c>
      <c r="C3501" t="s">
        <v>134</v>
      </c>
      <c r="D3501" t="s">
        <v>41</v>
      </c>
      <c r="E3501" t="s">
        <v>649</v>
      </c>
      <c r="F3501" t="s">
        <v>663</v>
      </c>
      <c r="G3501" s="10">
        <v>1</v>
      </c>
      <c r="H3501" s="10">
        <v>9811</v>
      </c>
      <c r="I3501" s="10">
        <v>9811</v>
      </c>
      <c r="J3501" t="s">
        <v>42</v>
      </c>
      <c r="K3501" s="11">
        <v>3145.8</v>
      </c>
      <c r="L3501" s="12">
        <v>3.12</v>
      </c>
    </row>
    <row r="3502" spans="1:12" x14ac:dyDescent="0.2">
      <c r="A3502" s="9">
        <v>46254</v>
      </c>
      <c r="B3502" t="s">
        <v>133</v>
      </c>
      <c r="C3502" t="s">
        <v>134</v>
      </c>
      <c r="D3502" t="s">
        <v>41</v>
      </c>
      <c r="E3502" t="s">
        <v>660</v>
      </c>
      <c r="F3502" t="s">
        <v>670</v>
      </c>
      <c r="G3502" s="10">
        <v>20</v>
      </c>
      <c r="H3502" s="10">
        <v>72373</v>
      </c>
      <c r="I3502" s="10">
        <v>1447460</v>
      </c>
      <c r="J3502" t="s">
        <v>42</v>
      </c>
      <c r="K3502" s="11">
        <v>3145.8</v>
      </c>
      <c r="L3502" s="12">
        <v>460.12</v>
      </c>
    </row>
    <row r="3503" spans="1:12" x14ac:dyDescent="0.2">
      <c r="A3503" s="9">
        <v>46254</v>
      </c>
      <c r="B3503" t="s">
        <v>136</v>
      </c>
      <c r="C3503" t="s">
        <v>137</v>
      </c>
      <c r="D3503" t="s">
        <v>41</v>
      </c>
      <c r="E3503" t="s">
        <v>649</v>
      </c>
      <c r="F3503" t="s">
        <v>659</v>
      </c>
      <c r="G3503" s="10">
        <v>82</v>
      </c>
      <c r="H3503" s="10">
        <v>44237</v>
      </c>
      <c r="I3503" s="10">
        <v>3627434</v>
      </c>
      <c r="J3503" t="s">
        <v>42</v>
      </c>
      <c r="K3503" s="11">
        <v>3145.8</v>
      </c>
      <c r="L3503" s="12">
        <v>1153.0999999999999</v>
      </c>
    </row>
    <row r="3504" spans="1:12" x14ac:dyDescent="0.2">
      <c r="A3504" s="9">
        <v>46254</v>
      </c>
      <c r="B3504" t="s">
        <v>136</v>
      </c>
      <c r="C3504" t="s">
        <v>137</v>
      </c>
      <c r="D3504" t="s">
        <v>41</v>
      </c>
      <c r="E3504" t="s">
        <v>660</v>
      </c>
      <c r="F3504" t="s">
        <v>670</v>
      </c>
      <c r="G3504" s="10">
        <v>4</v>
      </c>
      <c r="H3504" s="10">
        <v>69479</v>
      </c>
      <c r="I3504" s="10">
        <v>277916</v>
      </c>
      <c r="J3504" t="s">
        <v>42</v>
      </c>
      <c r="K3504" s="11">
        <v>3145.8</v>
      </c>
      <c r="L3504" s="12">
        <v>88.35</v>
      </c>
    </row>
    <row r="3505" spans="1:12" x14ac:dyDescent="0.2">
      <c r="A3505" s="9">
        <v>46254</v>
      </c>
      <c r="B3505" t="s">
        <v>142</v>
      </c>
      <c r="C3505" t="s">
        <v>143</v>
      </c>
      <c r="D3505" t="s">
        <v>75</v>
      </c>
      <c r="E3505" t="s">
        <v>653</v>
      </c>
      <c r="F3505" t="s">
        <v>666</v>
      </c>
      <c r="G3505" s="10">
        <v>9</v>
      </c>
      <c r="H3505" s="10">
        <v>7513</v>
      </c>
      <c r="I3505" s="10">
        <v>67617</v>
      </c>
      <c r="J3505" t="s">
        <v>42</v>
      </c>
      <c r="K3505" s="11">
        <v>3145.8</v>
      </c>
      <c r="L3505" s="12">
        <v>21.49</v>
      </c>
    </row>
    <row r="3506" spans="1:12" x14ac:dyDescent="0.2">
      <c r="A3506" s="9">
        <v>46254</v>
      </c>
      <c r="B3506" t="s">
        <v>142</v>
      </c>
      <c r="C3506" t="s">
        <v>143</v>
      </c>
      <c r="D3506" t="s">
        <v>75</v>
      </c>
      <c r="E3506" t="s">
        <v>649</v>
      </c>
      <c r="F3506" t="s">
        <v>650</v>
      </c>
      <c r="G3506" s="10">
        <v>10</v>
      </c>
      <c r="H3506" s="10">
        <v>94814</v>
      </c>
      <c r="I3506" s="10">
        <v>948140</v>
      </c>
      <c r="J3506" t="s">
        <v>42</v>
      </c>
      <c r="K3506" s="11">
        <v>3145.8</v>
      </c>
      <c r="L3506" s="12">
        <v>301.39999999999998</v>
      </c>
    </row>
    <row r="3507" spans="1:12" x14ac:dyDescent="0.2">
      <c r="A3507" s="9">
        <v>46254</v>
      </c>
      <c r="B3507" t="s">
        <v>142</v>
      </c>
      <c r="C3507" t="s">
        <v>143</v>
      </c>
      <c r="D3507" t="s">
        <v>75</v>
      </c>
      <c r="E3507" t="s">
        <v>649</v>
      </c>
      <c r="F3507" t="s">
        <v>663</v>
      </c>
      <c r="G3507" s="10">
        <v>12</v>
      </c>
      <c r="H3507" s="10">
        <v>9572</v>
      </c>
      <c r="I3507" s="10">
        <v>114864</v>
      </c>
      <c r="J3507" t="s">
        <v>42</v>
      </c>
      <c r="K3507" s="11">
        <v>3145.8</v>
      </c>
      <c r="L3507" s="12">
        <v>36.51</v>
      </c>
    </row>
    <row r="3508" spans="1:12" x14ac:dyDescent="0.2">
      <c r="A3508" s="9">
        <v>46254</v>
      </c>
      <c r="B3508" t="s">
        <v>142</v>
      </c>
      <c r="C3508" t="s">
        <v>143</v>
      </c>
      <c r="D3508" t="s">
        <v>75</v>
      </c>
      <c r="E3508" t="s">
        <v>655</v>
      </c>
      <c r="F3508" t="s">
        <v>662</v>
      </c>
      <c r="G3508" s="10">
        <v>3</v>
      </c>
      <c r="H3508" s="10">
        <v>5426</v>
      </c>
      <c r="I3508" s="10">
        <v>16278</v>
      </c>
      <c r="J3508" t="s">
        <v>42</v>
      </c>
      <c r="K3508" s="11">
        <v>3145.8</v>
      </c>
      <c r="L3508" s="12">
        <v>5.17</v>
      </c>
    </row>
    <row r="3509" spans="1:12" x14ac:dyDescent="0.2">
      <c r="A3509" s="9">
        <v>46254</v>
      </c>
      <c r="B3509" t="s">
        <v>152</v>
      </c>
      <c r="C3509" t="s">
        <v>153</v>
      </c>
      <c r="D3509" t="s">
        <v>75</v>
      </c>
      <c r="E3509" t="s">
        <v>655</v>
      </c>
      <c r="F3509" t="s">
        <v>656</v>
      </c>
      <c r="G3509" s="10">
        <v>5</v>
      </c>
      <c r="H3509" s="10">
        <v>2794</v>
      </c>
      <c r="I3509" s="10">
        <v>13970</v>
      </c>
      <c r="J3509" t="s">
        <v>42</v>
      </c>
      <c r="K3509" s="11">
        <v>3145.8</v>
      </c>
      <c r="L3509" s="12">
        <v>4.4400000000000004</v>
      </c>
    </row>
    <row r="3510" spans="1:12" x14ac:dyDescent="0.2">
      <c r="A3510" s="9">
        <v>46254</v>
      </c>
      <c r="B3510" t="s">
        <v>155</v>
      </c>
      <c r="C3510" t="s">
        <v>156</v>
      </c>
      <c r="D3510" t="s">
        <v>46</v>
      </c>
      <c r="E3510" t="s">
        <v>649</v>
      </c>
      <c r="F3510" t="s">
        <v>659</v>
      </c>
      <c r="G3510" s="10">
        <v>4</v>
      </c>
      <c r="H3510" s="10">
        <v>8861</v>
      </c>
      <c r="I3510" s="10">
        <v>35444</v>
      </c>
      <c r="J3510" t="s">
        <v>37</v>
      </c>
      <c r="K3510" s="11">
        <v>648.20000000000005</v>
      </c>
      <c r="L3510" s="12">
        <v>54.68</v>
      </c>
    </row>
    <row r="3511" spans="1:12" x14ac:dyDescent="0.2">
      <c r="A3511" s="9">
        <v>46254</v>
      </c>
      <c r="B3511" t="s">
        <v>161</v>
      </c>
      <c r="C3511" t="s">
        <v>67</v>
      </c>
      <c r="D3511" t="s">
        <v>41</v>
      </c>
      <c r="E3511" t="s">
        <v>651</v>
      </c>
      <c r="F3511" t="s">
        <v>657</v>
      </c>
      <c r="G3511" s="10">
        <v>18</v>
      </c>
      <c r="H3511" s="10">
        <v>31397</v>
      </c>
      <c r="I3511" s="10">
        <v>565146</v>
      </c>
      <c r="J3511" t="s">
        <v>42</v>
      </c>
      <c r="K3511" s="11">
        <v>3145.8</v>
      </c>
      <c r="L3511" s="12">
        <v>179.65</v>
      </c>
    </row>
    <row r="3512" spans="1:12" x14ac:dyDescent="0.2">
      <c r="A3512" s="9">
        <v>46254</v>
      </c>
      <c r="B3512" t="s">
        <v>161</v>
      </c>
      <c r="C3512" t="s">
        <v>67</v>
      </c>
      <c r="D3512" t="s">
        <v>41</v>
      </c>
      <c r="E3512" t="s">
        <v>651</v>
      </c>
      <c r="F3512" t="s">
        <v>664</v>
      </c>
      <c r="G3512" s="10">
        <v>6</v>
      </c>
      <c r="H3512" s="10">
        <v>59640</v>
      </c>
      <c r="I3512" s="10">
        <v>357840</v>
      </c>
      <c r="J3512" t="s">
        <v>42</v>
      </c>
      <c r="K3512" s="11">
        <v>3145.8</v>
      </c>
      <c r="L3512" s="12">
        <v>113.75</v>
      </c>
    </row>
    <row r="3513" spans="1:12" x14ac:dyDescent="0.2">
      <c r="A3513" s="9">
        <v>46254</v>
      </c>
      <c r="B3513" t="s">
        <v>163</v>
      </c>
      <c r="C3513" t="s">
        <v>164</v>
      </c>
      <c r="D3513" t="s">
        <v>41</v>
      </c>
      <c r="E3513" t="s">
        <v>647</v>
      </c>
      <c r="F3513" t="s">
        <v>648</v>
      </c>
      <c r="G3513" s="10">
        <v>6</v>
      </c>
      <c r="H3513" s="10">
        <v>81832</v>
      </c>
      <c r="I3513" s="10">
        <v>490992</v>
      </c>
      <c r="J3513" t="s">
        <v>42</v>
      </c>
      <c r="K3513" s="11">
        <v>3145.8</v>
      </c>
      <c r="L3513" s="12">
        <v>156.08000000000001</v>
      </c>
    </row>
    <row r="3514" spans="1:12" x14ac:dyDescent="0.2">
      <c r="A3514" s="9">
        <v>46254</v>
      </c>
      <c r="B3514" t="s">
        <v>166</v>
      </c>
      <c r="C3514" t="s">
        <v>167</v>
      </c>
      <c r="D3514" t="s">
        <v>46</v>
      </c>
      <c r="E3514" t="s">
        <v>649</v>
      </c>
      <c r="F3514" t="s">
        <v>650</v>
      </c>
      <c r="G3514" s="10">
        <v>3</v>
      </c>
      <c r="H3514" s="10">
        <v>19433</v>
      </c>
      <c r="I3514" s="10">
        <v>58299</v>
      </c>
      <c r="J3514" t="s">
        <v>37</v>
      </c>
      <c r="K3514" s="11">
        <v>648.20000000000005</v>
      </c>
      <c r="L3514" s="12">
        <v>89.94</v>
      </c>
    </row>
    <row r="3515" spans="1:12" x14ac:dyDescent="0.2">
      <c r="A3515" s="9">
        <v>46254</v>
      </c>
      <c r="B3515" t="s">
        <v>166</v>
      </c>
      <c r="C3515" t="s">
        <v>167</v>
      </c>
      <c r="D3515" t="s">
        <v>46</v>
      </c>
      <c r="E3515" t="s">
        <v>647</v>
      </c>
      <c r="F3515" t="s">
        <v>668</v>
      </c>
      <c r="G3515" s="10">
        <v>3</v>
      </c>
      <c r="H3515" s="10">
        <v>25303</v>
      </c>
      <c r="I3515" s="10">
        <v>75909</v>
      </c>
      <c r="J3515" t="s">
        <v>37</v>
      </c>
      <c r="K3515" s="11">
        <v>648.20000000000005</v>
      </c>
      <c r="L3515" s="12">
        <v>117.11</v>
      </c>
    </row>
    <row r="3516" spans="1:12" x14ac:dyDescent="0.2">
      <c r="A3516" s="9">
        <v>46254</v>
      </c>
      <c r="B3516" t="s">
        <v>169</v>
      </c>
      <c r="C3516" t="s">
        <v>170</v>
      </c>
      <c r="D3516" t="s">
        <v>41</v>
      </c>
      <c r="E3516" t="s">
        <v>653</v>
      </c>
      <c r="F3516" t="s">
        <v>658</v>
      </c>
      <c r="G3516" s="10">
        <v>81</v>
      </c>
      <c r="H3516" s="10">
        <v>13098</v>
      </c>
      <c r="I3516" s="10">
        <v>1060938</v>
      </c>
      <c r="J3516" t="s">
        <v>42</v>
      </c>
      <c r="K3516" s="11">
        <v>3145.8</v>
      </c>
      <c r="L3516" s="12">
        <v>337.26</v>
      </c>
    </row>
    <row r="3517" spans="1:12" x14ac:dyDescent="0.2">
      <c r="A3517" s="9">
        <v>46254</v>
      </c>
      <c r="B3517" t="s">
        <v>187</v>
      </c>
      <c r="C3517" t="s">
        <v>188</v>
      </c>
      <c r="D3517" t="s">
        <v>75</v>
      </c>
      <c r="E3517" t="s">
        <v>649</v>
      </c>
      <c r="F3517" t="s">
        <v>650</v>
      </c>
      <c r="G3517" s="10">
        <v>12</v>
      </c>
      <c r="H3517" s="10">
        <v>92591</v>
      </c>
      <c r="I3517" s="10">
        <v>1111092</v>
      </c>
      <c r="J3517" t="s">
        <v>42</v>
      </c>
      <c r="K3517" s="11">
        <v>3145.8</v>
      </c>
      <c r="L3517" s="12">
        <v>353.2</v>
      </c>
    </row>
    <row r="3518" spans="1:12" x14ac:dyDescent="0.2">
      <c r="A3518" s="9">
        <v>46254</v>
      </c>
      <c r="B3518" t="s">
        <v>193</v>
      </c>
      <c r="C3518" t="s">
        <v>194</v>
      </c>
      <c r="D3518" t="s">
        <v>68</v>
      </c>
      <c r="E3518" t="s">
        <v>649</v>
      </c>
      <c r="F3518" t="s">
        <v>650</v>
      </c>
      <c r="G3518" s="10">
        <v>3</v>
      </c>
      <c r="H3518" s="10">
        <v>18648</v>
      </c>
      <c r="I3518" s="10">
        <v>55944</v>
      </c>
      <c r="J3518" t="s">
        <v>51</v>
      </c>
      <c r="K3518" s="11">
        <v>648.20000000000005</v>
      </c>
      <c r="L3518" s="12">
        <v>86.31</v>
      </c>
    </row>
    <row r="3519" spans="1:12" x14ac:dyDescent="0.2">
      <c r="A3519" s="9">
        <v>46254</v>
      </c>
      <c r="B3519" t="s">
        <v>193</v>
      </c>
      <c r="C3519" t="s">
        <v>194</v>
      </c>
      <c r="D3519" t="s">
        <v>68</v>
      </c>
      <c r="E3519" t="s">
        <v>660</v>
      </c>
      <c r="F3519" t="s">
        <v>670</v>
      </c>
      <c r="G3519" s="10">
        <v>8</v>
      </c>
      <c r="H3519" s="10">
        <v>14998</v>
      </c>
      <c r="I3519" s="10">
        <v>119984</v>
      </c>
      <c r="J3519" t="s">
        <v>51</v>
      </c>
      <c r="K3519" s="11">
        <v>648.20000000000005</v>
      </c>
      <c r="L3519" s="12">
        <v>185.1</v>
      </c>
    </row>
    <row r="3520" spans="1:12" x14ac:dyDescent="0.2">
      <c r="A3520" s="9">
        <v>46254</v>
      </c>
      <c r="B3520" t="s">
        <v>199</v>
      </c>
      <c r="C3520" t="s">
        <v>200</v>
      </c>
      <c r="D3520" t="s">
        <v>46</v>
      </c>
      <c r="E3520" t="s">
        <v>655</v>
      </c>
      <c r="F3520" t="s">
        <v>665</v>
      </c>
      <c r="G3520" s="10">
        <v>31</v>
      </c>
      <c r="H3520" s="10">
        <v>708</v>
      </c>
      <c r="I3520" s="10">
        <v>21948</v>
      </c>
      <c r="J3520" t="s">
        <v>37</v>
      </c>
      <c r="K3520" s="11">
        <v>648.20000000000005</v>
      </c>
      <c r="L3520" s="12">
        <v>33.86</v>
      </c>
    </row>
    <row r="3521" spans="1:12" x14ac:dyDescent="0.2">
      <c r="A3521" s="9">
        <v>46254</v>
      </c>
      <c r="B3521" t="s">
        <v>205</v>
      </c>
      <c r="C3521" t="s">
        <v>206</v>
      </c>
      <c r="D3521" t="s">
        <v>50</v>
      </c>
      <c r="E3521" t="s">
        <v>653</v>
      </c>
      <c r="F3521" t="s">
        <v>654</v>
      </c>
      <c r="G3521" s="10">
        <v>1</v>
      </c>
      <c r="H3521" s="10">
        <v>5473</v>
      </c>
      <c r="I3521" s="10">
        <v>5473</v>
      </c>
      <c r="J3521" t="s">
        <v>51</v>
      </c>
      <c r="K3521" s="11">
        <v>648.20000000000005</v>
      </c>
      <c r="L3521" s="12">
        <v>8.44</v>
      </c>
    </row>
    <row r="3522" spans="1:12" x14ac:dyDescent="0.2">
      <c r="A3522" s="9">
        <v>46254</v>
      </c>
      <c r="B3522" t="s">
        <v>205</v>
      </c>
      <c r="C3522" t="s">
        <v>206</v>
      </c>
      <c r="D3522" t="s">
        <v>50</v>
      </c>
      <c r="E3522" t="s">
        <v>655</v>
      </c>
      <c r="F3522" t="s">
        <v>665</v>
      </c>
      <c r="G3522" s="10">
        <v>1</v>
      </c>
      <c r="H3522" s="10">
        <v>681</v>
      </c>
      <c r="I3522" s="10">
        <v>681</v>
      </c>
      <c r="J3522" t="s">
        <v>51</v>
      </c>
      <c r="K3522" s="11">
        <v>648.20000000000005</v>
      </c>
      <c r="L3522" s="12">
        <v>1.05</v>
      </c>
    </row>
    <row r="3523" spans="1:12" x14ac:dyDescent="0.2">
      <c r="A3523" s="9">
        <v>46254</v>
      </c>
      <c r="B3523" t="s">
        <v>208</v>
      </c>
      <c r="C3523" t="s">
        <v>209</v>
      </c>
      <c r="D3523" t="s">
        <v>46</v>
      </c>
      <c r="E3523" t="s">
        <v>660</v>
      </c>
      <c r="F3523" t="s">
        <v>670</v>
      </c>
      <c r="G3523" s="10">
        <v>3</v>
      </c>
      <c r="H3523" s="10">
        <v>14625</v>
      </c>
      <c r="I3523" s="10">
        <v>43875</v>
      </c>
      <c r="J3523" t="s">
        <v>37</v>
      </c>
      <c r="K3523" s="11">
        <v>648.20000000000005</v>
      </c>
      <c r="L3523" s="12">
        <v>67.69</v>
      </c>
    </row>
    <row r="3524" spans="1:12" x14ac:dyDescent="0.2">
      <c r="A3524" s="9">
        <v>46254</v>
      </c>
      <c r="B3524" t="s">
        <v>211</v>
      </c>
      <c r="C3524" t="s">
        <v>212</v>
      </c>
      <c r="D3524" t="s">
        <v>46</v>
      </c>
      <c r="E3524" t="s">
        <v>649</v>
      </c>
      <c r="F3524" t="s">
        <v>659</v>
      </c>
      <c r="G3524" s="10">
        <v>32</v>
      </c>
      <c r="H3524" s="10">
        <v>9059</v>
      </c>
      <c r="I3524" s="10">
        <v>289888</v>
      </c>
      <c r="J3524" t="s">
        <v>37</v>
      </c>
      <c r="K3524" s="11">
        <v>648.20000000000005</v>
      </c>
      <c r="L3524" s="12">
        <v>447.22</v>
      </c>
    </row>
    <row r="3525" spans="1:12" x14ac:dyDescent="0.2">
      <c r="A3525" s="9">
        <v>46254</v>
      </c>
      <c r="B3525" t="s">
        <v>214</v>
      </c>
      <c r="C3525" t="s">
        <v>215</v>
      </c>
      <c r="D3525" t="s">
        <v>46</v>
      </c>
      <c r="E3525" t="s">
        <v>653</v>
      </c>
      <c r="F3525" t="s">
        <v>666</v>
      </c>
      <c r="G3525" s="10">
        <v>9</v>
      </c>
      <c r="H3525" s="10">
        <v>1504</v>
      </c>
      <c r="I3525" s="10">
        <v>13536</v>
      </c>
      <c r="J3525" t="s">
        <v>37</v>
      </c>
      <c r="K3525" s="11">
        <v>648.20000000000005</v>
      </c>
      <c r="L3525" s="12">
        <v>20.88</v>
      </c>
    </row>
    <row r="3526" spans="1:12" x14ac:dyDescent="0.2">
      <c r="A3526" s="9">
        <v>46254</v>
      </c>
      <c r="B3526" t="s">
        <v>220</v>
      </c>
      <c r="C3526" t="s">
        <v>221</v>
      </c>
      <c r="D3526" t="s">
        <v>46</v>
      </c>
      <c r="E3526" t="s">
        <v>649</v>
      </c>
      <c r="F3526" t="s">
        <v>663</v>
      </c>
      <c r="G3526" s="10">
        <v>98</v>
      </c>
      <c r="H3526" s="10">
        <v>2045</v>
      </c>
      <c r="I3526" s="10">
        <v>200410</v>
      </c>
      <c r="J3526" t="s">
        <v>37</v>
      </c>
      <c r="K3526" s="11">
        <v>648.20000000000005</v>
      </c>
      <c r="L3526" s="12">
        <v>309.18</v>
      </c>
    </row>
    <row r="3527" spans="1:12" x14ac:dyDescent="0.2">
      <c r="A3527" s="9">
        <v>46254</v>
      </c>
      <c r="B3527" t="s">
        <v>220</v>
      </c>
      <c r="C3527" t="s">
        <v>221</v>
      </c>
      <c r="D3527" t="s">
        <v>46</v>
      </c>
      <c r="E3527" t="s">
        <v>655</v>
      </c>
      <c r="F3527" t="s">
        <v>662</v>
      </c>
      <c r="G3527" s="10">
        <v>16</v>
      </c>
      <c r="H3527" s="10">
        <v>1147</v>
      </c>
      <c r="I3527" s="10">
        <v>18352</v>
      </c>
      <c r="J3527" t="s">
        <v>37</v>
      </c>
      <c r="K3527" s="11">
        <v>648.20000000000005</v>
      </c>
      <c r="L3527" s="12">
        <v>28.31</v>
      </c>
    </row>
    <row r="3528" spans="1:12" x14ac:dyDescent="0.2">
      <c r="A3528" s="9">
        <v>46254</v>
      </c>
      <c r="B3528" t="s">
        <v>220</v>
      </c>
      <c r="C3528" t="s">
        <v>221</v>
      </c>
      <c r="D3528" t="s">
        <v>46</v>
      </c>
      <c r="E3528" t="s">
        <v>660</v>
      </c>
      <c r="F3528" t="s">
        <v>669</v>
      </c>
      <c r="G3528" s="10">
        <v>5</v>
      </c>
      <c r="H3528" s="10">
        <v>2653</v>
      </c>
      <c r="I3528" s="10">
        <v>13265</v>
      </c>
      <c r="J3528" t="s">
        <v>37</v>
      </c>
      <c r="K3528" s="11">
        <v>648.20000000000005</v>
      </c>
      <c r="L3528" s="12">
        <v>20.46</v>
      </c>
    </row>
    <row r="3529" spans="1:12" x14ac:dyDescent="0.2">
      <c r="A3529" s="9">
        <v>46254</v>
      </c>
      <c r="B3529" t="s">
        <v>220</v>
      </c>
      <c r="C3529" t="s">
        <v>221</v>
      </c>
      <c r="D3529" t="s">
        <v>46</v>
      </c>
      <c r="E3529" t="s">
        <v>660</v>
      </c>
      <c r="F3529" t="s">
        <v>661</v>
      </c>
      <c r="G3529" s="10">
        <v>4</v>
      </c>
      <c r="H3529" s="10">
        <v>4231</v>
      </c>
      <c r="I3529" s="10">
        <v>16924</v>
      </c>
      <c r="J3529" t="s">
        <v>37</v>
      </c>
      <c r="K3529" s="11">
        <v>648.20000000000005</v>
      </c>
      <c r="L3529" s="12">
        <v>26.11</v>
      </c>
    </row>
    <row r="3530" spans="1:12" x14ac:dyDescent="0.2">
      <c r="A3530" s="9">
        <v>46254</v>
      </c>
      <c r="B3530" t="s">
        <v>220</v>
      </c>
      <c r="C3530" t="s">
        <v>221</v>
      </c>
      <c r="D3530" t="s">
        <v>46</v>
      </c>
      <c r="E3530" t="s">
        <v>660</v>
      </c>
      <c r="F3530" t="s">
        <v>661</v>
      </c>
      <c r="G3530" s="10">
        <v>23</v>
      </c>
      <c r="H3530" s="10">
        <v>4133</v>
      </c>
      <c r="I3530" s="10">
        <v>95059</v>
      </c>
      <c r="J3530" t="s">
        <v>37</v>
      </c>
      <c r="K3530" s="11">
        <v>648.20000000000005</v>
      </c>
      <c r="L3530" s="12">
        <v>146.65</v>
      </c>
    </row>
    <row r="3531" spans="1:12" x14ac:dyDescent="0.2">
      <c r="A3531" s="9">
        <v>46254</v>
      </c>
      <c r="B3531" t="s">
        <v>220</v>
      </c>
      <c r="C3531" t="s">
        <v>221</v>
      </c>
      <c r="D3531" t="s">
        <v>46</v>
      </c>
      <c r="E3531" t="s">
        <v>651</v>
      </c>
      <c r="F3531" t="s">
        <v>657</v>
      </c>
      <c r="G3531" s="10">
        <v>3</v>
      </c>
      <c r="H3531" s="10">
        <v>6538</v>
      </c>
      <c r="I3531" s="10">
        <v>19614</v>
      </c>
      <c r="J3531" t="s">
        <v>37</v>
      </c>
      <c r="K3531" s="11">
        <v>648.20000000000005</v>
      </c>
      <c r="L3531" s="12">
        <v>30.26</v>
      </c>
    </row>
    <row r="3532" spans="1:12" x14ac:dyDescent="0.2">
      <c r="A3532" s="9">
        <v>46254</v>
      </c>
      <c r="B3532" t="s">
        <v>226</v>
      </c>
      <c r="C3532" t="s">
        <v>227</v>
      </c>
      <c r="D3532" t="s">
        <v>41</v>
      </c>
      <c r="E3532" t="s">
        <v>647</v>
      </c>
      <c r="F3532" t="s">
        <v>668</v>
      </c>
      <c r="G3532" s="10">
        <v>39</v>
      </c>
      <c r="H3532" s="10">
        <v>122944</v>
      </c>
      <c r="I3532" s="10">
        <v>4794816</v>
      </c>
      <c r="J3532" t="s">
        <v>42</v>
      </c>
      <c r="K3532" s="11">
        <v>3145.8</v>
      </c>
      <c r="L3532" s="12">
        <v>1524.2</v>
      </c>
    </row>
    <row r="3533" spans="1:12" x14ac:dyDescent="0.2">
      <c r="A3533" s="9">
        <v>46254</v>
      </c>
      <c r="B3533" t="s">
        <v>226</v>
      </c>
      <c r="C3533" t="s">
        <v>227</v>
      </c>
      <c r="D3533" t="s">
        <v>41</v>
      </c>
      <c r="E3533" t="s">
        <v>655</v>
      </c>
      <c r="F3533" t="s">
        <v>656</v>
      </c>
      <c r="G3533" s="10">
        <v>51</v>
      </c>
      <c r="H3533" s="10">
        <v>2861</v>
      </c>
      <c r="I3533" s="10">
        <v>145911</v>
      </c>
      <c r="J3533" t="s">
        <v>42</v>
      </c>
      <c r="K3533" s="11">
        <v>3145.8</v>
      </c>
      <c r="L3533" s="12">
        <v>46.38</v>
      </c>
    </row>
    <row r="3534" spans="1:12" x14ac:dyDescent="0.2">
      <c r="A3534" s="9">
        <v>46254</v>
      </c>
      <c r="B3534" t="s">
        <v>229</v>
      </c>
      <c r="C3534" t="s">
        <v>230</v>
      </c>
      <c r="D3534" t="s">
        <v>36</v>
      </c>
      <c r="E3534" t="s">
        <v>649</v>
      </c>
      <c r="F3534" t="s">
        <v>659</v>
      </c>
      <c r="G3534" s="10">
        <v>23</v>
      </c>
      <c r="H3534" s="10">
        <v>8717</v>
      </c>
      <c r="I3534" s="10">
        <v>200491</v>
      </c>
      <c r="J3534" t="s">
        <v>37</v>
      </c>
      <c r="K3534" s="11">
        <v>648.20000000000005</v>
      </c>
      <c r="L3534" s="12">
        <v>309.3</v>
      </c>
    </row>
    <row r="3535" spans="1:12" x14ac:dyDescent="0.2">
      <c r="A3535" s="9">
        <v>46254</v>
      </c>
      <c r="B3535" t="s">
        <v>229</v>
      </c>
      <c r="C3535" t="s">
        <v>230</v>
      </c>
      <c r="D3535" t="s">
        <v>36</v>
      </c>
      <c r="E3535" t="s">
        <v>655</v>
      </c>
      <c r="F3535" t="s">
        <v>665</v>
      </c>
      <c r="G3535" s="10">
        <v>15</v>
      </c>
      <c r="H3535" s="10">
        <v>698</v>
      </c>
      <c r="I3535" s="10">
        <v>10470</v>
      </c>
      <c r="J3535" t="s">
        <v>37</v>
      </c>
      <c r="K3535" s="11">
        <v>648.20000000000005</v>
      </c>
      <c r="L3535" s="12">
        <v>16.149999999999999</v>
      </c>
    </row>
    <row r="3536" spans="1:12" x14ac:dyDescent="0.2">
      <c r="A3536" s="9">
        <v>46254</v>
      </c>
      <c r="B3536" t="s">
        <v>232</v>
      </c>
      <c r="C3536" t="s">
        <v>233</v>
      </c>
      <c r="D3536" t="s">
        <v>46</v>
      </c>
      <c r="E3536" t="s">
        <v>655</v>
      </c>
      <c r="F3536" t="s">
        <v>662</v>
      </c>
      <c r="G3536" s="10">
        <v>3</v>
      </c>
      <c r="H3536" s="10">
        <v>1112</v>
      </c>
      <c r="I3536" s="10">
        <v>3336</v>
      </c>
      <c r="J3536" t="s">
        <v>37</v>
      </c>
      <c r="K3536" s="11">
        <v>648.20000000000005</v>
      </c>
      <c r="L3536" s="12">
        <v>5.15</v>
      </c>
    </row>
    <row r="3537" spans="1:12" x14ac:dyDescent="0.2">
      <c r="A3537" s="9">
        <v>46254</v>
      </c>
      <c r="B3537" t="s">
        <v>235</v>
      </c>
      <c r="C3537" t="s">
        <v>236</v>
      </c>
      <c r="D3537" t="s">
        <v>50</v>
      </c>
      <c r="E3537" t="s">
        <v>660</v>
      </c>
      <c r="F3537" t="s">
        <v>661</v>
      </c>
      <c r="G3537" s="10">
        <v>50</v>
      </c>
      <c r="H3537" s="10">
        <v>4269</v>
      </c>
      <c r="I3537" s="10">
        <v>213450</v>
      </c>
      <c r="J3537" t="s">
        <v>51</v>
      </c>
      <c r="K3537" s="11">
        <v>648.20000000000005</v>
      </c>
      <c r="L3537" s="12">
        <v>329.3</v>
      </c>
    </row>
    <row r="3538" spans="1:12" x14ac:dyDescent="0.2">
      <c r="A3538" s="9">
        <v>46254</v>
      </c>
      <c r="B3538" t="s">
        <v>238</v>
      </c>
      <c r="C3538" t="s">
        <v>239</v>
      </c>
      <c r="D3538" t="s">
        <v>68</v>
      </c>
      <c r="E3538" t="s">
        <v>660</v>
      </c>
      <c r="F3538" t="s">
        <v>670</v>
      </c>
      <c r="G3538" s="10">
        <v>8</v>
      </c>
      <c r="H3538" s="10">
        <v>14707</v>
      </c>
      <c r="I3538" s="10">
        <v>117656</v>
      </c>
      <c r="J3538" t="s">
        <v>51</v>
      </c>
      <c r="K3538" s="11">
        <v>648.20000000000005</v>
      </c>
      <c r="L3538" s="12">
        <v>181.51</v>
      </c>
    </row>
    <row r="3539" spans="1:12" x14ac:dyDescent="0.2">
      <c r="A3539" s="9">
        <v>46254</v>
      </c>
      <c r="B3539" t="s">
        <v>238</v>
      </c>
      <c r="C3539" t="s">
        <v>239</v>
      </c>
      <c r="D3539" t="s">
        <v>68</v>
      </c>
      <c r="E3539" t="s">
        <v>647</v>
      </c>
      <c r="F3539" t="s">
        <v>668</v>
      </c>
      <c r="G3539" s="10">
        <v>18</v>
      </c>
      <c r="H3539" s="10">
        <v>25735</v>
      </c>
      <c r="I3539" s="10">
        <v>463230</v>
      </c>
      <c r="J3539" t="s">
        <v>51</v>
      </c>
      <c r="K3539" s="11">
        <v>648.20000000000005</v>
      </c>
      <c r="L3539" s="12">
        <v>714.64</v>
      </c>
    </row>
    <row r="3540" spans="1:12" x14ac:dyDescent="0.2">
      <c r="A3540" s="9">
        <v>46254</v>
      </c>
      <c r="B3540" t="s">
        <v>238</v>
      </c>
      <c r="C3540" t="s">
        <v>239</v>
      </c>
      <c r="D3540" t="s">
        <v>68</v>
      </c>
      <c r="E3540" t="s">
        <v>655</v>
      </c>
      <c r="F3540" t="s">
        <v>656</v>
      </c>
      <c r="G3540" s="10">
        <v>3</v>
      </c>
      <c r="H3540" s="10">
        <v>586</v>
      </c>
      <c r="I3540" s="10">
        <v>1758</v>
      </c>
      <c r="J3540" t="s">
        <v>51</v>
      </c>
      <c r="K3540" s="11">
        <v>648.20000000000005</v>
      </c>
      <c r="L3540" s="12">
        <v>2.71</v>
      </c>
    </row>
    <row r="3541" spans="1:12" x14ac:dyDescent="0.2">
      <c r="A3541" s="9">
        <v>46254</v>
      </c>
      <c r="B3541" t="s">
        <v>244</v>
      </c>
      <c r="C3541" t="s">
        <v>245</v>
      </c>
      <c r="D3541" t="s">
        <v>75</v>
      </c>
      <c r="E3541" t="s">
        <v>649</v>
      </c>
      <c r="F3541" t="s">
        <v>650</v>
      </c>
      <c r="G3541" s="10">
        <v>20</v>
      </c>
      <c r="H3541" s="10">
        <v>94762</v>
      </c>
      <c r="I3541" s="10">
        <v>1895240</v>
      </c>
      <c r="J3541" t="s">
        <v>42</v>
      </c>
      <c r="K3541" s="11">
        <v>3145.8</v>
      </c>
      <c r="L3541" s="12">
        <v>602.47</v>
      </c>
    </row>
    <row r="3542" spans="1:12" x14ac:dyDescent="0.2">
      <c r="A3542" s="9">
        <v>46254</v>
      </c>
      <c r="B3542" t="s">
        <v>244</v>
      </c>
      <c r="C3542" t="s">
        <v>245</v>
      </c>
      <c r="D3542" t="s">
        <v>75</v>
      </c>
      <c r="E3542" t="s">
        <v>647</v>
      </c>
      <c r="F3542" t="s">
        <v>648</v>
      </c>
      <c r="G3542" s="10">
        <v>39</v>
      </c>
      <c r="H3542" s="10">
        <v>77197</v>
      </c>
      <c r="I3542" s="10">
        <v>3010683</v>
      </c>
      <c r="J3542" t="s">
        <v>42</v>
      </c>
      <c r="K3542" s="11">
        <v>3145.8</v>
      </c>
      <c r="L3542" s="12">
        <v>957.05</v>
      </c>
    </row>
    <row r="3543" spans="1:12" x14ac:dyDescent="0.2">
      <c r="A3543" s="9">
        <v>46254</v>
      </c>
      <c r="B3543" t="s">
        <v>253</v>
      </c>
      <c r="C3543" t="s">
        <v>254</v>
      </c>
      <c r="D3543" t="s">
        <v>50</v>
      </c>
      <c r="E3543" t="s">
        <v>649</v>
      </c>
      <c r="F3543" t="s">
        <v>650</v>
      </c>
      <c r="G3543" s="10">
        <v>5</v>
      </c>
      <c r="H3543" s="10">
        <v>19815</v>
      </c>
      <c r="I3543" s="10">
        <v>99075</v>
      </c>
      <c r="J3543" t="s">
        <v>51</v>
      </c>
      <c r="K3543" s="11">
        <v>648.20000000000005</v>
      </c>
      <c r="L3543" s="12">
        <v>152.85</v>
      </c>
    </row>
    <row r="3544" spans="1:12" x14ac:dyDescent="0.2">
      <c r="A3544" s="9">
        <v>46254</v>
      </c>
      <c r="B3544" t="s">
        <v>256</v>
      </c>
      <c r="C3544" t="s">
        <v>182</v>
      </c>
      <c r="D3544" t="s">
        <v>50</v>
      </c>
      <c r="E3544" t="s">
        <v>653</v>
      </c>
      <c r="F3544" t="s">
        <v>654</v>
      </c>
      <c r="G3544" s="10">
        <v>5</v>
      </c>
      <c r="H3544" s="10">
        <v>5573</v>
      </c>
      <c r="I3544" s="10">
        <v>27865</v>
      </c>
      <c r="J3544" t="s">
        <v>51</v>
      </c>
      <c r="K3544" s="11">
        <v>648.20000000000005</v>
      </c>
      <c r="L3544" s="12">
        <v>42.99</v>
      </c>
    </row>
    <row r="3545" spans="1:12" x14ac:dyDescent="0.2">
      <c r="A3545" s="9">
        <v>46254</v>
      </c>
      <c r="B3545" t="s">
        <v>258</v>
      </c>
      <c r="C3545" t="s">
        <v>259</v>
      </c>
      <c r="D3545" t="s">
        <v>50</v>
      </c>
      <c r="E3545" t="s">
        <v>647</v>
      </c>
      <c r="F3545" t="s">
        <v>648</v>
      </c>
      <c r="G3545" s="10">
        <v>5</v>
      </c>
      <c r="H3545" s="10">
        <v>16339</v>
      </c>
      <c r="I3545" s="10">
        <v>81695</v>
      </c>
      <c r="J3545" t="s">
        <v>51</v>
      </c>
      <c r="K3545" s="11">
        <v>648.20000000000005</v>
      </c>
      <c r="L3545" s="12">
        <v>126.03</v>
      </c>
    </row>
    <row r="3546" spans="1:12" x14ac:dyDescent="0.2">
      <c r="A3546" s="9">
        <v>46254</v>
      </c>
      <c r="B3546" t="s">
        <v>261</v>
      </c>
      <c r="C3546" t="s">
        <v>262</v>
      </c>
      <c r="D3546" t="s">
        <v>41</v>
      </c>
      <c r="E3546" t="s">
        <v>649</v>
      </c>
      <c r="F3546" t="s">
        <v>650</v>
      </c>
      <c r="G3546" s="10">
        <v>11</v>
      </c>
      <c r="H3546" s="10">
        <v>92546</v>
      </c>
      <c r="I3546" s="10">
        <v>1018006</v>
      </c>
      <c r="J3546" t="s">
        <v>42</v>
      </c>
      <c r="K3546" s="11">
        <v>3145.8</v>
      </c>
      <c r="L3546" s="12">
        <v>323.61</v>
      </c>
    </row>
    <row r="3547" spans="1:12" x14ac:dyDescent="0.2">
      <c r="A3547" s="9">
        <v>46254</v>
      </c>
      <c r="B3547" t="s">
        <v>267</v>
      </c>
      <c r="C3547" t="s">
        <v>268</v>
      </c>
      <c r="D3547" t="s">
        <v>46</v>
      </c>
      <c r="E3547" t="s">
        <v>649</v>
      </c>
      <c r="F3547" t="s">
        <v>659</v>
      </c>
      <c r="G3547" s="10">
        <v>33</v>
      </c>
      <c r="H3547" s="10">
        <v>8833</v>
      </c>
      <c r="I3547" s="10">
        <v>291489</v>
      </c>
      <c r="J3547" t="s">
        <v>37</v>
      </c>
      <c r="K3547" s="11">
        <v>648.20000000000005</v>
      </c>
      <c r="L3547" s="12">
        <v>449.69</v>
      </c>
    </row>
    <row r="3548" spans="1:12" x14ac:dyDescent="0.2">
      <c r="A3548" s="9">
        <v>46254</v>
      </c>
      <c r="B3548" t="s">
        <v>267</v>
      </c>
      <c r="C3548" t="s">
        <v>268</v>
      </c>
      <c r="D3548" t="s">
        <v>46</v>
      </c>
      <c r="E3548" t="s">
        <v>647</v>
      </c>
      <c r="F3548" t="s">
        <v>668</v>
      </c>
      <c r="G3548" s="10">
        <v>7</v>
      </c>
      <c r="H3548" s="10">
        <v>25584</v>
      </c>
      <c r="I3548" s="10">
        <v>179088</v>
      </c>
      <c r="J3548" t="s">
        <v>37</v>
      </c>
      <c r="K3548" s="11">
        <v>648.20000000000005</v>
      </c>
      <c r="L3548" s="12">
        <v>276.29000000000002</v>
      </c>
    </row>
    <row r="3549" spans="1:12" x14ac:dyDescent="0.2">
      <c r="A3549" s="9">
        <v>46254</v>
      </c>
      <c r="B3549" t="s">
        <v>267</v>
      </c>
      <c r="C3549" t="s">
        <v>268</v>
      </c>
      <c r="D3549" t="s">
        <v>46</v>
      </c>
      <c r="E3549" t="s">
        <v>647</v>
      </c>
      <c r="F3549" t="s">
        <v>648</v>
      </c>
      <c r="G3549" s="10">
        <v>15</v>
      </c>
      <c r="H3549" s="10">
        <v>15832</v>
      </c>
      <c r="I3549" s="10">
        <v>237480</v>
      </c>
      <c r="J3549" t="s">
        <v>37</v>
      </c>
      <c r="K3549" s="11">
        <v>648.20000000000005</v>
      </c>
      <c r="L3549" s="12">
        <v>366.37</v>
      </c>
    </row>
    <row r="3550" spans="1:12" x14ac:dyDescent="0.2">
      <c r="A3550" s="9">
        <v>46254</v>
      </c>
      <c r="B3550" t="s">
        <v>267</v>
      </c>
      <c r="C3550" t="s">
        <v>268</v>
      </c>
      <c r="D3550" t="s">
        <v>46</v>
      </c>
      <c r="E3550" t="s">
        <v>647</v>
      </c>
      <c r="F3550" t="s">
        <v>648</v>
      </c>
      <c r="G3550" s="10">
        <v>129</v>
      </c>
      <c r="H3550" s="10">
        <v>16337</v>
      </c>
      <c r="I3550" s="10">
        <v>2107473</v>
      </c>
      <c r="J3550" t="s">
        <v>37</v>
      </c>
      <c r="K3550" s="11">
        <v>648.20000000000005</v>
      </c>
      <c r="L3550" s="12">
        <v>3251.27</v>
      </c>
    </row>
    <row r="3551" spans="1:12" x14ac:dyDescent="0.2">
      <c r="A3551" s="9">
        <v>46254</v>
      </c>
      <c r="B3551" t="s">
        <v>273</v>
      </c>
      <c r="C3551" t="s">
        <v>274</v>
      </c>
      <c r="D3551" t="s">
        <v>41</v>
      </c>
      <c r="E3551" t="s">
        <v>649</v>
      </c>
      <c r="F3551" t="s">
        <v>663</v>
      </c>
      <c r="G3551" s="10">
        <v>3</v>
      </c>
      <c r="H3551" s="10">
        <v>9866</v>
      </c>
      <c r="I3551" s="10">
        <v>29598</v>
      </c>
      <c r="J3551" t="s">
        <v>42</v>
      </c>
      <c r="K3551" s="11">
        <v>3145.8</v>
      </c>
      <c r="L3551" s="12">
        <v>9.41</v>
      </c>
    </row>
    <row r="3552" spans="1:12" x14ac:dyDescent="0.2">
      <c r="A3552" s="9">
        <v>46254</v>
      </c>
      <c r="B3552" t="s">
        <v>276</v>
      </c>
      <c r="C3552" t="s">
        <v>277</v>
      </c>
      <c r="D3552" t="s">
        <v>46</v>
      </c>
      <c r="E3552" t="s">
        <v>649</v>
      </c>
      <c r="F3552" t="s">
        <v>659</v>
      </c>
      <c r="G3552" s="10">
        <v>5</v>
      </c>
      <c r="H3552" s="10">
        <v>9018</v>
      </c>
      <c r="I3552" s="10">
        <v>45090</v>
      </c>
      <c r="J3552" t="s">
        <v>37</v>
      </c>
      <c r="K3552" s="11">
        <v>648.20000000000005</v>
      </c>
      <c r="L3552" s="12">
        <v>69.56</v>
      </c>
    </row>
    <row r="3553" spans="1:12" x14ac:dyDescent="0.2">
      <c r="A3553" s="9">
        <v>46254</v>
      </c>
      <c r="B3553" t="s">
        <v>276</v>
      </c>
      <c r="C3553" t="s">
        <v>277</v>
      </c>
      <c r="D3553" t="s">
        <v>46</v>
      </c>
      <c r="E3553" t="s">
        <v>655</v>
      </c>
      <c r="F3553" t="s">
        <v>665</v>
      </c>
      <c r="G3553" s="10">
        <v>4</v>
      </c>
      <c r="H3553" s="10">
        <v>671</v>
      </c>
      <c r="I3553" s="10">
        <v>2684</v>
      </c>
      <c r="J3553" t="s">
        <v>37</v>
      </c>
      <c r="K3553" s="11">
        <v>648.20000000000005</v>
      </c>
      <c r="L3553" s="12">
        <v>4.1399999999999997</v>
      </c>
    </row>
    <row r="3554" spans="1:12" x14ac:dyDescent="0.2">
      <c r="A3554" s="9">
        <v>46254</v>
      </c>
      <c r="B3554" t="s">
        <v>279</v>
      </c>
      <c r="C3554" t="s">
        <v>280</v>
      </c>
      <c r="D3554" t="s">
        <v>68</v>
      </c>
      <c r="E3554" t="s">
        <v>651</v>
      </c>
      <c r="F3554" t="s">
        <v>652</v>
      </c>
      <c r="G3554" s="10">
        <v>22</v>
      </c>
      <c r="H3554" s="10">
        <v>9625</v>
      </c>
      <c r="I3554" s="10">
        <v>211750</v>
      </c>
      <c r="J3554" t="s">
        <v>51</v>
      </c>
      <c r="K3554" s="11">
        <v>648.20000000000005</v>
      </c>
      <c r="L3554" s="12">
        <v>326.67</v>
      </c>
    </row>
    <row r="3555" spans="1:12" x14ac:dyDescent="0.2">
      <c r="A3555" s="9">
        <v>46254</v>
      </c>
      <c r="B3555" t="s">
        <v>279</v>
      </c>
      <c r="C3555" t="s">
        <v>280</v>
      </c>
      <c r="D3555" t="s">
        <v>68</v>
      </c>
      <c r="E3555" t="s">
        <v>660</v>
      </c>
      <c r="F3555" t="s">
        <v>670</v>
      </c>
      <c r="G3555" s="10">
        <v>30</v>
      </c>
      <c r="H3555" s="10">
        <v>13928</v>
      </c>
      <c r="I3555" s="10">
        <v>417840</v>
      </c>
      <c r="J3555" t="s">
        <v>51</v>
      </c>
      <c r="K3555" s="11">
        <v>648.20000000000005</v>
      </c>
      <c r="L3555" s="12">
        <v>644.62</v>
      </c>
    </row>
    <row r="3556" spans="1:12" x14ac:dyDescent="0.2">
      <c r="A3556" s="9">
        <v>46254</v>
      </c>
      <c r="B3556" t="s">
        <v>282</v>
      </c>
      <c r="C3556" t="s">
        <v>283</v>
      </c>
      <c r="D3556" t="s">
        <v>41</v>
      </c>
      <c r="E3556" t="s">
        <v>660</v>
      </c>
      <c r="F3556" t="s">
        <v>670</v>
      </c>
      <c r="G3556" s="10">
        <v>1</v>
      </c>
      <c r="H3556" s="10">
        <v>68105</v>
      </c>
      <c r="I3556" s="10">
        <v>68105</v>
      </c>
      <c r="J3556" t="s">
        <v>42</v>
      </c>
      <c r="K3556" s="11">
        <v>3145.8</v>
      </c>
      <c r="L3556" s="12">
        <v>21.65</v>
      </c>
    </row>
    <row r="3557" spans="1:12" x14ac:dyDescent="0.2">
      <c r="A3557" s="9">
        <v>46254</v>
      </c>
      <c r="B3557" t="s">
        <v>288</v>
      </c>
      <c r="C3557" t="s">
        <v>289</v>
      </c>
      <c r="D3557" t="s">
        <v>41</v>
      </c>
      <c r="E3557" t="s">
        <v>649</v>
      </c>
      <c r="F3557" t="s">
        <v>650</v>
      </c>
      <c r="G3557" s="10">
        <v>45</v>
      </c>
      <c r="H3557" s="10">
        <v>94619</v>
      </c>
      <c r="I3557" s="10">
        <v>4257855</v>
      </c>
      <c r="J3557" t="s">
        <v>42</v>
      </c>
      <c r="K3557" s="11">
        <v>3145.8</v>
      </c>
      <c r="L3557" s="12">
        <v>1353.5</v>
      </c>
    </row>
    <row r="3558" spans="1:12" x14ac:dyDescent="0.2">
      <c r="A3558" s="9">
        <v>46254</v>
      </c>
      <c r="B3558" t="s">
        <v>288</v>
      </c>
      <c r="C3558" t="s">
        <v>289</v>
      </c>
      <c r="D3558" t="s">
        <v>41</v>
      </c>
      <c r="E3558" t="s">
        <v>647</v>
      </c>
      <c r="F3558" t="s">
        <v>648</v>
      </c>
      <c r="G3558" s="10">
        <v>37</v>
      </c>
      <c r="H3558" s="10">
        <v>76388</v>
      </c>
      <c r="I3558" s="10">
        <v>2826356</v>
      </c>
      <c r="J3558" t="s">
        <v>42</v>
      </c>
      <c r="K3558" s="11">
        <v>3145.8</v>
      </c>
      <c r="L3558" s="12">
        <v>898.45</v>
      </c>
    </row>
    <row r="3559" spans="1:12" x14ac:dyDescent="0.2">
      <c r="A3559" s="9">
        <v>46254</v>
      </c>
      <c r="B3559" t="s">
        <v>288</v>
      </c>
      <c r="C3559" t="s">
        <v>289</v>
      </c>
      <c r="D3559" t="s">
        <v>41</v>
      </c>
      <c r="E3559" t="s">
        <v>655</v>
      </c>
      <c r="F3559" t="s">
        <v>665</v>
      </c>
      <c r="G3559" s="10">
        <v>8</v>
      </c>
      <c r="H3559" s="10">
        <v>3352</v>
      </c>
      <c r="I3559" s="10">
        <v>26816</v>
      </c>
      <c r="J3559" t="s">
        <v>42</v>
      </c>
      <c r="K3559" s="11">
        <v>3145.8</v>
      </c>
      <c r="L3559" s="12">
        <v>8.52</v>
      </c>
    </row>
    <row r="3560" spans="1:12" x14ac:dyDescent="0.2">
      <c r="A3560" s="9">
        <v>46254</v>
      </c>
      <c r="B3560" t="s">
        <v>297</v>
      </c>
      <c r="C3560" t="s">
        <v>298</v>
      </c>
      <c r="D3560" t="s">
        <v>36</v>
      </c>
      <c r="E3560" t="s">
        <v>660</v>
      </c>
      <c r="F3560" t="s">
        <v>670</v>
      </c>
      <c r="G3560" s="10">
        <v>18</v>
      </c>
      <c r="H3560" s="10">
        <v>13962</v>
      </c>
      <c r="I3560" s="10">
        <v>251316</v>
      </c>
      <c r="J3560" t="s">
        <v>37</v>
      </c>
      <c r="K3560" s="11">
        <v>648.20000000000005</v>
      </c>
      <c r="L3560" s="12">
        <v>387.71</v>
      </c>
    </row>
    <row r="3561" spans="1:12" x14ac:dyDescent="0.2">
      <c r="A3561" s="9">
        <v>46254</v>
      </c>
      <c r="B3561" t="s">
        <v>297</v>
      </c>
      <c r="C3561" t="s">
        <v>298</v>
      </c>
      <c r="D3561" t="s">
        <v>36</v>
      </c>
      <c r="E3561" t="s">
        <v>647</v>
      </c>
      <c r="F3561" t="s">
        <v>648</v>
      </c>
      <c r="G3561" s="10">
        <v>27</v>
      </c>
      <c r="H3561" s="10">
        <v>16211</v>
      </c>
      <c r="I3561" s="10">
        <v>437697</v>
      </c>
      <c r="J3561" t="s">
        <v>37</v>
      </c>
      <c r="K3561" s="11">
        <v>648.20000000000005</v>
      </c>
      <c r="L3561" s="12">
        <v>675.25</v>
      </c>
    </row>
    <row r="3562" spans="1:12" x14ac:dyDescent="0.2">
      <c r="A3562" s="9">
        <v>46254</v>
      </c>
      <c r="B3562" t="s">
        <v>300</v>
      </c>
      <c r="C3562" t="s">
        <v>301</v>
      </c>
      <c r="D3562" t="s">
        <v>41</v>
      </c>
      <c r="E3562" t="s">
        <v>653</v>
      </c>
      <c r="F3562" t="s">
        <v>666</v>
      </c>
      <c r="G3562" s="10">
        <v>4</v>
      </c>
      <c r="H3562" s="10">
        <v>7547</v>
      </c>
      <c r="I3562" s="10">
        <v>30188</v>
      </c>
      <c r="J3562" t="s">
        <v>42</v>
      </c>
      <c r="K3562" s="11">
        <v>3145.8</v>
      </c>
      <c r="L3562" s="12">
        <v>9.6</v>
      </c>
    </row>
    <row r="3563" spans="1:12" x14ac:dyDescent="0.2">
      <c r="A3563" s="9">
        <v>46254</v>
      </c>
      <c r="B3563" t="s">
        <v>300</v>
      </c>
      <c r="C3563" t="s">
        <v>301</v>
      </c>
      <c r="D3563" t="s">
        <v>41</v>
      </c>
      <c r="E3563" t="s">
        <v>647</v>
      </c>
      <c r="F3563" t="s">
        <v>667</v>
      </c>
      <c r="G3563" s="10">
        <v>10</v>
      </c>
      <c r="H3563" s="10">
        <v>36004</v>
      </c>
      <c r="I3563" s="10">
        <v>360040</v>
      </c>
      <c r="J3563" t="s">
        <v>42</v>
      </c>
      <c r="K3563" s="11">
        <v>3145.8</v>
      </c>
      <c r="L3563" s="12">
        <v>114.45</v>
      </c>
    </row>
    <row r="3564" spans="1:12" x14ac:dyDescent="0.2">
      <c r="A3564" s="9">
        <v>46254</v>
      </c>
      <c r="B3564" t="s">
        <v>306</v>
      </c>
      <c r="C3564" t="s">
        <v>307</v>
      </c>
      <c r="D3564" t="s">
        <v>36</v>
      </c>
      <c r="E3564" t="s">
        <v>653</v>
      </c>
      <c r="F3564" t="s">
        <v>654</v>
      </c>
      <c r="G3564" s="10">
        <v>2</v>
      </c>
      <c r="H3564" s="10">
        <v>5557</v>
      </c>
      <c r="I3564" s="10">
        <v>11114</v>
      </c>
      <c r="J3564" t="s">
        <v>37</v>
      </c>
      <c r="K3564" s="11">
        <v>648.20000000000005</v>
      </c>
      <c r="L3564" s="12">
        <v>17.149999999999999</v>
      </c>
    </row>
    <row r="3565" spans="1:12" x14ac:dyDescent="0.2">
      <c r="A3565" s="9">
        <v>46254</v>
      </c>
      <c r="B3565" t="s">
        <v>324</v>
      </c>
      <c r="C3565" t="s">
        <v>325</v>
      </c>
      <c r="D3565" t="s">
        <v>46</v>
      </c>
      <c r="E3565" t="s">
        <v>647</v>
      </c>
      <c r="F3565" t="s">
        <v>667</v>
      </c>
      <c r="G3565" s="10">
        <v>7</v>
      </c>
      <c r="H3565" s="10">
        <v>7130</v>
      </c>
      <c r="I3565" s="10">
        <v>49910</v>
      </c>
      <c r="J3565" t="s">
        <v>37</v>
      </c>
      <c r="K3565" s="11">
        <v>648.20000000000005</v>
      </c>
      <c r="L3565" s="12">
        <v>77</v>
      </c>
    </row>
    <row r="3566" spans="1:12" x14ac:dyDescent="0.2">
      <c r="A3566" s="9">
        <v>46254</v>
      </c>
      <c r="B3566" t="s">
        <v>330</v>
      </c>
      <c r="C3566" t="s">
        <v>331</v>
      </c>
      <c r="D3566" t="s">
        <v>68</v>
      </c>
      <c r="E3566" t="s">
        <v>653</v>
      </c>
      <c r="F3566" t="s">
        <v>666</v>
      </c>
      <c r="G3566" s="10">
        <v>3</v>
      </c>
      <c r="H3566" s="10">
        <v>1479</v>
      </c>
      <c r="I3566" s="10">
        <v>4437</v>
      </c>
      <c r="J3566" t="s">
        <v>51</v>
      </c>
      <c r="K3566" s="11">
        <v>648.20000000000005</v>
      </c>
      <c r="L3566" s="12">
        <v>6.85</v>
      </c>
    </row>
    <row r="3567" spans="1:12" x14ac:dyDescent="0.2">
      <c r="A3567" s="9">
        <v>46254</v>
      </c>
      <c r="B3567" t="s">
        <v>330</v>
      </c>
      <c r="C3567" t="s">
        <v>331</v>
      </c>
      <c r="D3567" t="s">
        <v>68</v>
      </c>
      <c r="E3567" t="s">
        <v>647</v>
      </c>
      <c r="F3567" t="s">
        <v>668</v>
      </c>
      <c r="G3567" s="10">
        <v>25</v>
      </c>
      <c r="H3567" s="10">
        <v>25996</v>
      </c>
      <c r="I3567" s="10">
        <v>649900</v>
      </c>
      <c r="J3567" t="s">
        <v>51</v>
      </c>
      <c r="K3567" s="11">
        <v>648.20000000000005</v>
      </c>
      <c r="L3567" s="12">
        <v>1002.62</v>
      </c>
    </row>
    <row r="3568" spans="1:12" x14ac:dyDescent="0.2">
      <c r="A3568" s="9">
        <v>46254</v>
      </c>
      <c r="B3568" t="s">
        <v>336</v>
      </c>
      <c r="C3568" t="s">
        <v>337</v>
      </c>
      <c r="D3568" t="s">
        <v>68</v>
      </c>
      <c r="E3568" t="s">
        <v>660</v>
      </c>
      <c r="F3568" t="s">
        <v>661</v>
      </c>
      <c r="G3568" s="10">
        <v>1</v>
      </c>
      <c r="H3568" s="10">
        <v>4301</v>
      </c>
      <c r="I3568" s="10">
        <v>4301</v>
      </c>
      <c r="J3568" t="s">
        <v>51</v>
      </c>
      <c r="K3568" s="11">
        <v>648.20000000000005</v>
      </c>
      <c r="L3568" s="12">
        <v>6.64</v>
      </c>
    </row>
    <row r="3569" spans="1:12" x14ac:dyDescent="0.2">
      <c r="A3569" s="9">
        <v>46254</v>
      </c>
      <c r="B3569" t="s">
        <v>336</v>
      </c>
      <c r="C3569" t="s">
        <v>337</v>
      </c>
      <c r="D3569" t="s">
        <v>68</v>
      </c>
      <c r="E3569" t="s">
        <v>647</v>
      </c>
      <c r="F3569" t="s">
        <v>648</v>
      </c>
      <c r="G3569" s="10">
        <v>4</v>
      </c>
      <c r="H3569" s="10">
        <v>16376</v>
      </c>
      <c r="I3569" s="10">
        <v>65504</v>
      </c>
      <c r="J3569" t="s">
        <v>51</v>
      </c>
      <c r="K3569" s="11">
        <v>648.20000000000005</v>
      </c>
      <c r="L3569" s="12">
        <v>101.06</v>
      </c>
    </row>
    <row r="3570" spans="1:12" x14ac:dyDescent="0.2">
      <c r="A3570" s="9">
        <v>46254</v>
      </c>
      <c r="B3570" t="s">
        <v>345</v>
      </c>
      <c r="C3570" t="s">
        <v>346</v>
      </c>
      <c r="D3570" t="s">
        <v>68</v>
      </c>
      <c r="E3570" t="s">
        <v>660</v>
      </c>
      <c r="F3570" t="s">
        <v>661</v>
      </c>
      <c r="G3570" s="10">
        <v>1</v>
      </c>
      <c r="H3570" s="10">
        <v>4213</v>
      </c>
      <c r="I3570" s="10">
        <v>4213</v>
      </c>
      <c r="J3570" t="s">
        <v>51</v>
      </c>
      <c r="K3570" s="11">
        <v>648.20000000000005</v>
      </c>
      <c r="L3570" s="12">
        <v>6.5</v>
      </c>
    </row>
    <row r="3571" spans="1:12" x14ac:dyDescent="0.2">
      <c r="A3571" s="9">
        <v>46254</v>
      </c>
      <c r="B3571" t="s">
        <v>354</v>
      </c>
      <c r="C3571" t="s">
        <v>355</v>
      </c>
      <c r="D3571" t="s">
        <v>68</v>
      </c>
      <c r="E3571" t="s">
        <v>649</v>
      </c>
      <c r="F3571" t="s">
        <v>663</v>
      </c>
      <c r="G3571" s="10">
        <v>14</v>
      </c>
      <c r="H3571" s="10">
        <v>2004</v>
      </c>
      <c r="I3571" s="10">
        <v>28056</v>
      </c>
      <c r="J3571" t="s">
        <v>51</v>
      </c>
      <c r="K3571" s="11">
        <v>648.20000000000005</v>
      </c>
      <c r="L3571" s="12">
        <v>43.28</v>
      </c>
    </row>
    <row r="3572" spans="1:12" x14ac:dyDescent="0.2">
      <c r="A3572" s="9">
        <v>46254</v>
      </c>
      <c r="B3572" t="s">
        <v>357</v>
      </c>
      <c r="C3572" t="s">
        <v>358</v>
      </c>
      <c r="D3572" t="s">
        <v>36</v>
      </c>
      <c r="E3572" t="s">
        <v>649</v>
      </c>
      <c r="F3572" t="s">
        <v>659</v>
      </c>
      <c r="G3572" s="10">
        <v>283</v>
      </c>
      <c r="H3572" s="10">
        <v>8995</v>
      </c>
      <c r="I3572" s="10">
        <v>2545585</v>
      </c>
      <c r="J3572" t="s">
        <v>37</v>
      </c>
      <c r="K3572" s="11">
        <v>648.20000000000005</v>
      </c>
      <c r="L3572" s="12">
        <v>3927.16</v>
      </c>
    </row>
    <row r="3573" spans="1:12" x14ac:dyDescent="0.2">
      <c r="A3573" s="9">
        <v>46254</v>
      </c>
      <c r="B3573" t="s">
        <v>357</v>
      </c>
      <c r="C3573" t="s">
        <v>358</v>
      </c>
      <c r="D3573" t="s">
        <v>36</v>
      </c>
      <c r="E3573" t="s">
        <v>655</v>
      </c>
      <c r="F3573" t="s">
        <v>662</v>
      </c>
      <c r="G3573" s="10">
        <v>70</v>
      </c>
      <c r="H3573" s="10">
        <v>1169</v>
      </c>
      <c r="I3573" s="10">
        <v>81830</v>
      </c>
      <c r="J3573" t="s">
        <v>37</v>
      </c>
      <c r="K3573" s="11">
        <v>648.20000000000005</v>
      </c>
      <c r="L3573" s="12">
        <v>126.24</v>
      </c>
    </row>
    <row r="3574" spans="1:12" x14ac:dyDescent="0.2">
      <c r="A3574" s="9">
        <v>46254</v>
      </c>
      <c r="B3574" t="s">
        <v>363</v>
      </c>
      <c r="C3574" t="s">
        <v>364</v>
      </c>
      <c r="D3574" t="s">
        <v>46</v>
      </c>
      <c r="E3574" t="s">
        <v>649</v>
      </c>
      <c r="F3574" t="s">
        <v>650</v>
      </c>
      <c r="G3574" s="10">
        <v>207</v>
      </c>
      <c r="H3574" s="10">
        <v>19962</v>
      </c>
      <c r="I3574" s="10">
        <v>4132134</v>
      </c>
      <c r="J3574" t="s">
        <v>37</v>
      </c>
      <c r="K3574" s="11">
        <v>648.20000000000005</v>
      </c>
      <c r="L3574" s="12">
        <v>6374.78</v>
      </c>
    </row>
    <row r="3575" spans="1:12" x14ac:dyDescent="0.2">
      <c r="A3575" s="9">
        <v>46254</v>
      </c>
      <c r="B3575" t="s">
        <v>363</v>
      </c>
      <c r="C3575" t="s">
        <v>364</v>
      </c>
      <c r="D3575" t="s">
        <v>46</v>
      </c>
      <c r="E3575" t="s">
        <v>655</v>
      </c>
      <c r="F3575" t="s">
        <v>662</v>
      </c>
      <c r="G3575" s="10">
        <v>18</v>
      </c>
      <c r="H3575" s="10">
        <v>1115</v>
      </c>
      <c r="I3575" s="10">
        <v>20070</v>
      </c>
      <c r="J3575" t="s">
        <v>37</v>
      </c>
      <c r="K3575" s="11">
        <v>648.20000000000005</v>
      </c>
      <c r="L3575" s="12">
        <v>30.96</v>
      </c>
    </row>
    <row r="3576" spans="1:12" x14ac:dyDescent="0.2">
      <c r="A3576" s="9">
        <v>46254</v>
      </c>
      <c r="B3576" t="s">
        <v>369</v>
      </c>
      <c r="C3576" t="s">
        <v>370</v>
      </c>
      <c r="D3576" t="s">
        <v>36</v>
      </c>
      <c r="E3576" t="s">
        <v>660</v>
      </c>
      <c r="F3576" t="s">
        <v>670</v>
      </c>
      <c r="G3576" s="10">
        <v>6</v>
      </c>
      <c r="H3576" s="10">
        <v>14628</v>
      </c>
      <c r="I3576" s="10">
        <v>87768</v>
      </c>
      <c r="J3576" t="s">
        <v>37</v>
      </c>
      <c r="K3576" s="11">
        <v>648.20000000000005</v>
      </c>
      <c r="L3576" s="12">
        <v>135.4</v>
      </c>
    </row>
    <row r="3577" spans="1:12" x14ac:dyDescent="0.2">
      <c r="A3577" s="9">
        <v>46254</v>
      </c>
      <c r="B3577" t="s">
        <v>369</v>
      </c>
      <c r="C3577" t="s">
        <v>370</v>
      </c>
      <c r="D3577" t="s">
        <v>36</v>
      </c>
      <c r="E3577" t="s">
        <v>647</v>
      </c>
      <c r="F3577" t="s">
        <v>668</v>
      </c>
      <c r="G3577" s="10">
        <v>7</v>
      </c>
      <c r="H3577" s="10">
        <v>24526</v>
      </c>
      <c r="I3577" s="10">
        <v>171682</v>
      </c>
      <c r="J3577" t="s">
        <v>37</v>
      </c>
      <c r="K3577" s="11">
        <v>648.20000000000005</v>
      </c>
      <c r="L3577" s="12">
        <v>264.86</v>
      </c>
    </row>
    <row r="3578" spans="1:12" x14ac:dyDescent="0.2">
      <c r="A3578" s="9">
        <v>46254</v>
      </c>
      <c r="B3578" t="s">
        <v>375</v>
      </c>
      <c r="C3578" t="s">
        <v>376</v>
      </c>
      <c r="D3578" t="s">
        <v>36</v>
      </c>
      <c r="E3578" t="s">
        <v>647</v>
      </c>
      <c r="F3578" t="s">
        <v>648</v>
      </c>
      <c r="G3578" s="10">
        <v>1</v>
      </c>
      <c r="H3578" s="10">
        <v>16563</v>
      </c>
      <c r="I3578" s="10">
        <v>16563</v>
      </c>
      <c r="J3578" t="s">
        <v>37</v>
      </c>
      <c r="K3578" s="11">
        <v>648.20000000000005</v>
      </c>
      <c r="L3578" s="12">
        <v>25.55</v>
      </c>
    </row>
    <row r="3579" spans="1:12" x14ac:dyDescent="0.2">
      <c r="A3579" s="9">
        <v>46254</v>
      </c>
      <c r="B3579" t="s">
        <v>375</v>
      </c>
      <c r="C3579" t="s">
        <v>376</v>
      </c>
      <c r="D3579" t="s">
        <v>36</v>
      </c>
      <c r="E3579" t="s">
        <v>647</v>
      </c>
      <c r="F3579" t="s">
        <v>667</v>
      </c>
      <c r="G3579" s="10">
        <v>45</v>
      </c>
      <c r="H3579" s="10">
        <v>7134</v>
      </c>
      <c r="I3579" s="10">
        <v>321030</v>
      </c>
      <c r="J3579" t="s">
        <v>37</v>
      </c>
      <c r="K3579" s="11">
        <v>648.20000000000005</v>
      </c>
      <c r="L3579" s="12">
        <v>495.26</v>
      </c>
    </row>
    <row r="3580" spans="1:12" x14ac:dyDescent="0.2">
      <c r="A3580" s="9">
        <v>46254</v>
      </c>
      <c r="B3580" t="s">
        <v>378</v>
      </c>
      <c r="C3580" t="s">
        <v>379</v>
      </c>
      <c r="D3580" t="s">
        <v>50</v>
      </c>
      <c r="E3580" t="s">
        <v>647</v>
      </c>
      <c r="F3580" t="s">
        <v>668</v>
      </c>
      <c r="G3580" s="10">
        <v>1</v>
      </c>
      <c r="H3580" s="10">
        <v>25936</v>
      </c>
      <c r="I3580" s="10">
        <v>25936</v>
      </c>
      <c r="J3580" t="s">
        <v>51</v>
      </c>
      <c r="K3580" s="11">
        <v>648.20000000000005</v>
      </c>
      <c r="L3580" s="12">
        <v>40.01</v>
      </c>
    </row>
    <row r="3581" spans="1:12" x14ac:dyDescent="0.2">
      <c r="A3581" s="9">
        <v>46254</v>
      </c>
      <c r="B3581" t="s">
        <v>381</v>
      </c>
      <c r="C3581" t="s">
        <v>382</v>
      </c>
      <c r="D3581" t="s">
        <v>36</v>
      </c>
      <c r="E3581" t="s">
        <v>653</v>
      </c>
      <c r="F3581" t="s">
        <v>658</v>
      </c>
      <c r="G3581" s="10">
        <v>13</v>
      </c>
      <c r="H3581" s="10">
        <v>2624</v>
      </c>
      <c r="I3581" s="10">
        <v>34112</v>
      </c>
      <c r="J3581" t="s">
        <v>37</v>
      </c>
      <c r="K3581" s="11">
        <v>648.20000000000005</v>
      </c>
      <c r="L3581" s="12">
        <v>52.63</v>
      </c>
    </row>
    <row r="3582" spans="1:12" x14ac:dyDescent="0.2">
      <c r="A3582" s="9">
        <v>46254</v>
      </c>
      <c r="B3582" t="s">
        <v>381</v>
      </c>
      <c r="C3582" t="s">
        <v>382</v>
      </c>
      <c r="D3582" t="s">
        <v>36</v>
      </c>
      <c r="E3582" t="s">
        <v>655</v>
      </c>
      <c r="F3582" t="s">
        <v>662</v>
      </c>
      <c r="G3582" s="10">
        <v>6</v>
      </c>
      <c r="H3582" s="10">
        <v>1122</v>
      </c>
      <c r="I3582" s="10">
        <v>6732</v>
      </c>
      <c r="J3582" t="s">
        <v>37</v>
      </c>
      <c r="K3582" s="11">
        <v>648.20000000000005</v>
      </c>
      <c r="L3582" s="12">
        <v>10.39</v>
      </c>
    </row>
    <row r="3583" spans="1:12" x14ac:dyDescent="0.2">
      <c r="A3583" s="9">
        <v>46254</v>
      </c>
      <c r="B3583" t="s">
        <v>381</v>
      </c>
      <c r="C3583" t="s">
        <v>382</v>
      </c>
      <c r="D3583" t="s">
        <v>36</v>
      </c>
      <c r="E3583" t="s">
        <v>655</v>
      </c>
      <c r="F3583" t="s">
        <v>665</v>
      </c>
      <c r="G3583" s="10">
        <v>15</v>
      </c>
      <c r="H3583" s="10">
        <v>669</v>
      </c>
      <c r="I3583" s="10">
        <v>10035</v>
      </c>
      <c r="J3583" t="s">
        <v>37</v>
      </c>
      <c r="K3583" s="11">
        <v>648.20000000000005</v>
      </c>
      <c r="L3583" s="12">
        <v>15.48</v>
      </c>
    </row>
    <row r="3584" spans="1:12" x14ac:dyDescent="0.2">
      <c r="A3584" s="9">
        <v>46254</v>
      </c>
      <c r="B3584" t="s">
        <v>384</v>
      </c>
      <c r="C3584" t="s">
        <v>385</v>
      </c>
      <c r="D3584" t="s">
        <v>46</v>
      </c>
      <c r="E3584" t="s">
        <v>647</v>
      </c>
      <c r="F3584" t="s">
        <v>667</v>
      </c>
      <c r="G3584" s="10">
        <v>6</v>
      </c>
      <c r="H3584" s="10">
        <v>7189</v>
      </c>
      <c r="I3584" s="10">
        <v>43134</v>
      </c>
      <c r="J3584" t="s">
        <v>37</v>
      </c>
      <c r="K3584" s="11">
        <v>648.20000000000005</v>
      </c>
      <c r="L3584" s="12">
        <v>66.540000000000006</v>
      </c>
    </row>
    <row r="3585" spans="1:12" x14ac:dyDescent="0.2">
      <c r="A3585" s="9">
        <v>46254</v>
      </c>
      <c r="B3585" t="s">
        <v>384</v>
      </c>
      <c r="C3585" t="s">
        <v>385</v>
      </c>
      <c r="D3585" t="s">
        <v>46</v>
      </c>
      <c r="E3585" t="s">
        <v>655</v>
      </c>
      <c r="F3585" t="s">
        <v>665</v>
      </c>
      <c r="G3585" s="10">
        <v>10</v>
      </c>
      <c r="H3585" s="10">
        <v>701</v>
      </c>
      <c r="I3585" s="10">
        <v>7010</v>
      </c>
      <c r="J3585" t="s">
        <v>37</v>
      </c>
      <c r="K3585" s="11">
        <v>648.20000000000005</v>
      </c>
      <c r="L3585" s="12">
        <v>10.81</v>
      </c>
    </row>
    <row r="3586" spans="1:12" x14ac:dyDescent="0.2">
      <c r="A3586" s="9">
        <v>46254</v>
      </c>
      <c r="B3586" t="s">
        <v>387</v>
      </c>
      <c r="C3586" t="s">
        <v>388</v>
      </c>
      <c r="D3586" t="s">
        <v>50</v>
      </c>
      <c r="E3586" t="s">
        <v>651</v>
      </c>
      <c r="F3586" t="s">
        <v>657</v>
      </c>
      <c r="G3586" s="10">
        <v>5</v>
      </c>
      <c r="H3586" s="10">
        <v>6506</v>
      </c>
      <c r="I3586" s="10">
        <v>32530</v>
      </c>
      <c r="J3586" t="s">
        <v>51</v>
      </c>
      <c r="K3586" s="11">
        <v>648.20000000000005</v>
      </c>
      <c r="L3586" s="12">
        <v>50.19</v>
      </c>
    </row>
    <row r="3587" spans="1:12" x14ac:dyDescent="0.2">
      <c r="A3587" s="9">
        <v>46254</v>
      </c>
      <c r="B3587" t="s">
        <v>390</v>
      </c>
      <c r="C3587" t="s">
        <v>391</v>
      </c>
      <c r="D3587" t="s">
        <v>46</v>
      </c>
      <c r="E3587" t="s">
        <v>653</v>
      </c>
      <c r="F3587" t="s">
        <v>658</v>
      </c>
      <c r="G3587" s="10">
        <v>45</v>
      </c>
      <c r="H3587" s="10">
        <v>2769</v>
      </c>
      <c r="I3587" s="10">
        <v>124605</v>
      </c>
      <c r="J3587" t="s">
        <v>37</v>
      </c>
      <c r="K3587" s="11">
        <v>648.20000000000005</v>
      </c>
      <c r="L3587" s="12">
        <v>192.23</v>
      </c>
    </row>
    <row r="3588" spans="1:12" x14ac:dyDescent="0.2">
      <c r="A3588" s="9">
        <v>46254</v>
      </c>
      <c r="B3588" t="s">
        <v>390</v>
      </c>
      <c r="C3588" t="s">
        <v>391</v>
      </c>
      <c r="D3588" t="s">
        <v>46</v>
      </c>
      <c r="E3588" t="s">
        <v>655</v>
      </c>
      <c r="F3588" t="s">
        <v>665</v>
      </c>
      <c r="G3588" s="10">
        <v>4</v>
      </c>
      <c r="H3588" s="10">
        <v>661</v>
      </c>
      <c r="I3588" s="10">
        <v>2644</v>
      </c>
      <c r="J3588" t="s">
        <v>37</v>
      </c>
      <c r="K3588" s="11">
        <v>648.20000000000005</v>
      </c>
      <c r="L3588" s="12">
        <v>4.08</v>
      </c>
    </row>
    <row r="3589" spans="1:12" x14ac:dyDescent="0.2">
      <c r="A3589" s="9">
        <v>46254</v>
      </c>
      <c r="B3589" t="s">
        <v>393</v>
      </c>
      <c r="C3589" t="s">
        <v>307</v>
      </c>
      <c r="D3589" t="s">
        <v>68</v>
      </c>
      <c r="E3589" t="s">
        <v>651</v>
      </c>
      <c r="F3589" t="s">
        <v>652</v>
      </c>
      <c r="G3589" s="10">
        <v>28</v>
      </c>
      <c r="H3589" s="10">
        <v>9639</v>
      </c>
      <c r="I3589" s="10">
        <v>269892</v>
      </c>
      <c r="J3589" t="s">
        <v>51</v>
      </c>
      <c r="K3589" s="11">
        <v>648.20000000000005</v>
      </c>
      <c r="L3589" s="12">
        <v>416.37</v>
      </c>
    </row>
    <row r="3590" spans="1:12" x14ac:dyDescent="0.2">
      <c r="A3590" s="9">
        <v>46254</v>
      </c>
      <c r="B3590" t="s">
        <v>393</v>
      </c>
      <c r="C3590" t="s">
        <v>307</v>
      </c>
      <c r="D3590" t="s">
        <v>68</v>
      </c>
      <c r="E3590" t="s">
        <v>660</v>
      </c>
      <c r="F3590" t="s">
        <v>669</v>
      </c>
      <c r="G3590" s="10">
        <v>239</v>
      </c>
      <c r="H3590" s="10">
        <v>2530</v>
      </c>
      <c r="I3590" s="10">
        <v>604670</v>
      </c>
      <c r="J3590" t="s">
        <v>51</v>
      </c>
      <c r="K3590" s="11">
        <v>648.20000000000005</v>
      </c>
      <c r="L3590" s="12">
        <v>932.84</v>
      </c>
    </row>
    <row r="3591" spans="1:12" x14ac:dyDescent="0.2">
      <c r="A3591" s="9">
        <v>46254</v>
      </c>
      <c r="B3591" t="s">
        <v>393</v>
      </c>
      <c r="C3591" t="s">
        <v>307</v>
      </c>
      <c r="D3591" t="s">
        <v>68</v>
      </c>
      <c r="E3591" t="s">
        <v>647</v>
      </c>
      <c r="F3591" t="s">
        <v>648</v>
      </c>
      <c r="G3591" s="10">
        <v>11</v>
      </c>
      <c r="H3591" s="10">
        <v>15674</v>
      </c>
      <c r="I3591" s="10">
        <v>172414</v>
      </c>
      <c r="J3591" t="s">
        <v>51</v>
      </c>
      <c r="K3591" s="11">
        <v>648.20000000000005</v>
      </c>
      <c r="L3591" s="12">
        <v>265.99</v>
      </c>
    </row>
    <row r="3592" spans="1:12" x14ac:dyDescent="0.2">
      <c r="A3592" s="9">
        <v>46254</v>
      </c>
      <c r="B3592" t="s">
        <v>395</v>
      </c>
      <c r="C3592" t="s">
        <v>396</v>
      </c>
      <c r="D3592" t="s">
        <v>46</v>
      </c>
      <c r="E3592" t="s">
        <v>655</v>
      </c>
      <c r="F3592" t="s">
        <v>662</v>
      </c>
      <c r="G3592" s="10">
        <v>5</v>
      </c>
      <c r="H3592" s="10">
        <v>1163</v>
      </c>
      <c r="I3592" s="10">
        <v>5815</v>
      </c>
      <c r="J3592" t="s">
        <v>37</v>
      </c>
      <c r="K3592" s="11">
        <v>648.20000000000005</v>
      </c>
      <c r="L3592" s="12">
        <v>8.9700000000000006</v>
      </c>
    </row>
    <row r="3593" spans="1:12" x14ac:dyDescent="0.2">
      <c r="A3593" s="9">
        <v>46254</v>
      </c>
      <c r="B3593" t="s">
        <v>398</v>
      </c>
      <c r="C3593" t="s">
        <v>399</v>
      </c>
      <c r="D3593" t="s">
        <v>46</v>
      </c>
      <c r="E3593" t="s">
        <v>660</v>
      </c>
      <c r="F3593" t="s">
        <v>669</v>
      </c>
      <c r="G3593" s="10">
        <v>7</v>
      </c>
      <c r="H3593" s="10">
        <v>2615</v>
      </c>
      <c r="I3593" s="10">
        <v>18305</v>
      </c>
      <c r="J3593" t="s">
        <v>37</v>
      </c>
      <c r="K3593" s="11">
        <v>648.20000000000005</v>
      </c>
      <c r="L3593" s="12">
        <v>28.24</v>
      </c>
    </row>
    <row r="3594" spans="1:12" x14ac:dyDescent="0.2">
      <c r="A3594" s="9">
        <v>46254</v>
      </c>
      <c r="B3594" t="s">
        <v>398</v>
      </c>
      <c r="C3594" t="s">
        <v>399</v>
      </c>
      <c r="D3594" t="s">
        <v>46</v>
      </c>
      <c r="E3594" t="s">
        <v>647</v>
      </c>
      <c r="F3594" t="s">
        <v>648</v>
      </c>
      <c r="G3594" s="10">
        <v>10</v>
      </c>
      <c r="H3594" s="10">
        <v>16248</v>
      </c>
      <c r="I3594" s="10">
        <v>162480</v>
      </c>
      <c r="J3594" t="s">
        <v>37</v>
      </c>
      <c r="K3594" s="11">
        <v>648.20000000000005</v>
      </c>
      <c r="L3594" s="12">
        <v>250.66</v>
      </c>
    </row>
    <row r="3595" spans="1:12" x14ac:dyDescent="0.2">
      <c r="A3595" s="9">
        <v>46254</v>
      </c>
      <c r="B3595" t="s">
        <v>398</v>
      </c>
      <c r="C3595" t="s">
        <v>399</v>
      </c>
      <c r="D3595" t="s">
        <v>46</v>
      </c>
      <c r="E3595" t="s">
        <v>647</v>
      </c>
      <c r="F3595" t="s">
        <v>667</v>
      </c>
      <c r="G3595" s="10">
        <v>6</v>
      </c>
      <c r="H3595" s="10">
        <v>7571</v>
      </c>
      <c r="I3595" s="10">
        <v>45426</v>
      </c>
      <c r="J3595" t="s">
        <v>37</v>
      </c>
      <c r="K3595" s="11">
        <v>648.20000000000005</v>
      </c>
      <c r="L3595" s="12">
        <v>70.08</v>
      </c>
    </row>
    <row r="3596" spans="1:12" x14ac:dyDescent="0.2">
      <c r="A3596" s="9">
        <v>46254</v>
      </c>
      <c r="B3596" t="s">
        <v>398</v>
      </c>
      <c r="C3596" t="s">
        <v>399</v>
      </c>
      <c r="D3596" t="s">
        <v>46</v>
      </c>
      <c r="E3596" t="s">
        <v>647</v>
      </c>
      <c r="F3596" t="s">
        <v>667</v>
      </c>
      <c r="G3596" s="10">
        <v>9</v>
      </c>
      <c r="H3596" s="10">
        <v>7389</v>
      </c>
      <c r="I3596" s="10">
        <v>66501</v>
      </c>
      <c r="J3596" t="s">
        <v>37</v>
      </c>
      <c r="K3596" s="11">
        <v>648.20000000000005</v>
      </c>
      <c r="L3596" s="12">
        <v>102.59</v>
      </c>
    </row>
    <row r="3597" spans="1:12" x14ac:dyDescent="0.2">
      <c r="A3597" s="9">
        <v>46254</v>
      </c>
      <c r="B3597" t="s">
        <v>401</v>
      </c>
      <c r="C3597" t="s">
        <v>402</v>
      </c>
      <c r="D3597" t="s">
        <v>36</v>
      </c>
      <c r="E3597" t="s">
        <v>649</v>
      </c>
      <c r="F3597" t="s">
        <v>659</v>
      </c>
      <c r="G3597" s="10">
        <v>20</v>
      </c>
      <c r="H3597" s="10">
        <v>8791</v>
      </c>
      <c r="I3597" s="10">
        <v>175820</v>
      </c>
      <c r="J3597" t="s">
        <v>37</v>
      </c>
      <c r="K3597" s="11">
        <v>648.20000000000005</v>
      </c>
      <c r="L3597" s="12">
        <v>271.24</v>
      </c>
    </row>
    <row r="3598" spans="1:12" x14ac:dyDescent="0.2">
      <c r="A3598" s="9">
        <v>46254</v>
      </c>
      <c r="B3598" t="s">
        <v>410</v>
      </c>
      <c r="C3598" t="s">
        <v>411</v>
      </c>
      <c r="D3598" t="s">
        <v>46</v>
      </c>
      <c r="E3598" t="s">
        <v>647</v>
      </c>
      <c r="F3598" t="s">
        <v>668</v>
      </c>
      <c r="G3598" s="10">
        <v>8</v>
      </c>
      <c r="H3598" s="10">
        <v>24719</v>
      </c>
      <c r="I3598" s="10">
        <v>197752</v>
      </c>
      <c r="J3598" t="s">
        <v>37</v>
      </c>
      <c r="K3598" s="11">
        <v>648.20000000000005</v>
      </c>
      <c r="L3598" s="12">
        <v>305.08</v>
      </c>
    </row>
    <row r="3599" spans="1:12" x14ac:dyDescent="0.2">
      <c r="A3599" s="9">
        <v>46254</v>
      </c>
      <c r="B3599" t="s">
        <v>413</v>
      </c>
      <c r="C3599" t="s">
        <v>414</v>
      </c>
      <c r="D3599" t="s">
        <v>41</v>
      </c>
      <c r="E3599" t="s">
        <v>660</v>
      </c>
      <c r="F3599" t="s">
        <v>669</v>
      </c>
      <c r="G3599" s="10">
        <v>9</v>
      </c>
      <c r="H3599" s="10">
        <v>12703</v>
      </c>
      <c r="I3599" s="10">
        <v>114327</v>
      </c>
      <c r="J3599" t="s">
        <v>42</v>
      </c>
      <c r="K3599" s="11">
        <v>3145.8</v>
      </c>
      <c r="L3599" s="12">
        <v>36.340000000000003</v>
      </c>
    </row>
    <row r="3600" spans="1:12" x14ac:dyDescent="0.2">
      <c r="A3600" s="9">
        <v>46254</v>
      </c>
      <c r="B3600" t="s">
        <v>422</v>
      </c>
      <c r="C3600" t="s">
        <v>423</v>
      </c>
      <c r="D3600" t="s">
        <v>68</v>
      </c>
      <c r="E3600" t="s">
        <v>653</v>
      </c>
      <c r="F3600" t="s">
        <v>658</v>
      </c>
      <c r="G3600" s="10">
        <v>12</v>
      </c>
      <c r="H3600" s="10">
        <v>2728</v>
      </c>
      <c r="I3600" s="10">
        <v>32736</v>
      </c>
      <c r="J3600" t="s">
        <v>51</v>
      </c>
      <c r="K3600" s="11">
        <v>648.20000000000005</v>
      </c>
      <c r="L3600" s="12">
        <v>50.5</v>
      </c>
    </row>
    <row r="3601" spans="1:12" x14ac:dyDescent="0.2">
      <c r="A3601" s="9">
        <v>46254</v>
      </c>
      <c r="B3601" t="s">
        <v>422</v>
      </c>
      <c r="C3601" t="s">
        <v>423</v>
      </c>
      <c r="D3601" t="s">
        <v>68</v>
      </c>
      <c r="E3601" t="s">
        <v>647</v>
      </c>
      <c r="F3601" t="s">
        <v>648</v>
      </c>
      <c r="G3601" s="10">
        <v>3</v>
      </c>
      <c r="H3601" s="10">
        <v>15593</v>
      </c>
      <c r="I3601" s="10">
        <v>46779</v>
      </c>
      <c r="J3601" t="s">
        <v>51</v>
      </c>
      <c r="K3601" s="11">
        <v>648.20000000000005</v>
      </c>
      <c r="L3601" s="12">
        <v>72.17</v>
      </c>
    </row>
    <row r="3602" spans="1:12" x14ac:dyDescent="0.2">
      <c r="A3602" s="9">
        <v>46254</v>
      </c>
      <c r="B3602" t="s">
        <v>436</v>
      </c>
      <c r="C3602" t="s">
        <v>437</v>
      </c>
      <c r="D3602" t="s">
        <v>50</v>
      </c>
      <c r="E3602" t="s">
        <v>653</v>
      </c>
      <c r="F3602" t="s">
        <v>654</v>
      </c>
      <c r="G3602" s="10">
        <v>3</v>
      </c>
      <c r="H3602" s="10">
        <v>5865</v>
      </c>
      <c r="I3602" s="10">
        <v>17595</v>
      </c>
      <c r="J3602" t="s">
        <v>51</v>
      </c>
      <c r="K3602" s="11">
        <v>648.20000000000005</v>
      </c>
      <c r="L3602" s="12">
        <v>27.14</v>
      </c>
    </row>
    <row r="3603" spans="1:12" x14ac:dyDescent="0.2">
      <c r="A3603" s="9">
        <v>46254</v>
      </c>
      <c r="B3603" t="s">
        <v>442</v>
      </c>
      <c r="C3603" t="s">
        <v>443</v>
      </c>
      <c r="D3603" t="s">
        <v>41</v>
      </c>
      <c r="E3603" t="s">
        <v>647</v>
      </c>
      <c r="F3603" t="s">
        <v>668</v>
      </c>
      <c r="G3603" s="10">
        <v>3</v>
      </c>
      <c r="H3603" s="10">
        <v>119281</v>
      </c>
      <c r="I3603" s="10">
        <v>357843</v>
      </c>
      <c r="J3603" t="s">
        <v>42</v>
      </c>
      <c r="K3603" s="11">
        <v>3145.8</v>
      </c>
      <c r="L3603" s="12">
        <v>113.75</v>
      </c>
    </row>
    <row r="3604" spans="1:12" x14ac:dyDescent="0.2">
      <c r="A3604" s="9">
        <v>46254</v>
      </c>
      <c r="B3604" t="s">
        <v>445</v>
      </c>
      <c r="C3604" t="s">
        <v>446</v>
      </c>
      <c r="D3604" t="s">
        <v>68</v>
      </c>
      <c r="E3604" t="s">
        <v>649</v>
      </c>
      <c r="F3604" t="s">
        <v>663</v>
      </c>
      <c r="G3604" s="10">
        <v>6</v>
      </c>
      <c r="H3604" s="10">
        <v>2049</v>
      </c>
      <c r="I3604" s="10">
        <v>12294</v>
      </c>
      <c r="J3604" t="s">
        <v>51</v>
      </c>
      <c r="K3604" s="11">
        <v>648.20000000000005</v>
      </c>
      <c r="L3604" s="12">
        <v>18.97</v>
      </c>
    </row>
    <row r="3605" spans="1:12" x14ac:dyDescent="0.2">
      <c r="A3605" s="9">
        <v>46254</v>
      </c>
      <c r="B3605" t="s">
        <v>445</v>
      </c>
      <c r="C3605" t="s">
        <v>446</v>
      </c>
      <c r="D3605" t="s">
        <v>68</v>
      </c>
      <c r="E3605" t="s">
        <v>651</v>
      </c>
      <c r="F3605" t="s">
        <v>657</v>
      </c>
      <c r="G3605" s="10">
        <v>5</v>
      </c>
      <c r="H3605" s="10">
        <v>6456</v>
      </c>
      <c r="I3605" s="10">
        <v>32280</v>
      </c>
      <c r="J3605" t="s">
        <v>51</v>
      </c>
      <c r="K3605" s="11">
        <v>648.20000000000005</v>
      </c>
      <c r="L3605" s="12">
        <v>49.8</v>
      </c>
    </row>
    <row r="3606" spans="1:12" x14ac:dyDescent="0.2">
      <c r="A3606" s="9">
        <v>46254</v>
      </c>
      <c r="B3606" t="s">
        <v>448</v>
      </c>
      <c r="C3606" t="s">
        <v>449</v>
      </c>
      <c r="D3606" t="s">
        <v>75</v>
      </c>
      <c r="E3606" t="s">
        <v>649</v>
      </c>
      <c r="F3606" t="s">
        <v>659</v>
      </c>
      <c r="G3606" s="10">
        <v>15</v>
      </c>
      <c r="H3606" s="10">
        <v>41978</v>
      </c>
      <c r="I3606" s="10">
        <v>629670</v>
      </c>
      <c r="J3606" t="s">
        <v>42</v>
      </c>
      <c r="K3606" s="11">
        <v>3145.8</v>
      </c>
      <c r="L3606" s="12">
        <v>200.16</v>
      </c>
    </row>
    <row r="3607" spans="1:12" x14ac:dyDescent="0.2">
      <c r="A3607" s="9">
        <v>46254</v>
      </c>
      <c r="B3607" t="s">
        <v>454</v>
      </c>
      <c r="C3607" t="s">
        <v>455</v>
      </c>
      <c r="D3607" t="s">
        <v>41</v>
      </c>
      <c r="E3607" t="s">
        <v>653</v>
      </c>
      <c r="F3607" t="s">
        <v>658</v>
      </c>
      <c r="G3607" s="10">
        <v>43</v>
      </c>
      <c r="H3607" s="10">
        <v>12852</v>
      </c>
      <c r="I3607" s="10">
        <v>552636</v>
      </c>
      <c r="J3607" t="s">
        <v>42</v>
      </c>
      <c r="K3607" s="11">
        <v>3145.8</v>
      </c>
      <c r="L3607" s="12">
        <v>175.67</v>
      </c>
    </row>
    <row r="3608" spans="1:12" x14ac:dyDescent="0.2">
      <c r="A3608" s="9">
        <v>46254</v>
      </c>
      <c r="B3608" t="s">
        <v>454</v>
      </c>
      <c r="C3608" t="s">
        <v>455</v>
      </c>
      <c r="D3608" t="s">
        <v>41</v>
      </c>
      <c r="E3608" t="s">
        <v>660</v>
      </c>
      <c r="F3608" t="s">
        <v>669</v>
      </c>
      <c r="G3608" s="10">
        <v>11</v>
      </c>
      <c r="H3608" s="10">
        <v>12873</v>
      </c>
      <c r="I3608" s="10">
        <v>141603</v>
      </c>
      <c r="J3608" t="s">
        <v>42</v>
      </c>
      <c r="K3608" s="11">
        <v>3145.8</v>
      </c>
      <c r="L3608" s="12">
        <v>45.01</v>
      </c>
    </row>
    <row r="3609" spans="1:12" x14ac:dyDescent="0.2">
      <c r="A3609" s="9">
        <v>46254</v>
      </c>
      <c r="B3609" t="s">
        <v>457</v>
      </c>
      <c r="C3609" t="s">
        <v>458</v>
      </c>
      <c r="D3609" t="s">
        <v>46</v>
      </c>
      <c r="E3609" t="s">
        <v>649</v>
      </c>
      <c r="F3609" t="s">
        <v>663</v>
      </c>
      <c r="G3609" s="10">
        <v>18</v>
      </c>
      <c r="H3609" s="10">
        <v>1978</v>
      </c>
      <c r="I3609" s="10">
        <v>35604</v>
      </c>
      <c r="J3609" t="s">
        <v>37</v>
      </c>
      <c r="K3609" s="11">
        <v>648.20000000000005</v>
      </c>
      <c r="L3609" s="12">
        <v>54.93</v>
      </c>
    </row>
    <row r="3610" spans="1:12" x14ac:dyDescent="0.2">
      <c r="A3610" s="9">
        <v>46254</v>
      </c>
      <c r="B3610" t="s">
        <v>457</v>
      </c>
      <c r="C3610" t="s">
        <v>458</v>
      </c>
      <c r="D3610" t="s">
        <v>46</v>
      </c>
      <c r="E3610" t="s">
        <v>649</v>
      </c>
      <c r="F3610" t="s">
        <v>663</v>
      </c>
      <c r="G3610" s="10">
        <v>142</v>
      </c>
      <c r="H3610" s="10">
        <v>1979</v>
      </c>
      <c r="I3610" s="10">
        <v>281018</v>
      </c>
      <c r="J3610" t="s">
        <v>37</v>
      </c>
      <c r="K3610" s="11">
        <v>648.20000000000005</v>
      </c>
      <c r="L3610" s="12">
        <v>433.54</v>
      </c>
    </row>
    <row r="3611" spans="1:12" x14ac:dyDescent="0.2">
      <c r="A3611" s="9">
        <v>46254</v>
      </c>
      <c r="B3611" t="s">
        <v>457</v>
      </c>
      <c r="C3611" t="s">
        <v>458</v>
      </c>
      <c r="D3611" t="s">
        <v>46</v>
      </c>
      <c r="E3611" t="s">
        <v>660</v>
      </c>
      <c r="F3611" t="s">
        <v>670</v>
      </c>
      <c r="G3611" s="10">
        <v>23</v>
      </c>
      <c r="H3611" s="10">
        <v>14033</v>
      </c>
      <c r="I3611" s="10">
        <v>322759</v>
      </c>
      <c r="J3611" t="s">
        <v>37</v>
      </c>
      <c r="K3611" s="11">
        <v>648.20000000000005</v>
      </c>
      <c r="L3611" s="12">
        <v>497.93</v>
      </c>
    </row>
    <row r="3612" spans="1:12" x14ac:dyDescent="0.2">
      <c r="A3612" s="9">
        <v>46254</v>
      </c>
      <c r="B3612" t="s">
        <v>457</v>
      </c>
      <c r="C3612" t="s">
        <v>458</v>
      </c>
      <c r="D3612" t="s">
        <v>46</v>
      </c>
      <c r="E3612" t="s">
        <v>660</v>
      </c>
      <c r="F3612" t="s">
        <v>670</v>
      </c>
      <c r="G3612" s="10">
        <v>134</v>
      </c>
      <c r="H3612" s="10">
        <v>15001</v>
      </c>
      <c r="I3612" s="10">
        <v>2010134</v>
      </c>
      <c r="J3612" t="s">
        <v>37</v>
      </c>
      <c r="K3612" s="11">
        <v>648.20000000000005</v>
      </c>
      <c r="L3612" s="12">
        <v>3101.1</v>
      </c>
    </row>
    <row r="3613" spans="1:12" x14ac:dyDescent="0.2">
      <c r="A3613" s="9">
        <v>46254</v>
      </c>
      <c r="B3613" t="s">
        <v>460</v>
      </c>
      <c r="C3613" t="s">
        <v>461</v>
      </c>
      <c r="D3613" t="s">
        <v>75</v>
      </c>
      <c r="E3613" t="s">
        <v>649</v>
      </c>
      <c r="F3613" t="s">
        <v>659</v>
      </c>
      <c r="G3613" s="10">
        <v>14</v>
      </c>
      <c r="H3613" s="10">
        <v>43748</v>
      </c>
      <c r="I3613" s="10">
        <v>612472</v>
      </c>
      <c r="J3613" t="s">
        <v>42</v>
      </c>
      <c r="K3613" s="11">
        <v>3145.8</v>
      </c>
      <c r="L3613" s="12">
        <v>194.7</v>
      </c>
    </row>
    <row r="3614" spans="1:12" x14ac:dyDescent="0.2">
      <c r="A3614" s="9">
        <v>46254</v>
      </c>
      <c r="B3614" t="s">
        <v>460</v>
      </c>
      <c r="C3614" t="s">
        <v>461</v>
      </c>
      <c r="D3614" t="s">
        <v>75</v>
      </c>
      <c r="E3614" t="s">
        <v>647</v>
      </c>
      <c r="F3614" t="s">
        <v>668</v>
      </c>
      <c r="G3614" s="10">
        <v>20</v>
      </c>
      <c r="H3614" s="10">
        <v>123432</v>
      </c>
      <c r="I3614" s="10">
        <v>2468640</v>
      </c>
      <c r="J3614" t="s">
        <v>42</v>
      </c>
      <c r="K3614" s="11">
        <v>3145.8</v>
      </c>
      <c r="L3614" s="12">
        <v>784.74</v>
      </c>
    </row>
    <row r="3615" spans="1:12" x14ac:dyDescent="0.2">
      <c r="A3615" s="9">
        <v>46254</v>
      </c>
      <c r="B3615" t="s">
        <v>460</v>
      </c>
      <c r="C3615" t="s">
        <v>461</v>
      </c>
      <c r="D3615" t="s">
        <v>75</v>
      </c>
      <c r="E3615" t="s">
        <v>647</v>
      </c>
      <c r="F3615" t="s">
        <v>668</v>
      </c>
      <c r="G3615" s="10">
        <v>53</v>
      </c>
      <c r="H3615" s="10">
        <v>119813</v>
      </c>
      <c r="I3615" s="10">
        <v>6350089</v>
      </c>
      <c r="J3615" t="s">
        <v>42</v>
      </c>
      <c r="K3615" s="11">
        <v>3145.8</v>
      </c>
      <c r="L3615" s="12">
        <v>2018.59</v>
      </c>
    </row>
    <row r="3616" spans="1:12" x14ac:dyDescent="0.2">
      <c r="A3616" s="9">
        <v>46254</v>
      </c>
      <c r="B3616" t="s">
        <v>463</v>
      </c>
      <c r="C3616" t="s">
        <v>464</v>
      </c>
      <c r="D3616" t="s">
        <v>36</v>
      </c>
      <c r="E3616" t="s">
        <v>660</v>
      </c>
      <c r="F3616" t="s">
        <v>669</v>
      </c>
      <c r="G3616" s="10">
        <v>16</v>
      </c>
      <c r="H3616" s="10">
        <v>2488</v>
      </c>
      <c r="I3616" s="10">
        <v>39808</v>
      </c>
      <c r="J3616" t="s">
        <v>37</v>
      </c>
      <c r="K3616" s="11">
        <v>648.20000000000005</v>
      </c>
      <c r="L3616" s="12">
        <v>61.41</v>
      </c>
    </row>
    <row r="3617" spans="1:12" x14ac:dyDescent="0.2">
      <c r="A3617" s="9">
        <v>46254</v>
      </c>
      <c r="B3617" t="s">
        <v>463</v>
      </c>
      <c r="C3617" t="s">
        <v>464</v>
      </c>
      <c r="D3617" t="s">
        <v>36</v>
      </c>
      <c r="E3617" t="s">
        <v>655</v>
      </c>
      <c r="F3617" t="s">
        <v>665</v>
      </c>
      <c r="G3617" s="10">
        <v>5</v>
      </c>
      <c r="H3617" s="10">
        <v>699</v>
      </c>
      <c r="I3617" s="10">
        <v>3495</v>
      </c>
      <c r="J3617" t="s">
        <v>37</v>
      </c>
      <c r="K3617" s="11">
        <v>648.20000000000005</v>
      </c>
      <c r="L3617" s="12">
        <v>5.39</v>
      </c>
    </row>
    <row r="3618" spans="1:12" x14ac:dyDescent="0.2">
      <c r="A3618" s="9">
        <v>46254</v>
      </c>
      <c r="B3618" t="s">
        <v>466</v>
      </c>
      <c r="C3618" t="s">
        <v>467</v>
      </c>
      <c r="D3618" t="s">
        <v>50</v>
      </c>
      <c r="E3618" t="s">
        <v>649</v>
      </c>
      <c r="F3618" t="s">
        <v>659</v>
      </c>
      <c r="G3618" s="10">
        <v>56</v>
      </c>
      <c r="H3618" s="10">
        <v>8863</v>
      </c>
      <c r="I3618" s="10">
        <v>496328</v>
      </c>
      <c r="J3618" t="s">
        <v>51</v>
      </c>
      <c r="K3618" s="11">
        <v>648.20000000000005</v>
      </c>
      <c r="L3618" s="12">
        <v>765.7</v>
      </c>
    </row>
    <row r="3619" spans="1:12" x14ac:dyDescent="0.2">
      <c r="A3619" s="9">
        <v>46254</v>
      </c>
      <c r="B3619" t="s">
        <v>466</v>
      </c>
      <c r="C3619" t="s">
        <v>467</v>
      </c>
      <c r="D3619" t="s">
        <v>50</v>
      </c>
      <c r="E3619" t="s">
        <v>647</v>
      </c>
      <c r="F3619" t="s">
        <v>667</v>
      </c>
      <c r="G3619" s="10">
        <v>8</v>
      </c>
      <c r="H3619" s="10">
        <v>7049</v>
      </c>
      <c r="I3619" s="10">
        <v>56392</v>
      </c>
      <c r="J3619" t="s">
        <v>51</v>
      </c>
      <c r="K3619" s="11">
        <v>648.20000000000005</v>
      </c>
      <c r="L3619" s="12">
        <v>87</v>
      </c>
    </row>
    <row r="3620" spans="1:12" x14ac:dyDescent="0.2">
      <c r="A3620" s="9">
        <v>46254</v>
      </c>
      <c r="B3620" t="s">
        <v>469</v>
      </c>
      <c r="C3620" t="s">
        <v>470</v>
      </c>
      <c r="D3620" t="s">
        <v>41</v>
      </c>
      <c r="E3620" t="s">
        <v>651</v>
      </c>
      <c r="F3620" t="s">
        <v>652</v>
      </c>
      <c r="G3620" s="10">
        <v>14</v>
      </c>
      <c r="H3620" s="10">
        <v>44716</v>
      </c>
      <c r="I3620" s="10">
        <v>626024</v>
      </c>
      <c r="J3620" t="s">
        <v>42</v>
      </c>
      <c r="K3620" s="11">
        <v>3145.8</v>
      </c>
      <c r="L3620" s="12">
        <v>199</v>
      </c>
    </row>
    <row r="3621" spans="1:12" x14ac:dyDescent="0.2">
      <c r="A3621" s="9">
        <v>46254</v>
      </c>
      <c r="B3621" t="s">
        <v>469</v>
      </c>
      <c r="C3621" t="s">
        <v>470</v>
      </c>
      <c r="D3621" t="s">
        <v>41</v>
      </c>
      <c r="E3621" t="s">
        <v>649</v>
      </c>
      <c r="F3621" t="s">
        <v>650</v>
      </c>
      <c r="G3621" s="10">
        <v>37</v>
      </c>
      <c r="H3621" s="10">
        <v>94461</v>
      </c>
      <c r="I3621" s="10">
        <v>3495057</v>
      </c>
      <c r="J3621" t="s">
        <v>42</v>
      </c>
      <c r="K3621" s="11">
        <v>3145.8</v>
      </c>
      <c r="L3621" s="12">
        <v>1111.02</v>
      </c>
    </row>
    <row r="3622" spans="1:12" x14ac:dyDescent="0.2">
      <c r="A3622" s="9">
        <v>46254</v>
      </c>
      <c r="B3622" t="s">
        <v>469</v>
      </c>
      <c r="C3622" t="s">
        <v>470</v>
      </c>
      <c r="D3622" t="s">
        <v>41</v>
      </c>
      <c r="E3622" t="s">
        <v>647</v>
      </c>
      <c r="F3622" t="s">
        <v>668</v>
      </c>
      <c r="G3622" s="10">
        <v>17</v>
      </c>
      <c r="H3622" s="10">
        <v>124300</v>
      </c>
      <c r="I3622" s="10">
        <v>2113100</v>
      </c>
      <c r="J3622" t="s">
        <v>42</v>
      </c>
      <c r="K3622" s="11">
        <v>3145.8</v>
      </c>
      <c r="L3622" s="12">
        <v>671.72</v>
      </c>
    </row>
    <row r="3623" spans="1:12" x14ac:dyDescent="0.2">
      <c r="A3623" s="9">
        <v>46254</v>
      </c>
      <c r="B3623" t="s">
        <v>472</v>
      </c>
      <c r="C3623" t="s">
        <v>473</v>
      </c>
      <c r="D3623" t="s">
        <v>68</v>
      </c>
      <c r="E3623" t="s">
        <v>653</v>
      </c>
      <c r="F3623" t="s">
        <v>654</v>
      </c>
      <c r="G3623" s="10">
        <v>4</v>
      </c>
      <c r="H3623" s="10">
        <v>5914</v>
      </c>
      <c r="I3623" s="10">
        <v>23656</v>
      </c>
      <c r="J3623" t="s">
        <v>51</v>
      </c>
      <c r="K3623" s="11">
        <v>648.20000000000005</v>
      </c>
      <c r="L3623" s="12">
        <v>36.49</v>
      </c>
    </row>
    <row r="3624" spans="1:12" x14ac:dyDescent="0.2">
      <c r="A3624" s="9">
        <v>46254</v>
      </c>
      <c r="B3624" t="s">
        <v>472</v>
      </c>
      <c r="C3624" t="s">
        <v>473</v>
      </c>
      <c r="D3624" t="s">
        <v>68</v>
      </c>
      <c r="E3624" t="s">
        <v>647</v>
      </c>
      <c r="F3624" t="s">
        <v>667</v>
      </c>
      <c r="G3624" s="10">
        <v>8</v>
      </c>
      <c r="H3624" s="10">
        <v>7372</v>
      </c>
      <c r="I3624" s="10">
        <v>58976</v>
      </c>
      <c r="J3624" t="s">
        <v>51</v>
      </c>
      <c r="K3624" s="11">
        <v>648.20000000000005</v>
      </c>
      <c r="L3624" s="12">
        <v>90.98</v>
      </c>
    </row>
    <row r="3625" spans="1:12" x14ac:dyDescent="0.2">
      <c r="A3625" s="9">
        <v>46254</v>
      </c>
      <c r="B3625" t="s">
        <v>475</v>
      </c>
      <c r="C3625" t="s">
        <v>476</v>
      </c>
      <c r="D3625" t="s">
        <v>75</v>
      </c>
      <c r="E3625" t="s">
        <v>660</v>
      </c>
      <c r="F3625" t="s">
        <v>661</v>
      </c>
      <c r="G3625" s="10">
        <v>267</v>
      </c>
      <c r="H3625" s="10">
        <v>20371</v>
      </c>
      <c r="I3625" s="10">
        <v>5439057</v>
      </c>
      <c r="J3625" t="s">
        <v>42</v>
      </c>
      <c r="K3625" s="11">
        <v>3145.8</v>
      </c>
      <c r="L3625" s="12">
        <v>1728.99</v>
      </c>
    </row>
    <row r="3626" spans="1:12" x14ac:dyDescent="0.2">
      <c r="A3626" s="9">
        <v>46254</v>
      </c>
      <c r="B3626" t="s">
        <v>475</v>
      </c>
      <c r="C3626" t="s">
        <v>476</v>
      </c>
      <c r="D3626" t="s">
        <v>75</v>
      </c>
      <c r="E3626" t="s">
        <v>647</v>
      </c>
      <c r="F3626" t="s">
        <v>667</v>
      </c>
      <c r="G3626" s="10">
        <v>19</v>
      </c>
      <c r="H3626" s="10">
        <v>35173</v>
      </c>
      <c r="I3626" s="10">
        <v>668287</v>
      </c>
      <c r="J3626" t="s">
        <v>42</v>
      </c>
      <c r="K3626" s="11">
        <v>3145.8</v>
      </c>
      <c r="L3626" s="12">
        <v>212.44</v>
      </c>
    </row>
    <row r="3627" spans="1:12" x14ac:dyDescent="0.2">
      <c r="A3627" s="9">
        <v>46254</v>
      </c>
      <c r="B3627" t="s">
        <v>478</v>
      </c>
      <c r="C3627" t="s">
        <v>479</v>
      </c>
      <c r="D3627" t="s">
        <v>75</v>
      </c>
      <c r="E3627" t="s">
        <v>651</v>
      </c>
      <c r="F3627" t="s">
        <v>652</v>
      </c>
      <c r="G3627" s="10">
        <v>6</v>
      </c>
      <c r="H3627" s="10">
        <v>45392</v>
      </c>
      <c r="I3627" s="10">
        <v>272352</v>
      </c>
      <c r="J3627" t="s">
        <v>42</v>
      </c>
      <c r="K3627" s="11">
        <v>3145.8</v>
      </c>
      <c r="L3627" s="12">
        <v>86.58</v>
      </c>
    </row>
    <row r="3628" spans="1:12" x14ac:dyDescent="0.2">
      <c r="A3628" s="9">
        <v>46254</v>
      </c>
      <c r="B3628" t="s">
        <v>481</v>
      </c>
      <c r="C3628" t="s">
        <v>78</v>
      </c>
      <c r="D3628" t="s">
        <v>41</v>
      </c>
      <c r="E3628" t="s">
        <v>651</v>
      </c>
      <c r="F3628" t="s">
        <v>664</v>
      </c>
      <c r="G3628" s="10">
        <v>35</v>
      </c>
      <c r="H3628" s="10">
        <v>56655</v>
      </c>
      <c r="I3628" s="10">
        <v>1982925</v>
      </c>
      <c r="J3628" t="s">
        <v>42</v>
      </c>
      <c r="K3628" s="11">
        <v>3145.8</v>
      </c>
      <c r="L3628" s="12">
        <v>630.34</v>
      </c>
    </row>
    <row r="3629" spans="1:12" x14ac:dyDescent="0.2">
      <c r="A3629" s="9">
        <v>46254</v>
      </c>
      <c r="B3629" t="s">
        <v>483</v>
      </c>
      <c r="C3629" t="s">
        <v>340</v>
      </c>
      <c r="D3629" t="s">
        <v>46</v>
      </c>
      <c r="E3629" t="s">
        <v>660</v>
      </c>
      <c r="F3629" t="s">
        <v>661</v>
      </c>
      <c r="G3629" s="10">
        <v>12</v>
      </c>
      <c r="H3629" s="10">
        <v>4107</v>
      </c>
      <c r="I3629" s="10">
        <v>49284</v>
      </c>
      <c r="J3629" t="s">
        <v>37</v>
      </c>
      <c r="K3629" s="11">
        <v>648.20000000000005</v>
      </c>
      <c r="L3629" s="12">
        <v>76.03</v>
      </c>
    </row>
    <row r="3630" spans="1:12" x14ac:dyDescent="0.2">
      <c r="A3630" s="9">
        <v>46254</v>
      </c>
      <c r="B3630" t="s">
        <v>483</v>
      </c>
      <c r="C3630" t="s">
        <v>340</v>
      </c>
      <c r="D3630" t="s">
        <v>46</v>
      </c>
      <c r="E3630" t="s">
        <v>647</v>
      </c>
      <c r="F3630" t="s">
        <v>668</v>
      </c>
      <c r="G3630" s="10">
        <v>3</v>
      </c>
      <c r="H3630" s="10">
        <v>25044</v>
      </c>
      <c r="I3630" s="10">
        <v>75132</v>
      </c>
      <c r="J3630" t="s">
        <v>37</v>
      </c>
      <c r="K3630" s="11">
        <v>648.20000000000005</v>
      </c>
      <c r="L3630" s="12">
        <v>115.91</v>
      </c>
    </row>
    <row r="3631" spans="1:12" x14ac:dyDescent="0.2">
      <c r="A3631" s="9">
        <v>46254</v>
      </c>
      <c r="B3631" t="s">
        <v>483</v>
      </c>
      <c r="C3631" t="s">
        <v>340</v>
      </c>
      <c r="D3631" t="s">
        <v>46</v>
      </c>
      <c r="E3631" t="s">
        <v>647</v>
      </c>
      <c r="F3631" t="s">
        <v>668</v>
      </c>
      <c r="G3631" s="10">
        <v>4</v>
      </c>
      <c r="H3631" s="10">
        <v>25833</v>
      </c>
      <c r="I3631" s="10">
        <v>103332</v>
      </c>
      <c r="J3631" t="s">
        <v>37</v>
      </c>
      <c r="K3631" s="11">
        <v>648.20000000000005</v>
      </c>
      <c r="L3631" s="12">
        <v>159.41</v>
      </c>
    </row>
    <row r="3632" spans="1:12" x14ac:dyDescent="0.2">
      <c r="A3632" s="9">
        <v>46254</v>
      </c>
      <c r="B3632" t="s">
        <v>491</v>
      </c>
      <c r="C3632" t="s">
        <v>125</v>
      </c>
      <c r="D3632" t="s">
        <v>75</v>
      </c>
      <c r="E3632" t="s">
        <v>651</v>
      </c>
      <c r="F3632" t="s">
        <v>652</v>
      </c>
      <c r="G3632" s="10">
        <v>5</v>
      </c>
      <c r="H3632" s="10">
        <v>46057</v>
      </c>
      <c r="I3632" s="10">
        <v>230285</v>
      </c>
      <c r="J3632" t="s">
        <v>42</v>
      </c>
      <c r="K3632" s="11">
        <v>3145.8</v>
      </c>
      <c r="L3632" s="12">
        <v>73.2</v>
      </c>
    </row>
    <row r="3633" spans="1:12" x14ac:dyDescent="0.2">
      <c r="A3633" s="9">
        <v>46254</v>
      </c>
      <c r="B3633" t="s">
        <v>491</v>
      </c>
      <c r="C3633" t="s">
        <v>125</v>
      </c>
      <c r="D3633" t="s">
        <v>75</v>
      </c>
      <c r="E3633" t="s">
        <v>649</v>
      </c>
      <c r="F3633" t="s">
        <v>659</v>
      </c>
      <c r="G3633" s="10">
        <v>9</v>
      </c>
      <c r="H3633" s="10">
        <v>44442</v>
      </c>
      <c r="I3633" s="10">
        <v>399978</v>
      </c>
      <c r="J3633" t="s">
        <v>42</v>
      </c>
      <c r="K3633" s="11">
        <v>3145.8</v>
      </c>
      <c r="L3633" s="12">
        <v>127.15</v>
      </c>
    </row>
    <row r="3634" spans="1:12" x14ac:dyDescent="0.2">
      <c r="A3634" s="9">
        <v>46254</v>
      </c>
      <c r="B3634" t="s">
        <v>499</v>
      </c>
      <c r="C3634" t="s">
        <v>500</v>
      </c>
      <c r="D3634" t="s">
        <v>41</v>
      </c>
      <c r="E3634" t="s">
        <v>649</v>
      </c>
      <c r="F3634" t="s">
        <v>663</v>
      </c>
      <c r="G3634" s="10">
        <v>28</v>
      </c>
      <c r="H3634" s="10">
        <v>9891</v>
      </c>
      <c r="I3634" s="10">
        <v>276948</v>
      </c>
      <c r="J3634" t="s">
        <v>42</v>
      </c>
      <c r="K3634" s="11">
        <v>3145.8</v>
      </c>
      <c r="L3634" s="12">
        <v>88.04</v>
      </c>
    </row>
    <row r="3635" spans="1:12" x14ac:dyDescent="0.2">
      <c r="A3635" s="9">
        <v>46254</v>
      </c>
      <c r="B3635" t="s">
        <v>499</v>
      </c>
      <c r="C3635" t="s">
        <v>500</v>
      </c>
      <c r="D3635" t="s">
        <v>41</v>
      </c>
      <c r="E3635" t="s">
        <v>660</v>
      </c>
      <c r="F3635" t="s">
        <v>661</v>
      </c>
      <c r="G3635" s="10">
        <v>15</v>
      </c>
      <c r="H3635" s="10">
        <v>21103</v>
      </c>
      <c r="I3635" s="10">
        <v>316545</v>
      </c>
      <c r="J3635" t="s">
        <v>42</v>
      </c>
      <c r="K3635" s="11">
        <v>3145.8</v>
      </c>
      <c r="L3635" s="12">
        <v>100.62</v>
      </c>
    </row>
    <row r="3636" spans="1:12" x14ac:dyDescent="0.2">
      <c r="A3636" s="9">
        <v>46254</v>
      </c>
      <c r="B3636" t="s">
        <v>499</v>
      </c>
      <c r="C3636" t="s">
        <v>500</v>
      </c>
      <c r="D3636" t="s">
        <v>41</v>
      </c>
      <c r="E3636" t="s">
        <v>647</v>
      </c>
      <c r="F3636" t="s">
        <v>668</v>
      </c>
      <c r="G3636" s="10">
        <v>6</v>
      </c>
      <c r="H3636" s="10">
        <v>124643</v>
      </c>
      <c r="I3636" s="10">
        <v>747858</v>
      </c>
      <c r="J3636" t="s">
        <v>42</v>
      </c>
      <c r="K3636" s="11">
        <v>3145.8</v>
      </c>
      <c r="L3636" s="12">
        <v>237.73</v>
      </c>
    </row>
    <row r="3637" spans="1:12" x14ac:dyDescent="0.2">
      <c r="A3637" s="9">
        <v>46254</v>
      </c>
      <c r="B3637" t="s">
        <v>502</v>
      </c>
      <c r="C3637" t="s">
        <v>503</v>
      </c>
      <c r="D3637" t="s">
        <v>41</v>
      </c>
      <c r="E3637" t="s">
        <v>649</v>
      </c>
      <c r="F3637" t="s">
        <v>650</v>
      </c>
      <c r="G3637" s="10">
        <v>1</v>
      </c>
      <c r="H3637" s="10">
        <v>90635</v>
      </c>
      <c r="I3637" s="10">
        <v>90635</v>
      </c>
      <c r="J3637" t="s">
        <v>42</v>
      </c>
      <c r="K3637" s="11">
        <v>3145.8</v>
      </c>
      <c r="L3637" s="12">
        <v>28.81</v>
      </c>
    </row>
    <row r="3638" spans="1:12" x14ac:dyDescent="0.2">
      <c r="A3638" s="9">
        <v>46254</v>
      </c>
      <c r="B3638" t="s">
        <v>505</v>
      </c>
      <c r="C3638" t="s">
        <v>506</v>
      </c>
      <c r="D3638" t="s">
        <v>36</v>
      </c>
      <c r="E3638" t="s">
        <v>655</v>
      </c>
      <c r="F3638" t="s">
        <v>656</v>
      </c>
      <c r="G3638" s="10">
        <v>9</v>
      </c>
      <c r="H3638" s="10">
        <v>557</v>
      </c>
      <c r="I3638" s="10">
        <v>5013</v>
      </c>
      <c r="J3638" t="s">
        <v>37</v>
      </c>
      <c r="K3638" s="11">
        <v>648.20000000000005</v>
      </c>
      <c r="L3638" s="12">
        <v>7.73</v>
      </c>
    </row>
    <row r="3639" spans="1:12" x14ac:dyDescent="0.2">
      <c r="A3639" s="9">
        <v>46254</v>
      </c>
      <c r="B3639" t="s">
        <v>508</v>
      </c>
      <c r="C3639" t="s">
        <v>509</v>
      </c>
      <c r="D3639" t="s">
        <v>68</v>
      </c>
      <c r="E3639" t="s">
        <v>647</v>
      </c>
      <c r="F3639" t="s">
        <v>668</v>
      </c>
      <c r="G3639" s="10">
        <v>7</v>
      </c>
      <c r="H3639" s="10">
        <v>25124</v>
      </c>
      <c r="I3639" s="10">
        <v>175868</v>
      </c>
      <c r="J3639" t="s">
        <v>51</v>
      </c>
      <c r="K3639" s="11">
        <v>648.20000000000005</v>
      </c>
      <c r="L3639" s="12">
        <v>271.32</v>
      </c>
    </row>
    <row r="3640" spans="1:12" x14ac:dyDescent="0.2">
      <c r="A3640" s="9">
        <v>46254</v>
      </c>
      <c r="B3640" t="s">
        <v>511</v>
      </c>
      <c r="C3640" t="s">
        <v>512</v>
      </c>
      <c r="D3640" t="s">
        <v>75</v>
      </c>
      <c r="E3640" t="s">
        <v>649</v>
      </c>
      <c r="F3640" t="s">
        <v>663</v>
      </c>
      <c r="G3640" s="10">
        <v>4</v>
      </c>
      <c r="H3640" s="10">
        <v>9793</v>
      </c>
      <c r="I3640" s="10">
        <v>39172</v>
      </c>
      <c r="J3640" t="s">
        <v>42</v>
      </c>
      <c r="K3640" s="11">
        <v>3145.8</v>
      </c>
      <c r="L3640" s="12">
        <v>12.45</v>
      </c>
    </row>
    <row r="3641" spans="1:12" x14ac:dyDescent="0.2">
      <c r="A3641" s="9">
        <v>46254</v>
      </c>
      <c r="B3641" t="s">
        <v>517</v>
      </c>
      <c r="C3641" t="s">
        <v>518</v>
      </c>
      <c r="D3641" t="s">
        <v>41</v>
      </c>
      <c r="E3641" t="s">
        <v>647</v>
      </c>
      <c r="F3641" t="s">
        <v>648</v>
      </c>
      <c r="G3641" s="10">
        <v>14</v>
      </c>
      <c r="H3641" s="10">
        <v>79527</v>
      </c>
      <c r="I3641" s="10">
        <v>1113378</v>
      </c>
      <c r="J3641" t="s">
        <v>42</v>
      </c>
      <c r="K3641" s="11">
        <v>3145.8</v>
      </c>
      <c r="L3641" s="12">
        <v>353.93</v>
      </c>
    </row>
    <row r="3642" spans="1:12" x14ac:dyDescent="0.2">
      <c r="A3642" s="9">
        <v>46254</v>
      </c>
      <c r="B3642" t="s">
        <v>520</v>
      </c>
      <c r="C3642" t="s">
        <v>489</v>
      </c>
      <c r="D3642" t="s">
        <v>46</v>
      </c>
      <c r="E3642" t="s">
        <v>655</v>
      </c>
      <c r="F3642" t="s">
        <v>662</v>
      </c>
      <c r="G3642" s="10">
        <v>13</v>
      </c>
      <c r="H3642" s="10">
        <v>1128</v>
      </c>
      <c r="I3642" s="10">
        <v>14664</v>
      </c>
      <c r="J3642" t="s">
        <v>37</v>
      </c>
      <c r="K3642" s="11">
        <v>648.20000000000005</v>
      </c>
      <c r="L3642" s="12">
        <v>22.62</v>
      </c>
    </row>
    <row r="3643" spans="1:12" x14ac:dyDescent="0.2">
      <c r="A3643" s="9">
        <v>46254</v>
      </c>
      <c r="B3643" t="s">
        <v>525</v>
      </c>
      <c r="C3643" t="s">
        <v>526</v>
      </c>
      <c r="D3643" t="s">
        <v>46</v>
      </c>
      <c r="E3643" t="s">
        <v>655</v>
      </c>
      <c r="F3643" t="s">
        <v>665</v>
      </c>
      <c r="G3643" s="10">
        <v>12</v>
      </c>
      <c r="H3643" s="10">
        <v>678</v>
      </c>
      <c r="I3643" s="10">
        <v>8136</v>
      </c>
      <c r="J3643" t="s">
        <v>37</v>
      </c>
      <c r="K3643" s="11">
        <v>648.20000000000005</v>
      </c>
      <c r="L3643" s="12">
        <v>12.55</v>
      </c>
    </row>
    <row r="3644" spans="1:12" x14ac:dyDescent="0.2">
      <c r="A3644" s="9">
        <v>46254</v>
      </c>
      <c r="B3644" t="s">
        <v>528</v>
      </c>
      <c r="C3644" t="s">
        <v>529</v>
      </c>
      <c r="D3644" t="s">
        <v>46</v>
      </c>
      <c r="E3644" t="s">
        <v>649</v>
      </c>
      <c r="F3644" t="s">
        <v>663</v>
      </c>
      <c r="G3644" s="10">
        <v>114</v>
      </c>
      <c r="H3644" s="10">
        <v>2063</v>
      </c>
      <c r="I3644" s="10">
        <v>235182</v>
      </c>
      <c r="J3644" t="s">
        <v>37</v>
      </c>
      <c r="K3644" s="11">
        <v>648.20000000000005</v>
      </c>
      <c r="L3644" s="12">
        <v>362.82</v>
      </c>
    </row>
    <row r="3645" spans="1:12" x14ac:dyDescent="0.2">
      <c r="A3645" s="9">
        <v>46254</v>
      </c>
      <c r="B3645" t="s">
        <v>531</v>
      </c>
      <c r="C3645" t="s">
        <v>532</v>
      </c>
      <c r="D3645" t="s">
        <v>50</v>
      </c>
      <c r="E3645" t="s">
        <v>649</v>
      </c>
      <c r="F3645" t="s">
        <v>663</v>
      </c>
      <c r="G3645" s="10">
        <v>49</v>
      </c>
      <c r="H3645" s="10">
        <v>2063</v>
      </c>
      <c r="I3645" s="10">
        <v>101087</v>
      </c>
      <c r="J3645" t="s">
        <v>51</v>
      </c>
      <c r="K3645" s="11">
        <v>648.20000000000005</v>
      </c>
      <c r="L3645" s="12">
        <v>155.94999999999999</v>
      </c>
    </row>
    <row r="3646" spans="1:12" x14ac:dyDescent="0.2">
      <c r="A3646" s="9">
        <v>46254</v>
      </c>
      <c r="B3646" t="s">
        <v>534</v>
      </c>
      <c r="C3646" t="s">
        <v>535</v>
      </c>
      <c r="D3646" t="s">
        <v>36</v>
      </c>
      <c r="E3646" t="s">
        <v>660</v>
      </c>
      <c r="F3646" t="s">
        <v>661</v>
      </c>
      <c r="G3646" s="10">
        <v>3</v>
      </c>
      <c r="H3646" s="10">
        <v>4277</v>
      </c>
      <c r="I3646" s="10">
        <v>12831</v>
      </c>
      <c r="J3646" t="s">
        <v>37</v>
      </c>
      <c r="K3646" s="11">
        <v>648.20000000000005</v>
      </c>
      <c r="L3646" s="12">
        <v>19.79</v>
      </c>
    </row>
    <row r="3647" spans="1:12" x14ac:dyDescent="0.2">
      <c r="A3647" s="9">
        <v>46254</v>
      </c>
      <c r="B3647" t="s">
        <v>534</v>
      </c>
      <c r="C3647" t="s">
        <v>535</v>
      </c>
      <c r="D3647" t="s">
        <v>36</v>
      </c>
      <c r="E3647" t="s">
        <v>651</v>
      </c>
      <c r="F3647" t="s">
        <v>664</v>
      </c>
      <c r="G3647" s="10">
        <v>5</v>
      </c>
      <c r="H3647" s="10">
        <v>12167</v>
      </c>
      <c r="I3647" s="10">
        <v>60835</v>
      </c>
      <c r="J3647" t="s">
        <v>37</v>
      </c>
      <c r="K3647" s="11">
        <v>648.20000000000005</v>
      </c>
      <c r="L3647" s="12">
        <v>93.85</v>
      </c>
    </row>
    <row r="3648" spans="1:12" x14ac:dyDescent="0.2">
      <c r="A3648" s="9">
        <v>46254</v>
      </c>
      <c r="B3648" t="s">
        <v>537</v>
      </c>
      <c r="C3648" t="s">
        <v>538</v>
      </c>
      <c r="D3648" t="s">
        <v>68</v>
      </c>
      <c r="E3648" t="s">
        <v>655</v>
      </c>
      <c r="F3648" t="s">
        <v>656</v>
      </c>
      <c r="G3648" s="10">
        <v>149</v>
      </c>
      <c r="H3648" s="10">
        <v>577</v>
      </c>
      <c r="I3648" s="10">
        <v>85973</v>
      </c>
      <c r="J3648" t="s">
        <v>51</v>
      </c>
      <c r="K3648" s="11">
        <v>648.20000000000005</v>
      </c>
      <c r="L3648" s="12">
        <v>132.63</v>
      </c>
    </row>
    <row r="3649" spans="1:12" x14ac:dyDescent="0.2">
      <c r="A3649" s="9">
        <v>46254</v>
      </c>
      <c r="B3649" t="s">
        <v>546</v>
      </c>
      <c r="C3649" t="s">
        <v>547</v>
      </c>
      <c r="D3649" t="s">
        <v>41</v>
      </c>
      <c r="E3649" t="s">
        <v>653</v>
      </c>
      <c r="F3649" t="s">
        <v>658</v>
      </c>
      <c r="G3649" s="10">
        <v>19</v>
      </c>
      <c r="H3649" s="10">
        <v>12808</v>
      </c>
      <c r="I3649" s="10">
        <v>243352</v>
      </c>
      <c r="J3649" t="s">
        <v>42</v>
      </c>
      <c r="K3649" s="11">
        <v>3145.8</v>
      </c>
      <c r="L3649" s="12">
        <v>77.36</v>
      </c>
    </row>
    <row r="3650" spans="1:12" x14ac:dyDescent="0.2">
      <c r="A3650" s="9">
        <v>46254</v>
      </c>
      <c r="B3650" t="s">
        <v>546</v>
      </c>
      <c r="C3650" t="s">
        <v>547</v>
      </c>
      <c r="D3650" t="s">
        <v>41</v>
      </c>
      <c r="E3650" t="s">
        <v>660</v>
      </c>
      <c r="F3650" t="s">
        <v>670</v>
      </c>
      <c r="G3650" s="10">
        <v>13</v>
      </c>
      <c r="H3650" s="10">
        <v>72586</v>
      </c>
      <c r="I3650" s="10">
        <v>943618</v>
      </c>
      <c r="J3650" t="s">
        <v>42</v>
      </c>
      <c r="K3650" s="11">
        <v>3145.8</v>
      </c>
      <c r="L3650" s="12">
        <v>299.95999999999998</v>
      </c>
    </row>
    <row r="3651" spans="1:12" x14ac:dyDescent="0.2">
      <c r="A3651" s="9">
        <v>46254</v>
      </c>
      <c r="B3651" t="s">
        <v>546</v>
      </c>
      <c r="C3651" t="s">
        <v>547</v>
      </c>
      <c r="D3651" t="s">
        <v>41</v>
      </c>
      <c r="E3651" t="s">
        <v>653</v>
      </c>
      <c r="F3651" t="s">
        <v>654</v>
      </c>
      <c r="G3651" s="10">
        <v>6</v>
      </c>
      <c r="H3651" s="10">
        <v>28475</v>
      </c>
      <c r="I3651" s="10">
        <v>170850</v>
      </c>
      <c r="J3651" t="s">
        <v>42</v>
      </c>
      <c r="K3651" s="11">
        <v>3145.8</v>
      </c>
      <c r="L3651" s="12">
        <v>54.31</v>
      </c>
    </row>
    <row r="3652" spans="1:12" x14ac:dyDescent="0.2">
      <c r="A3652" s="9">
        <v>46254</v>
      </c>
      <c r="B3652" t="s">
        <v>546</v>
      </c>
      <c r="C3652" t="s">
        <v>547</v>
      </c>
      <c r="D3652" t="s">
        <v>41</v>
      </c>
      <c r="E3652" t="s">
        <v>647</v>
      </c>
      <c r="F3652" t="s">
        <v>668</v>
      </c>
      <c r="G3652" s="10">
        <v>36</v>
      </c>
      <c r="H3652" s="10">
        <v>119527</v>
      </c>
      <c r="I3652" s="10">
        <v>4302972</v>
      </c>
      <c r="J3652" t="s">
        <v>42</v>
      </c>
      <c r="K3652" s="11">
        <v>3145.8</v>
      </c>
      <c r="L3652" s="12">
        <v>1367.85</v>
      </c>
    </row>
    <row r="3653" spans="1:12" x14ac:dyDescent="0.2">
      <c r="A3653" s="9">
        <v>46254</v>
      </c>
      <c r="B3653" t="s">
        <v>549</v>
      </c>
      <c r="C3653" t="s">
        <v>550</v>
      </c>
      <c r="D3653" t="s">
        <v>41</v>
      </c>
      <c r="E3653" t="s">
        <v>651</v>
      </c>
      <c r="F3653" t="s">
        <v>652</v>
      </c>
      <c r="G3653" s="10">
        <v>12</v>
      </c>
      <c r="H3653" s="10">
        <v>45761</v>
      </c>
      <c r="I3653" s="10">
        <v>549132</v>
      </c>
      <c r="J3653" t="s">
        <v>42</v>
      </c>
      <c r="K3653" s="11">
        <v>3145.8</v>
      </c>
      <c r="L3653" s="12">
        <v>174.56</v>
      </c>
    </row>
    <row r="3654" spans="1:12" x14ac:dyDescent="0.2">
      <c r="A3654" s="9">
        <v>46254</v>
      </c>
      <c r="B3654" t="s">
        <v>549</v>
      </c>
      <c r="C3654" t="s">
        <v>550</v>
      </c>
      <c r="D3654" t="s">
        <v>41</v>
      </c>
      <c r="E3654" t="s">
        <v>655</v>
      </c>
      <c r="F3654" t="s">
        <v>656</v>
      </c>
      <c r="G3654" s="10">
        <v>6</v>
      </c>
      <c r="H3654" s="10">
        <v>2780</v>
      </c>
      <c r="I3654" s="10">
        <v>16680</v>
      </c>
      <c r="J3654" t="s">
        <v>42</v>
      </c>
      <c r="K3654" s="11">
        <v>3145.8</v>
      </c>
      <c r="L3654" s="12">
        <v>5.3</v>
      </c>
    </row>
    <row r="3655" spans="1:12" x14ac:dyDescent="0.2">
      <c r="A3655" s="9">
        <v>46254</v>
      </c>
      <c r="B3655" t="s">
        <v>552</v>
      </c>
      <c r="C3655" t="s">
        <v>553</v>
      </c>
      <c r="D3655" t="s">
        <v>41</v>
      </c>
      <c r="E3655" t="s">
        <v>660</v>
      </c>
      <c r="F3655" t="s">
        <v>669</v>
      </c>
      <c r="G3655" s="10">
        <v>7</v>
      </c>
      <c r="H3655" s="10">
        <v>12612</v>
      </c>
      <c r="I3655" s="10">
        <v>88284</v>
      </c>
      <c r="J3655" t="s">
        <v>42</v>
      </c>
      <c r="K3655" s="11">
        <v>3145.8</v>
      </c>
      <c r="L3655" s="12">
        <v>28.06</v>
      </c>
    </row>
    <row r="3656" spans="1:12" x14ac:dyDescent="0.2">
      <c r="A3656" s="9">
        <v>46254</v>
      </c>
      <c r="B3656" t="s">
        <v>555</v>
      </c>
      <c r="C3656" t="s">
        <v>556</v>
      </c>
      <c r="D3656" t="s">
        <v>41</v>
      </c>
      <c r="E3656" t="s">
        <v>649</v>
      </c>
      <c r="F3656" t="s">
        <v>650</v>
      </c>
      <c r="G3656" s="10">
        <v>2</v>
      </c>
      <c r="H3656" s="10">
        <v>90487</v>
      </c>
      <c r="I3656" s="10">
        <v>180974</v>
      </c>
      <c r="J3656" t="s">
        <v>42</v>
      </c>
      <c r="K3656" s="11">
        <v>3145.8</v>
      </c>
      <c r="L3656" s="12">
        <v>57.53</v>
      </c>
    </row>
    <row r="3657" spans="1:12" x14ac:dyDescent="0.2">
      <c r="A3657" s="9">
        <v>46254</v>
      </c>
      <c r="B3657" t="s">
        <v>555</v>
      </c>
      <c r="C3657" t="s">
        <v>556</v>
      </c>
      <c r="D3657" t="s">
        <v>41</v>
      </c>
      <c r="E3657" t="s">
        <v>647</v>
      </c>
      <c r="F3657" t="s">
        <v>648</v>
      </c>
      <c r="G3657" s="10">
        <v>36</v>
      </c>
      <c r="H3657" s="10">
        <v>79415</v>
      </c>
      <c r="I3657" s="10">
        <v>2858940</v>
      </c>
      <c r="J3657" t="s">
        <v>42</v>
      </c>
      <c r="K3657" s="11">
        <v>3145.8</v>
      </c>
      <c r="L3657" s="12">
        <v>908.81</v>
      </c>
    </row>
    <row r="3658" spans="1:12" x14ac:dyDescent="0.2">
      <c r="A3658" s="9">
        <v>46254</v>
      </c>
      <c r="B3658" t="s">
        <v>555</v>
      </c>
      <c r="C3658" t="s">
        <v>556</v>
      </c>
      <c r="D3658" t="s">
        <v>41</v>
      </c>
      <c r="E3658" t="s">
        <v>647</v>
      </c>
      <c r="F3658" t="s">
        <v>667</v>
      </c>
      <c r="G3658" s="10">
        <v>7</v>
      </c>
      <c r="H3658" s="10">
        <v>35593</v>
      </c>
      <c r="I3658" s="10">
        <v>249151</v>
      </c>
      <c r="J3658" t="s">
        <v>42</v>
      </c>
      <c r="K3658" s="11">
        <v>3145.8</v>
      </c>
      <c r="L3658" s="12">
        <v>79.2</v>
      </c>
    </row>
    <row r="3659" spans="1:12" x14ac:dyDescent="0.2">
      <c r="A3659" s="9">
        <v>46254</v>
      </c>
      <c r="B3659" t="s">
        <v>558</v>
      </c>
      <c r="C3659" t="s">
        <v>559</v>
      </c>
      <c r="D3659" t="s">
        <v>75</v>
      </c>
      <c r="E3659" t="s">
        <v>660</v>
      </c>
      <c r="F3659" t="s">
        <v>670</v>
      </c>
      <c r="G3659" s="10">
        <v>6</v>
      </c>
      <c r="H3659" s="10">
        <v>67548</v>
      </c>
      <c r="I3659" s="10">
        <v>405288</v>
      </c>
      <c r="J3659" t="s">
        <v>42</v>
      </c>
      <c r="K3659" s="11">
        <v>3145.8</v>
      </c>
      <c r="L3659" s="12">
        <v>128.83000000000001</v>
      </c>
    </row>
    <row r="3660" spans="1:12" x14ac:dyDescent="0.2">
      <c r="A3660" s="9">
        <v>46254</v>
      </c>
      <c r="B3660" t="s">
        <v>558</v>
      </c>
      <c r="C3660" t="s">
        <v>559</v>
      </c>
      <c r="D3660" t="s">
        <v>75</v>
      </c>
      <c r="E3660" t="s">
        <v>647</v>
      </c>
      <c r="F3660" t="s">
        <v>668</v>
      </c>
      <c r="G3660" s="10">
        <v>1</v>
      </c>
      <c r="H3660" s="10">
        <v>119259</v>
      </c>
      <c r="I3660" s="10">
        <v>119259</v>
      </c>
      <c r="J3660" t="s">
        <v>42</v>
      </c>
      <c r="K3660" s="11">
        <v>3145.8</v>
      </c>
      <c r="L3660" s="12">
        <v>37.909999999999997</v>
      </c>
    </row>
    <row r="3661" spans="1:12" x14ac:dyDescent="0.2">
      <c r="A3661" s="9">
        <v>46254</v>
      </c>
      <c r="B3661" t="s">
        <v>561</v>
      </c>
      <c r="C3661" t="s">
        <v>562</v>
      </c>
      <c r="D3661" t="s">
        <v>46</v>
      </c>
      <c r="E3661" t="s">
        <v>647</v>
      </c>
      <c r="F3661" t="s">
        <v>667</v>
      </c>
      <c r="G3661" s="10">
        <v>16</v>
      </c>
      <c r="H3661" s="10">
        <v>7366</v>
      </c>
      <c r="I3661" s="10">
        <v>117856</v>
      </c>
      <c r="J3661" t="s">
        <v>37</v>
      </c>
      <c r="K3661" s="11">
        <v>648.20000000000005</v>
      </c>
      <c r="L3661" s="12">
        <v>181.82</v>
      </c>
    </row>
    <row r="3662" spans="1:12" x14ac:dyDescent="0.2">
      <c r="A3662" s="9">
        <v>46254</v>
      </c>
      <c r="B3662" t="s">
        <v>564</v>
      </c>
      <c r="C3662" t="s">
        <v>565</v>
      </c>
      <c r="D3662" t="s">
        <v>41</v>
      </c>
      <c r="E3662" t="s">
        <v>655</v>
      </c>
      <c r="F3662" t="s">
        <v>662</v>
      </c>
      <c r="G3662" s="10">
        <v>124</v>
      </c>
      <c r="H3662" s="10">
        <v>5407</v>
      </c>
      <c r="I3662" s="10">
        <v>670468</v>
      </c>
      <c r="J3662" t="s">
        <v>42</v>
      </c>
      <c r="K3662" s="11">
        <v>3145.8</v>
      </c>
      <c r="L3662" s="12">
        <v>213.13</v>
      </c>
    </row>
    <row r="3663" spans="1:12" x14ac:dyDescent="0.2">
      <c r="A3663" s="9">
        <v>46254</v>
      </c>
      <c r="B3663" t="s">
        <v>564</v>
      </c>
      <c r="C3663" t="s">
        <v>565</v>
      </c>
      <c r="D3663" t="s">
        <v>41</v>
      </c>
      <c r="E3663" t="s">
        <v>660</v>
      </c>
      <c r="F3663" t="s">
        <v>661</v>
      </c>
      <c r="G3663" s="10">
        <v>29</v>
      </c>
      <c r="H3663" s="10">
        <v>19553</v>
      </c>
      <c r="I3663" s="10">
        <v>567037</v>
      </c>
      <c r="J3663" t="s">
        <v>42</v>
      </c>
      <c r="K3663" s="11">
        <v>3145.8</v>
      </c>
      <c r="L3663" s="12">
        <v>180.25</v>
      </c>
    </row>
    <row r="3664" spans="1:12" x14ac:dyDescent="0.2">
      <c r="A3664" s="9">
        <v>46254</v>
      </c>
      <c r="B3664" t="s">
        <v>567</v>
      </c>
      <c r="C3664" t="s">
        <v>568</v>
      </c>
      <c r="D3664" t="s">
        <v>41</v>
      </c>
      <c r="E3664" t="s">
        <v>649</v>
      </c>
      <c r="F3664" t="s">
        <v>650</v>
      </c>
      <c r="G3664" s="10">
        <v>18</v>
      </c>
      <c r="H3664" s="10">
        <v>93796</v>
      </c>
      <c r="I3664" s="10">
        <v>1688328</v>
      </c>
      <c r="J3664" t="s">
        <v>42</v>
      </c>
      <c r="K3664" s="11">
        <v>3145.8</v>
      </c>
      <c r="L3664" s="12">
        <v>536.69000000000005</v>
      </c>
    </row>
    <row r="3665" spans="1:12" x14ac:dyDescent="0.2">
      <c r="A3665" s="9">
        <v>46254</v>
      </c>
      <c r="B3665" t="s">
        <v>579</v>
      </c>
      <c r="C3665" t="s">
        <v>580</v>
      </c>
      <c r="D3665" t="s">
        <v>75</v>
      </c>
      <c r="E3665" t="s">
        <v>647</v>
      </c>
      <c r="F3665" t="s">
        <v>667</v>
      </c>
      <c r="G3665" s="10">
        <v>13</v>
      </c>
      <c r="H3665" s="10">
        <v>36189</v>
      </c>
      <c r="I3665" s="10">
        <v>470457</v>
      </c>
      <c r="J3665" t="s">
        <v>42</v>
      </c>
      <c r="K3665" s="11">
        <v>3145.8</v>
      </c>
      <c r="L3665" s="12">
        <v>149.55000000000001</v>
      </c>
    </row>
    <row r="3666" spans="1:12" x14ac:dyDescent="0.2">
      <c r="A3666" s="9">
        <v>46254</v>
      </c>
      <c r="B3666" t="s">
        <v>582</v>
      </c>
      <c r="C3666" t="s">
        <v>583</v>
      </c>
      <c r="D3666" t="s">
        <v>36</v>
      </c>
      <c r="E3666" t="s">
        <v>653</v>
      </c>
      <c r="F3666" t="s">
        <v>654</v>
      </c>
      <c r="G3666" s="10">
        <v>22</v>
      </c>
      <c r="H3666" s="10">
        <v>5613</v>
      </c>
      <c r="I3666" s="10">
        <v>123486</v>
      </c>
      <c r="J3666" t="s">
        <v>37</v>
      </c>
      <c r="K3666" s="11">
        <v>648.20000000000005</v>
      </c>
      <c r="L3666" s="12">
        <v>190.51</v>
      </c>
    </row>
    <row r="3667" spans="1:12" x14ac:dyDescent="0.2">
      <c r="A3667" s="9">
        <v>46254</v>
      </c>
      <c r="B3667" t="s">
        <v>582</v>
      </c>
      <c r="C3667" t="s">
        <v>583</v>
      </c>
      <c r="D3667" t="s">
        <v>36</v>
      </c>
      <c r="E3667" t="s">
        <v>647</v>
      </c>
      <c r="F3667" t="s">
        <v>668</v>
      </c>
      <c r="G3667" s="10">
        <v>18</v>
      </c>
      <c r="H3667" s="10">
        <v>25207</v>
      </c>
      <c r="I3667" s="10">
        <v>453726</v>
      </c>
      <c r="J3667" t="s">
        <v>37</v>
      </c>
      <c r="K3667" s="11">
        <v>648.20000000000005</v>
      </c>
      <c r="L3667" s="12">
        <v>699.98</v>
      </c>
    </row>
    <row r="3668" spans="1:12" x14ac:dyDescent="0.2">
      <c r="A3668" s="9">
        <v>46254</v>
      </c>
      <c r="B3668" t="s">
        <v>593</v>
      </c>
      <c r="C3668" t="s">
        <v>594</v>
      </c>
      <c r="D3668" t="s">
        <v>50</v>
      </c>
      <c r="E3668" t="s">
        <v>655</v>
      </c>
      <c r="F3668" t="s">
        <v>656</v>
      </c>
      <c r="G3668" s="10">
        <v>5</v>
      </c>
      <c r="H3668" s="10">
        <v>597</v>
      </c>
      <c r="I3668" s="10">
        <v>2985</v>
      </c>
      <c r="J3668" t="s">
        <v>51</v>
      </c>
      <c r="K3668" s="11">
        <v>648.20000000000005</v>
      </c>
      <c r="L3668" s="12">
        <v>4.6100000000000003</v>
      </c>
    </row>
    <row r="3669" spans="1:12" x14ac:dyDescent="0.2">
      <c r="A3669" s="9">
        <v>46254</v>
      </c>
      <c r="B3669" t="s">
        <v>599</v>
      </c>
      <c r="C3669" t="s">
        <v>600</v>
      </c>
      <c r="D3669" t="s">
        <v>75</v>
      </c>
      <c r="E3669" t="s">
        <v>653</v>
      </c>
      <c r="F3669" t="s">
        <v>666</v>
      </c>
      <c r="G3669" s="10">
        <v>6</v>
      </c>
      <c r="H3669" s="10">
        <v>7102</v>
      </c>
      <c r="I3669" s="10">
        <v>42612</v>
      </c>
      <c r="J3669" t="s">
        <v>42</v>
      </c>
      <c r="K3669" s="11">
        <v>3145.8</v>
      </c>
      <c r="L3669" s="12">
        <v>13.55</v>
      </c>
    </row>
    <row r="3670" spans="1:12" x14ac:dyDescent="0.2">
      <c r="A3670" s="9">
        <v>46254</v>
      </c>
      <c r="B3670" t="s">
        <v>605</v>
      </c>
      <c r="C3670" t="s">
        <v>606</v>
      </c>
      <c r="D3670" t="s">
        <v>68</v>
      </c>
      <c r="E3670" t="s">
        <v>660</v>
      </c>
      <c r="F3670" t="s">
        <v>661</v>
      </c>
      <c r="G3670" s="10">
        <v>31</v>
      </c>
      <c r="H3670" s="10">
        <v>4275</v>
      </c>
      <c r="I3670" s="10">
        <v>132525</v>
      </c>
      <c r="J3670" t="s">
        <v>51</v>
      </c>
      <c r="K3670" s="11">
        <v>648.20000000000005</v>
      </c>
      <c r="L3670" s="12">
        <v>204.45</v>
      </c>
    </row>
    <row r="3671" spans="1:12" x14ac:dyDescent="0.2">
      <c r="A3671" s="9">
        <v>46254</v>
      </c>
      <c r="B3671" t="s">
        <v>611</v>
      </c>
      <c r="C3671" t="s">
        <v>612</v>
      </c>
      <c r="D3671" t="s">
        <v>41</v>
      </c>
      <c r="E3671" t="s">
        <v>653</v>
      </c>
      <c r="F3671" t="s">
        <v>654</v>
      </c>
      <c r="G3671" s="10">
        <v>9</v>
      </c>
      <c r="H3671" s="10">
        <v>26562</v>
      </c>
      <c r="I3671" s="10">
        <v>239058</v>
      </c>
      <c r="J3671" t="s">
        <v>42</v>
      </c>
      <c r="K3671" s="11">
        <v>3145.8</v>
      </c>
      <c r="L3671" s="12">
        <v>75.989999999999995</v>
      </c>
    </row>
    <row r="3672" spans="1:12" x14ac:dyDescent="0.2">
      <c r="A3672" s="9">
        <v>46254</v>
      </c>
      <c r="B3672" t="s">
        <v>617</v>
      </c>
      <c r="C3672" t="s">
        <v>618</v>
      </c>
      <c r="D3672" t="s">
        <v>75</v>
      </c>
      <c r="E3672" t="s">
        <v>647</v>
      </c>
      <c r="F3672" t="s">
        <v>667</v>
      </c>
      <c r="G3672" s="10">
        <v>2</v>
      </c>
      <c r="H3672" s="10">
        <v>34942</v>
      </c>
      <c r="I3672" s="10">
        <v>69884</v>
      </c>
      <c r="J3672" t="s">
        <v>42</v>
      </c>
      <c r="K3672" s="11">
        <v>3145.8</v>
      </c>
      <c r="L3672" s="12">
        <v>22.22</v>
      </c>
    </row>
    <row r="3673" spans="1:12" x14ac:dyDescent="0.2">
      <c r="A3673" s="9">
        <v>46254</v>
      </c>
      <c r="B3673" t="s">
        <v>620</v>
      </c>
      <c r="C3673" t="s">
        <v>621</v>
      </c>
      <c r="D3673" t="s">
        <v>50</v>
      </c>
      <c r="E3673" t="s">
        <v>655</v>
      </c>
      <c r="F3673" t="s">
        <v>662</v>
      </c>
      <c r="G3673" s="10">
        <v>19</v>
      </c>
      <c r="H3673" s="10">
        <v>1124</v>
      </c>
      <c r="I3673" s="10">
        <v>21356</v>
      </c>
      <c r="J3673" t="s">
        <v>51</v>
      </c>
      <c r="K3673" s="11">
        <v>648.20000000000005</v>
      </c>
      <c r="L3673" s="12">
        <v>32.950000000000003</v>
      </c>
    </row>
    <row r="3674" spans="1:12" x14ac:dyDescent="0.2">
      <c r="A3674" s="9">
        <v>46254</v>
      </c>
      <c r="B3674" t="s">
        <v>620</v>
      </c>
      <c r="C3674" t="s">
        <v>621</v>
      </c>
      <c r="D3674" t="s">
        <v>50</v>
      </c>
      <c r="E3674" t="s">
        <v>660</v>
      </c>
      <c r="F3674" t="s">
        <v>661</v>
      </c>
      <c r="G3674" s="10">
        <v>12</v>
      </c>
      <c r="H3674" s="10">
        <v>4249</v>
      </c>
      <c r="I3674" s="10">
        <v>50988</v>
      </c>
      <c r="J3674" t="s">
        <v>51</v>
      </c>
      <c r="K3674" s="11">
        <v>648.20000000000005</v>
      </c>
      <c r="L3674" s="12">
        <v>78.66</v>
      </c>
    </row>
    <row r="3675" spans="1:12" x14ac:dyDescent="0.2">
      <c r="A3675" s="9">
        <v>46254</v>
      </c>
      <c r="B3675" t="s">
        <v>623</v>
      </c>
      <c r="C3675" t="s">
        <v>624</v>
      </c>
      <c r="D3675" t="s">
        <v>68</v>
      </c>
      <c r="E3675" t="s">
        <v>653</v>
      </c>
      <c r="F3675" t="s">
        <v>666</v>
      </c>
      <c r="G3675" s="10">
        <v>38</v>
      </c>
      <c r="H3675" s="10">
        <v>1533</v>
      </c>
      <c r="I3675" s="10">
        <v>58254</v>
      </c>
      <c r="J3675" t="s">
        <v>51</v>
      </c>
      <c r="K3675" s="11">
        <v>648.20000000000005</v>
      </c>
      <c r="L3675" s="12">
        <v>89.87</v>
      </c>
    </row>
    <row r="3676" spans="1:12" x14ac:dyDescent="0.2">
      <c r="A3676" s="9">
        <v>46254</v>
      </c>
      <c r="B3676" t="s">
        <v>629</v>
      </c>
      <c r="C3676" t="s">
        <v>630</v>
      </c>
      <c r="D3676" t="s">
        <v>46</v>
      </c>
      <c r="E3676" t="s">
        <v>649</v>
      </c>
      <c r="F3676" t="s">
        <v>663</v>
      </c>
      <c r="G3676" s="10">
        <v>14</v>
      </c>
      <c r="H3676" s="10">
        <v>2098</v>
      </c>
      <c r="I3676" s="10">
        <v>29372</v>
      </c>
      <c r="J3676" t="s">
        <v>37</v>
      </c>
      <c r="K3676" s="11">
        <v>648.20000000000005</v>
      </c>
      <c r="L3676" s="12">
        <v>45.31</v>
      </c>
    </row>
    <row r="3677" spans="1:12" x14ac:dyDescent="0.2">
      <c r="A3677" s="9">
        <v>46254</v>
      </c>
      <c r="B3677" t="s">
        <v>632</v>
      </c>
      <c r="C3677" t="s">
        <v>633</v>
      </c>
      <c r="D3677" t="s">
        <v>68</v>
      </c>
      <c r="E3677" t="s">
        <v>649</v>
      </c>
      <c r="F3677" t="s">
        <v>663</v>
      </c>
      <c r="G3677" s="10">
        <v>1</v>
      </c>
      <c r="H3677" s="10">
        <v>2086</v>
      </c>
      <c r="I3677" s="10">
        <v>2086</v>
      </c>
      <c r="J3677" t="s">
        <v>51</v>
      </c>
      <c r="K3677" s="11">
        <v>648.20000000000005</v>
      </c>
      <c r="L3677" s="12">
        <v>3.22</v>
      </c>
    </row>
    <row r="3678" spans="1:12" x14ac:dyDescent="0.2">
      <c r="A3678" s="9">
        <v>46254</v>
      </c>
      <c r="B3678" t="s">
        <v>635</v>
      </c>
      <c r="C3678" t="s">
        <v>636</v>
      </c>
      <c r="D3678" t="s">
        <v>41</v>
      </c>
      <c r="E3678" t="s">
        <v>649</v>
      </c>
      <c r="F3678" t="s">
        <v>663</v>
      </c>
      <c r="G3678" s="10">
        <v>10</v>
      </c>
      <c r="H3678" s="10">
        <v>10111</v>
      </c>
      <c r="I3678" s="10">
        <v>101110</v>
      </c>
      <c r="J3678" t="s">
        <v>42</v>
      </c>
      <c r="K3678" s="11">
        <v>3145.8</v>
      </c>
      <c r="L3678" s="12">
        <v>32.14</v>
      </c>
    </row>
    <row r="3679" spans="1:12" x14ac:dyDescent="0.2">
      <c r="A3679" s="9">
        <v>46254</v>
      </c>
      <c r="B3679" t="s">
        <v>635</v>
      </c>
      <c r="C3679" t="s">
        <v>636</v>
      </c>
      <c r="D3679" t="s">
        <v>41</v>
      </c>
      <c r="E3679" t="s">
        <v>655</v>
      </c>
      <c r="F3679" t="s">
        <v>665</v>
      </c>
      <c r="G3679" s="10">
        <v>19</v>
      </c>
      <c r="H3679" s="10">
        <v>3222</v>
      </c>
      <c r="I3679" s="10">
        <v>61218</v>
      </c>
      <c r="J3679" t="s">
        <v>42</v>
      </c>
      <c r="K3679" s="11">
        <v>3145.8</v>
      </c>
      <c r="L3679" s="12">
        <v>19.46</v>
      </c>
    </row>
    <row r="3680" spans="1:12" x14ac:dyDescent="0.2">
      <c r="A3680" s="9">
        <v>46255</v>
      </c>
      <c r="B3680" t="s">
        <v>34</v>
      </c>
      <c r="C3680" t="s">
        <v>35</v>
      </c>
      <c r="D3680" t="s">
        <v>36</v>
      </c>
      <c r="E3680" t="s">
        <v>649</v>
      </c>
      <c r="F3680" t="s">
        <v>663</v>
      </c>
      <c r="G3680" s="10">
        <v>9</v>
      </c>
      <c r="H3680" s="10">
        <v>2090</v>
      </c>
      <c r="I3680" s="10">
        <v>18810</v>
      </c>
      <c r="J3680" t="s">
        <v>37</v>
      </c>
      <c r="K3680" s="11">
        <v>648.20000000000005</v>
      </c>
      <c r="L3680" s="12">
        <v>29.02</v>
      </c>
    </row>
    <row r="3681" spans="1:12" x14ac:dyDescent="0.2">
      <c r="A3681" s="9">
        <v>46255</v>
      </c>
      <c r="B3681" t="s">
        <v>34</v>
      </c>
      <c r="C3681" t="s">
        <v>35</v>
      </c>
      <c r="D3681" t="s">
        <v>36</v>
      </c>
      <c r="E3681" t="s">
        <v>655</v>
      </c>
      <c r="F3681" t="s">
        <v>656</v>
      </c>
      <c r="G3681" s="10">
        <v>8</v>
      </c>
      <c r="H3681" s="10">
        <v>594</v>
      </c>
      <c r="I3681" s="10">
        <v>4752</v>
      </c>
      <c r="J3681" t="s">
        <v>37</v>
      </c>
      <c r="K3681" s="11">
        <v>648.20000000000005</v>
      </c>
      <c r="L3681" s="12">
        <v>7.33</v>
      </c>
    </row>
    <row r="3682" spans="1:12" x14ac:dyDescent="0.2">
      <c r="A3682" s="9">
        <v>46255</v>
      </c>
      <c r="B3682" t="s">
        <v>44</v>
      </c>
      <c r="C3682" t="s">
        <v>45</v>
      </c>
      <c r="D3682" t="s">
        <v>46</v>
      </c>
      <c r="E3682" t="s">
        <v>660</v>
      </c>
      <c r="F3682" t="s">
        <v>669</v>
      </c>
      <c r="G3682" s="10">
        <v>2</v>
      </c>
      <c r="H3682" s="10">
        <v>2666</v>
      </c>
      <c r="I3682" s="10">
        <v>5332</v>
      </c>
      <c r="J3682" t="s">
        <v>37</v>
      </c>
      <c r="K3682" s="11">
        <v>648.20000000000005</v>
      </c>
      <c r="L3682" s="12">
        <v>8.23</v>
      </c>
    </row>
    <row r="3683" spans="1:12" x14ac:dyDescent="0.2">
      <c r="A3683" s="9">
        <v>46255</v>
      </c>
      <c r="B3683" t="s">
        <v>44</v>
      </c>
      <c r="C3683" t="s">
        <v>45</v>
      </c>
      <c r="D3683" t="s">
        <v>46</v>
      </c>
      <c r="E3683" t="s">
        <v>651</v>
      </c>
      <c r="F3683" t="s">
        <v>664</v>
      </c>
      <c r="G3683" s="10">
        <v>7</v>
      </c>
      <c r="H3683" s="10">
        <v>12258</v>
      </c>
      <c r="I3683" s="10">
        <v>85806</v>
      </c>
      <c r="J3683" t="s">
        <v>37</v>
      </c>
      <c r="K3683" s="11">
        <v>648.20000000000005</v>
      </c>
      <c r="L3683" s="12">
        <v>132.38</v>
      </c>
    </row>
    <row r="3684" spans="1:12" x14ac:dyDescent="0.2">
      <c r="A3684" s="9">
        <v>46255</v>
      </c>
      <c r="B3684" t="s">
        <v>56</v>
      </c>
      <c r="C3684" t="s">
        <v>57</v>
      </c>
      <c r="D3684" t="s">
        <v>46</v>
      </c>
      <c r="E3684" t="s">
        <v>655</v>
      </c>
      <c r="F3684" t="s">
        <v>662</v>
      </c>
      <c r="G3684" s="10">
        <v>5</v>
      </c>
      <c r="H3684" s="10">
        <v>1166</v>
      </c>
      <c r="I3684" s="10">
        <v>5830</v>
      </c>
      <c r="J3684" t="s">
        <v>37</v>
      </c>
      <c r="K3684" s="11">
        <v>648.20000000000005</v>
      </c>
      <c r="L3684" s="12">
        <v>8.99</v>
      </c>
    </row>
    <row r="3685" spans="1:12" x14ac:dyDescent="0.2">
      <c r="A3685" s="9">
        <v>46255</v>
      </c>
      <c r="B3685" t="s">
        <v>56</v>
      </c>
      <c r="C3685" t="s">
        <v>57</v>
      </c>
      <c r="D3685" t="s">
        <v>46</v>
      </c>
      <c r="E3685" t="s">
        <v>647</v>
      </c>
      <c r="F3685" t="s">
        <v>648</v>
      </c>
      <c r="G3685" s="10">
        <v>16</v>
      </c>
      <c r="H3685" s="10">
        <v>16165</v>
      </c>
      <c r="I3685" s="10">
        <v>258640</v>
      </c>
      <c r="J3685" t="s">
        <v>37</v>
      </c>
      <c r="K3685" s="11">
        <v>648.20000000000005</v>
      </c>
      <c r="L3685" s="12">
        <v>399.01</v>
      </c>
    </row>
    <row r="3686" spans="1:12" x14ac:dyDescent="0.2">
      <c r="A3686" s="9">
        <v>46255</v>
      </c>
      <c r="B3686" t="s">
        <v>60</v>
      </c>
      <c r="C3686" t="s">
        <v>61</v>
      </c>
      <c r="D3686" t="s">
        <v>41</v>
      </c>
      <c r="E3686" t="s">
        <v>647</v>
      </c>
      <c r="F3686" t="s">
        <v>648</v>
      </c>
      <c r="G3686" s="10">
        <v>10</v>
      </c>
      <c r="H3686" s="10">
        <v>78303</v>
      </c>
      <c r="I3686" s="10">
        <v>783030</v>
      </c>
      <c r="J3686" t="s">
        <v>42</v>
      </c>
      <c r="K3686" s="11">
        <v>3145.8</v>
      </c>
      <c r="L3686" s="12">
        <v>248.91</v>
      </c>
    </row>
    <row r="3687" spans="1:12" x14ac:dyDescent="0.2">
      <c r="A3687" s="9">
        <v>46255</v>
      </c>
      <c r="B3687" t="s">
        <v>63</v>
      </c>
      <c r="C3687" t="s">
        <v>64</v>
      </c>
      <c r="D3687" t="s">
        <v>50</v>
      </c>
      <c r="E3687" t="s">
        <v>647</v>
      </c>
      <c r="F3687" t="s">
        <v>668</v>
      </c>
      <c r="G3687" s="10">
        <v>20</v>
      </c>
      <c r="H3687" s="10">
        <v>25151</v>
      </c>
      <c r="I3687" s="10">
        <v>503020</v>
      </c>
      <c r="J3687" t="s">
        <v>51</v>
      </c>
      <c r="K3687" s="11">
        <v>648.20000000000005</v>
      </c>
      <c r="L3687" s="12">
        <v>776.03</v>
      </c>
    </row>
    <row r="3688" spans="1:12" x14ac:dyDescent="0.2">
      <c r="A3688" s="9">
        <v>46255</v>
      </c>
      <c r="B3688" t="s">
        <v>70</v>
      </c>
      <c r="C3688" t="s">
        <v>71</v>
      </c>
      <c r="D3688" t="s">
        <v>46</v>
      </c>
      <c r="E3688" t="s">
        <v>660</v>
      </c>
      <c r="F3688" t="s">
        <v>669</v>
      </c>
      <c r="G3688" s="10">
        <v>4</v>
      </c>
      <c r="H3688" s="10">
        <v>2654</v>
      </c>
      <c r="I3688" s="10">
        <v>10616</v>
      </c>
      <c r="J3688" t="s">
        <v>37</v>
      </c>
      <c r="K3688" s="11">
        <v>648.20000000000005</v>
      </c>
      <c r="L3688" s="12">
        <v>16.38</v>
      </c>
    </row>
    <row r="3689" spans="1:12" x14ac:dyDescent="0.2">
      <c r="A3689" s="9">
        <v>46255</v>
      </c>
      <c r="B3689" t="s">
        <v>73</v>
      </c>
      <c r="C3689" t="s">
        <v>74</v>
      </c>
      <c r="D3689" t="s">
        <v>75</v>
      </c>
      <c r="E3689" t="s">
        <v>649</v>
      </c>
      <c r="F3689" t="s">
        <v>663</v>
      </c>
      <c r="G3689" s="10">
        <v>41</v>
      </c>
      <c r="H3689" s="10">
        <v>9714</v>
      </c>
      <c r="I3689" s="10">
        <v>398274</v>
      </c>
      <c r="J3689" t="s">
        <v>42</v>
      </c>
      <c r="K3689" s="11">
        <v>3145.8</v>
      </c>
      <c r="L3689" s="12">
        <v>126.6</v>
      </c>
    </row>
    <row r="3690" spans="1:12" x14ac:dyDescent="0.2">
      <c r="A3690" s="9">
        <v>46255</v>
      </c>
      <c r="B3690" t="s">
        <v>73</v>
      </c>
      <c r="C3690" t="s">
        <v>74</v>
      </c>
      <c r="D3690" t="s">
        <v>75</v>
      </c>
      <c r="E3690" t="s">
        <v>649</v>
      </c>
      <c r="F3690" t="s">
        <v>659</v>
      </c>
      <c r="G3690" s="10">
        <v>53</v>
      </c>
      <c r="H3690" s="10">
        <v>43159</v>
      </c>
      <c r="I3690" s="10">
        <v>2287427</v>
      </c>
      <c r="J3690" t="s">
        <v>42</v>
      </c>
      <c r="K3690" s="11">
        <v>3145.8</v>
      </c>
      <c r="L3690" s="12">
        <v>727.14</v>
      </c>
    </row>
    <row r="3691" spans="1:12" x14ac:dyDescent="0.2">
      <c r="A3691" s="9">
        <v>46255</v>
      </c>
      <c r="B3691" t="s">
        <v>73</v>
      </c>
      <c r="C3691" t="s">
        <v>74</v>
      </c>
      <c r="D3691" t="s">
        <v>75</v>
      </c>
      <c r="E3691" t="s">
        <v>655</v>
      </c>
      <c r="F3691" t="s">
        <v>662</v>
      </c>
      <c r="G3691" s="10">
        <v>98</v>
      </c>
      <c r="H3691" s="10">
        <v>5461</v>
      </c>
      <c r="I3691" s="10">
        <v>535178</v>
      </c>
      <c r="J3691" t="s">
        <v>42</v>
      </c>
      <c r="K3691" s="11">
        <v>3145.8</v>
      </c>
      <c r="L3691" s="12">
        <v>170.12</v>
      </c>
    </row>
    <row r="3692" spans="1:12" x14ac:dyDescent="0.2">
      <c r="A3692" s="9">
        <v>46255</v>
      </c>
      <c r="B3692" t="s">
        <v>83</v>
      </c>
      <c r="C3692" t="s">
        <v>84</v>
      </c>
      <c r="D3692" t="s">
        <v>41</v>
      </c>
      <c r="E3692" t="s">
        <v>647</v>
      </c>
      <c r="F3692" t="s">
        <v>648</v>
      </c>
      <c r="G3692" s="10">
        <v>20</v>
      </c>
      <c r="H3692" s="10">
        <v>79625</v>
      </c>
      <c r="I3692" s="10">
        <v>1592500</v>
      </c>
      <c r="J3692" t="s">
        <v>42</v>
      </c>
      <c r="K3692" s="11">
        <v>3145.8</v>
      </c>
      <c r="L3692" s="12">
        <v>506.23</v>
      </c>
    </row>
    <row r="3693" spans="1:12" x14ac:dyDescent="0.2">
      <c r="A3693" s="9">
        <v>46255</v>
      </c>
      <c r="B3693" t="s">
        <v>86</v>
      </c>
      <c r="C3693" t="s">
        <v>87</v>
      </c>
      <c r="D3693" t="s">
        <v>50</v>
      </c>
      <c r="E3693" t="s">
        <v>649</v>
      </c>
      <c r="F3693" t="s">
        <v>650</v>
      </c>
      <c r="G3693" s="10">
        <v>4</v>
      </c>
      <c r="H3693" s="10">
        <v>19370</v>
      </c>
      <c r="I3693" s="10">
        <v>77480</v>
      </c>
      <c r="J3693" t="s">
        <v>51</v>
      </c>
      <c r="K3693" s="11">
        <v>648.20000000000005</v>
      </c>
      <c r="L3693" s="12">
        <v>119.53</v>
      </c>
    </row>
    <row r="3694" spans="1:12" x14ac:dyDescent="0.2">
      <c r="A3694" s="9">
        <v>46255</v>
      </c>
      <c r="B3694" t="s">
        <v>86</v>
      </c>
      <c r="C3694" t="s">
        <v>87</v>
      </c>
      <c r="D3694" t="s">
        <v>50</v>
      </c>
      <c r="E3694" t="s">
        <v>649</v>
      </c>
      <c r="F3694" t="s">
        <v>659</v>
      </c>
      <c r="G3694" s="10">
        <v>10</v>
      </c>
      <c r="H3694" s="10">
        <v>9191</v>
      </c>
      <c r="I3694" s="10">
        <v>91910</v>
      </c>
      <c r="J3694" t="s">
        <v>51</v>
      </c>
      <c r="K3694" s="11">
        <v>648.20000000000005</v>
      </c>
      <c r="L3694" s="12">
        <v>141.79</v>
      </c>
    </row>
    <row r="3695" spans="1:12" x14ac:dyDescent="0.2">
      <c r="A3695" s="9">
        <v>46255</v>
      </c>
      <c r="B3695" t="s">
        <v>86</v>
      </c>
      <c r="C3695" t="s">
        <v>87</v>
      </c>
      <c r="D3695" t="s">
        <v>50</v>
      </c>
      <c r="E3695" t="s">
        <v>647</v>
      </c>
      <c r="F3695" t="s">
        <v>667</v>
      </c>
      <c r="G3695" s="10">
        <v>1</v>
      </c>
      <c r="H3695" s="10">
        <v>7269</v>
      </c>
      <c r="I3695" s="10">
        <v>7269</v>
      </c>
      <c r="J3695" t="s">
        <v>51</v>
      </c>
      <c r="K3695" s="11">
        <v>648.20000000000005</v>
      </c>
      <c r="L3695" s="12">
        <v>11.21</v>
      </c>
    </row>
    <row r="3696" spans="1:12" x14ac:dyDescent="0.2">
      <c r="A3696" s="9">
        <v>46255</v>
      </c>
      <c r="B3696" t="s">
        <v>89</v>
      </c>
      <c r="C3696" t="s">
        <v>90</v>
      </c>
      <c r="D3696" t="s">
        <v>68</v>
      </c>
      <c r="E3696" t="s">
        <v>660</v>
      </c>
      <c r="F3696" t="s">
        <v>661</v>
      </c>
      <c r="G3696" s="10">
        <v>13</v>
      </c>
      <c r="H3696" s="10">
        <v>4340</v>
      </c>
      <c r="I3696" s="10">
        <v>56420</v>
      </c>
      <c r="J3696" t="s">
        <v>51</v>
      </c>
      <c r="K3696" s="11">
        <v>648.20000000000005</v>
      </c>
      <c r="L3696" s="12">
        <v>87.04</v>
      </c>
    </row>
    <row r="3697" spans="1:12" x14ac:dyDescent="0.2">
      <c r="A3697" s="9">
        <v>46255</v>
      </c>
      <c r="B3697" t="s">
        <v>99</v>
      </c>
      <c r="C3697" t="s">
        <v>100</v>
      </c>
      <c r="D3697" t="s">
        <v>75</v>
      </c>
      <c r="E3697" t="s">
        <v>660</v>
      </c>
      <c r="F3697" t="s">
        <v>669</v>
      </c>
      <c r="G3697" s="10">
        <v>4</v>
      </c>
      <c r="H3697" s="10">
        <v>12837</v>
      </c>
      <c r="I3697" s="10">
        <v>51348</v>
      </c>
      <c r="J3697" t="s">
        <v>42</v>
      </c>
      <c r="K3697" s="11">
        <v>3145.8</v>
      </c>
      <c r="L3697" s="12">
        <v>16.32</v>
      </c>
    </row>
    <row r="3698" spans="1:12" x14ac:dyDescent="0.2">
      <c r="A3698" s="9">
        <v>46255</v>
      </c>
      <c r="B3698" t="s">
        <v>99</v>
      </c>
      <c r="C3698" t="s">
        <v>100</v>
      </c>
      <c r="D3698" t="s">
        <v>75</v>
      </c>
      <c r="E3698" t="s">
        <v>647</v>
      </c>
      <c r="F3698" t="s">
        <v>667</v>
      </c>
      <c r="G3698" s="10">
        <v>9</v>
      </c>
      <c r="H3698" s="10">
        <v>34958</v>
      </c>
      <c r="I3698" s="10">
        <v>314622</v>
      </c>
      <c r="J3698" t="s">
        <v>42</v>
      </c>
      <c r="K3698" s="11">
        <v>3145.8</v>
      </c>
      <c r="L3698" s="12">
        <v>100.01</v>
      </c>
    </row>
    <row r="3699" spans="1:12" x14ac:dyDescent="0.2">
      <c r="A3699" s="9">
        <v>46255</v>
      </c>
      <c r="B3699" t="s">
        <v>102</v>
      </c>
      <c r="C3699" t="s">
        <v>103</v>
      </c>
      <c r="D3699" t="s">
        <v>41</v>
      </c>
      <c r="E3699" t="s">
        <v>647</v>
      </c>
      <c r="F3699" t="s">
        <v>648</v>
      </c>
      <c r="G3699" s="10">
        <v>35</v>
      </c>
      <c r="H3699" s="10">
        <v>77985</v>
      </c>
      <c r="I3699" s="10">
        <v>2729475</v>
      </c>
      <c r="J3699" t="s">
        <v>42</v>
      </c>
      <c r="K3699" s="11">
        <v>3145.8</v>
      </c>
      <c r="L3699" s="12">
        <v>867.66</v>
      </c>
    </row>
    <row r="3700" spans="1:12" x14ac:dyDescent="0.2">
      <c r="A3700" s="9">
        <v>46255</v>
      </c>
      <c r="B3700" t="s">
        <v>108</v>
      </c>
      <c r="C3700" t="s">
        <v>109</v>
      </c>
      <c r="D3700" t="s">
        <v>36</v>
      </c>
      <c r="E3700" t="s">
        <v>649</v>
      </c>
      <c r="F3700" t="s">
        <v>659</v>
      </c>
      <c r="G3700" s="10">
        <v>14</v>
      </c>
      <c r="H3700" s="10">
        <v>8722</v>
      </c>
      <c r="I3700" s="10">
        <v>122108</v>
      </c>
      <c r="J3700" t="s">
        <v>37</v>
      </c>
      <c r="K3700" s="11">
        <v>648.20000000000005</v>
      </c>
      <c r="L3700" s="12">
        <v>188.38</v>
      </c>
    </row>
    <row r="3701" spans="1:12" x14ac:dyDescent="0.2">
      <c r="A3701" s="9">
        <v>46255</v>
      </c>
      <c r="B3701" t="s">
        <v>111</v>
      </c>
      <c r="C3701" t="s">
        <v>112</v>
      </c>
      <c r="D3701" t="s">
        <v>41</v>
      </c>
      <c r="E3701" t="s">
        <v>649</v>
      </c>
      <c r="F3701" t="s">
        <v>650</v>
      </c>
      <c r="G3701" s="10">
        <v>35</v>
      </c>
      <c r="H3701" s="10">
        <v>92482</v>
      </c>
      <c r="I3701" s="10">
        <v>3236870</v>
      </c>
      <c r="J3701" t="s">
        <v>42</v>
      </c>
      <c r="K3701" s="11">
        <v>3145.8</v>
      </c>
      <c r="L3701" s="12">
        <v>1028.95</v>
      </c>
    </row>
    <row r="3702" spans="1:12" x14ac:dyDescent="0.2">
      <c r="A3702" s="9">
        <v>46255</v>
      </c>
      <c r="B3702" t="s">
        <v>115</v>
      </c>
      <c r="C3702" t="s">
        <v>116</v>
      </c>
      <c r="D3702" t="s">
        <v>41</v>
      </c>
      <c r="E3702" t="s">
        <v>647</v>
      </c>
      <c r="F3702" t="s">
        <v>667</v>
      </c>
      <c r="G3702" s="10">
        <v>13</v>
      </c>
      <c r="H3702" s="10">
        <v>35833</v>
      </c>
      <c r="I3702" s="10">
        <v>465829</v>
      </c>
      <c r="J3702" t="s">
        <v>42</v>
      </c>
      <c r="K3702" s="11">
        <v>3145.8</v>
      </c>
      <c r="L3702" s="12">
        <v>148.08000000000001</v>
      </c>
    </row>
    <row r="3703" spans="1:12" x14ac:dyDescent="0.2">
      <c r="A3703" s="9">
        <v>46255</v>
      </c>
      <c r="B3703" t="s">
        <v>115</v>
      </c>
      <c r="C3703" t="s">
        <v>116</v>
      </c>
      <c r="D3703" t="s">
        <v>41</v>
      </c>
      <c r="E3703" t="s">
        <v>651</v>
      </c>
      <c r="F3703" t="s">
        <v>657</v>
      </c>
      <c r="G3703" s="10">
        <v>41</v>
      </c>
      <c r="H3703" s="10">
        <v>31980</v>
      </c>
      <c r="I3703" s="10">
        <v>1311180</v>
      </c>
      <c r="J3703" t="s">
        <v>42</v>
      </c>
      <c r="K3703" s="11">
        <v>3145.8</v>
      </c>
      <c r="L3703" s="12">
        <v>416.8</v>
      </c>
    </row>
    <row r="3704" spans="1:12" x14ac:dyDescent="0.2">
      <c r="A3704" s="9">
        <v>46255</v>
      </c>
      <c r="B3704" t="s">
        <v>115</v>
      </c>
      <c r="C3704" t="s">
        <v>116</v>
      </c>
      <c r="D3704" t="s">
        <v>41</v>
      </c>
      <c r="E3704" t="s">
        <v>651</v>
      </c>
      <c r="F3704" t="s">
        <v>664</v>
      </c>
      <c r="G3704" s="10">
        <v>6</v>
      </c>
      <c r="H3704" s="10">
        <v>59486</v>
      </c>
      <c r="I3704" s="10">
        <v>356916</v>
      </c>
      <c r="J3704" t="s">
        <v>42</v>
      </c>
      <c r="K3704" s="11">
        <v>3145.8</v>
      </c>
      <c r="L3704" s="12">
        <v>113.46</v>
      </c>
    </row>
    <row r="3705" spans="1:12" x14ac:dyDescent="0.2">
      <c r="A3705" s="9">
        <v>46255</v>
      </c>
      <c r="B3705" t="s">
        <v>118</v>
      </c>
      <c r="C3705" t="s">
        <v>119</v>
      </c>
      <c r="D3705" t="s">
        <v>36</v>
      </c>
      <c r="E3705" t="s">
        <v>660</v>
      </c>
      <c r="F3705" t="s">
        <v>661</v>
      </c>
      <c r="G3705" s="10">
        <v>30</v>
      </c>
      <c r="H3705" s="10">
        <v>4278</v>
      </c>
      <c r="I3705" s="10">
        <v>128340</v>
      </c>
      <c r="J3705" t="s">
        <v>37</v>
      </c>
      <c r="K3705" s="11">
        <v>648.20000000000005</v>
      </c>
      <c r="L3705" s="12">
        <v>197.99</v>
      </c>
    </row>
    <row r="3706" spans="1:12" x14ac:dyDescent="0.2">
      <c r="A3706" s="9">
        <v>46255</v>
      </c>
      <c r="B3706" t="s">
        <v>118</v>
      </c>
      <c r="C3706" t="s">
        <v>119</v>
      </c>
      <c r="D3706" t="s">
        <v>36</v>
      </c>
      <c r="E3706" t="s">
        <v>660</v>
      </c>
      <c r="F3706" t="s">
        <v>661</v>
      </c>
      <c r="G3706" s="10">
        <v>53</v>
      </c>
      <c r="H3706" s="10">
        <v>4253</v>
      </c>
      <c r="I3706" s="10">
        <v>225409</v>
      </c>
      <c r="J3706" t="s">
        <v>37</v>
      </c>
      <c r="K3706" s="11">
        <v>648.20000000000005</v>
      </c>
      <c r="L3706" s="12">
        <v>347.75</v>
      </c>
    </row>
    <row r="3707" spans="1:12" x14ac:dyDescent="0.2">
      <c r="A3707" s="9">
        <v>46255</v>
      </c>
      <c r="B3707" t="s">
        <v>118</v>
      </c>
      <c r="C3707" t="s">
        <v>119</v>
      </c>
      <c r="D3707" t="s">
        <v>36</v>
      </c>
      <c r="E3707" t="s">
        <v>647</v>
      </c>
      <c r="F3707" t="s">
        <v>667</v>
      </c>
      <c r="G3707" s="10">
        <v>20</v>
      </c>
      <c r="H3707" s="10">
        <v>7158</v>
      </c>
      <c r="I3707" s="10">
        <v>143160</v>
      </c>
      <c r="J3707" t="s">
        <v>37</v>
      </c>
      <c r="K3707" s="11">
        <v>648.20000000000005</v>
      </c>
      <c r="L3707" s="12">
        <v>220.86</v>
      </c>
    </row>
    <row r="3708" spans="1:12" x14ac:dyDescent="0.2">
      <c r="A3708" s="9">
        <v>46255</v>
      </c>
      <c r="B3708" t="s">
        <v>127</v>
      </c>
      <c r="C3708" t="s">
        <v>128</v>
      </c>
      <c r="D3708" t="s">
        <v>41</v>
      </c>
      <c r="E3708" t="s">
        <v>653</v>
      </c>
      <c r="F3708" t="s">
        <v>666</v>
      </c>
      <c r="G3708" s="10">
        <v>2</v>
      </c>
      <c r="H3708" s="10">
        <v>7185</v>
      </c>
      <c r="I3708" s="10">
        <v>14370</v>
      </c>
      <c r="J3708" t="s">
        <v>42</v>
      </c>
      <c r="K3708" s="11">
        <v>3145.8</v>
      </c>
      <c r="L3708" s="12">
        <v>4.57</v>
      </c>
    </row>
    <row r="3709" spans="1:12" x14ac:dyDescent="0.2">
      <c r="A3709" s="9">
        <v>46255</v>
      </c>
      <c r="B3709" t="s">
        <v>127</v>
      </c>
      <c r="C3709" t="s">
        <v>128</v>
      </c>
      <c r="D3709" t="s">
        <v>41</v>
      </c>
      <c r="E3709" t="s">
        <v>653</v>
      </c>
      <c r="F3709" t="s">
        <v>654</v>
      </c>
      <c r="G3709" s="10">
        <v>3</v>
      </c>
      <c r="H3709" s="10">
        <v>27808</v>
      </c>
      <c r="I3709" s="10">
        <v>83424</v>
      </c>
      <c r="J3709" t="s">
        <v>42</v>
      </c>
      <c r="K3709" s="11">
        <v>3145.8</v>
      </c>
      <c r="L3709" s="12">
        <v>26.52</v>
      </c>
    </row>
    <row r="3710" spans="1:12" x14ac:dyDescent="0.2">
      <c r="A3710" s="9">
        <v>46255</v>
      </c>
      <c r="B3710" t="s">
        <v>130</v>
      </c>
      <c r="C3710" t="s">
        <v>131</v>
      </c>
      <c r="D3710" t="s">
        <v>46</v>
      </c>
      <c r="E3710" t="s">
        <v>651</v>
      </c>
      <c r="F3710" t="s">
        <v>652</v>
      </c>
      <c r="G3710" s="10">
        <v>8</v>
      </c>
      <c r="H3710" s="10">
        <v>9851</v>
      </c>
      <c r="I3710" s="10">
        <v>78808</v>
      </c>
      <c r="J3710" t="s">
        <v>37</v>
      </c>
      <c r="K3710" s="11">
        <v>648.20000000000005</v>
      </c>
      <c r="L3710" s="12">
        <v>121.58</v>
      </c>
    </row>
    <row r="3711" spans="1:12" x14ac:dyDescent="0.2">
      <c r="A3711" s="9">
        <v>46255</v>
      </c>
      <c r="B3711" t="s">
        <v>130</v>
      </c>
      <c r="C3711" t="s">
        <v>131</v>
      </c>
      <c r="D3711" t="s">
        <v>46</v>
      </c>
      <c r="E3711" t="s">
        <v>649</v>
      </c>
      <c r="F3711" t="s">
        <v>659</v>
      </c>
      <c r="G3711" s="10">
        <v>3</v>
      </c>
      <c r="H3711" s="10">
        <v>8808</v>
      </c>
      <c r="I3711" s="10">
        <v>26424</v>
      </c>
      <c r="J3711" t="s">
        <v>37</v>
      </c>
      <c r="K3711" s="11">
        <v>648.20000000000005</v>
      </c>
      <c r="L3711" s="12">
        <v>40.770000000000003</v>
      </c>
    </row>
    <row r="3712" spans="1:12" x14ac:dyDescent="0.2">
      <c r="A3712" s="9">
        <v>46255</v>
      </c>
      <c r="B3712" t="s">
        <v>136</v>
      </c>
      <c r="C3712" t="s">
        <v>137</v>
      </c>
      <c r="D3712" t="s">
        <v>41</v>
      </c>
      <c r="E3712" t="s">
        <v>649</v>
      </c>
      <c r="F3712" t="s">
        <v>663</v>
      </c>
      <c r="G3712" s="10">
        <v>2</v>
      </c>
      <c r="H3712" s="10">
        <v>9981</v>
      </c>
      <c r="I3712" s="10">
        <v>19962</v>
      </c>
      <c r="J3712" t="s">
        <v>42</v>
      </c>
      <c r="K3712" s="11">
        <v>3145.8</v>
      </c>
      <c r="L3712" s="12">
        <v>6.35</v>
      </c>
    </row>
    <row r="3713" spans="1:12" x14ac:dyDescent="0.2">
      <c r="A3713" s="9">
        <v>46255</v>
      </c>
      <c r="B3713" t="s">
        <v>139</v>
      </c>
      <c r="C3713" t="s">
        <v>140</v>
      </c>
      <c r="D3713" t="s">
        <v>75</v>
      </c>
      <c r="E3713" t="s">
        <v>660</v>
      </c>
      <c r="F3713" t="s">
        <v>669</v>
      </c>
      <c r="G3713" s="10">
        <v>89</v>
      </c>
      <c r="H3713" s="10">
        <v>12889</v>
      </c>
      <c r="I3713" s="10">
        <v>1147121</v>
      </c>
      <c r="J3713" t="s">
        <v>42</v>
      </c>
      <c r="K3713" s="11">
        <v>3145.8</v>
      </c>
      <c r="L3713" s="12">
        <v>364.65</v>
      </c>
    </row>
    <row r="3714" spans="1:12" x14ac:dyDescent="0.2">
      <c r="A3714" s="9">
        <v>46255</v>
      </c>
      <c r="B3714" t="s">
        <v>142</v>
      </c>
      <c r="C3714" t="s">
        <v>143</v>
      </c>
      <c r="D3714" t="s">
        <v>75</v>
      </c>
      <c r="E3714" t="s">
        <v>653</v>
      </c>
      <c r="F3714" t="s">
        <v>658</v>
      </c>
      <c r="G3714" s="10">
        <v>22</v>
      </c>
      <c r="H3714" s="10">
        <v>13301</v>
      </c>
      <c r="I3714" s="10">
        <v>292622</v>
      </c>
      <c r="J3714" t="s">
        <v>42</v>
      </c>
      <c r="K3714" s="11">
        <v>3145.8</v>
      </c>
      <c r="L3714" s="12">
        <v>93.02</v>
      </c>
    </row>
    <row r="3715" spans="1:12" x14ac:dyDescent="0.2">
      <c r="A3715" s="9">
        <v>46255</v>
      </c>
      <c r="B3715" t="s">
        <v>142</v>
      </c>
      <c r="C3715" t="s">
        <v>143</v>
      </c>
      <c r="D3715" t="s">
        <v>75</v>
      </c>
      <c r="E3715" t="s">
        <v>653</v>
      </c>
      <c r="F3715" t="s">
        <v>666</v>
      </c>
      <c r="G3715" s="10">
        <v>8</v>
      </c>
      <c r="H3715" s="10">
        <v>7262</v>
      </c>
      <c r="I3715" s="10">
        <v>58096</v>
      </c>
      <c r="J3715" t="s">
        <v>42</v>
      </c>
      <c r="K3715" s="11">
        <v>3145.8</v>
      </c>
      <c r="L3715" s="12">
        <v>18.47</v>
      </c>
    </row>
    <row r="3716" spans="1:12" x14ac:dyDescent="0.2">
      <c r="A3716" s="9">
        <v>46255</v>
      </c>
      <c r="B3716" t="s">
        <v>142</v>
      </c>
      <c r="C3716" t="s">
        <v>143</v>
      </c>
      <c r="D3716" t="s">
        <v>75</v>
      </c>
      <c r="E3716" t="s">
        <v>660</v>
      </c>
      <c r="F3716" t="s">
        <v>670</v>
      </c>
      <c r="G3716" s="10">
        <v>17</v>
      </c>
      <c r="H3716" s="10">
        <v>71164</v>
      </c>
      <c r="I3716" s="10">
        <v>1209788</v>
      </c>
      <c r="J3716" t="s">
        <v>42</v>
      </c>
      <c r="K3716" s="11">
        <v>3145.8</v>
      </c>
      <c r="L3716" s="12">
        <v>384.57</v>
      </c>
    </row>
    <row r="3717" spans="1:12" x14ac:dyDescent="0.2">
      <c r="A3717" s="9">
        <v>46255</v>
      </c>
      <c r="B3717" t="s">
        <v>142</v>
      </c>
      <c r="C3717" t="s">
        <v>143</v>
      </c>
      <c r="D3717" t="s">
        <v>75</v>
      </c>
      <c r="E3717" t="s">
        <v>660</v>
      </c>
      <c r="F3717" t="s">
        <v>661</v>
      </c>
      <c r="G3717" s="10">
        <v>20</v>
      </c>
      <c r="H3717" s="10">
        <v>20493</v>
      </c>
      <c r="I3717" s="10">
        <v>409860</v>
      </c>
      <c r="J3717" t="s">
        <v>42</v>
      </c>
      <c r="K3717" s="11">
        <v>3145.8</v>
      </c>
      <c r="L3717" s="12">
        <v>130.29</v>
      </c>
    </row>
    <row r="3718" spans="1:12" x14ac:dyDescent="0.2">
      <c r="A3718" s="9">
        <v>46255</v>
      </c>
      <c r="B3718" t="s">
        <v>142</v>
      </c>
      <c r="C3718" t="s">
        <v>143</v>
      </c>
      <c r="D3718" t="s">
        <v>75</v>
      </c>
      <c r="E3718" t="s">
        <v>651</v>
      </c>
      <c r="F3718" t="s">
        <v>657</v>
      </c>
      <c r="G3718" s="10">
        <v>118</v>
      </c>
      <c r="H3718" s="10">
        <v>31791</v>
      </c>
      <c r="I3718" s="10">
        <v>3751338</v>
      </c>
      <c r="J3718" t="s">
        <v>42</v>
      </c>
      <c r="K3718" s="11">
        <v>3145.8</v>
      </c>
      <c r="L3718" s="12">
        <v>1192.49</v>
      </c>
    </row>
    <row r="3719" spans="1:12" x14ac:dyDescent="0.2">
      <c r="A3719" s="9">
        <v>46255</v>
      </c>
      <c r="B3719" t="s">
        <v>149</v>
      </c>
      <c r="C3719" t="s">
        <v>150</v>
      </c>
      <c r="D3719" t="s">
        <v>50</v>
      </c>
      <c r="E3719" t="s">
        <v>653</v>
      </c>
      <c r="F3719" t="s">
        <v>654</v>
      </c>
      <c r="G3719" s="10">
        <v>3</v>
      </c>
      <c r="H3719" s="10">
        <v>5852</v>
      </c>
      <c r="I3719" s="10">
        <v>17556</v>
      </c>
      <c r="J3719" t="s">
        <v>51</v>
      </c>
      <c r="K3719" s="11">
        <v>648.20000000000005</v>
      </c>
      <c r="L3719" s="12">
        <v>27.08</v>
      </c>
    </row>
    <row r="3720" spans="1:12" x14ac:dyDescent="0.2">
      <c r="A3720" s="9">
        <v>46255</v>
      </c>
      <c r="B3720" t="s">
        <v>149</v>
      </c>
      <c r="C3720" t="s">
        <v>150</v>
      </c>
      <c r="D3720" t="s">
        <v>50</v>
      </c>
      <c r="E3720" t="s">
        <v>647</v>
      </c>
      <c r="F3720" t="s">
        <v>648</v>
      </c>
      <c r="G3720" s="10">
        <v>6</v>
      </c>
      <c r="H3720" s="10">
        <v>16109</v>
      </c>
      <c r="I3720" s="10">
        <v>96654</v>
      </c>
      <c r="J3720" t="s">
        <v>51</v>
      </c>
      <c r="K3720" s="11">
        <v>648.20000000000005</v>
      </c>
      <c r="L3720" s="12">
        <v>149.11000000000001</v>
      </c>
    </row>
    <row r="3721" spans="1:12" x14ac:dyDescent="0.2">
      <c r="A3721" s="9">
        <v>46255</v>
      </c>
      <c r="B3721" t="s">
        <v>149</v>
      </c>
      <c r="C3721" t="s">
        <v>150</v>
      </c>
      <c r="D3721" t="s">
        <v>50</v>
      </c>
      <c r="E3721" t="s">
        <v>647</v>
      </c>
      <c r="F3721" t="s">
        <v>667</v>
      </c>
      <c r="G3721" s="10">
        <v>2</v>
      </c>
      <c r="H3721" s="10">
        <v>7572</v>
      </c>
      <c r="I3721" s="10">
        <v>15144</v>
      </c>
      <c r="J3721" t="s">
        <v>51</v>
      </c>
      <c r="K3721" s="11">
        <v>648.20000000000005</v>
      </c>
      <c r="L3721" s="12">
        <v>23.36</v>
      </c>
    </row>
    <row r="3722" spans="1:12" x14ac:dyDescent="0.2">
      <c r="A3722" s="9">
        <v>46255</v>
      </c>
      <c r="B3722" t="s">
        <v>158</v>
      </c>
      <c r="C3722" t="s">
        <v>159</v>
      </c>
      <c r="D3722" t="s">
        <v>41</v>
      </c>
      <c r="E3722" t="s">
        <v>653</v>
      </c>
      <c r="F3722" t="s">
        <v>658</v>
      </c>
      <c r="G3722" s="10">
        <v>23</v>
      </c>
      <c r="H3722" s="10">
        <v>13669</v>
      </c>
      <c r="I3722" s="10">
        <v>314387</v>
      </c>
      <c r="J3722" t="s">
        <v>42</v>
      </c>
      <c r="K3722" s="11">
        <v>3145.8</v>
      </c>
      <c r="L3722" s="12">
        <v>99.94</v>
      </c>
    </row>
    <row r="3723" spans="1:12" x14ac:dyDescent="0.2">
      <c r="A3723" s="9">
        <v>46255</v>
      </c>
      <c r="B3723" t="s">
        <v>161</v>
      </c>
      <c r="C3723" t="s">
        <v>67</v>
      </c>
      <c r="D3723" t="s">
        <v>41</v>
      </c>
      <c r="E3723" t="s">
        <v>653</v>
      </c>
      <c r="F3723" t="s">
        <v>666</v>
      </c>
      <c r="G3723" s="10">
        <v>4</v>
      </c>
      <c r="H3723" s="10">
        <v>7145</v>
      </c>
      <c r="I3723" s="10">
        <v>28580</v>
      </c>
      <c r="J3723" t="s">
        <v>42</v>
      </c>
      <c r="K3723" s="11">
        <v>3145.8</v>
      </c>
      <c r="L3723" s="12">
        <v>9.09</v>
      </c>
    </row>
    <row r="3724" spans="1:12" x14ac:dyDescent="0.2">
      <c r="A3724" s="9">
        <v>46255</v>
      </c>
      <c r="B3724" t="s">
        <v>163</v>
      </c>
      <c r="C3724" t="s">
        <v>164</v>
      </c>
      <c r="D3724" t="s">
        <v>41</v>
      </c>
      <c r="E3724" t="s">
        <v>660</v>
      </c>
      <c r="F3724" t="s">
        <v>669</v>
      </c>
      <c r="G3724" s="10">
        <v>6</v>
      </c>
      <c r="H3724" s="10">
        <v>12872</v>
      </c>
      <c r="I3724" s="10">
        <v>77232</v>
      </c>
      <c r="J3724" t="s">
        <v>42</v>
      </c>
      <c r="K3724" s="11">
        <v>3145.8</v>
      </c>
      <c r="L3724" s="12">
        <v>24.55</v>
      </c>
    </row>
    <row r="3725" spans="1:12" x14ac:dyDescent="0.2">
      <c r="A3725" s="9">
        <v>46255</v>
      </c>
      <c r="B3725" t="s">
        <v>163</v>
      </c>
      <c r="C3725" t="s">
        <v>164</v>
      </c>
      <c r="D3725" t="s">
        <v>41</v>
      </c>
      <c r="E3725" t="s">
        <v>660</v>
      </c>
      <c r="F3725" t="s">
        <v>661</v>
      </c>
      <c r="G3725" s="10">
        <v>1</v>
      </c>
      <c r="H3725" s="10">
        <v>19540</v>
      </c>
      <c r="I3725" s="10">
        <v>19540</v>
      </c>
      <c r="J3725" t="s">
        <v>42</v>
      </c>
      <c r="K3725" s="11">
        <v>3145.8</v>
      </c>
      <c r="L3725" s="12">
        <v>6.21</v>
      </c>
    </row>
    <row r="3726" spans="1:12" x14ac:dyDescent="0.2">
      <c r="A3726" s="9">
        <v>46255</v>
      </c>
      <c r="B3726" t="s">
        <v>166</v>
      </c>
      <c r="C3726" t="s">
        <v>167</v>
      </c>
      <c r="D3726" t="s">
        <v>46</v>
      </c>
      <c r="E3726" t="s">
        <v>653</v>
      </c>
      <c r="F3726" t="s">
        <v>666</v>
      </c>
      <c r="G3726" s="10">
        <v>2</v>
      </c>
      <c r="H3726" s="10">
        <v>1556</v>
      </c>
      <c r="I3726" s="10">
        <v>3112</v>
      </c>
      <c r="J3726" t="s">
        <v>37</v>
      </c>
      <c r="K3726" s="11">
        <v>648.20000000000005</v>
      </c>
      <c r="L3726" s="12">
        <v>4.8</v>
      </c>
    </row>
    <row r="3727" spans="1:12" x14ac:dyDescent="0.2">
      <c r="A3727" s="9">
        <v>46255</v>
      </c>
      <c r="B3727" t="s">
        <v>166</v>
      </c>
      <c r="C3727" t="s">
        <v>167</v>
      </c>
      <c r="D3727" t="s">
        <v>46</v>
      </c>
      <c r="E3727" t="s">
        <v>647</v>
      </c>
      <c r="F3727" t="s">
        <v>667</v>
      </c>
      <c r="G3727" s="10">
        <v>8</v>
      </c>
      <c r="H3727" s="10">
        <v>7500</v>
      </c>
      <c r="I3727" s="10">
        <v>60000</v>
      </c>
      <c r="J3727" t="s">
        <v>37</v>
      </c>
      <c r="K3727" s="11">
        <v>648.20000000000005</v>
      </c>
      <c r="L3727" s="12">
        <v>92.56</v>
      </c>
    </row>
    <row r="3728" spans="1:12" x14ac:dyDescent="0.2">
      <c r="A3728" s="9">
        <v>46255</v>
      </c>
      <c r="B3728" t="s">
        <v>169</v>
      </c>
      <c r="C3728" t="s">
        <v>170</v>
      </c>
      <c r="D3728" t="s">
        <v>41</v>
      </c>
      <c r="E3728" t="s">
        <v>651</v>
      </c>
      <c r="F3728" t="s">
        <v>657</v>
      </c>
      <c r="G3728" s="10">
        <v>10</v>
      </c>
      <c r="H3728" s="10">
        <v>31646</v>
      </c>
      <c r="I3728" s="10">
        <v>316460</v>
      </c>
      <c r="J3728" t="s">
        <v>42</v>
      </c>
      <c r="K3728" s="11">
        <v>3145.8</v>
      </c>
      <c r="L3728" s="12">
        <v>100.6</v>
      </c>
    </row>
    <row r="3729" spans="1:12" x14ac:dyDescent="0.2">
      <c r="A3729" s="9">
        <v>46255</v>
      </c>
      <c r="B3729" t="s">
        <v>175</v>
      </c>
      <c r="C3729" t="s">
        <v>176</v>
      </c>
      <c r="D3729" t="s">
        <v>50</v>
      </c>
      <c r="E3729" t="s">
        <v>647</v>
      </c>
      <c r="F3729" t="s">
        <v>668</v>
      </c>
      <c r="G3729" s="10">
        <v>18</v>
      </c>
      <c r="H3729" s="10">
        <v>24785</v>
      </c>
      <c r="I3729" s="10">
        <v>446130</v>
      </c>
      <c r="J3729" t="s">
        <v>51</v>
      </c>
      <c r="K3729" s="11">
        <v>648.20000000000005</v>
      </c>
      <c r="L3729" s="12">
        <v>688.26</v>
      </c>
    </row>
    <row r="3730" spans="1:12" x14ac:dyDescent="0.2">
      <c r="A3730" s="9">
        <v>46255</v>
      </c>
      <c r="B3730" t="s">
        <v>181</v>
      </c>
      <c r="C3730" t="s">
        <v>182</v>
      </c>
      <c r="D3730" t="s">
        <v>41</v>
      </c>
      <c r="E3730" t="s">
        <v>653</v>
      </c>
      <c r="F3730" t="s">
        <v>658</v>
      </c>
      <c r="G3730" s="10">
        <v>4</v>
      </c>
      <c r="H3730" s="10">
        <v>13398</v>
      </c>
      <c r="I3730" s="10">
        <v>53592</v>
      </c>
      <c r="J3730" t="s">
        <v>42</v>
      </c>
      <c r="K3730" s="11">
        <v>3145.8</v>
      </c>
      <c r="L3730" s="12">
        <v>17.04</v>
      </c>
    </row>
    <row r="3731" spans="1:12" x14ac:dyDescent="0.2">
      <c r="A3731" s="9">
        <v>46255</v>
      </c>
      <c r="B3731" t="s">
        <v>187</v>
      </c>
      <c r="C3731" t="s">
        <v>188</v>
      </c>
      <c r="D3731" t="s">
        <v>75</v>
      </c>
      <c r="E3731" t="s">
        <v>647</v>
      </c>
      <c r="F3731" t="s">
        <v>668</v>
      </c>
      <c r="G3731" s="10">
        <v>10</v>
      </c>
      <c r="H3731" s="10">
        <v>119170</v>
      </c>
      <c r="I3731" s="10">
        <v>1191700</v>
      </c>
      <c r="J3731" t="s">
        <v>42</v>
      </c>
      <c r="K3731" s="11">
        <v>3145.8</v>
      </c>
      <c r="L3731" s="12">
        <v>378.82</v>
      </c>
    </row>
    <row r="3732" spans="1:12" x14ac:dyDescent="0.2">
      <c r="A3732" s="9">
        <v>46255</v>
      </c>
      <c r="B3732" t="s">
        <v>190</v>
      </c>
      <c r="C3732" t="s">
        <v>191</v>
      </c>
      <c r="D3732" t="s">
        <v>68</v>
      </c>
      <c r="E3732" t="s">
        <v>647</v>
      </c>
      <c r="F3732" t="s">
        <v>668</v>
      </c>
      <c r="G3732" s="10">
        <v>27</v>
      </c>
      <c r="H3732" s="10">
        <v>26083</v>
      </c>
      <c r="I3732" s="10">
        <v>704241</v>
      </c>
      <c r="J3732" t="s">
        <v>51</v>
      </c>
      <c r="K3732" s="11">
        <v>648.20000000000005</v>
      </c>
      <c r="L3732" s="12">
        <v>1086.46</v>
      </c>
    </row>
    <row r="3733" spans="1:12" x14ac:dyDescent="0.2">
      <c r="A3733" s="9">
        <v>46255</v>
      </c>
      <c r="B3733" t="s">
        <v>199</v>
      </c>
      <c r="C3733" t="s">
        <v>200</v>
      </c>
      <c r="D3733" t="s">
        <v>46</v>
      </c>
      <c r="E3733" t="s">
        <v>655</v>
      </c>
      <c r="F3733" t="s">
        <v>656</v>
      </c>
      <c r="G3733" s="10">
        <v>13</v>
      </c>
      <c r="H3733" s="10">
        <v>584</v>
      </c>
      <c r="I3733" s="10">
        <v>7592</v>
      </c>
      <c r="J3733" t="s">
        <v>37</v>
      </c>
      <c r="K3733" s="11">
        <v>648.20000000000005</v>
      </c>
      <c r="L3733" s="12">
        <v>11.71</v>
      </c>
    </row>
    <row r="3734" spans="1:12" x14ac:dyDescent="0.2">
      <c r="A3734" s="9">
        <v>46255</v>
      </c>
      <c r="B3734" t="s">
        <v>202</v>
      </c>
      <c r="C3734" t="s">
        <v>203</v>
      </c>
      <c r="D3734" t="s">
        <v>68</v>
      </c>
      <c r="E3734" t="s">
        <v>647</v>
      </c>
      <c r="F3734" t="s">
        <v>648</v>
      </c>
      <c r="G3734" s="10">
        <v>5</v>
      </c>
      <c r="H3734" s="10">
        <v>15794</v>
      </c>
      <c r="I3734" s="10">
        <v>78970</v>
      </c>
      <c r="J3734" t="s">
        <v>51</v>
      </c>
      <c r="K3734" s="11">
        <v>648.20000000000005</v>
      </c>
      <c r="L3734" s="12">
        <v>121.83</v>
      </c>
    </row>
    <row r="3735" spans="1:12" x14ac:dyDescent="0.2">
      <c r="A3735" s="9">
        <v>46255</v>
      </c>
      <c r="B3735" t="s">
        <v>208</v>
      </c>
      <c r="C3735" t="s">
        <v>209</v>
      </c>
      <c r="D3735" t="s">
        <v>46</v>
      </c>
      <c r="E3735" t="s">
        <v>647</v>
      </c>
      <c r="F3735" t="s">
        <v>648</v>
      </c>
      <c r="G3735" s="10">
        <v>3</v>
      </c>
      <c r="H3735" s="10">
        <v>16117</v>
      </c>
      <c r="I3735" s="10">
        <v>48351</v>
      </c>
      <c r="J3735" t="s">
        <v>37</v>
      </c>
      <c r="K3735" s="11">
        <v>648.20000000000005</v>
      </c>
      <c r="L3735" s="12">
        <v>74.59</v>
      </c>
    </row>
    <row r="3736" spans="1:12" x14ac:dyDescent="0.2">
      <c r="A3736" s="9">
        <v>46255</v>
      </c>
      <c r="B3736" t="s">
        <v>220</v>
      </c>
      <c r="C3736" t="s">
        <v>221</v>
      </c>
      <c r="D3736" t="s">
        <v>46</v>
      </c>
      <c r="E3736" t="s">
        <v>649</v>
      </c>
      <c r="F3736" t="s">
        <v>663</v>
      </c>
      <c r="G3736" s="10">
        <v>45</v>
      </c>
      <c r="H3736" s="10">
        <v>2072</v>
      </c>
      <c r="I3736" s="10">
        <v>93240</v>
      </c>
      <c r="J3736" t="s">
        <v>37</v>
      </c>
      <c r="K3736" s="11">
        <v>648.20000000000005</v>
      </c>
      <c r="L3736" s="12">
        <v>143.84</v>
      </c>
    </row>
    <row r="3737" spans="1:12" x14ac:dyDescent="0.2">
      <c r="A3737" s="9">
        <v>46255</v>
      </c>
      <c r="B3737" t="s">
        <v>220</v>
      </c>
      <c r="C3737" t="s">
        <v>221</v>
      </c>
      <c r="D3737" t="s">
        <v>46</v>
      </c>
      <c r="E3737" t="s">
        <v>649</v>
      </c>
      <c r="F3737" t="s">
        <v>659</v>
      </c>
      <c r="G3737" s="10">
        <v>25</v>
      </c>
      <c r="H3737" s="10">
        <v>8769</v>
      </c>
      <c r="I3737" s="10">
        <v>219225</v>
      </c>
      <c r="J3737" t="s">
        <v>37</v>
      </c>
      <c r="K3737" s="11">
        <v>648.20000000000005</v>
      </c>
      <c r="L3737" s="12">
        <v>338.21</v>
      </c>
    </row>
    <row r="3738" spans="1:12" x14ac:dyDescent="0.2">
      <c r="A3738" s="9">
        <v>46255</v>
      </c>
      <c r="B3738" t="s">
        <v>223</v>
      </c>
      <c r="C3738" t="s">
        <v>224</v>
      </c>
      <c r="D3738" t="s">
        <v>36</v>
      </c>
      <c r="E3738" t="s">
        <v>647</v>
      </c>
      <c r="F3738" t="s">
        <v>668</v>
      </c>
      <c r="G3738" s="10">
        <v>18</v>
      </c>
      <c r="H3738" s="10">
        <v>24226</v>
      </c>
      <c r="I3738" s="10">
        <v>436068</v>
      </c>
      <c r="J3738" t="s">
        <v>37</v>
      </c>
      <c r="K3738" s="11">
        <v>648.20000000000005</v>
      </c>
      <c r="L3738" s="12">
        <v>672.74</v>
      </c>
    </row>
    <row r="3739" spans="1:12" x14ac:dyDescent="0.2">
      <c r="A3739" s="9">
        <v>46255</v>
      </c>
      <c r="B3739" t="s">
        <v>232</v>
      </c>
      <c r="C3739" t="s">
        <v>233</v>
      </c>
      <c r="D3739" t="s">
        <v>46</v>
      </c>
      <c r="E3739" t="s">
        <v>655</v>
      </c>
      <c r="F3739" t="s">
        <v>662</v>
      </c>
      <c r="G3739" s="10">
        <v>11</v>
      </c>
      <c r="H3739" s="10">
        <v>1141</v>
      </c>
      <c r="I3739" s="10">
        <v>12551</v>
      </c>
      <c r="J3739" t="s">
        <v>37</v>
      </c>
      <c r="K3739" s="11">
        <v>648.20000000000005</v>
      </c>
      <c r="L3739" s="12">
        <v>19.36</v>
      </c>
    </row>
    <row r="3740" spans="1:12" x14ac:dyDescent="0.2">
      <c r="A3740" s="9">
        <v>46255</v>
      </c>
      <c r="B3740" t="s">
        <v>235</v>
      </c>
      <c r="C3740" t="s">
        <v>236</v>
      </c>
      <c r="D3740" t="s">
        <v>50</v>
      </c>
      <c r="E3740" t="s">
        <v>653</v>
      </c>
      <c r="F3740" t="s">
        <v>666</v>
      </c>
      <c r="G3740" s="10">
        <v>17</v>
      </c>
      <c r="H3740" s="10">
        <v>1557</v>
      </c>
      <c r="I3740" s="10">
        <v>26469</v>
      </c>
      <c r="J3740" t="s">
        <v>51</v>
      </c>
      <c r="K3740" s="11">
        <v>648.20000000000005</v>
      </c>
      <c r="L3740" s="12">
        <v>40.83</v>
      </c>
    </row>
    <row r="3741" spans="1:12" x14ac:dyDescent="0.2">
      <c r="A3741" s="9">
        <v>46255</v>
      </c>
      <c r="B3741" t="s">
        <v>235</v>
      </c>
      <c r="C3741" t="s">
        <v>236</v>
      </c>
      <c r="D3741" t="s">
        <v>50</v>
      </c>
      <c r="E3741" t="s">
        <v>649</v>
      </c>
      <c r="F3741" t="s">
        <v>659</v>
      </c>
      <c r="G3741" s="10">
        <v>40</v>
      </c>
      <c r="H3741" s="10">
        <v>8560</v>
      </c>
      <c r="I3741" s="10">
        <v>342400</v>
      </c>
      <c r="J3741" t="s">
        <v>51</v>
      </c>
      <c r="K3741" s="11">
        <v>648.20000000000005</v>
      </c>
      <c r="L3741" s="12">
        <v>528.23</v>
      </c>
    </row>
    <row r="3742" spans="1:12" x14ac:dyDescent="0.2">
      <c r="A3742" s="9">
        <v>46255</v>
      </c>
      <c r="B3742" t="s">
        <v>235</v>
      </c>
      <c r="C3742" t="s">
        <v>236</v>
      </c>
      <c r="D3742" t="s">
        <v>50</v>
      </c>
      <c r="E3742" t="s">
        <v>660</v>
      </c>
      <c r="F3742" t="s">
        <v>661</v>
      </c>
      <c r="G3742" s="10">
        <v>33</v>
      </c>
      <c r="H3742" s="10">
        <v>4150</v>
      </c>
      <c r="I3742" s="10">
        <v>136950</v>
      </c>
      <c r="J3742" t="s">
        <v>51</v>
      </c>
      <c r="K3742" s="11">
        <v>648.20000000000005</v>
      </c>
      <c r="L3742" s="12">
        <v>211.28</v>
      </c>
    </row>
    <row r="3743" spans="1:12" x14ac:dyDescent="0.2">
      <c r="A3743" s="9">
        <v>46255</v>
      </c>
      <c r="B3743" t="s">
        <v>235</v>
      </c>
      <c r="C3743" t="s">
        <v>236</v>
      </c>
      <c r="D3743" t="s">
        <v>50</v>
      </c>
      <c r="E3743" t="s">
        <v>647</v>
      </c>
      <c r="F3743" t="s">
        <v>668</v>
      </c>
      <c r="G3743" s="10">
        <v>18</v>
      </c>
      <c r="H3743" s="10">
        <v>25899</v>
      </c>
      <c r="I3743" s="10">
        <v>466182</v>
      </c>
      <c r="J3743" t="s">
        <v>51</v>
      </c>
      <c r="K3743" s="11">
        <v>648.20000000000005</v>
      </c>
      <c r="L3743" s="12">
        <v>719.19</v>
      </c>
    </row>
    <row r="3744" spans="1:12" x14ac:dyDescent="0.2">
      <c r="A3744" s="9">
        <v>46255</v>
      </c>
      <c r="B3744" t="s">
        <v>235</v>
      </c>
      <c r="C3744" t="s">
        <v>236</v>
      </c>
      <c r="D3744" t="s">
        <v>50</v>
      </c>
      <c r="E3744" t="s">
        <v>647</v>
      </c>
      <c r="F3744" t="s">
        <v>668</v>
      </c>
      <c r="G3744" s="10">
        <v>14</v>
      </c>
      <c r="H3744" s="10">
        <v>26169</v>
      </c>
      <c r="I3744" s="10">
        <v>366366</v>
      </c>
      <c r="J3744" t="s">
        <v>51</v>
      </c>
      <c r="K3744" s="11">
        <v>648.20000000000005</v>
      </c>
      <c r="L3744" s="12">
        <v>565.21</v>
      </c>
    </row>
    <row r="3745" spans="1:12" x14ac:dyDescent="0.2">
      <c r="A3745" s="9">
        <v>46255</v>
      </c>
      <c r="B3745" t="s">
        <v>235</v>
      </c>
      <c r="C3745" t="s">
        <v>236</v>
      </c>
      <c r="D3745" t="s">
        <v>50</v>
      </c>
      <c r="E3745" t="s">
        <v>647</v>
      </c>
      <c r="F3745" t="s">
        <v>668</v>
      </c>
      <c r="G3745" s="10">
        <v>17</v>
      </c>
      <c r="H3745" s="10">
        <v>24757</v>
      </c>
      <c r="I3745" s="10">
        <v>420869</v>
      </c>
      <c r="J3745" t="s">
        <v>51</v>
      </c>
      <c r="K3745" s="11">
        <v>648.20000000000005</v>
      </c>
      <c r="L3745" s="12">
        <v>649.29</v>
      </c>
    </row>
    <row r="3746" spans="1:12" x14ac:dyDescent="0.2">
      <c r="A3746" s="9">
        <v>46255</v>
      </c>
      <c r="B3746" t="s">
        <v>235</v>
      </c>
      <c r="C3746" t="s">
        <v>236</v>
      </c>
      <c r="D3746" t="s">
        <v>50</v>
      </c>
      <c r="E3746" t="s">
        <v>655</v>
      </c>
      <c r="F3746" t="s">
        <v>665</v>
      </c>
      <c r="G3746" s="10">
        <v>37</v>
      </c>
      <c r="H3746" s="10">
        <v>711</v>
      </c>
      <c r="I3746" s="10">
        <v>26307</v>
      </c>
      <c r="J3746" t="s">
        <v>51</v>
      </c>
      <c r="K3746" s="11">
        <v>648.20000000000005</v>
      </c>
      <c r="L3746" s="12">
        <v>40.58</v>
      </c>
    </row>
    <row r="3747" spans="1:12" x14ac:dyDescent="0.2">
      <c r="A3747" s="9">
        <v>46255</v>
      </c>
      <c r="B3747" t="s">
        <v>238</v>
      </c>
      <c r="C3747" t="s">
        <v>239</v>
      </c>
      <c r="D3747" t="s">
        <v>68</v>
      </c>
      <c r="E3747" t="s">
        <v>653</v>
      </c>
      <c r="F3747" t="s">
        <v>654</v>
      </c>
      <c r="G3747" s="10">
        <v>3</v>
      </c>
      <c r="H3747" s="10">
        <v>5532</v>
      </c>
      <c r="I3747" s="10">
        <v>16596</v>
      </c>
      <c r="J3747" t="s">
        <v>51</v>
      </c>
      <c r="K3747" s="11">
        <v>648.20000000000005</v>
      </c>
      <c r="L3747" s="12">
        <v>25.6</v>
      </c>
    </row>
    <row r="3748" spans="1:12" x14ac:dyDescent="0.2">
      <c r="A3748" s="9">
        <v>46255</v>
      </c>
      <c r="B3748" t="s">
        <v>244</v>
      </c>
      <c r="C3748" t="s">
        <v>245</v>
      </c>
      <c r="D3748" t="s">
        <v>75</v>
      </c>
      <c r="E3748" t="s">
        <v>647</v>
      </c>
      <c r="F3748" t="s">
        <v>648</v>
      </c>
      <c r="G3748" s="10">
        <v>10</v>
      </c>
      <c r="H3748" s="10">
        <v>80506</v>
      </c>
      <c r="I3748" s="10">
        <v>805060</v>
      </c>
      <c r="J3748" t="s">
        <v>42</v>
      </c>
      <c r="K3748" s="11">
        <v>3145.8</v>
      </c>
      <c r="L3748" s="12">
        <v>255.92</v>
      </c>
    </row>
    <row r="3749" spans="1:12" x14ac:dyDescent="0.2">
      <c r="A3749" s="9">
        <v>46255</v>
      </c>
      <c r="B3749" t="s">
        <v>247</v>
      </c>
      <c r="C3749" t="s">
        <v>248</v>
      </c>
      <c r="D3749" t="s">
        <v>75</v>
      </c>
      <c r="E3749" t="s">
        <v>647</v>
      </c>
      <c r="F3749" t="s">
        <v>648</v>
      </c>
      <c r="G3749" s="10">
        <v>3</v>
      </c>
      <c r="H3749" s="10">
        <v>79485</v>
      </c>
      <c r="I3749" s="10">
        <v>238455</v>
      </c>
      <c r="J3749" t="s">
        <v>42</v>
      </c>
      <c r="K3749" s="11">
        <v>3145.8</v>
      </c>
      <c r="L3749" s="12">
        <v>75.8</v>
      </c>
    </row>
    <row r="3750" spans="1:12" x14ac:dyDescent="0.2">
      <c r="A3750" s="9">
        <v>46255</v>
      </c>
      <c r="B3750" t="s">
        <v>247</v>
      </c>
      <c r="C3750" t="s">
        <v>248</v>
      </c>
      <c r="D3750" t="s">
        <v>75</v>
      </c>
      <c r="E3750" t="s">
        <v>651</v>
      </c>
      <c r="F3750" t="s">
        <v>657</v>
      </c>
      <c r="G3750" s="10">
        <v>3</v>
      </c>
      <c r="H3750" s="10">
        <v>30426</v>
      </c>
      <c r="I3750" s="10">
        <v>91278</v>
      </c>
      <c r="J3750" t="s">
        <v>42</v>
      </c>
      <c r="K3750" s="11">
        <v>3145.8</v>
      </c>
      <c r="L3750" s="12">
        <v>29.02</v>
      </c>
    </row>
    <row r="3751" spans="1:12" x14ac:dyDescent="0.2">
      <c r="A3751" s="9">
        <v>46255</v>
      </c>
      <c r="B3751" t="s">
        <v>256</v>
      </c>
      <c r="C3751" t="s">
        <v>182</v>
      </c>
      <c r="D3751" t="s">
        <v>50</v>
      </c>
      <c r="E3751" t="s">
        <v>660</v>
      </c>
      <c r="F3751" t="s">
        <v>661</v>
      </c>
      <c r="G3751" s="10">
        <v>2</v>
      </c>
      <c r="H3751" s="10">
        <v>4296</v>
      </c>
      <c r="I3751" s="10">
        <v>8592</v>
      </c>
      <c r="J3751" t="s">
        <v>51</v>
      </c>
      <c r="K3751" s="11">
        <v>648.20000000000005</v>
      </c>
      <c r="L3751" s="12">
        <v>13.26</v>
      </c>
    </row>
    <row r="3752" spans="1:12" x14ac:dyDescent="0.2">
      <c r="A3752" s="9">
        <v>46255</v>
      </c>
      <c r="B3752" t="s">
        <v>256</v>
      </c>
      <c r="C3752" t="s">
        <v>182</v>
      </c>
      <c r="D3752" t="s">
        <v>50</v>
      </c>
      <c r="E3752" t="s">
        <v>647</v>
      </c>
      <c r="F3752" t="s">
        <v>648</v>
      </c>
      <c r="G3752" s="10">
        <v>5</v>
      </c>
      <c r="H3752" s="10">
        <v>16072</v>
      </c>
      <c r="I3752" s="10">
        <v>80360</v>
      </c>
      <c r="J3752" t="s">
        <v>51</v>
      </c>
      <c r="K3752" s="11">
        <v>648.20000000000005</v>
      </c>
      <c r="L3752" s="12">
        <v>123.97</v>
      </c>
    </row>
    <row r="3753" spans="1:12" x14ac:dyDescent="0.2">
      <c r="A3753" s="9">
        <v>46255</v>
      </c>
      <c r="B3753" t="s">
        <v>256</v>
      </c>
      <c r="C3753" t="s">
        <v>182</v>
      </c>
      <c r="D3753" t="s">
        <v>50</v>
      </c>
      <c r="E3753" t="s">
        <v>647</v>
      </c>
      <c r="F3753" t="s">
        <v>667</v>
      </c>
      <c r="G3753" s="10">
        <v>1</v>
      </c>
      <c r="H3753" s="10">
        <v>7176</v>
      </c>
      <c r="I3753" s="10">
        <v>7176</v>
      </c>
      <c r="J3753" t="s">
        <v>51</v>
      </c>
      <c r="K3753" s="11">
        <v>648.20000000000005</v>
      </c>
      <c r="L3753" s="12">
        <v>11.07</v>
      </c>
    </row>
    <row r="3754" spans="1:12" x14ac:dyDescent="0.2">
      <c r="A3754" s="9">
        <v>46255</v>
      </c>
      <c r="B3754" t="s">
        <v>258</v>
      </c>
      <c r="C3754" t="s">
        <v>259</v>
      </c>
      <c r="D3754" t="s">
        <v>50</v>
      </c>
      <c r="E3754" t="s">
        <v>660</v>
      </c>
      <c r="F3754" t="s">
        <v>669</v>
      </c>
      <c r="G3754" s="10">
        <v>4</v>
      </c>
      <c r="H3754" s="10">
        <v>2555</v>
      </c>
      <c r="I3754" s="10">
        <v>10220</v>
      </c>
      <c r="J3754" t="s">
        <v>51</v>
      </c>
      <c r="K3754" s="11">
        <v>648.20000000000005</v>
      </c>
      <c r="L3754" s="12">
        <v>15.77</v>
      </c>
    </row>
    <row r="3755" spans="1:12" x14ac:dyDescent="0.2">
      <c r="A3755" s="9">
        <v>46255</v>
      </c>
      <c r="B3755" t="s">
        <v>261</v>
      </c>
      <c r="C3755" t="s">
        <v>262</v>
      </c>
      <c r="D3755" t="s">
        <v>41</v>
      </c>
      <c r="E3755" t="s">
        <v>651</v>
      </c>
      <c r="F3755" t="s">
        <v>652</v>
      </c>
      <c r="G3755" s="10">
        <v>9</v>
      </c>
      <c r="H3755" s="10">
        <v>45598</v>
      </c>
      <c r="I3755" s="10">
        <v>410382</v>
      </c>
      <c r="J3755" t="s">
        <v>42</v>
      </c>
      <c r="K3755" s="11">
        <v>3145.8</v>
      </c>
      <c r="L3755" s="12">
        <v>130.44999999999999</v>
      </c>
    </row>
    <row r="3756" spans="1:12" x14ac:dyDescent="0.2">
      <c r="A3756" s="9">
        <v>46255</v>
      </c>
      <c r="B3756" t="s">
        <v>261</v>
      </c>
      <c r="C3756" t="s">
        <v>262</v>
      </c>
      <c r="D3756" t="s">
        <v>41</v>
      </c>
      <c r="E3756" t="s">
        <v>647</v>
      </c>
      <c r="F3756" t="s">
        <v>668</v>
      </c>
      <c r="G3756" s="10">
        <v>21</v>
      </c>
      <c r="H3756" s="10">
        <v>121848</v>
      </c>
      <c r="I3756" s="10">
        <v>2558808</v>
      </c>
      <c r="J3756" t="s">
        <v>42</v>
      </c>
      <c r="K3756" s="11">
        <v>3145.8</v>
      </c>
      <c r="L3756" s="12">
        <v>813.4</v>
      </c>
    </row>
    <row r="3757" spans="1:12" x14ac:dyDescent="0.2">
      <c r="A3757" s="9">
        <v>46255</v>
      </c>
      <c r="B3757" t="s">
        <v>267</v>
      </c>
      <c r="C3757" t="s">
        <v>268</v>
      </c>
      <c r="D3757" t="s">
        <v>46</v>
      </c>
      <c r="E3757" t="s">
        <v>649</v>
      </c>
      <c r="F3757" t="s">
        <v>659</v>
      </c>
      <c r="G3757" s="10">
        <v>33</v>
      </c>
      <c r="H3757" s="10">
        <v>8791</v>
      </c>
      <c r="I3757" s="10">
        <v>290103</v>
      </c>
      <c r="J3757" t="s">
        <v>37</v>
      </c>
      <c r="K3757" s="11">
        <v>648.20000000000005</v>
      </c>
      <c r="L3757" s="12">
        <v>447.55</v>
      </c>
    </row>
    <row r="3758" spans="1:12" x14ac:dyDescent="0.2">
      <c r="A3758" s="9">
        <v>46255</v>
      </c>
      <c r="B3758" t="s">
        <v>267</v>
      </c>
      <c r="C3758" t="s">
        <v>268</v>
      </c>
      <c r="D3758" t="s">
        <v>46</v>
      </c>
      <c r="E3758" t="s">
        <v>655</v>
      </c>
      <c r="F3758" t="s">
        <v>665</v>
      </c>
      <c r="G3758" s="10">
        <v>19</v>
      </c>
      <c r="H3758" s="10">
        <v>691</v>
      </c>
      <c r="I3758" s="10">
        <v>13129</v>
      </c>
      <c r="J3758" t="s">
        <v>37</v>
      </c>
      <c r="K3758" s="11">
        <v>648.20000000000005</v>
      </c>
      <c r="L3758" s="12">
        <v>20.25</v>
      </c>
    </row>
    <row r="3759" spans="1:12" x14ac:dyDescent="0.2">
      <c r="A3759" s="9">
        <v>46255</v>
      </c>
      <c r="B3759" t="s">
        <v>279</v>
      </c>
      <c r="C3759" t="s">
        <v>280</v>
      </c>
      <c r="D3759" t="s">
        <v>68</v>
      </c>
      <c r="E3759" t="s">
        <v>649</v>
      </c>
      <c r="F3759" t="s">
        <v>659</v>
      </c>
      <c r="G3759" s="10">
        <v>14</v>
      </c>
      <c r="H3759" s="10">
        <v>9118</v>
      </c>
      <c r="I3759" s="10">
        <v>127652</v>
      </c>
      <c r="J3759" t="s">
        <v>51</v>
      </c>
      <c r="K3759" s="11">
        <v>648.20000000000005</v>
      </c>
      <c r="L3759" s="12">
        <v>196.93</v>
      </c>
    </row>
    <row r="3760" spans="1:12" x14ac:dyDescent="0.2">
      <c r="A3760" s="9">
        <v>46255</v>
      </c>
      <c r="B3760" t="s">
        <v>279</v>
      </c>
      <c r="C3760" t="s">
        <v>280</v>
      </c>
      <c r="D3760" t="s">
        <v>68</v>
      </c>
      <c r="E3760" t="s">
        <v>647</v>
      </c>
      <c r="F3760" t="s">
        <v>648</v>
      </c>
      <c r="G3760" s="10">
        <v>28</v>
      </c>
      <c r="H3760" s="10">
        <v>16849</v>
      </c>
      <c r="I3760" s="10">
        <v>471772</v>
      </c>
      <c r="J3760" t="s">
        <v>51</v>
      </c>
      <c r="K3760" s="11">
        <v>648.20000000000005</v>
      </c>
      <c r="L3760" s="12">
        <v>727.82</v>
      </c>
    </row>
    <row r="3761" spans="1:12" x14ac:dyDescent="0.2">
      <c r="A3761" s="9">
        <v>46255</v>
      </c>
      <c r="B3761" t="s">
        <v>288</v>
      </c>
      <c r="C3761" t="s">
        <v>289</v>
      </c>
      <c r="D3761" t="s">
        <v>41</v>
      </c>
      <c r="E3761" t="s">
        <v>660</v>
      </c>
      <c r="F3761" t="s">
        <v>670</v>
      </c>
      <c r="G3761" s="10">
        <v>16</v>
      </c>
      <c r="H3761" s="10">
        <v>68791</v>
      </c>
      <c r="I3761" s="10">
        <v>1100656</v>
      </c>
      <c r="J3761" t="s">
        <v>42</v>
      </c>
      <c r="K3761" s="11">
        <v>3145.8</v>
      </c>
      <c r="L3761" s="12">
        <v>349.88</v>
      </c>
    </row>
    <row r="3762" spans="1:12" x14ac:dyDescent="0.2">
      <c r="A3762" s="9">
        <v>46255</v>
      </c>
      <c r="B3762" t="s">
        <v>294</v>
      </c>
      <c r="C3762" t="s">
        <v>295</v>
      </c>
      <c r="D3762" t="s">
        <v>41</v>
      </c>
      <c r="E3762" t="s">
        <v>651</v>
      </c>
      <c r="F3762" t="s">
        <v>664</v>
      </c>
      <c r="G3762" s="10">
        <v>23</v>
      </c>
      <c r="H3762" s="10">
        <v>60056</v>
      </c>
      <c r="I3762" s="10">
        <v>1381288</v>
      </c>
      <c r="J3762" t="s">
        <v>42</v>
      </c>
      <c r="K3762" s="11">
        <v>3145.8</v>
      </c>
      <c r="L3762" s="12">
        <v>439.09</v>
      </c>
    </row>
    <row r="3763" spans="1:12" x14ac:dyDescent="0.2">
      <c r="A3763" s="9">
        <v>46255</v>
      </c>
      <c r="B3763" t="s">
        <v>297</v>
      </c>
      <c r="C3763" t="s">
        <v>298</v>
      </c>
      <c r="D3763" t="s">
        <v>36</v>
      </c>
      <c r="E3763" t="s">
        <v>647</v>
      </c>
      <c r="F3763" t="s">
        <v>667</v>
      </c>
      <c r="G3763" s="10">
        <v>17</v>
      </c>
      <c r="H3763" s="10">
        <v>7192</v>
      </c>
      <c r="I3763" s="10">
        <v>122264</v>
      </c>
      <c r="J3763" t="s">
        <v>37</v>
      </c>
      <c r="K3763" s="11">
        <v>648.20000000000005</v>
      </c>
      <c r="L3763" s="12">
        <v>188.62</v>
      </c>
    </row>
    <row r="3764" spans="1:12" x14ac:dyDescent="0.2">
      <c r="A3764" s="9">
        <v>46255</v>
      </c>
      <c r="B3764" t="s">
        <v>297</v>
      </c>
      <c r="C3764" t="s">
        <v>298</v>
      </c>
      <c r="D3764" t="s">
        <v>36</v>
      </c>
      <c r="E3764" t="s">
        <v>655</v>
      </c>
      <c r="F3764" t="s">
        <v>665</v>
      </c>
      <c r="G3764" s="10">
        <v>16</v>
      </c>
      <c r="H3764" s="10">
        <v>706</v>
      </c>
      <c r="I3764" s="10">
        <v>11296</v>
      </c>
      <c r="J3764" t="s">
        <v>37</v>
      </c>
      <c r="K3764" s="11">
        <v>648.20000000000005</v>
      </c>
      <c r="L3764" s="12">
        <v>17.43</v>
      </c>
    </row>
    <row r="3765" spans="1:12" x14ac:dyDescent="0.2">
      <c r="A3765" s="9">
        <v>46255</v>
      </c>
      <c r="B3765" t="s">
        <v>300</v>
      </c>
      <c r="C3765" t="s">
        <v>301</v>
      </c>
      <c r="D3765" t="s">
        <v>41</v>
      </c>
      <c r="E3765" t="s">
        <v>653</v>
      </c>
      <c r="F3765" t="s">
        <v>666</v>
      </c>
      <c r="G3765" s="10">
        <v>9</v>
      </c>
      <c r="H3765" s="10">
        <v>7029</v>
      </c>
      <c r="I3765" s="10">
        <v>63261</v>
      </c>
      <c r="J3765" t="s">
        <v>42</v>
      </c>
      <c r="K3765" s="11">
        <v>3145.8</v>
      </c>
      <c r="L3765" s="12">
        <v>20.11</v>
      </c>
    </row>
    <row r="3766" spans="1:12" x14ac:dyDescent="0.2">
      <c r="A3766" s="9">
        <v>46255</v>
      </c>
      <c r="B3766" t="s">
        <v>306</v>
      </c>
      <c r="C3766" t="s">
        <v>307</v>
      </c>
      <c r="D3766" t="s">
        <v>36</v>
      </c>
      <c r="E3766" t="s">
        <v>651</v>
      </c>
      <c r="F3766" t="s">
        <v>652</v>
      </c>
      <c r="G3766" s="10">
        <v>14</v>
      </c>
      <c r="H3766" s="10">
        <v>9831</v>
      </c>
      <c r="I3766" s="10">
        <v>137634</v>
      </c>
      <c r="J3766" t="s">
        <v>37</v>
      </c>
      <c r="K3766" s="11">
        <v>648.20000000000005</v>
      </c>
      <c r="L3766" s="12">
        <v>212.33</v>
      </c>
    </row>
    <row r="3767" spans="1:12" x14ac:dyDescent="0.2">
      <c r="A3767" s="9">
        <v>46255</v>
      </c>
      <c r="B3767" t="s">
        <v>309</v>
      </c>
      <c r="C3767" t="s">
        <v>310</v>
      </c>
      <c r="D3767" t="s">
        <v>41</v>
      </c>
      <c r="E3767" t="s">
        <v>647</v>
      </c>
      <c r="F3767" t="s">
        <v>648</v>
      </c>
      <c r="G3767" s="10">
        <v>2</v>
      </c>
      <c r="H3767" s="10">
        <v>75887</v>
      </c>
      <c r="I3767" s="10">
        <v>151774</v>
      </c>
      <c r="J3767" t="s">
        <v>42</v>
      </c>
      <c r="K3767" s="11">
        <v>3145.8</v>
      </c>
      <c r="L3767" s="12">
        <v>48.25</v>
      </c>
    </row>
    <row r="3768" spans="1:12" x14ac:dyDescent="0.2">
      <c r="A3768" s="9">
        <v>46255</v>
      </c>
      <c r="B3768" t="s">
        <v>312</v>
      </c>
      <c r="C3768" t="s">
        <v>313</v>
      </c>
      <c r="D3768" t="s">
        <v>41</v>
      </c>
      <c r="E3768" t="s">
        <v>655</v>
      </c>
      <c r="F3768" t="s">
        <v>656</v>
      </c>
      <c r="G3768" s="10">
        <v>11</v>
      </c>
      <c r="H3768" s="10">
        <v>2763</v>
      </c>
      <c r="I3768" s="10">
        <v>30393</v>
      </c>
      <c r="J3768" t="s">
        <v>42</v>
      </c>
      <c r="K3768" s="11">
        <v>3145.8</v>
      </c>
      <c r="L3768" s="12">
        <v>9.66</v>
      </c>
    </row>
    <row r="3769" spans="1:12" x14ac:dyDescent="0.2">
      <c r="A3769" s="9">
        <v>46255</v>
      </c>
      <c r="B3769" t="s">
        <v>315</v>
      </c>
      <c r="C3769" t="s">
        <v>316</v>
      </c>
      <c r="D3769" t="s">
        <v>46</v>
      </c>
      <c r="E3769" t="s">
        <v>651</v>
      </c>
      <c r="F3769" t="s">
        <v>657</v>
      </c>
      <c r="G3769" s="10">
        <v>10</v>
      </c>
      <c r="H3769" s="10">
        <v>6452</v>
      </c>
      <c r="I3769" s="10">
        <v>64520</v>
      </c>
      <c r="J3769" t="s">
        <v>37</v>
      </c>
      <c r="K3769" s="11">
        <v>648.20000000000005</v>
      </c>
      <c r="L3769" s="12">
        <v>99.54</v>
      </c>
    </row>
    <row r="3770" spans="1:12" x14ac:dyDescent="0.2">
      <c r="A3770" s="9">
        <v>46255</v>
      </c>
      <c r="B3770" t="s">
        <v>318</v>
      </c>
      <c r="C3770" t="s">
        <v>319</v>
      </c>
      <c r="D3770" t="s">
        <v>41</v>
      </c>
      <c r="E3770" t="s">
        <v>649</v>
      </c>
      <c r="F3770" t="s">
        <v>659</v>
      </c>
      <c r="G3770" s="10">
        <v>2</v>
      </c>
      <c r="H3770" s="10">
        <v>42189</v>
      </c>
      <c r="I3770" s="10">
        <v>84378</v>
      </c>
      <c r="J3770" t="s">
        <v>42</v>
      </c>
      <c r="K3770" s="11">
        <v>3145.8</v>
      </c>
      <c r="L3770" s="12">
        <v>26.82</v>
      </c>
    </row>
    <row r="3771" spans="1:12" x14ac:dyDescent="0.2">
      <c r="A3771" s="9">
        <v>46255</v>
      </c>
      <c r="B3771" t="s">
        <v>318</v>
      </c>
      <c r="C3771" t="s">
        <v>319</v>
      </c>
      <c r="D3771" t="s">
        <v>41</v>
      </c>
      <c r="E3771" t="s">
        <v>647</v>
      </c>
      <c r="F3771" t="s">
        <v>668</v>
      </c>
      <c r="G3771" s="10">
        <v>2</v>
      </c>
      <c r="H3771" s="10">
        <v>123185</v>
      </c>
      <c r="I3771" s="10">
        <v>246370</v>
      </c>
      <c r="J3771" t="s">
        <v>42</v>
      </c>
      <c r="K3771" s="11">
        <v>3145.8</v>
      </c>
      <c r="L3771" s="12">
        <v>78.319999999999993</v>
      </c>
    </row>
    <row r="3772" spans="1:12" x14ac:dyDescent="0.2">
      <c r="A3772" s="9">
        <v>46255</v>
      </c>
      <c r="B3772" t="s">
        <v>318</v>
      </c>
      <c r="C3772" t="s">
        <v>319</v>
      </c>
      <c r="D3772" t="s">
        <v>41</v>
      </c>
      <c r="E3772" t="s">
        <v>647</v>
      </c>
      <c r="F3772" t="s">
        <v>667</v>
      </c>
      <c r="G3772" s="10">
        <v>4</v>
      </c>
      <c r="H3772" s="10">
        <v>36131</v>
      </c>
      <c r="I3772" s="10">
        <v>144524</v>
      </c>
      <c r="J3772" t="s">
        <v>42</v>
      </c>
      <c r="K3772" s="11">
        <v>3145.8</v>
      </c>
      <c r="L3772" s="12">
        <v>45.94</v>
      </c>
    </row>
    <row r="3773" spans="1:12" x14ac:dyDescent="0.2">
      <c r="A3773" s="9">
        <v>46255</v>
      </c>
      <c r="B3773" t="s">
        <v>321</v>
      </c>
      <c r="C3773" t="s">
        <v>322</v>
      </c>
      <c r="D3773" t="s">
        <v>41</v>
      </c>
      <c r="E3773" t="s">
        <v>655</v>
      </c>
      <c r="F3773" t="s">
        <v>656</v>
      </c>
      <c r="G3773" s="10">
        <v>5</v>
      </c>
      <c r="H3773" s="10">
        <v>2739</v>
      </c>
      <c r="I3773" s="10">
        <v>13695</v>
      </c>
      <c r="J3773" t="s">
        <v>42</v>
      </c>
      <c r="K3773" s="11">
        <v>3145.8</v>
      </c>
      <c r="L3773" s="12">
        <v>4.3499999999999996</v>
      </c>
    </row>
    <row r="3774" spans="1:12" x14ac:dyDescent="0.2">
      <c r="A3774" s="9">
        <v>46255</v>
      </c>
      <c r="B3774" t="s">
        <v>324</v>
      </c>
      <c r="C3774" t="s">
        <v>325</v>
      </c>
      <c r="D3774" t="s">
        <v>46</v>
      </c>
      <c r="E3774" t="s">
        <v>651</v>
      </c>
      <c r="F3774" t="s">
        <v>652</v>
      </c>
      <c r="G3774" s="10">
        <v>7</v>
      </c>
      <c r="H3774" s="10">
        <v>9812</v>
      </c>
      <c r="I3774" s="10">
        <v>68684</v>
      </c>
      <c r="J3774" t="s">
        <v>37</v>
      </c>
      <c r="K3774" s="11">
        <v>648.20000000000005</v>
      </c>
      <c r="L3774" s="12">
        <v>105.96</v>
      </c>
    </row>
    <row r="3775" spans="1:12" x14ac:dyDescent="0.2">
      <c r="A3775" s="9">
        <v>46255</v>
      </c>
      <c r="B3775" t="s">
        <v>324</v>
      </c>
      <c r="C3775" t="s">
        <v>325</v>
      </c>
      <c r="D3775" t="s">
        <v>46</v>
      </c>
      <c r="E3775" t="s">
        <v>647</v>
      </c>
      <c r="F3775" t="s">
        <v>667</v>
      </c>
      <c r="G3775" s="10">
        <v>10</v>
      </c>
      <c r="H3775" s="10">
        <v>7342</v>
      </c>
      <c r="I3775" s="10">
        <v>73420</v>
      </c>
      <c r="J3775" t="s">
        <v>37</v>
      </c>
      <c r="K3775" s="11">
        <v>648.20000000000005</v>
      </c>
      <c r="L3775" s="12">
        <v>113.27</v>
      </c>
    </row>
    <row r="3776" spans="1:12" x14ac:dyDescent="0.2">
      <c r="A3776" s="9">
        <v>46255</v>
      </c>
      <c r="B3776" t="s">
        <v>327</v>
      </c>
      <c r="C3776" t="s">
        <v>328</v>
      </c>
      <c r="D3776" t="s">
        <v>46</v>
      </c>
      <c r="E3776" t="s">
        <v>647</v>
      </c>
      <c r="F3776" t="s">
        <v>648</v>
      </c>
      <c r="G3776" s="10">
        <v>8</v>
      </c>
      <c r="H3776" s="10">
        <v>16813</v>
      </c>
      <c r="I3776" s="10">
        <v>134504</v>
      </c>
      <c r="J3776" t="s">
        <v>37</v>
      </c>
      <c r="K3776" s="11">
        <v>648.20000000000005</v>
      </c>
      <c r="L3776" s="12">
        <v>207.5</v>
      </c>
    </row>
    <row r="3777" spans="1:12" x14ac:dyDescent="0.2">
      <c r="A3777" s="9">
        <v>46255</v>
      </c>
      <c r="B3777" t="s">
        <v>330</v>
      </c>
      <c r="C3777" t="s">
        <v>331</v>
      </c>
      <c r="D3777" t="s">
        <v>68</v>
      </c>
      <c r="E3777" t="s">
        <v>647</v>
      </c>
      <c r="F3777" t="s">
        <v>667</v>
      </c>
      <c r="G3777" s="10">
        <v>3</v>
      </c>
      <c r="H3777" s="10">
        <v>7190</v>
      </c>
      <c r="I3777" s="10">
        <v>21570</v>
      </c>
      <c r="J3777" t="s">
        <v>51</v>
      </c>
      <c r="K3777" s="11">
        <v>648.20000000000005</v>
      </c>
      <c r="L3777" s="12">
        <v>33.28</v>
      </c>
    </row>
    <row r="3778" spans="1:12" x14ac:dyDescent="0.2">
      <c r="A3778" s="9">
        <v>46255</v>
      </c>
      <c r="B3778" t="s">
        <v>336</v>
      </c>
      <c r="C3778" t="s">
        <v>337</v>
      </c>
      <c r="D3778" t="s">
        <v>68</v>
      </c>
      <c r="E3778" t="s">
        <v>651</v>
      </c>
      <c r="F3778" t="s">
        <v>657</v>
      </c>
      <c r="G3778" s="10">
        <v>13</v>
      </c>
      <c r="H3778" s="10">
        <v>6307</v>
      </c>
      <c r="I3778" s="10">
        <v>81991</v>
      </c>
      <c r="J3778" t="s">
        <v>51</v>
      </c>
      <c r="K3778" s="11">
        <v>648.20000000000005</v>
      </c>
      <c r="L3778" s="12">
        <v>126.49</v>
      </c>
    </row>
    <row r="3779" spans="1:12" x14ac:dyDescent="0.2">
      <c r="A3779" s="9">
        <v>46255</v>
      </c>
      <c r="B3779" t="s">
        <v>336</v>
      </c>
      <c r="C3779" t="s">
        <v>337</v>
      </c>
      <c r="D3779" t="s">
        <v>68</v>
      </c>
      <c r="E3779" t="s">
        <v>655</v>
      </c>
      <c r="F3779" t="s">
        <v>665</v>
      </c>
      <c r="G3779" s="10">
        <v>10</v>
      </c>
      <c r="H3779" s="10">
        <v>696</v>
      </c>
      <c r="I3779" s="10">
        <v>6960</v>
      </c>
      <c r="J3779" t="s">
        <v>51</v>
      </c>
      <c r="K3779" s="11">
        <v>648.20000000000005</v>
      </c>
      <c r="L3779" s="12">
        <v>10.74</v>
      </c>
    </row>
    <row r="3780" spans="1:12" x14ac:dyDescent="0.2">
      <c r="A3780" s="9">
        <v>46255</v>
      </c>
      <c r="B3780" t="s">
        <v>339</v>
      </c>
      <c r="C3780" t="s">
        <v>340</v>
      </c>
      <c r="D3780" t="s">
        <v>68</v>
      </c>
      <c r="E3780" t="s">
        <v>651</v>
      </c>
      <c r="F3780" t="s">
        <v>652</v>
      </c>
      <c r="G3780" s="10">
        <v>11</v>
      </c>
      <c r="H3780" s="10">
        <v>9730</v>
      </c>
      <c r="I3780" s="10">
        <v>107030</v>
      </c>
      <c r="J3780" t="s">
        <v>51</v>
      </c>
      <c r="K3780" s="11">
        <v>648.20000000000005</v>
      </c>
      <c r="L3780" s="12">
        <v>165.12</v>
      </c>
    </row>
    <row r="3781" spans="1:12" x14ac:dyDescent="0.2">
      <c r="A3781" s="9">
        <v>46255</v>
      </c>
      <c r="B3781" t="s">
        <v>339</v>
      </c>
      <c r="C3781" t="s">
        <v>340</v>
      </c>
      <c r="D3781" t="s">
        <v>68</v>
      </c>
      <c r="E3781" t="s">
        <v>647</v>
      </c>
      <c r="F3781" t="s">
        <v>667</v>
      </c>
      <c r="G3781" s="10">
        <v>8</v>
      </c>
      <c r="H3781" s="10">
        <v>7327</v>
      </c>
      <c r="I3781" s="10">
        <v>58616</v>
      </c>
      <c r="J3781" t="s">
        <v>51</v>
      </c>
      <c r="K3781" s="11">
        <v>648.20000000000005</v>
      </c>
      <c r="L3781" s="12">
        <v>90.43</v>
      </c>
    </row>
    <row r="3782" spans="1:12" x14ac:dyDescent="0.2">
      <c r="A3782" s="9">
        <v>46255</v>
      </c>
      <c r="B3782" t="s">
        <v>348</v>
      </c>
      <c r="C3782" t="s">
        <v>349</v>
      </c>
      <c r="D3782" t="s">
        <v>36</v>
      </c>
      <c r="E3782" t="s">
        <v>647</v>
      </c>
      <c r="F3782" t="s">
        <v>667</v>
      </c>
      <c r="G3782" s="10">
        <v>39</v>
      </c>
      <c r="H3782" s="10">
        <v>7452</v>
      </c>
      <c r="I3782" s="10">
        <v>290628</v>
      </c>
      <c r="J3782" t="s">
        <v>37</v>
      </c>
      <c r="K3782" s="11">
        <v>648.20000000000005</v>
      </c>
      <c r="L3782" s="12">
        <v>448.36</v>
      </c>
    </row>
    <row r="3783" spans="1:12" x14ac:dyDescent="0.2">
      <c r="A3783" s="9">
        <v>46255</v>
      </c>
      <c r="B3783" t="s">
        <v>357</v>
      </c>
      <c r="C3783" t="s">
        <v>358</v>
      </c>
      <c r="D3783" t="s">
        <v>36</v>
      </c>
      <c r="E3783" t="s">
        <v>660</v>
      </c>
      <c r="F3783" t="s">
        <v>669</v>
      </c>
      <c r="G3783" s="10">
        <v>41</v>
      </c>
      <c r="H3783" s="10">
        <v>2521</v>
      </c>
      <c r="I3783" s="10">
        <v>103361</v>
      </c>
      <c r="J3783" t="s">
        <v>37</v>
      </c>
      <c r="K3783" s="11">
        <v>648.20000000000005</v>
      </c>
      <c r="L3783" s="12">
        <v>159.46</v>
      </c>
    </row>
    <row r="3784" spans="1:12" x14ac:dyDescent="0.2">
      <c r="A3784" s="9">
        <v>46255</v>
      </c>
      <c r="B3784" t="s">
        <v>363</v>
      </c>
      <c r="C3784" t="s">
        <v>364</v>
      </c>
      <c r="D3784" t="s">
        <v>46</v>
      </c>
      <c r="E3784" t="s">
        <v>649</v>
      </c>
      <c r="F3784" t="s">
        <v>659</v>
      </c>
      <c r="G3784" s="10">
        <v>68</v>
      </c>
      <c r="H3784" s="10">
        <v>9118</v>
      </c>
      <c r="I3784" s="10">
        <v>620024</v>
      </c>
      <c r="J3784" t="s">
        <v>37</v>
      </c>
      <c r="K3784" s="11">
        <v>648.20000000000005</v>
      </c>
      <c r="L3784" s="12">
        <v>956.53</v>
      </c>
    </row>
    <row r="3785" spans="1:12" x14ac:dyDescent="0.2">
      <c r="A3785" s="9">
        <v>46255</v>
      </c>
      <c r="B3785" t="s">
        <v>363</v>
      </c>
      <c r="C3785" t="s">
        <v>364</v>
      </c>
      <c r="D3785" t="s">
        <v>46</v>
      </c>
      <c r="E3785" t="s">
        <v>647</v>
      </c>
      <c r="F3785" t="s">
        <v>648</v>
      </c>
      <c r="G3785" s="10">
        <v>21</v>
      </c>
      <c r="H3785" s="10">
        <v>15864</v>
      </c>
      <c r="I3785" s="10">
        <v>333144</v>
      </c>
      <c r="J3785" t="s">
        <v>37</v>
      </c>
      <c r="K3785" s="11">
        <v>648.20000000000005</v>
      </c>
      <c r="L3785" s="12">
        <v>513.95000000000005</v>
      </c>
    </row>
    <row r="3786" spans="1:12" x14ac:dyDescent="0.2">
      <c r="A3786" s="9">
        <v>46255</v>
      </c>
      <c r="B3786" t="s">
        <v>366</v>
      </c>
      <c r="C3786" t="s">
        <v>367</v>
      </c>
      <c r="D3786" t="s">
        <v>41</v>
      </c>
      <c r="E3786" t="s">
        <v>660</v>
      </c>
      <c r="F3786" t="s">
        <v>661</v>
      </c>
      <c r="G3786" s="10">
        <v>5</v>
      </c>
      <c r="H3786" s="10">
        <v>20662</v>
      </c>
      <c r="I3786" s="10">
        <v>103310</v>
      </c>
      <c r="J3786" t="s">
        <v>42</v>
      </c>
      <c r="K3786" s="11">
        <v>3145.8</v>
      </c>
      <c r="L3786" s="12">
        <v>32.840000000000003</v>
      </c>
    </row>
    <row r="3787" spans="1:12" x14ac:dyDescent="0.2">
      <c r="A3787" s="9">
        <v>46255</v>
      </c>
      <c r="B3787" t="s">
        <v>375</v>
      </c>
      <c r="C3787" t="s">
        <v>376</v>
      </c>
      <c r="D3787" t="s">
        <v>36</v>
      </c>
      <c r="E3787" t="s">
        <v>647</v>
      </c>
      <c r="F3787" t="s">
        <v>667</v>
      </c>
      <c r="G3787" s="10">
        <v>3</v>
      </c>
      <c r="H3787" s="10">
        <v>7071</v>
      </c>
      <c r="I3787" s="10">
        <v>21213</v>
      </c>
      <c r="J3787" t="s">
        <v>37</v>
      </c>
      <c r="K3787" s="11">
        <v>648.20000000000005</v>
      </c>
      <c r="L3787" s="12">
        <v>32.729999999999997</v>
      </c>
    </row>
    <row r="3788" spans="1:12" x14ac:dyDescent="0.2">
      <c r="A3788" s="9">
        <v>46255</v>
      </c>
      <c r="B3788" t="s">
        <v>381</v>
      </c>
      <c r="C3788" t="s">
        <v>382</v>
      </c>
      <c r="D3788" t="s">
        <v>36</v>
      </c>
      <c r="E3788" t="s">
        <v>649</v>
      </c>
      <c r="F3788" t="s">
        <v>663</v>
      </c>
      <c r="G3788" s="10">
        <v>14</v>
      </c>
      <c r="H3788" s="10">
        <v>2006</v>
      </c>
      <c r="I3788" s="10">
        <v>28084</v>
      </c>
      <c r="J3788" t="s">
        <v>37</v>
      </c>
      <c r="K3788" s="11">
        <v>648.20000000000005</v>
      </c>
      <c r="L3788" s="12">
        <v>43.33</v>
      </c>
    </row>
    <row r="3789" spans="1:12" x14ac:dyDescent="0.2">
      <c r="A3789" s="9">
        <v>46255</v>
      </c>
      <c r="B3789" t="s">
        <v>381</v>
      </c>
      <c r="C3789" t="s">
        <v>382</v>
      </c>
      <c r="D3789" t="s">
        <v>36</v>
      </c>
      <c r="E3789" t="s">
        <v>660</v>
      </c>
      <c r="F3789" t="s">
        <v>669</v>
      </c>
      <c r="G3789" s="10">
        <v>9</v>
      </c>
      <c r="H3789" s="10">
        <v>2534</v>
      </c>
      <c r="I3789" s="10">
        <v>22806</v>
      </c>
      <c r="J3789" t="s">
        <v>37</v>
      </c>
      <c r="K3789" s="11">
        <v>648.20000000000005</v>
      </c>
      <c r="L3789" s="12">
        <v>35.18</v>
      </c>
    </row>
    <row r="3790" spans="1:12" x14ac:dyDescent="0.2">
      <c r="A3790" s="9">
        <v>46255</v>
      </c>
      <c r="B3790" t="s">
        <v>381</v>
      </c>
      <c r="C3790" t="s">
        <v>382</v>
      </c>
      <c r="D3790" t="s">
        <v>36</v>
      </c>
      <c r="E3790" t="s">
        <v>660</v>
      </c>
      <c r="F3790" t="s">
        <v>670</v>
      </c>
      <c r="G3790" s="10">
        <v>10</v>
      </c>
      <c r="H3790" s="10">
        <v>14563</v>
      </c>
      <c r="I3790" s="10">
        <v>145630</v>
      </c>
      <c r="J3790" t="s">
        <v>37</v>
      </c>
      <c r="K3790" s="11">
        <v>648.20000000000005</v>
      </c>
      <c r="L3790" s="12">
        <v>224.67</v>
      </c>
    </row>
    <row r="3791" spans="1:12" x14ac:dyDescent="0.2">
      <c r="A3791" s="9">
        <v>46255</v>
      </c>
      <c r="B3791" t="s">
        <v>384</v>
      </c>
      <c r="C3791" t="s">
        <v>385</v>
      </c>
      <c r="D3791" t="s">
        <v>46</v>
      </c>
      <c r="E3791" t="s">
        <v>660</v>
      </c>
      <c r="F3791" t="s">
        <v>670</v>
      </c>
      <c r="G3791" s="10">
        <v>1</v>
      </c>
      <c r="H3791" s="10">
        <v>15034</v>
      </c>
      <c r="I3791" s="10">
        <v>15034</v>
      </c>
      <c r="J3791" t="s">
        <v>37</v>
      </c>
      <c r="K3791" s="11">
        <v>648.20000000000005</v>
      </c>
      <c r="L3791" s="12">
        <v>23.19</v>
      </c>
    </row>
    <row r="3792" spans="1:12" x14ac:dyDescent="0.2">
      <c r="A3792" s="9">
        <v>46255</v>
      </c>
      <c r="B3792" t="s">
        <v>393</v>
      </c>
      <c r="C3792" t="s">
        <v>307</v>
      </c>
      <c r="D3792" t="s">
        <v>68</v>
      </c>
      <c r="E3792" t="s">
        <v>653</v>
      </c>
      <c r="F3792" t="s">
        <v>658</v>
      </c>
      <c r="G3792" s="10">
        <v>121</v>
      </c>
      <c r="H3792" s="10">
        <v>2684</v>
      </c>
      <c r="I3792" s="10">
        <v>324764</v>
      </c>
      <c r="J3792" t="s">
        <v>51</v>
      </c>
      <c r="K3792" s="11">
        <v>648.20000000000005</v>
      </c>
      <c r="L3792" s="12">
        <v>501.02</v>
      </c>
    </row>
    <row r="3793" spans="1:12" x14ac:dyDescent="0.2">
      <c r="A3793" s="9">
        <v>46255</v>
      </c>
      <c r="B3793" t="s">
        <v>393</v>
      </c>
      <c r="C3793" t="s">
        <v>307</v>
      </c>
      <c r="D3793" t="s">
        <v>68</v>
      </c>
      <c r="E3793" t="s">
        <v>649</v>
      </c>
      <c r="F3793" t="s">
        <v>659</v>
      </c>
      <c r="G3793" s="10">
        <v>61</v>
      </c>
      <c r="H3793" s="10">
        <v>9008</v>
      </c>
      <c r="I3793" s="10">
        <v>549488</v>
      </c>
      <c r="J3793" t="s">
        <v>51</v>
      </c>
      <c r="K3793" s="11">
        <v>648.20000000000005</v>
      </c>
      <c r="L3793" s="12">
        <v>847.71</v>
      </c>
    </row>
    <row r="3794" spans="1:12" x14ac:dyDescent="0.2">
      <c r="A3794" s="9">
        <v>46255</v>
      </c>
      <c r="B3794" t="s">
        <v>395</v>
      </c>
      <c r="C3794" t="s">
        <v>396</v>
      </c>
      <c r="D3794" t="s">
        <v>46</v>
      </c>
      <c r="E3794" t="s">
        <v>647</v>
      </c>
      <c r="F3794" t="s">
        <v>648</v>
      </c>
      <c r="G3794" s="10">
        <v>11</v>
      </c>
      <c r="H3794" s="10">
        <v>16204</v>
      </c>
      <c r="I3794" s="10">
        <v>178244</v>
      </c>
      <c r="J3794" t="s">
        <v>37</v>
      </c>
      <c r="K3794" s="11">
        <v>648.20000000000005</v>
      </c>
      <c r="L3794" s="12">
        <v>274.98</v>
      </c>
    </row>
    <row r="3795" spans="1:12" x14ac:dyDescent="0.2">
      <c r="A3795" s="9">
        <v>46255</v>
      </c>
      <c r="B3795" t="s">
        <v>395</v>
      </c>
      <c r="C3795" t="s">
        <v>396</v>
      </c>
      <c r="D3795" t="s">
        <v>46</v>
      </c>
      <c r="E3795" t="s">
        <v>655</v>
      </c>
      <c r="F3795" t="s">
        <v>656</v>
      </c>
      <c r="G3795" s="10">
        <v>5</v>
      </c>
      <c r="H3795" s="10">
        <v>560</v>
      </c>
      <c r="I3795" s="10">
        <v>2800</v>
      </c>
      <c r="J3795" t="s">
        <v>37</v>
      </c>
      <c r="K3795" s="11">
        <v>648.20000000000005</v>
      </c>
      <c r="L3795" s="12">
        <v>4.32</v>
      </c>
    </row>
    <row r="3796" spans="1:12" x14ac:dyDescent="0.2">
      <c r="A3796" s="9">
        <v>46255</v>
      </c>
      <c r="B3796" t="s">
        <v>398</v>
      </c>
      <c r="C3796" t="s">
        <v>399</v>
      </c>
      <c r="D3796" t="s">
        <v>46</v>
      </c>
      <c r="E3796" t="s">
        <v>660</v>
      </c>
      <c r="F3796" t="s">
        <v>670</v>
      </c>
      <c r="G3796" s="10">
        <v>10</v>
      </c>
      <c r="H3796" s="10">
        <v>14558</v>
      </c>
      <c r="I3796" s="10">
        <v>145580</v>
      </c>
      <c r="J3796" t="s">
        <v>37</v>
      </c>
      <c r="K3796" s="11">
        <v>648.20000000000005</v>
      </c>
      <c r="L3796" s="12">
        <v>224.59</v>
      </c>
    </row>
    <row r="3797" spans="1:12" x14ac:dyDescent="0.2">
      <c r="A3797" s="9">
        <v>46255</v>
      </c>
      <c r="B3797" t="s">
        <v>398</v>
      </c>
      <c r="C3797" t="s">
        <v>399</v>
      </c>
      <c r="D3797" t="s">
        <v>46</v>
      </c>
      <c r="E3797" t="s">
        <v>647</v>
      </c>
      <c r="F3797" t="s">
        <v>668</v>
      </c>
      <c r="G3797" s="10">
        <v>12</v>
      </c>
      <c r="H3797" s="10">
        <v>24790</v>
      </c>
      <c r="I3797" s="10">
        <v>297480</v>
      </c>
      <c r="J3797" t="s">
        <v>37</v>
      </c>
      <c r="K3797" s="11">
        <v>648.20000000000005</v>
      </c>
      <c r="L3797" s="12">
        <v>458.93</v>
      </c>
    </row>
    <row r="3798" spans="1:12" x14ac:dyDescent="0.2">
      <c r="A3798" s="9">
        <v>46255</v>
      </c>
      <c r="B3798" t="s">
        <v>398</v>
      </c>
      <c r="C3798" t="s">
        <v>399</v>
      </c>
      <c r="D3798" t="s">
        <v>46</v>
      </c>
      <c r="E3798" t="s">
        <v>647</v>
      </c>
      <c r="F3798" t="s">
        <v>667</v>
      </c>
      <c r="G3798" s="10">
        <v>10</v>
      </c>
      <c r="H3798" s="10">
        <v>7074</v>
      </c>
      <c r="I3798" s="10">
        <v>70740</v>
      </c>
      <c r="J3798" t="s">
        <v>37</v>
      </c>
      <c r="K3798" s="11">
        <v>648.20000000000005</v>
      </c>
      <c r="L3798" s="12">
        <v>109.13</v>
      </c>
    </row>
    <row r="3799" spans="1:12" x14ac:dyDescent="0.2">
      <c r="A3799" s="9">
        <v>46255</v>
      </c>
      <c r="B3799" t="s">
        <v>401</v>
      </c>
      <c r="C3799" t="s">
        <v>402</v>
      </c>
      <c r="D3799" t="s">
        <v>36</v>
      </c>
      <c r="E3799" t="s">
        <v>660</v>
      </c>
      <c r="F3799" t="s">
        <v>669</v>
      </c>
      <c r="G3799" s="10">
        <v>29</v>
      </c>
      <c r="H3799" s="10">
        <v>2588</v>
      </c>
      <c r="I3799" s="10">
        <v>75052</v>
      </c>
      <c r="J3799" t="s">
        <v>37</v>
      </c>
      <c r="K3799" s="11">
        <v>648.20000000000005</v>
      </c>
      <c r="L3799" s="12">
        <v>115.79</v>
      </c>
    </row>
    <row r="3800" spans="1:12" x14ac:dyDescent="0.2">
      <c r="A3800" s="9">
        <v>46255</v>
      </c>
      <c r="B3800" t="s">
        <v>401</v>
      </c>
      <c r="C3800" t="s">
        <v>402</v>
      </c>
      <c r="D3800" t="s">
        <v>36</v>
      </c>
      <c r="E3800" t="s">
        <v>655</v>
      </c>
      <c r="F3800" t="s">
        <v>656</v>
      </c>
      <c r="G3800" s="10">
        <v>24</v>
      </c>
      <c r="H3800" s="10">
        <v>593</v>
      </c>
      <c r="I3800" s="10">
        <v>14232</v>
      </c>
      <c r="J3800" t="s">
        <v>37</v>
      </c>
      <c r="K3800" s="11">
        <v>648.20000000000005</v>
      </c>
      <c r="L3800" s="12">
        <v>21.96</v>
      </c>
    </row>
    <row r="3801" spans="1:12" x14ac:dyDescent="0.2">
      <c r="A3801" s="9">
        <v>46255</v>
      </c>
      <c r="B3801" t="s">
        <v>404</v>
      </c>
      <c r="C3801" t="s">
        <v>405</v>
      </c>
      <c r="D3801" t="s">
        <v>46</v>
      </c>
      <c r="E3801" t="s">
        <v>649</v>
      </c>
      <c r="F3801" t="s">
        <v>659</v>
      </c>
      <c r="G3801" s="10">
        <v>19</v>
      </c>
      <c r="H3801" s="10">
        <v>9052</v>
      </c>
      <c r="I3801" s="10">
        <v>171988</v>
      </c>
      <c r="J3801" t="s">
        <v>37</v>
      </c>
      <c r="K3801" s="11">
        <v>648.20000000000005</v>
      </c>
      <c r="L3801" s="12">
        <v>265.33</v>
      </c>
    </row>
    <row r="3802" spans="1:12" x14ac:dyDescent="0.2">
      <c r="A3802" s="9">
        <v>46255</v>
      </c>
      <c r="B3802" t="s">
        <v>404</v>
      </c>
      <c r="C3802" t="s">
        <v>405</v>
      </c>
      <c r="D3802" t="s">
        <v>46</v>
      </c>
      <c r="E3802" t="s">
        <v>647</v>
      </c>
      <c r="F3802" t="s">
        <v>667</v>
      </c>
      <c r="G3802" s="10">
        <v>6</v>
      </c>
      <c r="H3802" s="10">
        <v>7098</v>
      </c>
      <c r="I3802" s="10">
        <v>42588</v>
      </c>
      <c r="J3802" t="s">
        <v>37</v>
      </c>
      <c r="K3802" s="11">
        <v>648.20000000000005</v>
      </c>
      <c r="L3802" s="12">
        <v>65.7</v>
      </c>
    </row>
    <row r="3803" spans="1:12" x14ac:dyDescent="0.2">
      <c r="A3803" s="9">
        <v>46255</v>
      </c>
      <c r="B3803" t="s">
        <v>407</v>
      </c>
      <c r="C3803" t="s">
        <v>408</v>
      </c>
      <c r="D3803" t="s">
        <v>75</v>
      </c>
      <c r="E3803" t="s">
        <v>649</v>
      </c>
      <c r="F3803" t="s">
        <v>650</v>
      </c>
      <c r="G3803" s="10">
        <v>2</v>
      </c>
      <c r="H3803" s="10">
        <v>91226</v>
      </c>
      <c r="I3803" s="10">
        <v>182452</v>
      </c>
      <c r="J3803" t="s">
        <v>42</v>
      </c>
      <c r="K3803" s="11">
        <v>3145.8</v>
      </c>
      <c r="L3803" s="12">
        <v>58</v>
      </c>
    </row>
    <row r="3804" spans="1:12" x14ac:dyDescent="0.2">
      <c r="A3804" s="9">
        <v>46255</v>
      </c>
      <c r="B3804" t="s">
        <v>410</v>
      </c>
      <c r="C3804" t="s">
        <v>411</v>
      </c>
      <c r="D3804" t="s">
        <v>46</v>
      </c>
      <c r="E3804" t="s">
        <v>647</v>
      </c>
      <c r="F3804" t="s">
        <v>668</v>
      </c>
      <c r="G3804" s="10">
        <v>13</v>
      </c>
      <c r="H3804" s="10">
        <v>24370</v>
      </c>
      <c r="I3804" s="10">
        <v>316810</v>
      </c>
      <c r="J3804" t="s">
        <v>37</v>
      </c>
      <c r="K3804" s="11">
        <v>648.20000000000005</v>
      </c>
      <c r="L3804" s="12">
        <v>488.75</v>
      </c>
    </row>
    <row r="3805" spans="1:12" x14ac:dyDescent="0.2">
      <c r="A3805" s="9">
        <v>46255</v>
      </c>
      <c r="B3805" t="s">
        <v>410</v>
      </c>
      <c r="C3805" t="s">
        <v>411</v>
      </c>
      <c r="D3805" t="s">
        <v>46</v>
      </c>
      <c r="E3805" t="s">
        <v>651</v>
      </c>
      <c r="F3805" t="s">
        <v>657</v>
      </c>
      <c r="G3805" s="10">
        <v>11</v>
      </c>
      <c r="H3805" s="10">
        <v>6206</v>
      </c>
      <c r="I3805" s="10">
        <v>68266</v>
      </c>
      <c r="J3805" t="s">
        <v>37</v>
      </c>
      <c r="K3805" s="11">
        <v>648.20000000000005</v>
      </c>
      <c r="L3805" s="12">
        <v>105.32</v>
      </c>
    </row>
    <row r="3806" spans="1:12" x14ac:dyDescent="0.2">
      <c r="A3806" s="9">
        <v>46255</v>
      </c>
      <c r="B3806" t="s">
        <v>419</v>
      </c>
      <c r="C3806" t="s">
        <v>420</v>
      </c>
      <c r="D3806" t="s">
        <v>46</v>
      </c>
      <c r="E3806" t="s">
        <v>649</v>
      </c>
      <c r="F3806" t="s">
        <v>659</v>
      </c>
      <c r="G3806" s="10">
        <v>7</v>
      </c>
      <c r="H3806" s="10">
        <v>8564</v>
      </c>
      <c r="I3806" s="10">
        <v>59948</v>
      </c>
      <c r="J3806" t="s">
        <v>37</v>
      </c>
      <c r="K3806" s="11">
        <v>648.20000000000005</v>
      </c>
      <c r="L3806" s="12">
        <v>92.48</v>
      </c>
    </row>
    <row r="3807" spans="1:12" x14ac:dyDescent="0.2">
      <c r="A3807" s="9">
        <v>46255</v>
      </c>
      <c r="B3807" t="s">
        <v>419</v>
      </c>
      <c r="C3807" t="s">
        <v>420</v>
      </c>
      <c r="D3807" t="s">
        <v>46</v>
      </c>
      <c r="E3807" t="s">
        <v>653</v>
      </c>
      <c r="F3807" t="s">
        <v>654</v>
      </c>
      <c r="G3807" s="10">
        <v>9</v>
      </c>
      <c r="H3807" s="10">
        <v>5704</v>
      </c>
      <c r="I3807" s="10">
        <v>51336</v>
      </c>
      <c r="J3807" t="s">
        <v>37</v>
      </c>
      <c r="K3807" s="11">
        <v>648.20000000000005</v>
      </c>
      <c r="L3807" s="12">
        <v>79.2</v>
      </c>
    </row>
    <row r="3808" spans="1:12" x14ac:dyDescent="0.2">
      <c r="A3808" s="9">
        <v>46255</v>
      </c>
      <c r="B3808" t="s">
        <v>431</v>
      </c>
      <c r="C3808" t="s">
        <v>432</v>
      </c>
      <c r="D3808" t="s">
        <v>36</v>
      </c>
      <c r="E3808" t="s">
        <v>649</v>
      </c>
      <c r="F3808" t="s">
        <v>650</v>
      </c>
      <c r="G3808" s="10">
        <v>8</v>
      </c>
      <c r="H3808" s="10">
        <v>18785</v>
      </c>
      <c r="I3808" s="10">
        <v>150280</v>
      </c>
      <c r="J3808" t="s">
        <v>37</v>
      </c>
      <c r="K3808" s="11">
        <v>648.20000000000005</v>
      </c>
      <c r="L3808" s="12">
        <v>231.84</v>
      </c>
    </row>
    <row r="3809" spans="1:12" x14ac:dyDescent="0.2">
      <c r="A3809" s="9">
        <v>46255</v>
      </c>
      <c r="B3809" t="s">
        <v>431</v>
      </c>
      <c r="C3809" t="s">
        <v>432</v>
      </c>
      <c r="D3809" t="s">
        <v>36</v>
      </c>
      <c r="E3809" t="s">
        <v>649</v>
      </c>
      <c r="F3809" t="s">
        <v>663</v>
      </c>
      <c r="G3809" s="10">
        <v>10</v>
      </c>
      <c r="H3809" s="10">
        <v>2033</v>
      </c>
      <c r="I3809" s="10">
        <v>20330</v>
      </c>
      <c r="J3809" t="s">
        <v>37</v>
      </c>
      <c r="K3809" s="11">
        <v>648.20000000000005</v>
      </c>
      <c r="L3809" s="12">
        <v>31.36</v>
      </c>
    </row>
    <row r="3810" spans="1:12" x14ac:dyDescent="0.2">
      <c r="A3810" s="9">
        <v>46255</v>
      </c>
      <c r="B3810" t="s">
        <v>434</v>
      </c>
      <c r="C3810" t="s">
        <v>176</v>
      </c>
      <c r="D3810" t="s">
        <v>46</v>
      </c>
      <c r="E3810" t="s">
        <v>653</v>
      </c>
      <c r="F3810" t="s">
        <v>654</v>
      </c>
      <c r="G3810" s="10">
        <v>7</v>
      </c>
      <c r="H3810" s="10">
        <v>5475</v>
      </c>
      <c r="I3810" s="10">
        <v>38325</v>
      </c>
      <c r="J3810" t="s">
        <v>37</v>
      </c>
      <c r="K3810" s="11">
        <v>648.20000000000005</v>
      </c>
      <c r="L3810" s="12">
        <v>59.13</v>
      </c>
    </row>
    <row r="3811" spans="1:12" x14ac:dyDescent="0.2">
      <c r="A3811" s="9">
        <v>46255</v>
      </c>
      <c r="B3811" t="s">
        <v>436</v>
      </c>
      <c r="C3811" t="s">
        <v>437</v>
      </c>
      <c r="D3811" t="s">
        <v>50</v>
      </c>
      <c r="E3811" t="s">
        <v>651</v>
      </c>
      <c r="F3811" t="s">
        <v>652</v>
      </c>
      <c r="G3811" s="10">
        <v>3</v>
      </c>
      <c r="H3811" s="10">
        <v>9435</v>
      </c>
      <c r="I3811" s="10">
        <v>28305</v>
      </c>
      <c r="J3811" t="s">
        <v>51</v>
      </c>
      <c r="K3811" s="11">
        <v>648.20000000000005</v>
      </c>
      <c r="L3811" s="12">
        <v>43.67</v>
      </c>
    </row>
    <row r="3812" spans="1:12" x14ac:dyDescent="0.2">
      <c r="A3812" s="9">
        <v>46255</v>
      </c>
      <c r="B3812" t="s">
        <v>436</v>
      </c>
      <c r="C3812" t="s">
        <v>437</v>
      </c>
      <c r="D3812" t="s">
        <v>50</v>
      </c>
      <c r="E3812" t="s">
        <v>655</v>
      </c>
      <c r="F3812" t="s">
        <v>662</v>
      </c>
      <c r="G3812" s="10">
        <v>6</v>
      </c>
      <c r="H3812" s="10">
        <v>1091</v>
      </c>
      <c r="I3812" s="10">
        <v>6546</v>
      </c>
      <c r="J3812" t="s">
        <v>51</v>
      </c>
      <c r="K3812" s="11">
        <v>648.20000000000005</v>
      </c>
      <c r="L3812" s="12">
        <v>10.1</v>
      </c>
    </row>
    <row r="3813" spans="1:12" x14ac:dyDescent="0.2">
      <c r="A3813" s="9">
        <v>46255</v>
      </c>
      <c r="B3813" t="s">
        <v>442</v>
      </c>
      <c r="C3813" t="s">
        <v>443</v>
      </c>
      <c r="D3813" t="s">
        <v>41</v>
      </c>
      <c r="E3813" t="s">
        <v>649</v>
      </c>
      <c r="F3813" t="s">
        <v>659</v>
      </c>
      <c r="G3813" s="10">
        <v>4</v>
      </c>
      <c r="H3813" s="10">
        <v>42722</v>
      </c>
      <c r="I3813" s="10">
        <v>170888</v>
      </c>
      <c r="J3813" t="s">
        <v>42</v>
      </c>
      <c r="K3813" s="11">
        <v>3145.8</v>
      </c>
      <c r="L3813" s="12">
        <v>54.32</v>
      </c>
    </row>
    <row r="3814" spans="1:12" x14ac:dyDescent="0.2">
      <c r="A3814" s="9">
        <v>46255</v>
      </c>
      <c r="B3814" t="s">
        <v>445</v>
      </c>
      <c r="C3814" t="s">
        <v>446</v>
      </c>
      <c r="D3814" t="s">
        <v>68</v>
      </c>
      <c r="E3814" t="s">
        <v>653</v>
      </c>
      <c r="F3814" t="s">
        <v>658</v>
      </c>
      <c r="G3814" s="10">
        <v>13</v>
      </c>
      <c r="H3814" s="10">
        <v>2700</v>
      </c>
      <c r="I3814" s="10">
        <v>35100</v>
      </c>
      <c r="J3814" t="s">
        <v>51</v>
      </c>
      <c r="K3814" s="11">
        <v>648.20000000000005</v>
      </c>
      <c r="L3814" s="12">
        <v>54.15</v>
      </c>
    </row>
    <row r="3815" spans="1:12" x14ac:dyDescent="0.2">
      <c r="A3815" s="9">
        <v>46255</v>
      </c>
      <c r="B3815" t="s">
        <v>445</v>
      </c>
      <c r="C3815" t="s">
        <v>446</v>
      </c>
      <c r="D3815" t="s">
        <v>68</v>
      </c>
      <c r="E3815" t="s">
        <v>653</v>
      </c>
      <c r="F3815" t="s">
        <v>658</v>
      </c>
      <c r="G3815" s="10">
        <v>9</v>
      </c>
      <c r="H3815" s="10">
        <v>2683</v>
      </c>
      <c r="I3815" s="10">
        <v>24147</v>
      </c>
      <c r="J3815" t="s">
        <v>51</v>
      </c>
      <c r="K3815" s="11">
        <v>648.20000000000005</v>
      </c>
      <c r="L3815" s="12">
        <v>37.25</v>
      </c>
    </row>
    <row r="3816" spans="1:12" x14ac:dyDescent="0.2">
      <c r="A3816" s="9">
        <v>46255</v>
      </c>
      <c r="B3816" t="s">
        <v>448</v>
      </c>
      <c r="C3816" t="s">
        <v>449</v>
      </c>
      <c r="D3816" t="s">
        <v>75</v>
      </c>
      <c r="E3816" t="s">
        <v>660</v>
      </c>
      <c r="F3816" t="s">
        <v>669</v>
      </c>
      <c r="G3816" s="10">
        <v>3</v>
      </c>
      <c r="H3816" s="10">
        <v>13003</v>
      </c>
      <c r="I3816" s="10">
        <v>39009</v>
      </c>
      <c r="J3816" t="s">
        <v>42</v>
      </c>
      <c r="K3816" s="11">
        <v>3145.8</v>
      </c>
      <c r="L3816" s="12">
        <v>12.4</v>
      </c>
    </row>
    <row r="3817" spans="1:12" x14ac:dyDescent="0.2">
      <c r="A3817" s="9">
        <v>46255</v>
      </c>
      <c r="B3817" t="s">
        <v>448</v>
      </c>
      <c r="C3817" t="s">
        <v>449</v>
      </c>
      <c r="D3817" t="s">
        <v>75</v>
      </c>
      <c r="E3817" t="s">
        <v>660</v>
      </c>
      <c r="F3817" t="s">
        <v>669</v>
      </c>
      <c r="G3817" s="10">
        <v>9</v>
      </c>
      <c r="H3817" s="10">
        <v>12590</v>
      </c>
      <c r="I3817" s="10">
        <v>113310</v>
      </c>
      <c r="J3817" t="s">
        <v>42</v>
      </c>
      <c r="K3817" s="11">
        <v>3145.8</v>
      </c>
      <c r="L3817" s="12">
        <v>36.020000000000003</v>
      </c>
    </row>
    <row r="3818" spans="1:12" x14ac:dyDescent="0.2">
      <c r="A3818" s="9">
        <v>46255</v>
      </c>
      <c r="B3818" t="s">
        <v>448</v>
      </c>
      <c r="C3818" t="s">
        <v>449</v>
      </c>
      <c r="D3818" t="s">
        <v>75</v>
      </c>
      <c r="E3818" t="s">
        <v>647</v>
      </c>
      <c r="F3818" t="s">
        <v>668</v>
      </c>
      <c r="G3818" s="10">
        <v>2</v>
      </c>
      <c r="H3818" s="10">
        <v>124999</v>
      </c>
      <c r="I3818" s="10">
        <v>249998</v>
      </c>
      <c r="J3818" t="s">
        <v>42</v>
      </c>
      <c r="K3818" s="11">
        <v>3145.8</v>
      </c>
      <c r="L3818" s="12">
        <v>79.47</v>
      </c>
    </row>
    <row r="3819" spans="1:12" x14ac:dyDescent="0.2">
      <c r="A3819" s="9">
        <v>46255</v>
      </c>
      <c r="B3819" t="s">
        <v>451</v>
      </c>
      <c r="C3819" t="s">
        <v>452</v>
      </c>
      <c r="D3819" t="s">
        <v>68</v>
      </c>
      <c r="E3819" t="s">
        <v>651</v>
      </c>
      <c r="F3819" t="s">
        <v>652</v>
      </c>
      <c r="G3819" s="10">
        <v>16</v>
      </c>
      <c r="H3819" s="10">
        <v>9427</v>
      </c>
      <c r="I3819" s="10">
        <v>150832</v>
      </c>
      <c r="J3819" t="s">
        <v>51</v>
      </c>
      <c r="K3819" s="11">
        <v>648.20000000000005</v>
      </c>
      <c r="L3819" s="12">
        <v>232.69</v>
      </c>
    </row>
    <row r="3820" spans="1:12" x14ac:dyDescent="0.2">
      <c r="A3820" s="9">
        <v>46255</v>
      </c>
      <c r="B3820" t="s">
        <v>451</v>
      </c>
      <c r="C3820" t="s">
        <v>452</v>
      </c>
      <c r="D3820" t="s">
        <v>68</v>
      </c>
      <c r="E3820" t="s">
        <v>647</v>
      </c>
      <c r="F3820" t="s">
        <v>648</v>
      </c>
      <c r="G3820" s="10">
        <v>7</v>
      </c>
      <c r="H3820" s="10">
        <v>15644</v>
      </c>
      <c r="I3820" s="10">
        <v>109508</v>
      </c>
      <c r="J3820" t="s">
        <v>51</v>
      </c>
      <c r="K3820" s="11">
        <v>648.20000000000005</v>
      </c>
      <c r="L3820" s="12">
        <v>168.94</v>
      </c>
    </row>
    <row r="3821" spans="1:12" x14ac:dyDescent="0.2">
      <c r="A3821" s="9">
        <v>46255</v>
      </c>
      <c r="B3821" t="s">
        <v>454</v>
      </c>
      <c r="C3821" t="s">
        <v>455</v>
      </c>
      <c r="D3821" t="s">
        <v>41</v>
      </c>
      <c r="E3821" t="s">
        <v>649</v>
      </c>
      <c r="F3821" t="s">
        <v>650</v>
      </c>
      <c r="G3821" s="10">
        <v>21</v>
      </c>
      <c r="H3821" s="10">
        <v>90646</v>
      </c>
      <c r="I3821" s="10">
        <v>1903566</v>
      </c>
      <c r="J3821" t="s">
        <v>42</v>
      </c>
      <c r="K3821" s="11">
        <v>3145.8</v>
      </c>
      <c r="L3821" s="12">
        <v>605.11</v>
      </c>
    </row>
    <row r="3822" spans="1:12" x14ac:dyDescent="0.2">
      <c r="A3822" s="9">
        <v>46255</v>
      </c>
      <c r="B3822" t="s">
        <v>454</v>
      </c>
      <c r="C3822" t="s">
        <v>455</v>
      </c>
      <c r="D3822" t="s">
        <v>41</v>
      </c>
      <c r="E3822" t="s">
        <v>647</v>
      </c>
      <c r="F3822" t="s">
        <v>668</v>
      </c>
      <c r="G3822" s="10">
        <v>18</v>
      </c>
      <c r="H3822" s="10">
        <v>119399</v>
      </c>
      <c r="I3822" s="10">
        <v>2149182</v>
      </c>
      <c r="J3822" t="s">
        <v>42</v>
      </c>
      <c r="K3822" s="11">
        <v>3145.8</v>
      </c>
      <c r="L3822" s="12">
        <v>683.19</v>
      </c>
    </row>
    <row r="3823" spans="1:12" x14ac:dyDescent="0.2">
      <c r="A3823" s="9">
        <v>46255</v>
      </c>
      <c r="B3823" t="s">
        <v>457</v>
      </c>
      <c r="C3823" t="s">
        <v>458</v>
      </c>
      <c r="D3823" t="s">
        <v>46</v>
      </c>
      <c r="E3823" t="s">
        <v>649</v>
      </c>
      <c r="F3823" t="s">
        <v>650</v>
      </c>
      <c r="G3823" s="10">
        <v>83</v>
      </c>
      <c r="H3823" s="10">
        <v>19789</v>
      </c>
      <c r="I3823" s="10">
        <v>1642487</v>
      </c>
      <c r="J3823" t="s">
        <v>37</v>
      </c>
      <c r="K3823" s="11">
        <v>648.20000000000005</v>
      </c>
      <c r="L3823" s="12">
        <v>2533.92</v>
      </c>
    </row>
    <row r="3824" spans="1:12" x14ac:dyDescent="0.2">
      <c r="A3824" s="9">
        <v>46255</v>
      </c>
      <c r="B3824" t="s">
        <v>460</v>
      </c>
      <c r="C3824" t="s">
        <v>461</v>
      </c>
      <c r="D3824" t="s">
        <v>75</v>
      </c>
      <c r="E3824" t="s">
        <v>651</v>
      </c>
      <c r="F3824" t="s">
        <v>652</v>
      </c>
      <c r="G3824" s="10">
        <v>19</v>
      </c>
      <c r="H3824" s="10">
        <v>45575</v>
      </c>
      <c r="I3824" s="10">
        <v>865925</v>
      </c>
      <c r="J3824" t="s">
        <v>42</v>
      </c>
      <c r="K3824" s="11">
        <v>3145.8</v>
      </c>
      <c r="L3824" s="12">
        <v>275.26</v>
      </c>
    </row>
    <row r="3825" spans="1:12" x14ac:dyDescent="0.2">
      <c r="A3825" s="9">
        <v>46255</v>
      </c>
      <c r="B3825" t="s">
        <v>460</v>
      </c>
      <c r="C3825" t="s">
        <v>461</v>
      </c>
      <c r="D3825" t="s">
        <v>75</v>
      </c>
      <c r="E3825" t="s">
        <v>655</v>
      </c>
      <c r="F3825" t="s">
        <v>656</v>
      </c>
      <c r="G3825" s="10">
        <v>20</v>
      </c>
      <c r="H3825" s="10">
        <v>2865</v>
      </c>
      <c r="I3825" s="10">
        <v>57300</v>
      </c>
      <c r="J3825" t="s">
        <v>42</v>
      </c>
      <c r="K3825" s="11">
        <v>3145.8</v>
      </c>
      <c r="L3825" s="12">
        <v>18.21</v>
      </c>
    </row>
    <row r="3826" spans="1:12" x14ac:dyDescent="0.2">
      <c r="A3826" s="9">
        <v>46255</v>
      </c>
      <c r="B3826" t="s">
        <v>466</v>
      </c>
      <c r="C3826" t="s">
        <v>467</v>
      </c>
      <c r="D3826" t="s">
        <v>50</v>
      </c>
      <c r="E3826" t="s">
        <v>660</v>
      </c>
      <c r="F3826" t="s">
        <v>661</v>
      </c>
      <c r="G3826" s="10">
        <v>44</v>
      </c>
      <c r="H3826" s="10">
        <v>4216</v>
      </c>
      <c r="I3826" s="10">
        <v>185504</v>
      </c>
      <c r="J3826" t="s">
        <v>51</v>
      </c>
      <c r="K3826" s="11">
        <v>648.20000000000005</v>
      </c>
      <c r="L3826" s="12">
        <v>286.18</v>
      </c>
    </row>
    <row r="3827" spans="1:12" x14ac:dyDescent="0.2">
      <c r="A3827" s="9">
        <v>46255</v>
      </c>
      <c r="B3827" t="s">
        <v>469</v>
      </c>
      <c r="C3827" t="s">
        <v>470</v>
      </c>
      <c r="D3827" t="s">
        <v>41</v>
      </c>
      <c r="E3827" t="s">
        <v>647</v>
      </c>
      <c r="F3827" t="s">
        <v>668</v>
      </c>
      <c r="G3827" s="10">
        <v>8</v>
      </c>
      <c r="H3827" s="10">
        <v>126687</v>
      </c>
      <c r="I3827" s="10">
        <v>1013496</v>
      </c>
      <c r="J3827" t="s">
        <v>42</v>
      </c>
      <c r="K3827" s="11">
        <v>3145.8</v>
      </c>
      <c r="L3827" s="12">
        <v>322.17</v>
      </c>
    </row>
    <row r="3828" spans="1:12" x14ac:dyDescent="0.2">
      <c r="A3828" s="9">
        <v>46255</v>
      </c>
      <c r="B3828" t="s">
        <v>475</v>
      </c>
      <c r="C3828" t="s">
        <v>476</v>
      </c>
      <c r="D3828" t="s">
        <v>75</v>
      </c>
      <c r="E3828" t="s">
        <v>649</v>
      </c>
      <c r="F3828" t="s">
        <v>659</v>
      </c>
      <c r="G3828" s="10">
        <v>112</v>
      </c>
      <c r="H3828" s="10">
        <v>42034</v>
      </c>
      <c r="I3828" s="10">
        <v>4707808</v>
      </c>
      <c r="J3828" t="s">
        <v>42</v>
      </c>
      <c r="K3828" s="11">
        <v>3145.8</v>
      </c>
      <c r="L3828" s="12">
        <v>1496.54</v>
      </c>
    </row>
    <row r="3829" spans="1:12" x14ac:dyDescent="0.2">
      <c r="A3829" s="9">
        <v>46255</v>
      </c>
      <c r="B3829" t="s">
        <v>475</v>
      </c>
      <c r="C3829" t="s">
        <v>476</v>
      </c>
      <c r="D3829" t="s">
        <v>75</v>
      </c>
      <c r="E3829" t="s">
        <v>660</v>
      </c>
      <c r="F3829" t="s">
        <v>661</v>
      </c>
      <c r="G3829" s="10">
        <v>42</v>
      </c>
      <c r="H3829" s="10">
        <v>20877</v>
      </c>
      <c r="I3829" s="10">
        <v>876834</v>
      </c>
      <c r="J3829" t="s">
        <v>42</v>
      </c>
      <c r="K3829" s="11">
        <v>3145.8</v>
      </c>
      <c r="L3829" s="12">
        <v>278.73</v>
      </c>
    </row>
    <row r="3830" spans="1:12" x14ac:dyDescent="0.2">
      <c r="A3830" s="9">
        <v>46255</v>
      </c>
      <c r="B3830" t="s">
        <v>475</v>
      </c>
      <c r="C3830" t="s">
        <v>476</v>
      </c>
      <c r="D3830" t="s">
        <v>75</v>
      </c>
      <c r="E3830" t="s">
        <v>653</v>
      </c>
      <c r="F3830" t="s">
        <v>654</v>
      </c>
      <c r="G3830" s="10">
        <v>27</v>
      </c>
      <c r="H3830" s="10">
        <v>27570</v>
      </c>
      <c r="I3830" s="10">
        <v>744390</v>
      </c>
      <c r="J3830" t="s">
        <v>42</v>
      </c>
      <c r="K3830" s="11">
        <v>3145.8</v>
      </c>
      <c r="L3830" s="12">
        <v>236.63</v>
      </c>
    </row>
    <row r="3831" spans="1:12" x14ac:dyDescent="0.2">
      <c r="A3831" s="9">
        <v>46255</v>
      </c>
      <c r="B3831" t="s">
        <v>475</v>
      </c>
      <c r="C3831" t="s">
        <v>476</v>
      </c>
      <c r="D3831" t="s">
        <v>75</v>
      </c>
      <c r="E3831" t="s">
        <v>647</v>
      </c>
      <c r="F3831" t="s">
        <v>648</v>
      </c>
      <c r="G3831" s="10">
        <v>6</v>
      </c>
      <c r="H3831" s="10">
        <v>80070</v>
      </c>
      <c r="I3831" s="10">
        <v>480420</v>
      </c>
      <c r="J3831" t="s">
        <v>42</v>
      </c>
      <c r="K3831" s="11">
        <v>3145.8</v>
      </c>
      <c r="L3831" s="12">
        <v>152.72</v>
      </c>
    </row>
    <row r="3832" spans="1:12" x14ac:dyDescent="0.2">
      <c r="A3832" s="9">
        <v>46255</v>
      </c>
      <c r="B3832" t="s">
        <v>481</v>
      </c>
      <c r="C3832" t="s">
        <v>78</v>
      </c>
      <c r="D3832" t="s">
        <v>41</v>
      </c>
      <c r="E3832" t="s">
        <v>647</v>
      </c>
      <c r="F3832" t="s">
        <v>648</v>
      </c>
      <c r="G3832" s="10">
        <v>24</v>
      </c>
      <c r="H3832" s="10">
        <v>76612</v>
      </c>
      <c r="I3832" s="10">
        <v>1838688</v>
      </c>
      <c r="J3832" t="s">
        <v>42</v>
      </c>
      <c r="K3832" s="11">
        <v>3145.8</v>
      </c>
      <c r="L3832" s="12">
        <v>584.49</v>
      </c>
    </row>
    <row r="3833" spans="1:12" x14ac:dyDescent="0.2">
      <c r="A3833" s="9">
        <v>46255</v>
      </c>
      <c r="B3833" t="s">
        <v>483</v>
      </c>
      <c r="C3833" t="s">
        <v>340</v>
      </c>
      <c r="D3833" t="s">
        <v>46</v>
      </c>
      <c r="E3833" t="s">
        <v>653</v>
      </c>
      <c r="F3833" t="s">
        <v>658</v>
      </c>
      <c r="G3833" s="10">
        <v>8</v>
      </c>
      <c r="H3833" s="10">
        <v>2647</v>
      </c>
      <c r="I3833" s="10">
        <v>21176</v>
      </c>
      <c r="J3833" t="s">
        <v>37</v>
      </c>
      <c r="K3833" s="11">
        <v>648.20000000000005</v>
      </c>
      <c r="L3833" s="12">
        <v>32.67</v>
      </c>
    </row>
    <row r="3834" spans="1:12" x14ac:dyDescent="0.2">
      <c r="A3834" s="9">
        <v>46255</v>
      </c>
      <c r="B3834" t="s">
        <v>483</v>
      </c>
      <c r="C3834" t="s">
        <v>340</v>
      </c>
      <c r="D3834" t="s">
        <v>46</v>
      </c>
      <c r="E3834" t="s">
        <v>660</v>
      </c>
      <c r="F3834" t="s">
        <v>661</v>
      </c>
      <c r="G3834" s="10">
        <v>34</v>
      </c>
      <c r="H3834" s="10">
        <v>4142</v>
      </c>
      <c r="I3834" s="10">
        <v>140828</v>
      </c>
      <c r="J3834" t="s">
        <v>37</v>
      </c>
      <c r="K3834" s="11">
        <v>648.20000000000005</v>
      </c>
      <c r="L3834" s="12">
        <v>217.26</v>
      </c>
    </row>
    <row r="3835" spans="1:12" x14ac:dyDescent="0.2">
      <c r="A3835" s="9">
        <v>46255</v>
      </c>
      <c r="B3835" t="s">
        <v>483</v>
      </c>
      <c r="C3835" t="s">
        <v>340</v>
      </c>
      <c r="D3835" t="s">
        <v>46</v>
      </c>
      <c r="E3835" t="s">
        <v>655</v>
      </c>
      <c r="F3835" t="s">
        <v>656</v>
      </c>
      <c r="G3835" s="10">
        <v>6</v>
      </c>
      <c r="H3835" s="10">
        <v>577</v>
      </c>
      <c r="I3835" s="10">
        <v>3462</v>
      </c>
      <c r="J3835" t="s">
        <v>37</v>
      </c>
      <c r="K3835" s="11">
        <v>648.20000000000005</v>
      </c>
      <c r="L3835" s="12">
        <v>5.34</v>
      </c>
    </row>
    <row r="3836" spans="1:12" x14ac:dyDescent="0.2">
      <c r="A3836" s="9">
        <v>46255</v>
      </c>
      <c r="B3836" t="s">
        <v>483</v>
      </c>
      <c r="C3836" t="s">
        <v>340</v>
      </c>
      <c r="D3836" t="s">
        <v>46</v>
      </c>
      <c r="E3836" t="s">
        <v>655</v>
      </c>
      <c r="F3836" t="s">
        <v>665</v>
      </c>
      <c r="G3836" s="10">
        <v>30</v>
      </c>
      <c r="H3836" s="10">
        <v>664</v>
      </c>
      <c r="I3836" s="10">
        <v>19920</v>
      </c>
      <c r="J3836" t="s">
        <v>37</v>
      </c>
      <c r="K3836" s="11">
        <v>648.20000000000005</v>
      </c>
      <c r="L3836" s="12">
        <v>30.73</v>
      </c>
    </row>
    <row r="3837" spans="1:12" x14ac:dyDescent="0.2">
      <c r="A3837" s="9">
        <v>46255</v>
      </c>
      <c r="B3837" t="s">
        <v>499</v>
      </c>
      <c r="C3837" t="s">
        <v>500</v>
      </c>
      <c r="D3837" t="s">
        <v>41</v>
      </c>
      <c r="E3837" t="s">
        <v>653</v>
      </c>
      <c r="F3837" t="s">
        <v>658</v>
      </c>
      <c r="G3837" s="10">
        <v>58</v>
      </c>
      <c r="H3837" s="10">
        <v>13584</v>
      </c>
      <c r="I3837" s="10">
        <v>787872</v>
      </c>
      <c r="J3837" t="s">
        <v>42</v>
      </c>
      <c r="K3837" s="11">
        <v>3145.8</v>
      </c>
      <c r="L3837" s="12">
        <v>250.45</v>
      </c>
    </row>
    <row r="3838" spans="1:12" x14ac:dyDescent="0.2">
      <c r="A3838" s="9">
        <v>46255</v>
      </c>
      <c r="B3838" t="s">
        <v>499</v>
      </c>
      <c r="C3838" t="s">
        <v>500</v>
      </c>
      <c r="D3838" t="s">
        <v>41</v>
      </c>
      <c r="E3838" t="s">
        <v>647</v>
      </c>
      <c r="F3838" t="s">
        <v>668</v>
      </c>
      <c r="G3838" s="10">
        <v>17</v>
      </c>
      <c r="H3838" s="10">
        <v>125224</v>
      </c>
      <c r="I3838" s="10">
        <v>2128808</v>
      </c>
      <c r="J3838" t="s">
        <v>42</v>
      </c>
      <c r="K3838" s="11">
        <v>3145.8</v>
      </c>
      <c r="L3838" s="12">
        <v>676.71</v>
      </c>
    </row>
    <row r="3839" spans="1:12" x14ac:dyDescent="0.2">
      <c r="A3839" s="9">
        <v>46255</v>
      </c>
      <c r="B3839" t="s">
        <v>499</v>
      </c>
      <c r="C3839" t="s">
        <v>500</v>
      </c>
      <c r="D3839" t="s">
        <v>41</v>
      </c>
      <c r="E3839" t="s">
        <v>647</v>
      </c>
      <c r="F3839" t="s">
        <v>667</v>
      </c>
      <c r="G3839" s="10">
        <v>21</v>
      </c>
      <c r="H3839" s="10">
        <v>34875</v>
      </c>
      <c r="I3839" s="10">
        <v>732375</v>
      </c>
      <c r="J3839" t="s">
        <v>42</v>
      </c>
      <c r="K3839" s="11">
        <v>3145.8</v>
      </c>
      <c r="L3839" s="12">
        <v>232.81</v>
      </c>
    </row>
    <row r="3840" spans="1:12" x14ac:dyDescent="0.2">
      <c r="A3840" s="9">
        <v>46255</v>
      </c>
      <c r="B3840" t="s">
        <v>502</v>
      </c>
      <c r="C3840" t="s">
        <v>503</v>
      </c>
      <c r="D3840" t="s">
        <v>41</v>
      </c>
      <c r="E3840" t="s">
        <v>647</v>
      </c>
      <c r="F3840" t="s">
        <v>648</v>
      </c>
      <c r="G3840" s="10">
        <v>1</v>
      </c>
      <c r="H3840" s="10">
        <v>80418</v>
      </c>
      <c r="I3840" s="10">
        <v>80418</v>
      </c>
      <c r="J3840" t="s">
        <v>42</v>
      </c>
      <c r="K3840" s="11">
        <v>3145.8</v>
      </c>
      <c r="L3840" s="12">
        <v>25.56</v>
      </c>
    </row>
    <row r="3841" spans="1:12" x14ac:dyDescent="0.2">
      <c r="A3841" s="9">
        <v>46255</v>
      </c>
      <c r="B3841" t="s">
        <v>505</v>
      </c>
      <c r="C3841" t="s">
        <v>506</v>
      </c>
      <c r="D3841" t="s">
        <v>36</v>
      </c>
      <c r="E3841" t="s">
        <v>660</v>
      </c>
      <c r="F3841" t="s">
        <v>661</v>
      </c>
      <c r="G3841" s="10">
        <v>6</v>
      </c>
      <c r="H3841" s="10">
        <v>4288</v>
      </c>
      <c r="I3841" s="10">
        <v>25728</v>
      </c>
      <c r="J3841" t="s">
        <v>37</v>
      </c>
      <c r="K3841" s="11">
        <v>648.20000000000005</v>
      </c>
      <c r="L3841" s="12">
        <v>39.69</v>
      </c>
    </row>
    <row r="3842" spans="1:12" x14ac:dyDescent="0.2">
      <c r="A3842" s="9">
        <v>46255</v>
      </c>
      <c r="B3842" t="s">
        <v>505</v>
      </c>
      <c r="C3842" t="s">
        <v>506</v>
      </c>
      <c r="D3842" t="s">
        <v>36</v>
      </c>
      <c r="E3842" t="s">
        <v>647</v>
      </c>
      <c r="F3842" t="s">
        <v>648</v>
      </c>
      <c r="G3842" s="10">
        <v>13</v>
      </c>
      <c r="H3842" s="10">
        <v>16655</v>
      </c>
      <c r="I3842" s="10">
        <v>216515</v>
      </c>
      <c r="J3842" t="s">
        <v>37</v>
      </c>
      <c r="K3842" s="11">
        <v>648.20000000000005</v>
      </c>
      <c r="L3842" s="12">
        <v>334.02</v>
      </c>
    </row>
    <row r="3843" spans="1:12" x14ac:dyDescent="0.2">
      <c r="A3843" s="9">
        <v>46255</v>
      </c>
      <c r="B3843" t="s">
        <v>508</v>
      </c>
      <c r="C3843" t="s">
        <v>509</v>
      </c>
      <c r="D3843" t="s">
        <v>68</v>
      </c>
      <c r="E3843" t="s">
        <v>647</v>
      </c>
      <c r="F3843" t="s">
        <v>648</v>
      </c>
      <c r="G3843" s="10">
        <v>4</v>
      </c>
      <c r="H3843" s="10">
        <v>16001</v>
      </c>
      <c r="I3843" s="10">
        <v>64004</v>
      </c>
      <c r="J3843" t="s">
        <v>51</v>
      </c>
      <c r="K3843" s="11">
        <v>648.20000000000005</v>
      </c>
      <c r="L3843" s="12">
        <v>98.74</v>
      </c>
    </row>
    <row r="3844" spans="1:12" x14ac:dyDescent="0.2">
      <c r="A3844" s="9">
        <v>46255</v>
      </c>
      <c r="B3844" t="s">
        <v>511</v>
      </c>
      <c r="C3844" t="s">
        <v>512</v>
      </c>
      <c r="D3844" t="s">
        <v>75</v>
      </c>
      <c r="E3844" t="s">
        <v>653</v>
      </c>
      <c r="F3844" t="s">
        <v>666</v>
      </c>
      <c r="G3844" s="10">
        <v>7</v>
      </c>
      <c r="H3844" s="10">
        <v>7477</v>
      </c>
      <c r="I3844" s="10">
        <v>52339</v>
      </c>
      <c r="J3844" t="s">
        <v>42</v>
      </c>
      <c r="K3844" s="11">
        <v>3145.8</v>
      </c>
      <c r="L3844" s="12">
        <v>16.64</v>
      </c>
    </row>
    <row r="3845" spans="1:12" x14ac:dyDescent="0.2">
      <c r="A3845" s="9">
        <v>46255</v>
      </c>
      <c r="B3845" t="s">
        <v>514</v>
      </c>
      <c r="C3845" t="s">
        <v>515</v>
      </c>
      <c r="D3845" t="s">
        <v>41</v>
      </c>
      <c r="E3845" t="s">
        <v>647</v>
      </c>
      <c r="F3845" t="s">
        <v>667</v>
      </c>
      <c r="G3845" s="10">
        <v>3</v>
      </c>
      <c r="H3845" s="10">
        <v>35773</v>
      </c>
      <c r="I3845" s="10">
        <v>107319</v>
      </c>
      <c r="J3845" t="s">
        <v>42</v>
      </c>
      <c r="K3845" s="11">
        <v>3145.8</v>
      </c>
      <c r="L3845" s="12">
        <v>34.119999999999997</v>
      </c>
    </row>
    <row r="3846" spans="1:12" x14ac:dyDescent="0.2">
      <c r="A3846" s="9">
        <v>46255</v>
      </c>
      <c r="B3846" t="s">
        <v>517</v>
      </c>
      <c r="C3846" t="s">
        <v>518</v>
      </c>
      <c r="D3846" t="s">
        <v>41</v>
      </c>
      <c r="E3846" t="s">
        <v>649</v>
      </c>
      <c r="F3846" t="s">
        <v>650</v>
      </c>
      <c r="G3846" s="10">
        <v>15</v>
      </c>
      <c r="H3846" s="10">
        <v>95198</v>
      </c>
      <c r="I3846" s="10">
        <v>1427970</v>
      </c>
      <c r="J3846" t="s">
        <v>42</v>
      </c>
      <c r="K3846" s="11">
        <v>3145.8</v>
      </c>
      <c r="L3846" s="12">
        <v>453.93</v>
      </c>
    </row>
    <row r="3847" spans="1:12" x14ac:dyDescent="0.2">
      <c r="A3847" s="9">
        <v>46255</v>
      </c>
      <c r="B3847" t="s">
        <v>517</v>
      </c>
      <c r="C3847" t="s">
        <v>518</v>
      </c>
      <c r="D3847" t="s">
        <v>41</v>
      </c>
      <c r="E3847" t="s">
        <v>653</v>
      </c>
      <c r="F3847" t="s">
        <v>654</v>
      </c>
      <c r="G3847" s="10">
        <v>12</v>
      </c>
      <c r="H3847" s="10">
        <v>28202</v>
      </c>
      <c r="I3847" s="10">
        <v>338424</v>
      </c>
      <c r="J3847" t="s">
        <v>42</v>
      </c>
      <c r="K3847" s="11">
        <v>3145.8</v>
      </c>
      <c r="L3847" s="12">
        <v>107.58</v>
      </c>
    </row>
    <row r="3848" spans="1:12" x14ac:dyDescent="0.2">
      <c r="A3848" s="9">
        <v>46255</v>
      </c>
      <c r="B3848" t="s">
        <v>522</v>
      </c>
      <c r="C3848" t="s">
        <v>523</v>
      </c>
      <c r="D3848" t="s">
        <v>50</v>
      </c>
      <c r="E3848" t="s">
        <v>647</v>
      </c>
      <c r="F3848" t="s">
        <v>668</v>
      </c>
      <c r="G3848" s="10">
        <v>13</v>
      </c>
      <c r="H3848" s="10">
        <v>24476</v>
      </c>
      <c r="I3848" s="10">
        <v>318188</v>
      </c>
      <c r="J3848" t="s">
        <v>51</v>
      </c>
      <c r="K3848" s="11">
        <v>648.20000000000005</v>
      </c>
      <c r="L3848" s="12">
        <v>490.88</v>
      </c>
    </row>
    <row r="3849" spans="1:12" x14ac:dyDescent="0.2">
      <c r="A3849" s="9">
        <v>46255</v>
      </c>
      <c r="B3849" t="s">
        <v>522</v>
      </c>
      <c r="C3849" t="s">
        <v>523</v>
      </c>
      <c r="D3849" t="s">
        <v>50</v>
      </c>
      <c r="E3849" t="s">
        <v>647</v>
      </c>
      <c r="F3849" t="s">
        <v>648</v>
      </c>
      <c r="G3849" s="10">
        <v>14</v>
      </c>
      <c r="H3849" s="10">
        <v>16727</v>
      </c>
      <c r="I3849" s="10">
        <v>234178</v>
      </c>
      <c r="J3849" t="s">
        <v>51</v>
      </c>
      <c r="K3849" s="11">
        <v>648.20000000000005</v>
      </c>
      <c r="L3849" s="12">
        <v>361.27</v>
      </c>
    </row>
    <row r="3850" spans="1:12" x14ac:dyDescent="0.2">
      <c r="A3850" s="9">
        <v>46255</v>
      </c>
      <c r="B3850" t="s">
        <v>525</v>
      </c>
      <c r="C3850" t="s">
        <v>526</v>
      </c>
      <c r="D3850" t="s">
        <v>46</v>
      </c>
      <c r="E3850" t="s">
        <v>653</v>
      </c>
      <c r="F3850" t="s">
        <v>658</v>
      </c>
      <c r="G3850" s="10">
        <v>8</v>
      </c>
      <c r="H3850" s="10">
        <v>2814</v>
      </c>
      <c r="I3850" s="10">
        <v>22512</v>
      </c>
      <c r="J3850" t="s">
        <v>37</v>
      </c>
      <c r="K3850" s="11">
        <v>648.20000000000005</v>
      </c>
      <c r="L3850" s="12">
        <v>34.729999999999997</v>
      </c>
    </row>
    <row r="3851" spans="1:12" x14ac:dyDescent="0.2">
      <c r="A3851" s="9">
        <v>46255</v>
      </c>
      <c r="B3851" t="s">
        <v>525</v>
      </c>
      <c r="C3851" t="s">
        <v>526</v>
      </c>
      <c r="D3851" t="s">
        <v>46</v>
      </c>
      <c r="E3851" t="s">
        <v>660</v>
      </c>
      <c r="F3851" t="s">
        <v>661</v>
      </c>
      <c r="G3851" s="10">
        <v>40</v>
      </c>
      <c r="H3851" s="10">
        <v>4052</v>
      </c>
      <c r="I3851" s="10">
        <v>162080</v>
      </c>
      <c r="J3851" t="s">
        <v>37</v>
      </c>
      <c r="K3851" s="11">
        <v>648.20000000000005</v>
      </c>
      <c r="L3851" s="12">
        <v>250.05</v>
      </c>
    </row>
    <row r="3852" spans="1:12" x14ac:dyDescent="0.2">
      <c r="A3852" s="9">
        <v>46255</v>
      </c>
      <c r="B3852" t="s">
        <v>525</v>
      </c>
      <c r="C3852" t="s">
        <v>526</v>
      </c>
      <c r="D3852" t="s">
        <v>46</v>
      </c>
      <c r="E3852" t="s">
        <v>655</v>
      </c>
      <c r="F3852" t="s">
        <v>656</v>
      </c>
      <c r="G3852" s="10">
        <v>83</v>
      </c>
      <c r="H3852" s="10">
        <v>594</v>
      </c>
      <c r="I3852" s="10">
        <v>49302</v>
      </c>
      <c r="J3852" t="s">
        <v>37</v>
      </c>
      <c r="K3852" s="11">
        <v>648.20000000000005</v>
      </c>
      <c r="L3852" s="12">
        <v>76.06</v>
      </c>
    </row>
    <row r="3853" spans="1:12" x14ac:dyDescent="0.2">
      <c r="A3853" s="9">
        <v>46255</v>
      </c>
      <c r="B3853" t="s">
        <v>528</v>
      </c>
      <c r="C3853" t="s">
        <v>529</v>
      </c>
      <c r="D3853" t="s">
        <v>46</v>
      </c>
      <c r="E3853" t="s">
        <v>647</v>
      </c>
      <c r="F3853" t="s">
        <v>668</v>
      </c>
      <c r="G3853" s="10">
        <v>88</v>
      </c>
      <c r="H3853" s="10">
        <v>25968</v>
      </c>
      <c r="I3853" s="10">
        <v>2285184</v>
      </c>
      <c r="J3853" t="s">
        <v>37</v>
      </c>
      <c r="K3853" s="11">
        <v>648.20000000000005</v>
      </c>
      <c r="L3853" s="12">
        <v>3525.43</v>
      </c>
    </row>
    <row r="3854" spans="1:12" x14ac:dyDescent="0.2">
      <c r="A3854" s="9">
        <v>46255</v>
      </c>
      <c r="B3854" t="s">
        <v>531</v>
      </c>
      <c r="C3854" t="s">
        <v>532</v>
      </c>
      <c r="D3854" t="s">
        <v>50</v>
      </c>
      <c r="E3854" t="s">
        <v>660</v>
      </c>
      <c r="F3854" t="s">
        <v>661</v>
      </c>
      <c r="G3854" s="10">
        <v>234</v>
      </c>
      <c r="H3854" s="10">
        <v>4172</v>
      </c>
      <c r="I3854" s="10">
        <v>976248</v>
      </c>
      <c r="J3854" t="s">
        <v>51</v>
      </c>
      <c r="K3854" s="11">
        <v>648.20000000000005</v>
      </c>
      <c r="L3854" s="12">
        <v>1506.09</v>
      </c>
    </row>
    <row r="3855" spans="1:12" x14ac:dyDescent="0.2">
      <c r="A3855" s="9">
        <v>46255</v>
      </c>
      <c r="B3855" t="s">
        <v>534</v>
      </c>
      <c r="C3855" t="s">
        <v>535</v>
      </c>
      <c r="D3855" t="s">
        <v>36</v>
      </c>
      <c r="E3855" t="s">
        <v>649</v>
      </c>
      <c r="F3855" t="s">
        <v>663</v>
      </c>
      <c r="G3855" s="10">
        <v>2</v>
      </c>
      <c r="H3855" s="10">
        <v>2040</v>
      </c>
      <c r="I3855" s="10">
        <v>4080</v>
      </c>
      <c r="J3855" t="s">
        <v>37</v>
      </c>
      <c r="K3855" s="11">
        <v>648.20000000000005</v>
      </c>
      <c r="L3855" s="12">
        <v>6.29</v>
      </c>
    </row>
    <row r="3856" spans="1:12" x14ac:dyDescent="0.2">
      <c r="A3856" s="9">
        <v>46255</v>
      </c>
      <c r="B3856" t="s">
        <v>537</v>
      </c>
      <c r="C3856" t="s">
        <v>538</v>
      </c>
      <c r="D3856" t="s">
        <v>68</v>
      </c>
      <c r="E3856" t="s">
        <v>649</v>
      </c>
      <c r="F3856" t="s">
        <v>650</v>
      </c>
      <c r="G3856" s="10">
        <v>42</v>
      </c>
      <c r="H3856" s="10">
        <v>19257</v>
      </c>
      <c r="I3856" s="10">
        <v>808794</v>
      </c>
      <c r="J3856" t="s">
        <v>51</v>
      </c>
      <c r="K3856" s="11">
        <v>648.20000000000005</v>
      </c>
      <c r="L3856" s="12">
        <v>1247.75</v>
      </c>
    </row>
    <row r="3857" spans="1:12" x14ac:dyDescent="0.2">
      <c r="A3857" s="9">
        <v>46255</v>
      </c>
      <c r="B3857" t="s">
        <v>537</v>
      </c>
      <c r="C3857" t="s">
        <v>538</v>
      </c>
      <c r="D3857" t="s">
        <v>68</v>
      </c>
      <c r="E3857" t="s">
        <v>655</v>
      </c>
      <c r="F3857" t="s">
        <v>662</v>
      </c>
      <c r="G3857" s="10">
        <v>42</v>
      </c>
      <c r="H3857" s="10">
        <v>1163</v>
      </c>
      <c r="I3857" s="10">
        <v>48846</v>
      </c>
      <c r="J3857" t="s">
        <v>51</v>
      </c>
      <c r="K3857" s="11">
        <v>648.20000000000005</v>
      </c>
      <c r="L3857" s="12">
        <v>75.36</v>
      </c>
    </row>
    <row r="3858" spans="1:12" x14ac:dyDescent="0.2">
      <c r="A3858" s="9">
        <v>46255</v>
      </c>
      <c r="B3858" t="s">
        <v>537</v>
      </c>
      <c r="C3858" t="s">
        <v>538</v>
      </c>
      <c r="D3858" t="s">
        <v>68</v>
      </c>
      <c r="E3858" t="s">
        <v>660</v>
      </c>
      <c r="F3858" t="s">
        <v>670</v>
      </c>
      <c r="G3858" s="10">
        <v>21</v>
      </c>
      <c r="H3858" s="10">
        <v>14249</v>
      </c>
      <c r="I3858" s="10">
        <v>299229</v>
      </c>
      <c r="J3858" t="s">
        <v>51</v>
      </c>
      <c r="K3858" s="11">
        <v>648.20000000000005</v>
      </c>
      <c r="L3858" s="12">
        <v>461.63</v>
      </c>
    </row>
    <row r="3859" spans="1:12" x14ac:dyDescent="0.2">
      <c r="A3859" s="9">
        <v>46255</v>
      </c>
      <c r="B3859" t="s">
        <v>537</v>
      </c>
      <c r="C3859" t="s">
        <v>538</v>
      </c>
      <c r="D3859" t="s">
        <v>68</v>
      </c>
      <c r="E3859" t="s">
        <v>653</v>
      </c>
      <c r="F3859" t="s">
        <v>654</v>
      </c>
      <c r="G3859" s="10">
        <v>53</v>
      </c>
      <c r="H3859" s="10">
        <v>5493</v>
      </c>
      <c r="I3859" s="10">
        <v>291129</v>
      </c>
      <c r="J3859" t="s">
        <v>51</v>
      </c>
      <c r="K3859" s="11">
        <v>648.20000000000005</v>
      </c>
      <c r="L3859" s="12">
        <v>449.13</v>
      </c>
    </row>
    <row r="3860" spans="1:12" x14ac:dyDescent="0.2">
      <c r="A3860" s="9">
        <v>46255</v>
      </c>
      <c r="B3860" t="s">
        <v>537</v>
      </c>
      <c r="C3860" t="s">
        <v>538</v>
      </c>
      <c r="D3860" t="s">
        <v>68</v>
      </c>
      <c r="E3860" t="s">
        <v>647</v>
      </c>
      <c r="F3860" t="s">
        <v>667</v>
      </c>
      <c r="G3860" s="10">
        <v>22</v>
      </c>
      <c r="H3860" s="10">
        <v>7388</v>
      </c>
      <c r="I3860" s="10">
        <v>162536</v>
      </c>
      <c r="J3860" t="s">
        <v>51</v>
      </c>
      <c r="K3860" s="11">
        <v>648.20000000000005</v>
      </c>
      <c r="L3860" s="12">
        <v>250.75</v>
      </c>
    </row>
    <row r="3861" spans="1:12" x14ac:dyDescent="0.2">
      <c r="A3861" s="9">
        <v>46255</v>
      </c>
      <c r="B3861" t="s">
        <v>540</v>
      </c>
      <c r="C3861" t="s">
        <v>541</v>
      </c>
      <c r="D3861" t="s">
        <v>41</v>
      </c>
      <c r="E3861" t="s">
        <v>647</v>
      </c>
      <c r="F3861" t="s">
        <v>667</v>
      </c>
      <c r="G3861" s="10">
        <v>20</v>
      </c>
      <c r="H3861" s="10">
        <v>35598</v>
      </c>
      <c r="I3861" s="10">
        <v>711960</v>
      </c>
      <c r="J3861" t="s">
        <v>42</v>
      </c>
      <c r="K3861" s="11">
        <v>3145.8</v>
      </c>
      <c r="L3861" s="12">
        <v>226.32</v>
      </c>
    </row>
    <row r="3862" spans="1:12" x14ac:dyDescent="0.2">
      <c r="A3862" s="9">
        <v>46255</v>
      </c>
      <c r="B3862" t="s">
        <v>543</v>
      </c>
      <c r="C3862" t="s">
        <v>544</v>
      </c>
      <c r="D3862" t="s">
        <v>68</v>
      </c>
      <c r="E3862" t="s">
        <v>653</v>
      </c>
      <c r="F3862" t="s">
        <v>666</v>
      </c>
      <c r="G3862" s="10">
        <v>11</v>
      </c>
      <c r="H3862" s="10">
        <v>1489</v>
      </c>
      <c r="I3862" s="10">
        <v>16379</v>
      </c>
      <c r="J3862" t="s">
        <v>51</v>
      </c>
      <c r="K3862" s="11">
        <v>648.20000000000005</v>
      </c>
      <c r="L3862" s="12">
        <v>25.27</v>
      </c>
    </row>
    <row r="3863" spans="1:12" x14ac:dyDescent="0.2">
      <c r="A3863" s="9">
        <v>46255</v>
      </c>
      <c r="B3863" t="s">
        <v>543</v>
      </c>
      <c r="C3863" t="s">
        <v>544</v>
      </c>
      <c r="D3863" t="s">
        <v>68</v>
      </c>
      <c r="E3863" t="s">
        <v>647</v>
      </c>
      <c r="F3863" t="s">
        <v>667</v>
      </c>
      <c r="G3863" s="10">
        <v>12</v>
      </c>
      <c r="H3863" s="10">
        <v>7368</v>
      </c>
      <c r="I3863" s="10">
        <v>88416</v>
      </c>
      <c r="J3863" t="s">
        <v>51</v>
      </c>
      <c r="K3863" s="11">
        <v>648.20000000000005</v>
      </c>
      <c r="L3863" s="12">
        <v>136.4</v>
      </c>
    </row>
    <row r="3864" spans="1:12" x14ac:dyDescent="0.2">
      <c r="A3864" s="9">
        <v>46255</v>
      </c>
      <c r="B3864" t="s">
        <v>546</v>
      </c>
      <c r="C3864" t="s">
        <v>547</v>
      </c>
      <c r="D3864" t="s">
        <v>41</v>
      </c>
      <c r="E3864" t="s">
        <v>649</v>
      </c>
      <c r="F3864" t="s">
        <v>659</v>
      </c>
      <c r="G3864" s="10">
        <v>32</v>
      </c>
      <c r="H3864" s="10">
        <v>44379</v>
      </c>
      <c r="I3864" s="10">
        <v>1420128</v>
      </c>
      <c r="J3864" t="s">
        <v>42</v>
      </c>
      <c r="K3864" s="11">
        <v>3145.8</v>
      </c>
      <c r="L3864" s="12">
        <v>451.44</v>
      </c>
    </row>
    <row r="3865" spans="1:12" x14ac:dyDescent="0.2">
      <c r="A3865" s="9">
        <v>46255</v>
      </c>
      <c r="B3865" t="s">
        <v>546</v>
      </c>
      <c r="C3865" t="s">
        <v>547</v>
      </c>
      <c r="D3865" t="s">
        <v>41</v>
      </c>
      <c r="E3865" t="s">
        <v>660</v>
      </c>
      <c r="F3865" t="s">
        <v>670</v>
      </c>
      <c r="G3865" s="10">
        <v>21</v>
      </c>
      <c r="H3865" s="10">
        <v>70197</v>
      </c>
      <c r="I3865" s="10">
        <v>1474137</v>
      </c>
      <c r="J3865" t="s">
        <v>42</v>
      </c>
      <c r="K3865" s="11">
        <v>3145.8</v>
      </c>
      <c r="L3865" s="12">
        <v>468.6</v>
      </c>
    </row>
    <row r="3866" spans="1:12" x14ac:dyDescent="0.2">
      <c r="A3866" s="9">
        <v>46255</v>
      </c>
      <c r="B3866" t="s">
        <v>546</v>
      </c>
      <c r="C3866" t="s">
        <v>547</v>
      </c>
      <c r="D3866" t="s">
        <v>41</v>
      </c>
      <c r="E3866" t="s">
        <v>647</v>
      </c>
      <c r="F3866" t="s">
        <v>668</v>
      </c>
      <c r="G3866" s="10">
        <v>10</v>
      </c>
      <c r="H3866" s="10">
        <v>121112</v>
      </c>
      <c r="I3866" s="10">
        <v>1211120</v>
      </c>
      <c r="J3866" t="s">
        <v>42</v>
      </c>
      <c r="K3866" s="11">
        <v>3145.8</v>
      </c>
      <c r="L3866" s="12">
        <v>385</v>
      </c>
    </row>
    <row r="3867" spans="1:12" x14ac:dyDescent="0.2">
      <c r="A3867" s="9">
        <v>46255</v>
      </c>
      <c r="B3867" t="s">
        <v>546</v>
      </c>
      <c r="C3867" t="s">
        <v>547</v>
      </c>
      <c r="D3867" t="s">
        <v>41</v>
      </c>
      <c r="E3867" t="s">
        <v>647</v>
      </c>
      <c r="F3867" t="s">
        <v>668</v>
      </c>
      <c r="G3867" s="10">
        <v>18</v>
      </c>
      <c r="H3867" s="10">
        <v>122652</v>
      </c>
      <c r="I3867" s="10">
        <v>2207736</v>
      </c>
      <c r="J3867" t="s">
        <v>42</v>
      </c>
      <c r="K3867" s="11">
        <v>3145.8</v>
      </c>
      <c r="L3867" s="12">
        <v>701.8</v>
      </c>
    </row>
    <row r="3868" spans="1:12" x14ac:dyDescent="0.2">
      <c r="A3868" s="9">
        <v>46255</v>
      </c>
      <c r="B3868" t="s">
        <v>546</v>
      </c>
      <c r="C3868" t="s">
        <v>547</v>
      </c>
      <c r="D3868" t="s">
        <v>41</v>
      </c>
      <c r="E3868" t="s">
        <v>647</v>
      </c>
      <c r="F3868" t="s">
        <v>648</v>
      </c>
      <c r="G3868" s="10">
        <v>17</v>
      </c>
      <c r="H3868" s="10">
        <v>81544</v>
      </c>
      <c r="I3868" s="10">
        <v>1386248</v>
      </c>
      <c r="J3868" t="s">
        <v>42</v>
      </c>
      <c r="K3868" s="11">
        <v>3145.8</v>
      </c>
      <c r="L3868" s="12">
        <v>440.67</v>
      </c>
    </row>
    <row r="3869" spans="1:12" x14ac:dyDescent="0.2">
      <c r="A3869" s="9">
        <v>46255</v>
      </c>
      <c r="B3869" t="s">
        <v>549</v>
      </c>
      <c r="C3869" t="s">
        <v>550</v>
      </c>
      <c r="D3869" t="s">
        <v>41</v>
      </c>
      <c r="E3869" t="s">
        <v>651</v>
      </c>
      <c r="F3869" t="s">
        <v>657</v>
      </c>
      <c r="G3869" s="10">
        <v>10</v>
      </c>
      <c r="H3869" s="10">
        <v>32235</v>
      </c>
      <c r="I3869" s="10">
        <v>322350</v>
      </c>
      <c r="J3869" t="s">
        <v>42</v>
      </c>
      <c r="K3869" s="11">
        <v>3145.8</v>
      </c>
      <c r="L3869" s="12">
        <v>102.47</v>
      </c>
    </row>
    <row r="3870" spans="1:12" x14ac:dyDescent="0.2">
      <c r="A3870" s="9">
        <v>46255</v>
      </c>
      <c r="B3870" t="s">
        <v>549</v>
      </c>
      <c r="C3870" t="s">
        <v>550</v>
      </c>
      <c r="D3870" t="s">
        <v>41</v>
      </c>
      <c r="E3870" t="s">
        <v>655</v>
      </c>
      <c r="F3870" t="s">
        <v>665</v>
      </c>
      <c r="G3870" s="10">
        <v>1</v>
      </c>
      <c r="H3870" s="10">
        <v>3275</v>
      </c>
      <c r="I3870" s="10">
        <v>3275</v>
      </c>
      <c r="J3870" t="s">
        <v>42</v>
      </c>
      <c r="K3870" s="11">
        <v>3145.8</v>
      </c>
      <c r="L3870" s="12">
        <v>1.04</v>
      </c>
    </row>
    <row r="3871" spans="1:12" x14ac:dyDescent="0.2">
      <c r="A3871" s="9">
        <v>46255</v>
      </c>
      <c r="B3871" t="s">
        <v>555</v>
      </c>
      <c r="C3871" t="s">
        <v>556</v>
      </c>
      <c r="D3871" t="s">
        <v>41</v>
      </c>
      <c r="E3871" t="s">
        <v>655</v>
      </c>
      <c r="F3871" t="s">
        <v>662</v>
      </c>
      <c r="G3871" s="10">
        <v>6</v>
      </c>
      <c r="H3871" s="10">
        <v>5291</v>
      </c>
      <c r="I3871" s="10">
        <v>31746</v>
      </c>
      <c r="J3871" t="s">
        <v>42</v>
      </c>
      <c r="K3871" s="11">
        <v>3145.8</v>
      </c>
      <c r="L3871" s="12">
        <v>10.09</v>
      </c>
    </row>
    <row r="3872" spans="1:12" x14ac:dyDescent="0.2">
      <c r="A3872" s="9">
        <v>46255</v>
      </c>
      <c r="B3872" t="s">
        <v>558</v>
      </c>
      <c r="C3872" t="s">
        <v>559</v>
      </c>
      <c r="D3872" t="s">
        <v>75</v>
      </c>
      <c r="E3872" t="s">
        <v>649</v>
      </c>
      <c r="F3872" t="s">
        <v>663</v>
      </c>
      <c r="G3872" s="10">
        <v>2</v>
      </c>
      <c r="H3872" s="10">
        <v>10122</v>
      </c>
      <c r="I3872" s="10">
        <v>20244</v>
      </c>
      <c r="J3872" t="s">
        <v>42</v>
      </c>
      <c r="K3872" s="11">
        <v>3145.8</v>
      </c>
      <c r="L3872" s="12">
        <v>6.44</v>
      </c>
    </row>
    <row r="3873" spans="1:12" x14ac:dyDescent="0.2">
      <c r="A3873" s="9">
        <v>46255</v>
      </c>
      <c r="B3873" t="s">
        <v>561</v>
      </c>
      <c r="C3873" t="s">
        <v>562</v>
      </c>
      <c r="D3873" t="s">
        <v>46</v>
      </c>
      <c r="E3873" t="s">
        <v>649</v>
      </c>
      <c r="F3873" t="s">
        <v>659</v>
      </c>
      <c r="G3873" s="10">
        <v>7</v>
      </c>
      <c r="H3873" s="10">
        <v>8849</v>
      </c>
      <c r="I3873" s="10">
        <v>61943</v>
      </c>
      <c r="J3873" t="s">
        <v>37</v>
      </c>
      <c r="K3873" s="11">
        <v>648.20000000000005</v>
      </c>
      <c r="L3873" s="12">
        <v>95.56</v>
      </c>
    </row>
    <row r="3874" spans="1:12" x14ac:dyDescent="0.2">
      <c r="A3874" s="9">
        <v>46255</v>
      </c>
      <c r="B3874" t="s">
        <v>561</v>
      </c>
      <c r="C3874" t="s">
        <v>562</v>
      </c>
      <c r="D3874" t="s">
        <v>46</v>
      </c>
      <c r="E3874" t="s">
        <v>647</v>
      </c>
      <c r="F3874" t="s">
        <v>668</v>
      </c>
      <c r="G3874" s="10">
        <v>37</v>
      </c>
      <c r="H3874" s="10">
        <v>24318</v>
      </c>
      <c r="I3874" s="10">
        <v>899766</v>
      </c>
      <c r="J3874" t="s">
        <v>37</v>
      </c>
      <c r="K3874" s="11">
        <v>648.20000000000005</v>
      </c>
      <c r="L3874" s="12">
        <v>1388.1</v>
      </c>
    </row>
    <row r="3875" spans="1:12" x14ac:dyDescent="0.2">
      <c r="A3875" s="9">
        <v>46255</v>
      </c>
      <c r="B3875" t="s">
        <v>564</v>
      </c>
      <c r="C3875" t="s">
        <v>565</v>
      </c>
      <c r="D3875" t="s">
        <v>41</v>
      </c>
      <c r="E3875" t="s">
        <v>647</v>
      </c>
      <c r="F3875" t="s">
        <v>648</v>
      </c>
      <c r="G3875" s="10">
        <v>18</v>
      </c>
      <c r="H3875" s="10">
        <v>81361</v>
      </c>
      <c r="I3875" s="10">
        <v>1464498</v>
      </c>
      <c r="J3875" t="s">
        <v>42</v>
      </c>
      <c r="K3875" s="11">
        <v>3145.8</v>
      </c>
      <c r="L3875" s="12">
        <v>465.54</v>
      </c>
    </row>
    <row r="3876" spans="1:12" x14ac:dyDescent="0.2">
      <c r="A3876" s="9">
        <v>46255</v>
      </c>
      <c r="B3876" t="s">
        <v>567</v>
      </c>
      <c r="C3876" t="s">
        <v>568</v>
      </c>
      <c r="D3876" t="s">
        <v>41</v>
      </c>
      <c r="E3876" t="s">
        <v>649</v>
      </c>
      <c r="F3876" t="s">
        <v>650</v>
      </c>
      <c r="G3876" s="10">
        <v>8</v>
      </c>
      <c r="H3876" s="10">
        <v>92763</v>
      </c>
      <c r="I3876" s="10">
        <v>742104</v>
      </c>
      <c r="J3876" t="s">
        <v>42</v>
      </c>
      <c r="K3876" s="11">
        <v>3145.8</v>
      </c>
      <c r="L3876" s="12">
        <v>235.9</v>
      </c>
    </row>
    <row r="3877" spans="1:12" x14ac:dyDescent="0.2">
      <c r="A3877" s="9">
        <v>46255</v>
      </c>
      <c r="B3877" t="s">
        <v>567</v>
      </c>
      <c r="C3877" t="s">
        <v>568</v>
      </c>
      <c r="D3877" t="s">
        <v>41</v>
      </c>
      <c r="E3877" t="s">
        <v>649</v>
      </c>
      <c r="F3877" t="s">
        <v>663</v>
      </c>
      <c r="G3877" s="10">
        <v>20</v>
      </c>
      <c r="H3877" s="10">
        <v>10213</v>
      </c>
      <c r="I3877" s="10">
        <v>204260</v>
      </c>
      <c r="J3877" t="s">
        <v>42</v>
      </c>
      <c r="K3877" s="11">
        <v>3145.8</v>
      </c>
      <c r="L3877" s="12">
        <v>64.930000000000007</v>
      </c>
    </row>
    <row r="3878" spans="1:12" x14ac:dyDescent="0.2">
      <c r="A3878" s="9">
        <v>46255</v>
      </c>
      <c r="B3878" t="s">
        <v>567</v>
      </c>
      <c r="C3878" t="s">
        <v>568</v>
      </c>
      <c r="D3878" t="s">
        <v>41</v>
      </c>
      <c r="E3878" t="s">
        <v>660</v>
      </c>
      <c r="F3878" t="s">
        <v>669</v>
      </c>
      <c r="G3878" s="10">
        <v>23</v>
      </c>
      <c r="H3878" s="10">
        <v>12714</v>
      </c>
      <c r="I3878" s="10">
        <v>292422</v>
      </c>
      <c r="J3878" t="s">
        <v>42</v>
      </c>
      <c r="K3878" s="11">
        <v>3145.8</v>
      </c>
      <c r="L3878" s="12">
        <v>92.96</v>
      </c>
    </row>
    <row r="3879" spans="1:12" x14ac:dyDescent="0.2">
      <c r="A3879" s="9">
        <v>46255</v>
      </c>
      <c r="B3879" t="s">
        <v>567</v>
      </c>
      <c r="C3879" t="s">
        <v>568</v>
      </c>
      <c r="D3879" t="s">
        <v>41</v>
      </c>
      <c r="E3879" t="s">
        <v>660</v>
      </c>
      <c r="F3879" t="s">
        <v>670</v>
      </c>
      <c r="G3879" s="10">
        <v>9</v>
      </c>
      <c r="H3879" s="10">
        <v>69877</v>
      </c>
      <c r="I3879" s="10">
        <v>628893</v>
      </c>
      <c r="J3879" t="s">
        <v>42</v>
      </c>
      <c r="K3879" s="11">
        <v>3145.8</v>
      </c>
      <c r="L3879" s="12">
        <v>199.92</v>
      </c>
    </row>
    <row r="3880" spans="1:12" x14ac:dyDescent="0.2">
      <c r="A3880" s="9">
        <v>46255</v>
      </c>
      <c r="B3880" t="s">
        <v>570</v>
      </c>
      <c r="C3880" t="s">
        <v>571</v>
      </c>
      <c r="D3880" t="s">
        <v>68</v>
      </c>
      <c r="E3880" t="s">
        <v>647</v>
      </c>
      <c r="F3880" t="s">
        <v>668</v>
      </c>
      <c r="G3880" s="10">
        <v>3</v>
      </c>
      <c r="H3880" s="10">
        <v>25049</v>
      </c>
      <c r="I3880" s="10">
        <v>75147</v>
      </c>
      <c r="J3880" t="s">
        <v>51</v>
      </c>
      <c r="K3880" s="11">
        <v>648.20000000000005</v>
      </c>
      <c r="L3880" s="12">
        <v>115.93</v>
      </c>
    </row>
    <row r="3881" spans="1:12" x14ac:dyDescent="0.2">
      <c r="A3881" s="9">
        <v>46255</v>
      </c>
      <c r="B3881" t="s">
        <v>579</v>
      </c>
      <c r="C3881" t="s">
        <v>580</v>
      </c>
      <c r="D3881" t="s">
        <v>75</v>
      </c>
      <c r="E3881" t="s">
        <v>647</v>
      </c>
      <c r="F3881" t="s">
        <v>668</v>
      </c>
      <c r="G3881" s="10">
        <v>11</v>
      </c>
      <c r="H3881" s="10">
        <v>122695</v>
      </c>
      <c r="I3881" s="10">
        <v>1349645</v>
      </c>
      <c r="J3881" t="s">
        <v>42</v>
      </c>
      <c r="K3881" s="11">
        <v>3145.8</v>
      </c>
      <c r="L3881" s="12">
        <v>429.03</v>
      </c>
    </row>
    <row r="3882" spans="1:12" x14ac:dyDescent="0.2">
      <c r="A3882" s="9">
        <v>46255</v>
      </c>
      <c r="B3882" t="s">
        <v>579</v>
      </c>
      <c r="C3882" t="s">
        <v>580</v>
      </c>
      <c r="D3882" t="s">
        <v>75</v>
      </c>
      <c r="E3882" t="s">
        <v>647</v>
      </c>
      <c r="F3882" t="s">
        <v>648</v>
      </c>
      <c r="G3882" s="10">
        <v>5</v>
      </c>
      <c r="H3882" s="10">
        <v>77331</v>
      </c>
      <c r="I3882" s="10">
        <v>386655</v>
      </c>
      <c r="J3882" t="s">
        <v>42</v>
      </c>
      <c r="K3882" s="11">
        <v>3145.8</v>
      </c>
      <c r="L3882" s="12">
        <v>122.91</v>
      </c>
    </row>
    <row r="3883" spans="1:12" x14ac:dyDescent="0.2">
      <c r="A3883" s="9">
        <v>46255</v>
      </c>
      <c r="B3883" t="s">
        <v>582</v>
      </c>
      <c r="C3883" t="s">
        <v>583</v>
      </c>
      <c r="D3883" t="s">
        <v>36</v>
      </c>
      <c r="E3883" t="s">
        <v>649</v>
      </c>
      <c r="F3883" t="s">
        <v>663</v>
      </c>
      <c r="G3883" s="10">
        <v>7</v>
      </c>
      <c r="H3883" s="10">
        <v>2036</v>
      </c>
      <c r="I3883" s="10">
        <v>14252</v>
      </c>
      <c r="J3883" t="s">
        <v>37</v>
      </c>
      <c r="K3883" s="11">
        <v>648.20000000000005</v>
      </c>
      <c r="L3883" s="12">
        <v>21.99</v>
      </c>
    </row>
    <row r="3884" spans="1:12" x14ac:dyDescent="0.2">
      <c r="A3884" s="9">
        <v>46255</v>
      </c>
      <c r="B3884" t="s">
        <v>582</v>
      </c>
      <c r="C3884" t="s">
        <v>583</v>
      </c>
      <c r="D3884" t="s">
        <v>36</v>
      </c>
      <c r="E3884" t="s">
        <v>660</v>
      </c>
      <c r="F3884" t="s">
        <v>669</v>
      </c>
      <c r="G3884" s="10">
        <v>29</v>
      </c>
      <c r="H3884" s="10">
        <v>2606</v>
      </c>
      <c r="I3884" s="10">
        <v>75574</v>
      </c>
      <c r="J3884" t="s">
        <v>37</v>
      </c>
      <c r="K3884" s="11">
        <v>648.20000000000005</v>
      </c>
      <c r="L3884" s="12">
        <v>116.59</v>
      </c>
    </row>
    <row r="3885" spans="1:12" x14ac:dyDescent="0.2">
      <c r="A3885" s="9">
        <v>46255</v>
      </c>
      <c r="B3885" t="s">
        <v>585</v>
      </c>
      <c r="C3885" t="s">
        <v>586</v>
      </c>
      <c r="D3885" t="s">
        <v>50</v>
      </c>
      <c r="E3885" t="s">
        <v>649</v>
      </c>
      <c r="F3885" t="s">
        <v>650</v>
      </c>
      <c r="G3885" s="10">
        <v>7</v>
      </c>
      <c r="H3885" s="10">
        <v>19094</v>
      </c>
      <c r="I3885" s="10">
        <v>133658</v>
      </c>
      <c r="J3885" t="s">
        <v>51</v>
      </c>
      <c r="K3885" s="11">
        <v>648.20000000000005</v>
      </c>
      <c r="L3885" s="12">
        <v>206.2</v>
      </c>
    </row>
    <row r="3886" spans="1:12" x14ac:dyDescent="0.2">
      <c r="A3886" s="9">
        <v>46255</v>
      </c>
      <c r="B3886" t="s">
        <v>590</v>
      </c>
      <c r="C3886" t="s">
        <v>591</v>
      </c>
      <c r="D3886" t="s">
        <v>41</v>
      </c>
      <c r="E3886" t="s">
        <v>647</v>
      </c>
      <c r="F3886" t="s">
        <v>648</v>
      </c>
      <c r="G3886" s="10">
        <v>13</v>
      </c>
      <c r="H3886" s="10">
        <v>79677</v>
      </c>
      <c r="I3886" s="10">
        <v>1035801</v>
      </c>
      <c r="J3886" t="s">
        <v>42</v>
      </c>
      <c r="K3886" s="11">
        <v>3145.8</v>
      </c>
      <c r="L3886" s="12">
        <v>329.26</v>
      </c>
    </row>
    <row r="3887" spans="1:12" x14ac:dyDescent="0.2">
      <c r="A3887" s="9">
        <v>46255</v>
      </c>
      <c r="B3887" t="s">
        <v>590</v>
      </c>
      <c r="C3887" t="s">
        <v>591</v>
      </c>
      <c r="D3887" t="s">
        <v>41</v>
      </c>
      <c r="E3887" t="s">
        <v>655</v>
      </c>
      <c r="F3887" t="s">
        <v>656</v>
      </c>
      <c r="G3887" s="10">
        <v>9</v>
      </c>
      <c r="H3887" s="10">
        <v>2766</v>
      </c>
      <c r="I3887" s="10">
        <v>24894</v>
      </c>
      <c r="J3887" t="s">
        <v>42</v>
      </c>
      <c r="K3887" s="11">
        <v>3145.8</v>
      </c>
      <c r="L3887" s="12">
        <v>7.91</v>
      </c>
    </row>
    <row r="3888" spans="1:12" x14ac:dyDescent="0.2">
      <c r="A3888" s="9">
        <v>46255</v>
      </c>
      <c r="B3888" t="s">
        <v>596</v>
      </c>
      <c r="C3888" t="s">
        <v>597</v>
      </c>
      <c r="D3888" t="s">
        <v>50</v>
      </c>
      <c r="E3888" t="s">
        <v>647</v>
      </c>
      <c r="F3888" t="s">
        <v>668</v>
      </c>
      <c r="G3888" s="10">
        <v>11</v>
      </c>
      <c r="H3888" s="10">
        <v>25536</v>
      </c>
      <c r="I3888" s="10">
        <v>280896</v>
      </c>
      <c r="J3888" t="s">
        <v>51</v>
      </c>
      <c r="K3888" s="11">
        <v>648.20000000000005</v>
      </c>
      <c r="L3888" s="12">
        <v>433.35</v>
      </c>
    </row>
    <row r="3889" spans="1:12" x14ac:dyDescent="0.2">
      <c r="A3889" s="9">
        <v>46255</v>
      </c>
      <c r="B3889" t="s">
        <v>599</v>
      </c>
      <c r="C3889" t="s">
        <v>600</v>
      </c>
      <c r="D3889" t="s">
        <v>75</v>
      </c>
      <c r="E3889" t="s">
        <v>653</v>
      </c>
      <c r="F3889" t="s">
        <v>654</v>
      </c>
      <c r="G3889" s="10">
        <v>22</v>
      </c>
      <c r="H3889" s="10">
        <v>27121</v>
      </c>
      <c r="I3889" s="10">
        <v>596662</v>
      </c>
      <c r="J3889" t="s">
        <v>42</v>
      </c>
      <c r="K3889" s="11">
        <v>3145.8</v>
      </c>
      <c r="L3889" s="12">
        <v>189.67</v>
      </c>
    </row>
    <row r="3890" spans="1:12" x14ac:dyDescent="0.2">
      <c r="A3890" s="9">
        <v>46255</v>
      </c>
      <c r="B3890" t="s">
        <v>605</v>
      </c>
      <c r="C3890" t="s">
        <v>606</v>
      </c>
      <c r="D3890" t="s">
        <v>68</v>
      </c>
      <c r="E3890" t="s">
        <v>647</v>
      </c>
      <c r="F3890" t="s">
        <v>648</v>
      </c>
      <c r="G3890" s="10">
        <v>22</v>
      </c>
      <c r="H3890" s="10">
        <v>15624</v>
      </c>
      <c r="I3890" s="10">
        <v>343728</v>
      </c>
      <c r="J3890" t="s">
        <v>51</v>
      </c>
      <c r="K3890" s="11">
        <v>648.20000000000005</v>
      </c>
      <c r="L3890" s="12">
        <v>530.28</v>
      </c>
    </row>
    <row r="3891" spans="1:12" x14ac:dyDescent="0.2">
      <c r="A3891" s="9">
        <v>46255</v>
      </c>
      <c r="B3891" t="s">
        <v>617</v>
      </c>
      <c r="C3891" t="s">
        <v>618</v>
      </c>
      <c r="D3891" t="s">
        <v>75</v>
      </c>
      <c r="E3891" t="s">
        <v>651</v>
      </c>
      <c r="F3891" t="s">
        <v>657</v>
      </c>
      <c r="G3891" s="10">
        <v>9</v>
      </c>
      <c r="H3891" s="10">
        <v>31850</v>
      </c>
      <c r="I3891" s="10">
        <v>286650</v>
      </c>
      <c r="J3891" t="s">
        <v>42</v>
      </c>
      <c r="K3891" s="11">
        <v>3145.8</v>
      </c>
      <c r="L3891" s="12">
        <v>91.12</v>
      </c>
    </row>
    <row r="3892" spans="1:12" x14ac:dyDescent="0.2">
      <c r="A3892" s="9">
        <v>46255</v>
      </c>
      <c r="B3892" t="s">
        <v>620</v>
      </c>
      <c r="C3892" t="s">
        <v>621</v>
      </c>
      <c r="D3892" t="s">
        <v>50</v>
      </c>
      <c r="E3892" t="s">
        <v>660</v>
      </c>
      <c r="F3892" t="s">
        <v>661</v>
      </c>
      <c r="G3892" s="10">
        <v>31</v>
      </c>
      <c r="H3892" s="10">
        <v>4222</v>
      </c>
      <c r="I3892" s="10">
        <v>130882</v>
      </c>
      <c r="J3892" t="s">
        <v>51</v>
      </c>
      <c r="K3892" s="11">
        <v>648.20000000000005</v>
      </c>
      <c r="L3892" s="12">
        <v>201.92</v>
      </c>
    </row>
    <row r="3893" spans="1:12" x14ac:dyDescent="0.2">
      <c r="A3893" s="9">
        <v>46255</v>
      </c>
      <c r="B3893" t="s">
        <v>626</v>
      </c>
      <c r="C3893" t="s">
        <v>627</v>
      </c>
      <c r="D3893" t="s">
        <v>50</v>
      </c>
      <c r="E3893" t="s">
        <v>651</v>
      </c>
      <c r="F3893" t="s">
        <v>652</v>
      </c>
      <c r="G3893" s="10">
        <v>8</v>
      </c>
      <c r="H3893" s="10">
        <v>9846</v>
      </c>
      <c r="I3893" s="10">
        <v>78768</v>
      </c>
      <c r="J3893" t="s">
        <v>51</v>
      </c>
      <c r="K3893" s="11">
        <v>648.20000000000005</v>
      </c>
      <c r="L3893" s="12">
        <v>121.52</v>
      </c>
    </row>
    <row r="3894" spans="1:12" x14ac:dyDescent="0.2">
      <c r="A3894" s="9">
        <v>46255</v>
      </c>
      <c r="B3894" t="s">
        <v>629</v>
      </c>
      <c r="C3894" t="s">
        <v>630</v>
      </c>
      <c r="D3894" t="s">
        <v>46</v>
      </c>
      <c r="E3894" t="s">
        <v>655</v>
      </c>
      <c r="F3894" t="s">
        <v>656</v>
      </c>
      <c r="G3894" s="10">
        <v>1</v>
      </c>
      <c r="H3894" s="10">
        <v>558</v>
      </c>
      <c r="I3894" s="10">
        <v>558</v>
      </c>
      <c r="J3894" t="s">
        <v>37</v>
      </c>
      <c r="K3894" s="11">
        <v>648.20000000000005</v>
      </c>
      <c r="L3894" s="12">
        <v>0.86</v>
      </c>
    </row>
    <row r="3895" spans="1:12" x14ac:dyDescent="0.2">
      <c r="A3895" s="9">
        <v>46255</v>
      </c>
      <c r="B3895" t="s">
        <v>635</v>
      </c>
      <c r="C3895" t="s">
        <v>636</v>
      </c>
      <c r="D3895" t="s">
        <v>41</v>
      </c>
      <c r="E3895" t="s">
        <v>660</v>
      </c>
      <c r="F3895" t="s">
        <v>669</v>
      </c>
      <c r="G3895" s="10">
        <v>17</v>
      </c>
      <c r="H3895" s="10">
        <v>12282</v>
      </c>
      <c r="I3895" s="10">
        <v>208794</v>
      </c>
      <c r="J3895" t="s">
        <v>42</v>
      </c>
      <c r="K3895" s="11">
        <v>3145.8</v>
      </c>
      <c r="L3895" s="12">
        <v>66.37</v>
      </c>
    </row>
    <row r="3896" spans="1:12" x14ac:dyDescent="0.2">
      <c r="A3896" s="9">
        <v>46256</v>
      </c>
      <c r="B3896" t="s">
        <v>34</v>
      </c>
      <c r="C3896" t="s">
        <v>35</v>
      </c>
      <c r="D3896" t="s">
        <v>36</v>
      </c>
      <c r="E3896" t="s">
        <v>653</v>
      </c>
      <c r="F3896" t="s">
        <v>654</v>
      </c>
      <c r="G3896" s="10">
        <v>10</v>
      </c>
      <c r="H3896" s="10">
        <v>5622</v>
      </c>
      <c r="I3896" s="10">
        <v>56220</v>
      </c>
      <c r="J3896" t="s">
        <v>37</v>
      </c>
      <c r="K3896" s="11">
        <v>648.20000000000005</v>
      </c>
      <c r="L3896" s="12">
        <v>86.73</v>
      </c>
    </row>
    <row r="3897" spans="1:12" x14ac:dyDescent="0.2">
      <c r="A3897" s="9">
        <v>46256</v>
      </c>
      <c r="B3897" t="s">
        <v>44</v>
      </c>
      <c r="C3897" t="s">
        <v>45</v>
      </c>
      <c r="D3897" t="s">
        <v>46</v>
      </c>
      <c r="E3897" t="s">
        <v>649</v>
      </c>
      <c r="F3897" t="s">
        <v>663</v>
      </c>
      <c r="G3897" s="10">
        <v>11</v>
      </c>
      <c r="H3897" s="10">
        <v>1959</v>
      </c>
      <c r="I3897" s="10">
        <v>21549</v>
      </c>
      <c r="J3897" t="s">
        <v>37</v>
      </c>
      <c r="K3897" s="11">
        <v>648.20000000000005</v>
      </c>
      <c r="L3897" s="12">
        <v>33.24</v>
      </c>
    </row>
    <row r="3898" spans="1:12" x14ac:dyDescent="0.2">
      <c r="A3898" s="9">
        <v>46256</v>
      </c>
      <c r="B3898" t="s">
        <v>48</v>
      </c>
      <c r="C3898" t="s">
        <v>49</v>
      </c>
      <c r="D3898" t="s">
        <v>50</v>
      </c>
      <c r="E3898" t="s">
        <v>649</v>
      </c>
      <c r="F3898" t="s">
        <v>663</v>
      </c>
      <c r="G3898" s="10">
        <v>5</v>
      </c>
      <c r="H3898" s="10">
        <v>2000</v>
      </c>
      <c r="I3898" s="10">
        <v>10000</v>
      </c>
      <c r="J3898" t="s">
        <v>51</v>
      </c>
      <c r="K3898" s="11">
        <v>648.20000000000005</v>
      </c>
      <c r="L3898" s="12">
        <v>15.43</v>
      </c>
    </row>
    <row r="3899" spans="1:12" x14ac:dyDescent="0.2">
      <c r="A3899" s="9">
        <v>46256</v>
      </c>
      <c r="B3899" t="s">
        <v>53</v>
      </c>
      <c r="C3899" t="s">
        <v>54</v>
      </c>
      <c r="D3899" t="s">
        <v>41</v>
      </c>
      <c r="E3899" t="s">
        <v>660</v>
      </c>
      <c r="F3899" t="s">
        <v>669</v>
      </c>
      <c r="G3899" s="10">
        <v>2</v>
      </c>
      <c r="H3899" s="10">
        <v>12246</v>
      </c>
      <c r="I3899" s="10">
        <v>24492</v>
      </c>
      <c r="J3899" t="s">
        <v>42</v>
      </c>
      <c r="K3899" s="11">
        <v>3145.8</v>
      </c>
      <c r="L3899" s="12">
        <v>7.79</v>
      </c>
    </row>
    <row r="3900" spans="1:12" x14ac:dyDescent="0.2">
      <c r="A3900" s="9">
        <v>46256</v>
      </c>
      <c r="B3900" t="s">
        <v>53</v>
      </c>
      <c r="C3900" t="s">
        <v>54</v>
      </c>
      <c r="D3900" t="s">
        <v>41</v>
      </c>
      <c r="E3900" t="s">
        <v>660</v>
      </c>
      <c r="F3900" t="s">
        <v>661</v>
      </c>
      <c r="G3900" s="10">
        <v>18</v>
      </c>
      <c r="H3900" s="10">
        <v>20829</v>
      </c>
      <c r="I3900" s="10">
        <v>374922</v>
      </c>
      <c r="J3900" t="s">
        <v>42</v>
      </c>
      <c r="K3900" s="11">
        <v>3145.8</v>
      </c>
      <c r="L3900" s="12">
        <v>119.18</v>
      </c>
    </row>
    <row r="3901" spans="1:12" x14ac:dyDescent="0.2">
      <c r="A3901" s="9">
        <v>46256</v>
      </c>
      <c r="B3901" t="s">
        <v>63</v>
      </c>
      <c r="C3901" t="s">
        <v>64</v>
      </c>
      <c r="D3901" t="s">
        <v>50</v>
      </c>
      <c r="E3901" t="s">
        <v>647</v>
      </c>
      <c r="F3901" t="s">
        <v>668</v>
      </c>
      <c r="G3901" s="10">
        <v>7</v>
      </c>
      <c r="H3901" s="10">
        <v>24309</v>
      </c>
      <c r="I3901" s="10">
        <v>170163</v>
      </c>
      <c r="J3901" t="s">
        <v>51</v>
      </c>
      <c r="K3901" s="11">
        <v>648.20000000000005</v>
      </c>
      <c r="L3901" s="12">
        <v>262.52</v>
      </c>
    </row>
    <row r="3902" spans="1:12" x14ac:dyDescent="0.2">
      <c r="A3902" s="9">
        <v>46256</v>
      </c>
      <c r="B3902" t="s">
        <v>63</v>
      </c>
      <c r="C3902" t="s">
        <v>64</v>
      </c>
      <c r="D3902" t="s">
        <v>50</v>
      </c>
      <c r="E3902" t="s">
        <v>647</v>
      </c>
      <c r="F3902" t="s">
        <v>668</v>
      </c>
      <c r="G3902" s="10">
        <v>9</v>
      </c>
      <c r="H3902" s="10">
        <v>25874</v>
      </c>
      <c r="I3902" s="10">
        <v>232866</v>
      </c>
      <c r="J3902" t="s">
        <v>51</v>
      </c>
      <c r="K3902" s="11">
        <v>648.20000000000005</v>
      </c>
      <c r="L3902" s="12">
        <v>359.25</v>
      </c>
    </row>
    <row r="3903" spans="1:12" x14ac:dyDescent="0.2">
      <c r="A3903" s="9">
        <v>46256</v>
      </c>
      <c r="B3903" t="s">
        <v>73</v>
      </c>
      <c r="C3903" t="s">
        <v>74</v>
      </c>
      <c r="D3903" t="s">
        <v>75</v>
      </c>
      <c r="E3903" t="s">
        <v>655</v>
      </c>
      <c r="F3903" t="s">
        <v>665</v>
      </c>
      <c r="G3903" s="10">
        <v>218</v>
      </c>
      <c r="H3903" s="10">
        <v>3230</v>
      </c>
      <c r="I3903" s="10">
        <v>704140</v>
      </c>
      <c r="J3903" t="s">
        <v>42</v>
      </c>
      <c r="K3903" s="11">
        <v>3145.8</v>
      </c>
      <c r="L3903" s="12">
        <v>223.83</v>
      </c>
    </row>
    <row r="3904" spans="1:12" x14ac:dyDescent="0.2">
      <c r="A3904" s="9">
        <v>46256</v>
      </c>
      <c r="B3904" t="s">
        <v>80</v>
      </c>
      <c r="C3904" t="s">
        <v>81</v>
      </c>
      <c r="D3904" t="s">
        <v>46</v>
      </c>
      <c r="E3904" t="s">
        <v>653</v>
      </c>
      <c r="F3904" t="s">
        <v>658</v>
      </c>
      <c r="G3904" s="10">
        <v>4</v>
      </c>
      <c r="H3904" s="10">
        <v>2679</v>
      </c>
      <c r="I3904" s="10">
        <v>10716</v>
      </c>
      <c r="J3904" t="s">
        <v>37</v>
      </c>
      <c r="K3904" s="11">
        <v>648.20000000000005</v>
      </c>
      <c r="L3904" s="12">
        <v>16.53</v>
      </c>
    </row>
    <row r="3905" spans="1:12" x14ac:dyDescent="0.2">
      <c r="A3905" s="9">
        <v>46256</v>
      </c>
      <c r="B3905" t="s">
        <v>80</v>
      </c>
      <c r="C3905" t="s">
        <v>81</v>
      </c>
      <c r="D3905" t="s">
        <v>46</v>
      </c>
      <c r="E3905" t="s">
        <v>647</v>
      </c>
      <c r="F3905" t="s">
        <v>668</v>
      </c>
      <c r="G3905" s="10">
        <v>6</v>
      </c>
      <c r="H3905" s="10">
        <v>25157</v>
      </c>
      <c r="I3905" s="10">
        <v>150942</v>
      </c>
      <c r="J3905" t="s">
        <v>37</v>
      </c>
      <c r="K3905" s="11">
        <v>648.20000000000005</v>
      </c>
      <c r="L3905" s="12">
        <v>232.86</v>
      </c>
    </row>
    <row r="3906" spans="1:12" x14ac:dyDescent="0.2">
      <c r="A3906" s="9">
        <v>46256</v>
      </c>
      <c r="B3906" t="s">
        <v>83</v>
      </c>
      <c r="C3906" t="s">
        <v>84</v>
      </c>
      <c r="D3906" t="s">
        <v>41</v>
      </c>
      <c r="E3906" t="s">
        <v>655</v>
      </c>
      <c r="F3906" t="s">
        <v>662</v>
      </c>
      <c r="G3906" s="10">
        <v>3</v>
      </c>
      <c r="H3906" s="10">
        <v>5546</v>
      </c>
      <c r="I3906" s="10">
        <v>16638</v>
      </c>
      <c r="J3906" t="s">
        <v>42</v>
      </c>
      <c r="K3906" s="11">
        <v>3145.8</v>
      </c>
      <c r="L3906" s="12">
        <v>5.29</v>
      </c>
    </row>
    <row r="3907" spans="1:12" x14ac:dyDescent="0.2">
      <c r="A3907" s="9">
        <v>46256</v>
      </c>
      <c r="B3907" t="s">
        <v>86</v>
      </c>
      <c r="C3907" t="s">
        <v>87</v>
      </c>
      <c r="D3907" t="s">
        <v>50</v>
      </c>
      <c r="E3907" t="s">
        <v>651</v>
      </c>
      <c r="F3907" t="s">
        <v>664</v>
      </c>
      <c r="G3907" s="10">
        <v>21</v>
      </c>
      <c r="H3907" s="10">
        <v>12352</v>
      </c>
      <c r="I3907" s="10">
        <v>259392</v>
      </c>
      <c r="J3907" t="s">
        <v>51</v>
      </c>
      <c r="K3907" s="11">
        <v>648.20000000000005</v>
      </c>
      <c r="L3907" s="12">
        <v>400.17</v>
      </c>
    </row>
    <row r="3908" spans="1:12" x14ac:dyDescent="0.2">
      <c r="A3908" s="9">
        <v>46256</v>
      </c>
      <c r="B3908" t="s">
        <v>86</v>
      </c>
      <c r="C3908" t="s">
        <v>87</v>
      </c>
      <c r="D3908" t="s">
        <v>50</v>
      </c>
      <c r="E3908" t="s">
        <v>655</v>
      </c>
      <c r="F3908" t="s">
        <v>665</v>
      </c>
      <c r="G3908" s="10">
        <v>6</v>
      </c>
      <c r="H3908" s="10">
        <v>662</v>
      </c>
      <c r="I3908" s="10">
        <v>3972</v>
      </c>
      <c r="J3908" t="s">
        <v>51</v>
      </c>
      <c r="K3908" s="11">
        <v>648.20000000000005</v>
      </c>
      <c r="L3908" s="12">
        <v>6.13</v>
      </c>
    </row>
    <row r="3909" spans="1:12" x14ac:dyDescent="0.2">
      <c r="A3909" s="9">
        <v>46256</v>
      </c>
      <c r="B3909" t="s">
        <v>89</v>
      </c>
      <c r="C3909" t="s">
        <v>90</v>
      </c>
      <c r="D3909" t="s">
        <v>68</v>
      </c>
      <c r="E3909" t="s">
        <v>649</v>
      </c>
      <c r="F3909" t="s">
        <v>659</v>
      </c>
      <c r="G3909" s="10">
        <v>21</v>
      </c>
      <c r="H3909" s="10">
        <v>9044</v>
      </c>
      <c r="I3909" s="10">
        <v>189924</v>
      </c>
      <c r="J3909" t="s">
        <v>51</v>
      </c>
      <c r="K3909" s="11">
        <v>648.20000000000005</v>
      </c>
      <c r="L3909" s="12">
        <v>293</v>
      </c>
    </row>
    <row r="3910" spans="1:12" x14ac:dyDescent="0.2">
      <c r="A3910" s="9">
        <v>46256</v>
      </c>
      <c r="B3910" t="s">
        <v>89</v>
      </c>
      <c r="C3910" t="s">
        <v>90</v>
      </c>
      <c r="D3910" t="s">
        <v>68</v>
      </c>
      <c r="E3910" t="s">
        <v>660</v>
      </c>
      <c r="F3910" t="s">
        <v>669</v>
      </c>
      <c r="G3910" s="10">
        <v>18</v>
      </c>
      <c r="H3910" s="10">
        <v>2542</v>
      </c>
      <c r="I3910" s="10">
        <v>45756</v>
      </c>
      <c r="J3910" t="s">
        <v>51</v>
      </c>
      <c r="K3910" s="11">
        <v>648.20000000000005</v>
      </c>
      <c r="L3910" s="12">
        <v>70.59</v>
      </c>
    </row>
    <row r="3911" spans="1:12" x14ac:dyDescent="0.2">
      <c r="A3911" s="9">
        <v>46256</v>
      </c>
      <c r="B3911" t="s">
        <v>89</v>
      </c>
      <c r="C3911" t="s">
        <v>90</v>
      </c>
      <c r="D3911" t="s">
        <v>68</v>
      </c>
      <c r="E3911" t="s">
        <v>660</v>
      </c>
      <c r="F3911" t="s">
        <v>670</v>
      </c>
      <c r="G3911" s="10">
        <v>30</v>
      </c>
      <c r="H3911" s="10">
        <v>14146</v>
      </c>
      <c r="I3911" s="10">
        <v>424380</v>
      </c>
      <c r="J3911" t="s">
        <v>51</v>
      </c>
      <c r="K3911" s="11">
        <v>648.20000000000005</v>
      </c>
      <c r="L3911" s="12">
        <v>654.71</v>
      </c>
    </row>
    <row r="3912" spans="1:12" x14ac:dyDescent="0.2">
      <c r="A3912" s="9">
        <v>46256</v>
      </c>
      <c r="B3912" t="s">
        <v>102</v>
      </c>
      <c r="C3912" t="s">
        <v>103</v>
      </c>
      <c r="D3912" t="s">
        <v>41</v>
      </c>
      <c r="E3912" t="s">
        <v>655</v>
      </c>
      <c r="F3912" t="s">
        <v>656</v>
      </c>
      <c r="G3912" s="10">
        <v>4</v>
      </c>
      <c r="H3912" s="10">
        <v>2826</v>
      </c>
      <c r="I3912" s="10">
        <v>11304</v>
      </c>
      <c r="J3912" t="s">
        <v>42</v>
      </c>
      <c r="K3912" s="11">
        <v>3145.8</v>
      </c>
      <c r="L3912" s="12">
        <v>3.59</v>
      </c>
    </row>
    <row r="3913" spans="1:12" x14ac:dyDescent="0.2">
      <c r="A3913" s="9">
        <v>46256</v>
      </c>
      <c r="B3913" t="s">
        <v>102</v>
      </c>
      <c r="C3913" t="s">
        <v>103</v>
      </c>
      <c r="D3913" t="s">
        <v>41</v>
      </c>
      <c r="E3913" t="s">
        <v>651</v>
      </c>
      <c r="F3913" t="s">
        <v>664</v>
      </c>
      <c r="G3913" s="10">
        <v>6</v>
      </c>
      <c r="H3913" s="10">
        <v>57853</v>
      </c>
      <c r="I3913" s="10">
        <v>347118</v>
      </c>
      <c r="J3913" t="s">
        <v>42</v>
      </c>
      <c r="K3913" s="11">
        <v>3145.8</v>
      </c>
      <c r="L3913" s="12">
        <v>110.34</v>
      </c>
    </row>
    <row r="3914" spans="1:12" x14ac:dyDescent="0.2">
      <c r="A3914" s="9">
        <v>46256</v>
      </c>
      <c r="B3914" t="s">
        <v>108</v>
      </c>
      <c r="C3914" t="s">
        <v>109</v>
      </c>
      <c r="D3914" t="s">
        <v>36</v>
      </c>
      <c r="E3914" t="s">
        <v>647</v>
      </c>
      <c r="F3914" t="s">
        <v>668</v>
      </c>
      <c r="G3914" s="10">
        <v>29</v>
      </c>
      <c r="H3914" s="10">
        <v>24588</v>
      </c>
      <c r="I3914" s="10">
        <v>713052</v>
      </c>
      <c r="J3914" t="s">
        <v>37</v>
      </c>
      <c r="K3914" s="11">
        <v>648.20000000000005</v>
      </c>
      <c r="L3914" s="12">
        <v>1100.05</v>
      </c>
    </row>
    <row r="3915" spans="1:12" x14ac:dyDescent="0.2">
      <c r="A3915" s="9">
        <v>46256</v>
      </c>
      <c r="B3915" t="s">
        <v>111</v>
      </c>
      <c r="C3915" t="s">
        <v>112</v>
      </c>
      <c r="D3915" t="s">
        <v>41</v>
      </c>
      <c r="E3915" t="s">
        <v>649</v>
      </c>
      <c r="F3915" t="s">
        <v>650</v>
      </c>
      <c r="G3915" s="10">
        <v>3</v>
      </c>
      <c r="H3915" s="10">
        <v>92559</v>
      </c>
      <c r="I3915" s="10">
        <v>277677</v>
      </c>
      <c r="J3915" t="s">
        <v>42</v>
      </c>
      <c r="K3915" s="11">
        <v>3145.8</v>
      </c>
      <c r="L3915" s="12">
        <v>88.27</v>
      </c>
    </row>
    <row r="3916" spans="1:12" x14ac:dyDescent="0.2">
      <c r="A3916" s="9">
        <v>46256</v>
      </c>
      <c r="B3916" t="s">
        <v>111</v>
      </c>
      <c r="C3916" t="s">
        <v>112</v>
      </c>
      <c r="D3916" t="s">
        <v>41</v>
      </c>
      <c r="E3916" t="s">
        <v>655</v>
      </c>
      <c r="F3916" t="s">
        <v>665</v>
      </c>
      <c r="G3916" s="10">
        <v>46</v>
      </c>
      <c r="H3916" s="10">
        <v>3293</v>
      </c>
      <c r="I3916" s="10">
        <v>151478</v>
      </c>
      <c r="J3916" t="s">
        <v>42</v>
      </c>
      <c r="K3916" s="11">
        <v>3145.8</v>
      </c>
      <c r="L3916" s="12">
        <v>48.15</v>
      </c>
    </row>
    <row r="3917" spans="1:12" x14ac:dyDescent="0.2">
      <c r="A3917" s="9">
        <v>46256</v>
      </c>
      <c r="B3917" t="s">
        <v>115</v>
      </c>
      <c r="C3917" t="s">
        <v>116</v>
      </c>
      <c r="D3917" t="s">
        <v>41</v>
      </c>
      <c r="E3917" t="s">
        <v>649</v>
      </c>
      <c r="F3917" t="s">
        <v>650</v>
      </c>
      <c r="G3917" s="10">
        <v>29</v>
      </c>
      <c r="H3917" s="10">
        <v>96150</v>
      </c>
      <c r="I3917" s="10">
        <v>2788350</v>
      </c>
      <c r="J3917" t="s">
        <v>42</v>
      </c>
      <c r="K3917" s="11">
        <v>3145.8</v>
      </c>
      <c r="L3917" s="12">
        <v>886.37</v>
      </c>
    </row>
    <row r="3918" spans="1:12" x14ac:dyDescent="0.2">
      <c r="A3918" s="9">
        <v>46256</v>
      </c>
      <c r="B3918" t="s">
        <v>115</v>
      </c>
      <c r="C3918" t="s">
        <v>116</v>
      </c>
      <c r="D3918" t="s">
        <v>41</v>
      </c>
      <c r="E3918" t="s">
        <v>660</v>
      </c>
      <c r="F3918" t="s">
        <v>669</v>
      </c>
      <c r="G3918" s="10">
        <v>6</v>
      </c>
      <c r="H3918" s="10">
        <v>12134</v>
      </c>
      <c r="I3918" s="10">
        <v>72804</v>
      </c>
      <c r="J3918" t="s">
        <v>42</v>
      </c>
      <c r="K3918" s="11">
        <v>3145.8</v>
      </c>
      <c r="L3918" s="12">
        <v>23.14</v>
      </c>
    </row>
    <row r="3919" spans="1:12" x14ac:dyDescent="0.2">
      <c r="A3919" s="9">
        <v>46256</v>
      </c>
      <c r="B3919" t="s">
        <v>115</v>
      </c>
      <c r="C3919" t="s">
        <v>116</v>
      </c>
      <c r="D3919" t="s">
        <v>41</v>
      </c>
      <c r="E3919" t="s">
        <v>660</v>
      </c>
      <c r="F3919" t="s">
        <v>661</v>
      </c>
      <c r="G3919" s="10">
        <v>10</v>
      </c>
      <c r="H3919" s="10">
        <v>19553</v>
      </c>
      <c r="I3919" s="10">
        <v>195530</v>
      </c>
      <c r="J3919" t="s">
        <v>42</v>
      </c>
      <c r="K3919" s="11">
        <v>3145.8</v>
      </c>
      <c r="L3919" s="12">
        <v>62.16</v>
      </c>
    </row>
    <row r="3920" spans="1:12" x14ac:dyDescent="0.2">
      <c r="A3920" s="9">
        <v>46256</v>
      </c>
      <c r="B3920" t="s">
        <v>118</v>
      </c>
      <c r="C3920" t="s">
        <v>119</v>
      </c>
      <c r="D3920" t="s">
        <v>36</v>
      </c>
      <c r="E3920" t="s">
        <v>647</v>
      </c>
      <c r="F3920" t="s">
        <v>668</v>
      </c>
      <c r="G3920" s="10">
        <v>45</v>
      </c>
      <c r="H3920" s="10">
        <v>24645</v>
      </c>
      <c r="I3920" s="10">
        <v>1109025</v>
      </c>
      <c r="J3920" t="s">
        <v>37</v>
      </c>
      <c r="K3920" s="11">
        <v>648.20000000000005</v>
      </c>
      <c r="L3920" s="12">
        <v>1710.93</v>
      </c>
    </row>
    <row r="3921" spans="1:12" x14ac:dyDescent="0.2">
      <c r="A3921" s="9">
        <v>46256</v>
      </c>
      <c r="B3921" t="s">
        <v>136</v>
      </c>
      <c r="C3921" t="s">
        <v>137</v>
      </c>
      <c r="D3921" t="s">
        <v>41</v>
      </c>
      <c r="E3921" t="s">
        <v>660</v>
      </c>
      <c r="F3921" t="s">
        <v>670</v>
      </c>
      <c r="G3921" s="10">
        <v>4</v>
      </c>
      <c r="H3921" s="10">
        <v>67744</v>
      </c>
      <c r="I3921" s="10">
        <v>270976</v>
      </c>
      <c r="J3921" t="s">
        <v>42</v>
      </c>
      <c r="K3921" s="11">
        <v>3145.8</v>
      </c>
      <c r="L3921" s="12">
        <v>86.14</v>
      </c>
    </row>
    <row r="3922" spans="1:12" x14ac:dyDescent="0.2">
      <c r="A3922" s="9">
        <v>46256</v>
      </c>
      <c r="B3922" t="s">
        <v>142</v>
      </c>
      <c r="C3922" t="s">
        <v>143</v>
      </c>
      <c r="D3922" t="s">
        <v>75</v>
      </c>
      <c r="E3922" t="s">
        <v>649</v>
      </c>
      <c r="F3922" t="s">
        <v>659</v>
      </c>
      <c r="G3922" s="10">
        <v>9</v>
      </c>
      <c r="H3922" s="10">
        <v>42987</v>
      </c>
      <c r="I3922" s="10">
        <v>386883</v>
      </c>
      <c r="J3922" t="s">
        <v>42</v>
      </c>
      <c r="K3922" s="11">
        <v>3145.8</v>
      </c>
      <c r="L3922" s="12">
        <v>122.98</v>
      </c>
    </row>
    <row r="3923" spans="1:12" x14ac:dyDescent="0.2">
      <c r="A3923" s="9">
        <v>46256</v>
      </c>
      <c r="B3923" t="s">
        <v>142</v>
      </c>
      <c r="C3923" t="s">
        <v>143</v>
      </c>
      <c r="D3923" t="s">
        <v>75</v>
      </c>
      <c r="E3923" t="s">
        <v>655</v>
      </c>
      <c r="F3923" t="s">
        <v>662</v>
      </c>
      <c r="G3923" s="10">
        <v>49</v>
      </c>
      <c r="H3923" s="10">
        <v>5487</v>
      </c>
      <c r="I3923" s="10">
        <v>268863</v>
      </c>
      <c r="J3923" t="s">
        <v>42</v>
      </c>
      <c r="K3923" s="11">
        <v>3145.8</v>
      </c>
      <c r="L3923" s="12">
        <v>85.47</v>
      </c>
    </row>
    <row r="3924" spans="1:12" x14ac:dyDescent="0.2">
      <c r="A3924" s="9">
        <v>46256</v>
      </c>
      <c r="B3924" t="s">
        <v>145</v>
      </c>
      <c r="C3924" t="s">
        <v>146</v>
      </c>
      <c r="D3924" t="s">
        <v>68</v>
      </c>
      <c r="E3924" t="s">
        <v>655</v>
      </c>
      <c r="F3924" t="s">
        <v>665</v>
      </c>
      <c r="G3924" s="10">
        <v>2</v>
      </c>
      <c r="H3924" s="10">
        <v>673</v>
      </c>
      <c r="I3924" s="10">
        <v>1346</v>
      </c>
      <c r="J3924" t="s">
        <v>51</v>
      </c>
      <c r="K3924" s="11">
        <v>648.20000000000005</v>
      </c>
      <c r="L3924" s="12">
        <v>2.08</v>
      </c>
    </row>
    <row r="3925" spans="1:12" x14ac:dyDescent="0.2">
      <c r="A3925" s="9">
        <v>46256</v>
      </c>
      <c r="B3925" t="s">
        <v>152</v>
      </c>
      <c r="C3925" t="s">
        <v>153</v>
      </c>
      <c r="D3925" t="s">
        <v>75</v>
      </c>
      <c r="E3925" t="s">
        <v>649</v>
      </c>
      <c r="F3925" t="s">
        <v>650</v>
      </c>
      <c r="G3925" s="10">
        <v>8</v>
      </c>
      <c r="H3925" s="10">
        <v>96945</v>
      </c>
      <c r="I3925" s="10">
        <v>775560</v>
      </c>
      <c r="J3925" t="s">
        <v>42</v>
      </c>
      <c r="K3925" s="11">
        <v>3145.8</v>
      </c>
      <c r="L3925" s="12">
        <v>246.54</v>
      </c>
    </row>
    <row r="3926" spans="1:12" x14ac:dyDescent="0.2">
      <c r="A3926" s="9">
        <v>46256</v>
      </c>
      <c r="B3926" t="s">
        <v>152</v>
      </c>
      <c r="C3926" t="s">
        <v>153</v>
      </c>
      <c r="D3926" t="s">
        <v>75</v>
      </c>
      <c r="E3926" t="s">
        <v>655</v>
      </c>
      <c r="F3926" t="s">
        <v>665</v>
      </c>
      <c r="G3926" s="10">
        <v>13</v>
      </c>
      <c r="H3926" s="10">
        <v>3417</v>
      </c>
      <c r="I3926" s="10">
        <v>44421</v>
      </c>
      <c r="J3926" t="s">
        <v>42</v>
      </c>
      <c r="K3926" s="11">
        <v>3145.8</v>
      </c>
      <c r="L3926" s="12">
        <v>14.12</v>
      </c>
    </row>
    <row r="3927" spans="1:12" x14ac:dyDescent="0.2">
      <c r="A3927" s="9">
        <v>46256</v>
      </c>
      <c r="B3927" t="s">
        <v>158</v>
      </c>
      <c r="C3927" t="s">
        <v>159</v>
      </c>
      <c r="D3927" t="s">
        <v>41</v>
      </c>
      <c r="E3927" t="s">
        <v>647</v>
      </c>
      <c r="F3927" t="s">
        <v>668</v>
      </c>
      <c r="G3927" s="10">
        <v>42</v>
      </c>
      <c r="H3927" s="10">
        <v>120126</v>
      </c>
      <c r="I3927" s="10">
        <v>5045292</v>
      </c>
      <c r="J3927" t="s">
        <v>42</v>
      </c>
      <c r="K3927" s="11">
        <v>3145.8</v>
      </c>
      <c r="L3927" s="12">
        <v>1603.82</v>
      </c>
    </row>
    <row r="3928" spans="1:12" x14ac:dyDescent="0.2">
      <c r="A3928" s="9">
        <v>46256</v>
      </c>
      <c r="B3928" t="s">
        <v>158</v>
      </c>
      <c r="C3928" t="s">
        <v>159</v>
      </c>
      <c r="D3928" t="s">
        <v>41</v>
      </c>
      <c r="E3928" t="s">
        <v>647</v>
      </c>
      <c r="F3928" t="s">
        <v>648</v>
      </c>
      <c r="G3928" s="10">
        <v>5</v>
      </c>
      <c r="H3928" s="10">
        <v>81818</v>
      </c>
      <c r="I3928" s="10">
        <v>409090</v>
      </c>
      <c r="J3928" t="s">
        <v>42</v>
      </c>
      <c r="K3928" s="11">
        <v>3145.8</v>
      </c>
      <c r="L3928" s="12">
        <v>130.04</v>
      </c>
    </row>
    <row r="3929" spans="1:12" x14ac:dyDescent="0.2">
      <c r="A3929" s="9">
        <v>46256</v>
      </c>
      <c r="B3929" t="s">
        <v>158</v>
      </c>
      <c r="C3929" t="s">
        <v>159</v>
      </c>
      <c r="D3929" t="s">
        <v>41</v>
      </c>
      <c r="E3929" t="s">
        <v>651</v>
      </c>
      <c r="F3929" t="s">
        <v>664</v>
      </c>
      <c r="G3929" s="10">
        <v>45</v>
      </c>
      <c r="H3929" s="10">
        <v>58434</v>
      </c>
      <c r="I3929" s="10">
        <v>2629530</v>
      </c>
      <c r="J3929" t="s">
        <v>42</v>
      </c>
      <c r="K3929" s="11">
        <v>3145.8</v>
      </c>
      <c r="L3929" s="12">
        <v>835.89</v>
      </c>
    </row>
    <row r="3930" spans="1:12" x14ac:dyDescent="0.2">
      <c r="A3930" s="9">
        <v>46256</v>
      </c>
      <c r="B3930" t="s">
        <v>161</v>
      </c>
      <c r="C3930" t="s">
        <v>67</v>
      </c>
      <c r="D3930" t="s">
        <v>41</v>
      </c>
      <c r="E3930" t="s">
        <v>655</v>
      </c>
      <c r="F3930" t="s">
        <v>665</v>
      </c>
      <c r="G3930" s="10">
        <v>57</v>
      </c>
      <c r="H3930" s="10">
        <v>3387</v>
      </c>
      <c r="I3930" s="10">
        <v>193059</v>
      </c>
      <c r="J3930" t="s">
        <v>42</v>
      </c>
      <c r="K3930" s="11">
        <v>3145.8</v>
      </c>
      <c r="L3930" s="12">
        <v>61.37</v>
      </c>
    </row>
    <row r="3931" spans="1:12" x14ac:dyDescent="0.2">
      <c r="A3931" s="9">
        <v>46256</v>
      </c>
      <c r="B3931" t="s">
        <v>163</v>
      </c>
      <c r="C3931" t="s">
        <v>164</v>
      </c>
      <c r="D3931" t="s">
        <v>41</v>
      </c>
      <c r="E3931" t="s">
        <v>649</v>
      </c>
      <c r="F3931" t="s">
        <v>650</v>
      </c>
      <c r="G3931" s="10">
        <v>6</v>
      </c>
      <c r="H3931" s="10">
        <v>95791</v>
      </c>
      <c r="I3931" s="10">
        <v>574746</v>
      </c>
      <c r="J3931" t="s">
        <v>42</v>
      </c>
      <c r="K3931" s="11">
        <v>3145.8</v>
      </c>
      <c r="L3931" s="12">
        <v>182.7</v>
      </c>
    </row>
    <row r="3932" spans="1:12" x14ac:dyDescent="0.2">
      <c r="A3932" s="9">
        <v>46256</v>
      </c>
      <c r="B3932" t="s">
        <v>163</v>
      </c>
      <c r="C3932" t="s">
        <v>164</v>
      </c>
      <c r="D3932" t="s">
        <v>41</v>
      </c>
      <c r="E3932" t="s">
        <v>647</v>
      </c>
      <c r="F3932" t="s">
        <v>668</v>
      </c>
      <c r="G3932" s="10">
        <v>10</v>
      </c>
      <c r="H3932" s="10">
        <v>121276</v>
      </c>
      <c r="I3932" s="10">
        <v>1212760</v>
      </c>
      <c r="J3932" t="s">
        <v>42</v>
      </c>
      <c r="K3932" s="11">
        <v>3145.8</v>
      </c>
      <c r="L3932" s="12">
        <v>385.52</v>
      </c>
    </row>
    <row r="3933" spans="1:12" x14ac:dyDescent="0.2">
      <c r="A3933" s="9">
        <v>46256</v>
      </c>
      <c r="B3933" t="s">
        <v>163</v>
      </c>
      <c r="C3933" t="s">
        <v>164</v>
      </c>
      <c r="D3933" t="s">
        <v>41</v>
      </c>
      <c r="E3933" t="s">
        <v>647</v>
      </c>
      <c r="F3933" t="s">
        <v>667</v>
      </c>
      <c r="G3933" s="10">
        <v>1</v>
      </c>
      <c r="H3933" s="10">
        <v>36287</v>
      </c>
      <c r="I3933" s="10">
        <v>36287</v>
      </c>
      <c r="J3933" t="s">
        <v>42</v>
      </c>
      <c r="K3933" s="11">
        <v>3145.8</v>
      </c>
      <c r="L3933" s="12">
        <v>11.54</v>
      </c>
    </row>
    <row r="3934" spans="1:12" x14ac:dyDescent="0.2">
      <c r="A3934" s="9">
        <v>46256</v>
      </c>
      <c r="B3934" t="s">
        <v>169</v>
      </c>
      <c r="C3934" t="s">
        <v>170</v>
      </c>
      <c r="D3934" t="s">
        <v>41</v>
      </c>
      <c r="E3934" t="s">
        <v>655</v>
      </c>
      <c r="F3934" t="s">
        <v>665</v>
      </c>
      <c r="G3934" s="10">
        <v>3</v>
      </c>
      <c r="H3934" s="10">
        <v>3463</v>
      </c>
      <c r="I3934" s="10">
        <v>10389</v>
      </c>
      <c r="J3934" t="s">
        <v>42</v>
      </c>
      <c r="K3934" s="11">
        <v>3145.8</v>
      </c>
      <c r="L3934" s="12">
        <v>3.3</v>
      </c>
    </row>
    <row r="3935" spans="1:12" x14ac:dyDescent="0.2">
      <c r="A3935" s="9">
        <v>46256</v>
      </c>
      <c r="B3935" t="s">
        <v>172</v>
      </c>
      <c r="C3935" t="s">
        <v>173</v>
      </c>
      <c r="D3935" t="s">
        <v>41</v>
      </c>
      <c r="E3935" t="s">
        <v>647</v>
      </c>
      <c r="F3935" t="s">
        <v>667</v>
      </c>
      <c r="G3935" s="10">
        <v>5</v>
      </c>
      <c r="H3935" s="10">
        <v>35750</v>
      </c>
      <c r="I3935" s="10">
        <v>178750</v>
      </c>
      <c r="J3935" t="s">
        <v>42</v>
      </c>
      <c r="K3935" s="11">
        <v>3145.8</v>
      </c>
      <c r="L3935" s="12">
        <v>56.82</v>
      </c>
    </row>
    <row r="3936" spans="1:12" x14ac:dyDescent="0.2">
      <c r="A3936" s="9">
        <v>46256</v>
      </c>
      <c r="B3936" t="s">
        <v>181</v>
      </c>
      <c r="C3936" t="s">
        <v>182</v>
      </c>
      <c r="D3936" t="s">
        <v>41</v>
      </c>
      <c r="E3936" t="s">
        <v>653</v>
      </c>
      <c r="F3936" t="s">
        <v>666</v>
      </c>
      <c r="G3936" s="10">
        <v>18</v>
      </c>
      <c r="H3936" s="10">
        <v>7401</v>
      </c>
      <c r="I3936" s="10">
        <v>133218</v>
      </c>
      <c r="J3936" t="s">
        <v>42</v>
      </c>
      <c r="K3936" s="11">
        <v>3145.8</v>
      </c>
      <c r="L3936" s="12">
        <v>42.35</v>
      </c>
    </row>
    <row r="3937" spans="1:12" x14ac:dyDescent="0.2">
      <c r="A3937" s="9">
        <v>46256</v>
      </c>
      <c r="B3937" t="s">
        <v>184</v>
      </c>
      <c r="C3937" t="s">
        <v>185</v>
      </c>
      <c r="D3937" t="s">
        <v>41</v>
      </c>
      <c r="E3937" t="s">
        <v>647</v>
      </c>
      <c r="F3937" t="s">
        <v>648</v>
      </c>
      <c r="G3937" s="10">
        <v>6</v>
      </c>
      <c r="H3937" s="10">
        <v>77430</v>
      </c>
      <c r="I3937" s="10">
        <v>464580</v>
      </c>
      <c r="J3937" t="s">
        <v>42</v>
      </c>
      <c r="K3937" s="11">
        <v>3145.8</v>
      </c>
      <c r="L3937" s="12">
        <v>147.68</v>
      </c>
    </row>
    <row r="3938" spans="1:12" x14ac:dyDescent="0.2">
      <c r="A3938" s="9">
        <v>46256</v>
      </c>
      <c r="B3938" t="s">
        <v>187</v>
      </c>
      <c r="C3938" t="s">
        <v>188</v>
      </c>
      <c r="D3938" t="s">
        <v>75</v>
      </c>
      <c r="E3938" t="s">
        <v>660</v>
      </c>
      <c r="F3938" t="s">
        <v>670</v>
      </c>
      <c r="G3938" s="10">
        <v>10</v>
      </c>
      <c r="H3938" s="10">
        <v>71447</v>
      </c>
      <c r="I3938" s="10">
        <v>714470</v>
      </c>
      <c r="J3938" t="s">
        <v>42</v>
      </c>
      <c r="K3938" s="11">
        <v>3145.8</v>
      </c>
      <c r="L3938" s="12">
        <v>227.12</v>
      </c>
    </row>
    <row r="3939" spans="1:12" x14ac:dyDescent="0.2">
      <c r="A3939" s="9">
        <v>46256</v>
      </c>
      <c r="B3939" t="s">
        <v>190</v>
      </c>
      <c r="C3939" t="s">
        <v>191</v>
      </c>
      <c r="D3939" t="s">
        <v>68</v>
      </c>
      <c r="E3939" t="s">
        <v>660</v>
      </c>
      <c r="F3939" t="s">
        <v>670</v>
      </c>
      <c r="G3939" s="10">
        <v>1</v>
      </c>
      <c r="H3939" s="10">
        <v>13948</v>
      </c>
      <c r="I3939" s="10">
        <v>13948</v>
      </c>
      <c r="J3939" t="s">
        <v>51</v>
      </c>
      <c r="K3939" s="11">
        <v>648.20000000000005</v>
      </c>
      <c r="L3939" s="12">
        <v>21.52</v>
      </c>
    </row>
    <row r="3940" spans="1:12" x14ac:dyDescent="0.2">
      <c r="A3940" s="9">
        <v>46256</v>
      </c>
      <c r="B3940" t="s">
        <v>190</v>
      </c>
      <c r="C3940" t="s">
        <v>191</v>
      </c>
      <c r="D3940" t="s">
        <v>68</v>
      </c>
      <c r="E3940" t="s">
        <v>660</v>
      </c>
      <c r="F3940" t="s">
        <v>661</v>
      </c>
      <c r="G3940" s="10">
        <v>5</v>
      </c>
      <c r="H3940" s="10">
        <v>4098</v>
      </c>
      <c r="I3940" s="10">
        <v>20490</v>
      </c>
      <c r="J3940" t="s">
        <v>51</v>
      </c>
      <c r="K3940" s="11">
        <v>648.20000000000005</v>
      </c>
      <c r="L3940" s="12">
        <v>31.61</v>
      </c>
    </row>
    <row r="3941" spans="1:12" x14ac:dyDescent="0.2">
      <c r="A3941" s="9">
        <v>46256</v>
      </c>
      <c r="B3941" t="s">
        <v>190</v>
      </c>
      <c r="C3941" t="s">
        <v>191</v>
      </c>
      <c r="D3941" t="s">
        <v>68</v>
      </c>
      <c r="E3941" t="s">
        <v>653</v>
      </c>
      <c r="F3941" t="s">
        <v>654</v>
      </c>
      <c r="G3941" s="10">
        <v>33</v>
      </c>
      <c r="H3941" s="10">
        <v>5732</v>
      </c>
      <c r="I3941" s="10">
        <v>189156</v>
      </c>
      <c r="J3941" t="s">
        <v>51</v>
      </c>
      <c r="K3941" s="11">
        <v>648.20000000000005</v>
      </c>
      <c r="L3941" s="12">
        <v>291.82</v>
      </c>
    </row>
    <row r="3942" spans="1:12" x14ac:dyDescent="0.2">
      <c r="A3942" s="9">
        <v>46256</v>
      </c>
      <c r="B3942" t="s">
        <v>199</v>
      </c>
      <c r="C3942" t="s">
        <v>200</v>
      </c>
      <c r="D3942" t="s">
        <v>46</v>
      </c>
      <c r="E3942" t="s">
        <v>655</v>
      </c>
      <c r="F3942" t="s">
        <v>656</v>
      </c>
      <c r="G3942" s="10">
        <v>21</v>
      </c>
      <c r="H3942" s="10">
        <v>591</v>
      </c>
      <c r="I3942" s="10">
        <v>12411</v>
      </c>
      <c r="J3942" t="s">
        <v>37</v>
      </c>
      <c r="K3942" s="11">
        <v>648.20000000000005</v>
      </c>
      <c r="L3942" s="12">
        <v>19.149999999999999</v>
      </c>
    </row>
    <row r="3943" spans="1:12" x14ac:dyDescent="0.2">
      <c r="A3943" s="9">
        <v>46256</v>
      </c>
      <c r="B3943" t="s">
        <v>208</v>
      </c>
      <c r="C3943" t="s">
        <v>209</v>
      </c>
      <c r="D3943" t="s">
        <v>46</v>
      </c>
      <c r="E3943" t="s">
        <v>647</v>
      </c>
      <c r="F3943" t="s">
        <v>648</v>
      </c>
      <c r="G3943" s="10">
        <v>3</v>
      </c>
      <c r="H3943" s="10">
        <v>16619</v>
      </c>
      <c r="I3943" s="10">
        <v>49857</v>
      </c>
      <c r="J3943" t="s">
        <v>37</v>
      </c>
      <c r="K3943" s="11">
        <v>648.20000000000005</v>
      </c>
      <c r="L3943" s="12">
        <v>76.92</v>
      </c>
    </row>
    <row r="3944" spans="1:12" x14ac:dyDescent="0.2">
      <c r="A3944" s="9">
        <v>46256</v>
      </c>
      <c r="B3944" t="s">
        <v>211</v>
      </c>
      <c r="C3944" t="s">
        <v>212</v>
      </c>
      <c r="D3944" t="s">
        <v>46</v>
      </c>
      <c r="E3944" t="s">
        <v>660</v>
      </c>
      <c r="F3944" t="s">
        <v>670</v>
      </c>
      <c r="G3944" s="10">
        <v>7</v>
      </c>
      <c r="H3944" s="10">
        <v>14526</v>
      </c>
      <c r="I3944" s="10">
        <v>101682</v>
      </c>
      <c r="J3944" t="s">
        <v>37</v>
      </c>
      <c r="K3944" s="11">
        <v>648.20000000000005</v>
      </c>
      <c r="L3944" s="12">
        <v>156.87</v>
      </c>
    </row>
    <row r="3945" spans="1:12" x14ac:dyDescent="0.2">
      <c r="A3945" s="9">
        <v>46256</v>
      </c>
      <c r="B3945" t="s">
        <v>211</v>
      </c>
      <c r="C3945" t="s">
        <v>212</v>
      </c>
      <c r="D3945" t="s">
        <v>46</v>
      </c>
      <c r="E3945" t="s">
        <v>655</v>
      </c>
      <c r="F3945" t="s">
        <v>656</v>
      </c>
      <c r="G3945" s="10">
        <v>3</v>
      </c>
      <c r="H3945" s="10">
        <v>561</v>
      </c>
      <c r="I3945" s="10">
        <v>1683</v>
      </c>
      <c r="J3945" t="s">
        <v>37</v>
      </c>
      <c r="K3945" s="11">
        <v>648.20000000000005</v>
      </c>
      <c r="L3945" s="12">
        <v>2.6</v>
      </c>
    </row>
    <row r="3946" spans="1:12" x14ac:dyDescent="0.2">
      <c r="A3946" s="9">
        <v>46256</v>
      </c>
      <c r="B3946" t="s">
        <v>211</v>
      </c>
      <c r="C3946" t="s">
        <v>212</v>
      </c>
      <c r="D3946" t="s">
        <v>46</v>
      </c>
      <c r="E3946" t="s">
        <v>655</v>
      </c>
      <c r="F3946" t="s">
        <v>656</v>
      </c>
      <c r="G3946" s="10">
        <v>13</v>
      </c>
      <c r="H3946" s="10">
        <v>567</v>
      </c>
      <c r="I3946" s="10">
        <v>7371</v>
      </c>
      <c r="J3946" t="s">
        <v>37</v>
      </c>
      <c r="K3946" s="11">
        <v>648.20000000000005</v>
      </c>
      <c r="L3946" s="12">
        <v>11.37</v>
      </c>
    </row>
    <row r="3947" spans="1:12" x14ac:dyDescent="0.2">
      <c r="A3947" s="9">
        <v>46256</v>
      </c>
      <c r="B3947" t="s">
        <v>214</v>
      </c>
      <c r="C3947" t="s">
        <v>215</v>
      </c>
      <c r="D3947" t="s">
        <v>46</v>
      </c>
      <c r="E3947" t="s">
        <v>660</v>
      </c>
      <c r="F3947" t="s">
        <v>670</v>
      </c>
      <c r="G3947" s="10">
        <v>27</v>
      </c>
      <c r="H3947" s="10">
        <v>14130</v>
      </c>
      <c r="I3947" s="10">
        <v>381510</v>
      </c>
      <c r="J3947" t="s">
        <v>37</v>
      </c>
      <c r="K3947" s="11">
        <v>648.20000000000005</v>
      </c>
      <c r="L3947" s="12">
        <v>588.57000000000005</v>
      </c>
    </row>
    <row r="3948" spans="1:12" x14ac:dyDescent="0.2">
      <c r="A3948" s="9">
        <v>46256</v>
      </c>
      <c r="B3948" t="s">
        <v>220</v>
      </c>
      <c r="C3948" t="s">
        <v>221</v>
      </c>
      <c r="D3948" t="s">
        <v>46</v>
      </c>
      <c r="E3948" t="s">
        <v>649</v>
      </c>
      <c r="F3948" t="s">
        <v>650</v>
      </c>
      <c r="G3948" s="10">
        <v>15</v>
      </c>
      <c r="H3948" s="10">
        <v>19552</v>
      </c>
      <c r="I3948" s="10">
        <v>293280</v>
      </c>
      <c r="J3948" t="s">
        <v>37</v>
      </c>
      <c r="K3948" s="11">
        <v>648.20000000000005</v>
      </c>
      <c r="L3948" s="12">
        <v>452.45</v>
      </c>
    </row>
    <row r="3949" spans="1:12" x14ac:dyDescent="0.2">
      <c r="A3949" s="9">
        <v>46256</v>
      </c>
      <c r="B3949" t="s">
        <v>220</v>
      </c>
      <c r="C3949" t="s">
        <v>221</v>
      </c>
      <c r="D3949" t="s">
        <v>46</v>
      </c>
      <c r="E3949" t="s">
        <v>660</v>
      </c>
      <c r="F3949" t="s">
        <v>661</v>
      </c>
      <c r="G3949" s="10">
        <v>39</v>
      </c>
      <c r="H3949" s="10">
        <v>4322</v>
      </c>
      <c r="I3949" s="10">
        <v>168558</v>
      </c>
      <c r="J3949" t="s">
        <v>37</v>
      </c>
      <c r="K3949" s="11">
        <v>648.20000000000005</v>
      </c>
      <c r="L3949" s="12">
        <v>260.04000000000002</v>
      </c>
    </row>
    <row r="3950" spans="1:12" x14ac:dyDescent="0.2">
      <c r="A3950" s="9">
        <v>46256</v>
      </c>
      <c r="B3950" t="s">
        <v>223</v>
      </c>
      <c r="C3950" t="s">
        <v>224</v>
      </c>
      <c r="D3950" t="s">
        <v>36</v>
      </c>
      <c r="E3950" t="s">
        <v>651</v>
      </c>
      <c r="F3950" t="s">
        <v>652</v>
      </c>
      <c r="G3950" s="10">
        <v>24</v>
      </c>
      <c r="H3950" s="10">
        <v>9561</v>
      </c>
      <c r="I3950" s="10">
        <v>229464</v>
      </c>
      <c r="J3950" t="s">
        <v>37</v>
      </c>
      <c r="K3950" s="11">
        <v>648.20000000000005</v>
      </c>
      <c r="L3950" s="12">
        <v>354</v>
      </c>
    </row>
    <row r="3951" spans="1:12" x14ac:dyDescent="0.2">
      <c r="A3951" s="9">
        <v>46256</v>
      </c>
      <c r="B3951" t="s">
        <v>223</v>
      </c>
      <c r="C3951" t="s">
        <v>224</v>
      </c>
      <c r="D3951" t="s">
        <v>36</v>
      </c>
      <c r="E3951" t="s">
        <v>649</v>
      </c>
      <c r="F3951" t="s">
        <v>663</v>
      </c>
      <c r="G3951" s="10">
        <v>13</v>
      </c>
      <c r="H3951" s="10">
        <v>2108</v>
      </c>
      <c r="I3951" s="10">
        <v>27404</v>
      </c>
      <c r="J3951" t="s">
        <v>37</v>
      </c>
      <c r="K3951" s="11">
        <v>648.20000000000005</v>
      </c>
      <c r="L3951" s="12">
        <v>42.28</v>
      </c>
    </row>
    <row r="3952" spans="1:12" x14ac:dyDescent="0.2">
      <c r="A3952" s="9">
        <v>46256</v>
      </c>
      <c r="B3952" t="s">
        <v>223</v>
      </c>
      <c r="C3952" t="s">
        <v>224</v>
      </c>
      <c r="D3952" t="s">
        <v>36</v>
      </c>
      <c r="E3952" t="s">
        <v>647</v>
      </c>
      <c r="F3952" t="s">
        <v>648</v>
      </c>
      <c r="G3952" s="10">
        <v>43</v>
      </c>
      <c r="H3952" s="10">
        <v>16861</v>
      </c>
      <c r="I3952" s="10">
        <v>725023</v>
      </c>
      <c r="J3952" t="s">
        <v>37</v>
      </c>
      <c r="K3952" s="11">
        <v>648.20000000000005</v>
      </c>
      <c r="L3952" s="12">
        <v>1118.52</v>
      </c>
    </row>
    <row r="3953" spans="1:12" x14ac:dyDescent="0.2">
      <c r="A3953" s="9">
        <v>46256</v>
      </c>
      <c r="B3953" t="s">
        <v>232</v>
      </c>
      <c r="C3953" t="s">
        <v>233</v>
      </c>
      <c r="D3953" t="s">
        <v>46</v>
      </c>
      <c r="E3953" t="s">
        <v>655</v>
      </c>
      <c r="F3953" t="s">
        <v>662</v>
      </c>
      <c r="G3953" s="10">
        <v>14</v>
      </c>
      <c r="H3953" s="10">
        <v>1085</v>
      </c>
      <c r="I3953" s="10">
        <v>15190</v>
      </c>
      <c r="J3953" t="s">
        <v>37</v>
      </c>
      <c r="K3953" s="11">
        <v>648.20000000000005</v>
      </c>
      <c r="L3953" s="12">
        <v>23.43</v>
      </c>
    </row>
    <row r="3954" spans="1:12" x14ac:dyDescent="0.2">
      <c r="A3954" s="9">
        <v>46256</v>
      </c>
      <c r="B3954" t="s">
        <v>235</v>
      </c>
      <c r="C3954" t="s">
        <v>236</v>
      </c>
      <c r="D3954" t="s">
        <v>50</v>
      </c>
      <c r="E3954" t="s">
        <v>660</v>
      </c>
      <c r="F3954" t="s">
        <v>669</v>
      </c>
      <c r="G3954" s="10">
        <v>12</v>
      </c>
      <c r="H3954" s="10">
        <v>2651</v>
      </c>
      <c r="I3954" s="10">
        <v>31812</v>
      </c>
      <c r="J3954" t="s">
        <v>51</v>
      </c>
      <c r="K3954" s="11">
        <v>648.20000000000005</v>
      </c>
      <c r="L3954" s="12">
        <v>49.08</v>
      </c>
    </row>
    <row r="3955" spans="1:12" x14ac:dyDescent="0.2">
      <c r="A3955" s="9">
        <v>46256</v>
      </c>
      <c r="B3955" t="s">
        <v>238</v>
      </c>
      <c r="C3955" t="s">
        <v>239</v>
      </c>
      <c r="D3955" t="s">
        <v>68</v>
      </c>
      <c r="E3955" t="s">
        <v>660</v>
      </c>
      <c r="F3955" t="s">
        <v>661</v>
      </c>
      <c r="G3955" s="10">
        <v>40</v>
      </c>
      <c r="H3955" s="10">
        <v>4199</v>
      </c>
      <c r="I3955" s="10">
        <v>167960</v>
      </c>
      <c r="J3955" t="s">
        <v>51</v>
      </c>
      <c r="K3955" s="11">
        <v>648.20000000000005</v>
      </c>
      <c r="L3955" s="12">
        <v>259.12</v>
      </c>
    </row>
    <row r="3956" spans="1:12" x14ac:dyDescent="0.2">
      <c r="A3956" s="9">
        <v>46256</v>
      </c>
      <c r="B3956" t="s">
        <v>241</v>
      </c>
      <c r="C3956" t="s">
        <v>242</v>
      </c>
      <c r="D3956" t="s">
        <v>46</v>
      </c>
      <c r="E3956" t="s">
        <v>653</v>
      </c>
      <c r="F3956" t="s">
        <v>658</v>
      </c>
      <c r="G3956" s="10">
        <v>2</v>
      </c>
      <c r="H3956" s="10">
        <v>2630</v>
      </c>
      <c r="I3956" s="10">
        <v>5260</v>
      </c>
      <c r="J3956" t="s">
        <v>37</v>
      </c>
      <c r="K3956" s="11">
        <v>648.20000000000005</v>
      </c>
      <c r="L3956" s="12">
        <v>8.11</v>
      </c>
    </row>
    <row r="3957" spans="1:12" x14ac:dyDescent="0.2">
      <c r="A3957" s="9">
        <v>46256</v>
      </c>
      <c r="B3957" t="s">
        <v>244</v>
      </c>
      <c r="C3957" t="s">
        <v>245</v>
      </c>
      <c r="D3957" t="s">
        <v>75</v>
      </c>
      <c r="E3957" t="s">
        <v>660</v>
      </c>
      <c r="F3957" t="s">
        <v>670</v>
      </c>
      <c r="G3957" s="10">
        <v>33</v>
      </c>
      <c r="H3957" s="10">
        <v>67950</v>
      </c>
      <c r="I3957" s="10">
        <v>2242350</v>
      </c>
      <c r="J3957" t="s">
        <v>42</v>
      </c>
      <c r="K3957" s="11">
        <v>3145.8</v>
      </c>
      <c r="L3957" s="12">
        <v>712.81</v>
      </c>
    </row>
    <row r="3958" spans="1:12" x14ac:dyDescent="0.2">
      <c r="A3958" s="9">
        <v>46256</v>
      </c>
      <c r="B3958" t="s">
        <v>244</v>
      </c>
      <c r="C3958" t="s">
        <v>245</v>
      </c>
      <c r="D3958" t="s">
        <v>75</v>
      </c>
      <c r="E3958" t="s">
        <v>647</v>
      </c>
      <c r="F3958" t="s">
        <v>667</v>
      </c>
      <c r="G3958" s="10">
        <v>24</v>
      </c>
      <c r="H3958" s="10">
        <v>35877</v>
      </c>
      <c r="I3958" s="10">
        <v>861048</v>
      </c>
      <c r="J3958" t="s">
        <v>42</v>
      </c>
      <c r="K3958" s="11">
        <v>3145.8</v>
      </c>
      <c r="L3958" s="12">
        <v>273.70999999999998</v>
      </c>
    </row>
    <row r="3959" spans="1:12" x14ac:dyDescent="0.2">
      <c r="A3959" s="9">
        <v>46256</v>
      </c>
      <c r="B3959" t="s">
        <v>247</v>
      </c>
      <c r="C3959" t="s">
        <v>248</v>
      </c>
      <c r="D3959" t="s">
        <v>75</v>
      </c>
      <c r="E3959" t="s">
        <v>651</v>
      </c>
      <c r="F3959" t="s">
        <v>664</v>
      </c>
      <c r="G3959" s="10">
        <v>24</v>
      </c>
      <c r="H3959" s="10">
        <v>58187</v>
      </c>
      <c r="I3959" s="10">
        <v>1396488</v>
      </c>
      <c r="J3959" t="s">
        <v>42</v>
      </c>
      <c r="K3959" s="11">
        <v>3145.8</v>
      </c>
      <c r="L3959" s="12">
        <v>443.92</v>
      </c>
    </row>
    <row r="3960" spans="1:12" x14ac:dyDescent="0.2">
      <c r="A3960" s="9">
        <v>46256</v>
      </c>
      <c r="B3960" t="s">
        <v>253</v>
      </c>
      <c r="C3960" t="s">
        <v>254</v>
      </c>
      <c r="D3960" t="s">
        <v>50</v>
      </c>
      <c r="E3960" t="s">
        <v>647</v>
      </c>
      <c r="F3960" t="s">
        <v>648</v>
      </c>
      <c r="G3960" s="10">
        <v>10</v>
      </c>
      <c r="H3960" s="10">
        <v>16670</v>
      </c>
      <c r="I3960" s="10">
        <v>166700</v>
      </c>
      <c r="J3960" t="s">
        <v>51</v>
      </c>
      <c r="K3960" s="11">
        <v>648.20000000000005</v>
      </c>
      <c r="L3960" s="12">
        <v>257.17</v>
      </c>
    </row>
    <row r="3961" spans="1:12" x14ac:dyDescent="0.2">
      <c r="A3961" s="9">
        <v>46256</v>
      </c>
      <c r="B3961" t="s">
        <v>256</v>
      </c>
      <c r="C3961" t="s">
        <v>182</v>
      </c>
      <c r="D3961" t="s">
        <v>50</v>
      </c>
      <c r="E3961" t="s">
        <v>655</v>
      </c>
      <c r="F3961" t="s">
        <v>665</v>
      </c>
      <c r="G3961" s="10">
        <v>2</v>
      </c>
      <c r="H3961" s="10">
        <v>676</v>
      </c>
      <c r="I3961" s="10">
        <v>1352</v>
      </c>
      <c r="J3961" t="s">
        <v>51</v>
      </c>
      <c r="K3961" s="11">
        <v>648.20000000000005</v>
      </c>
      <c r="L3961" s="12">
        <v>2.09</v>
      </c>
    </row>
    <row r="3962" spans="1:12" x14ac:dyDescent="0.2">
      <c r="A3962" s="9">
        <v>46256</v>
      </c>
      <c r="B3962" t="s">
        <v>261</v>
      </c>
      <c r="C3962" t="s">
        <v>262</v>
      </c>
      <c r="D3962" t="s">
        <v>41</v>
      </c>
      <c r="E3962" t="s">
        <v>655</v>
      </c>
      <c r="F3962" t="s">
        <v>665</v>
      </c>
      <c r="G3962" s="10">
        <v>18</v>
      </c>
      <c r="H3962" s="10">
        <v>3312</v>
      </c>
      <c r="I3962" s="10">
        <v>59616</v>
      </c>
      <c r="J3962" t="s">
        <v>42</v>
      </c>
      <c r="K3962" s="11">
        <v>3145.8</v>
      </c>
      <c r="L3962" s="12">
        <v>18.95</v>
      </c>
    </row>
    <row r="3963" spans="1:12" x14ac:dyDescent="0.2">
      <c r="A3963" s="9">
        <v>46256</v>
      </c>
      <c r="B3963" t="s">
        <v>264</v>
      </c>
      <c r="C3963" t="s">
        <v>265</v>
      </c>
      <c r="D3963" t="s">
        <v>41</v>
      </c>
      <c r="E3963" t="s">
        <v>653</v>
      </c>
      <c r="F3963" t="s">
        <v>658</v>
      </c>
      <c r="G3963" s="10">
        <v>2</v>
      </c>
      <c r="H3963" s="10">
        <v>13465</v>
      </c>
      <c r="I3963" s="10">
        <v>26930</v>
      </c>
      <c r="J3963" t="s">
        <v>42</v>
      </c>
      <c r="K3963" s="11">
        <v>3145.8</v>
      </c>
      <c r="L3963" s="12">
        <v>8.56</v>
      </c>
    </row>
    <row r="3964" spans="1:12" x14ac:dyDescent="0.2">
      <c r="A3964" s="9">
        <v>46256</v>
      </c>
      <c r="B3964" t="s">
        <v>267</v>
      </c>
      <c r="C3964" t="s">
        <v>268</v>
      </c>
      <c r="D3964" t="s">
        <v>46</v>
      </c>
      <c r="E3964" t="s">
        <v>655</v>
      </c>
      <c r="F3964" t="s">
        <v>656</v>
      </c>
      <c r="G3964" s="10">
        <v>349</v>
      </c>
      <c r="H3964" s="10">
        <v>568</v>
      </c>
      <c r="I3964" s="10">
        <v>198232</v>
      </c>
      <c r="J3964" t="s">
        <v>37</v>
      </c>
      <c r="K3964" s="11">
        <v>648.20000000000005</v>
      </c>
      <c r="L3964" s="12">
        <v>305.82</v>
      </c>
    </row>
    <row r="3965" spans="1:12" x14ac:dyDescent="0.2">
      <c r="A3965" s="9">
        <v>46256</v>
      </c>
      <c r="B3965" t="s">
        <v>270</v>
      </c>
      <c r="C3965" t="s">
        <v>271</v>
      </c>
      <c r="D3965" t="s">
        <v>75</v>
      </c>
      <c r="E3965" t="s">
        <v>660</v>
      </c>
      <c r="F3965" t="s">
        <v>670</v>
      </c>
      <c r="G3965" s="10">
        <v>95</v>
      </c>
      <c r="H3965" s="10">
        <v>72258</v>
      </c>
      <c r="I3965" s="10">
        <v>6864510</v>
      </c>
      <c r="J3965" t="s">
        <v>42</v>
      </c>
      <c r="K3965" s="11">
        <v>3145.8</v>
      </c>
      <c r="L3965" s="12">
        <v>2182.12</v>
      </c>
    </row>
    <row r="3966" spans="1:12" x14ac:dyDescent="0.2">
      <c r="A3966" s="9">
        <v>46256</v>
      </c>
      <c r="B3966" t="s">
        <v>279</v>
      </c>
      <c r="C3966" t="s">
        <v>280</v>
      </c>
      <c r="D3966" t="s">
        <v>68</v>
      </c>
      <c r="E3966" t="s">
        <v>655</v>
      </c>
      <c r="F3966" t="s">
        <v>662</v>
      </c>
      <c r="G3966" s="10">
        <v>38</v>
      </c>
      <c r="H3966" s="10">
        <v>1123</v>
      </c>
      <c r="I3966" s="10">
        <v>42674</v>
      </c>
      <c r="J3966" t="s">
        <v>51</v>
      </c>
      <c r="K3966" s="11">
        <v>648.20000000000005</v>
      </c>
      <c r="L3966" s="12">
        <v>65.83</v>
      </c>
    </row>
    <row r="3967" spans="1:12" x14ac:dyDescent="0.2">
      <c r="A3967" s="9">
        <v>46256</v>
      </c>
      <c r="B3967" t="s">
        <v>279</v>
      </c>
      <c r="C3967" t="s">
        <v>280</v>
      </c>
      <c r="D3967" t="s">
        <v>68</v>
      </c>
      <c r="E3967" t="s">
        <v>660</v>
      </c>
      <c r="F3967" t="s">
        <v>661</v>
      </c>
      <c r="G3967" s="10">
        <v>98</v>
      </c>
      <c r="H3967" s="10">
        <v>4121</v>
      </c>
      <c r="I3967" s="10">
        <v>403858</v>
      </c>
      <c r="J3967" t="s">
        <v>51</v>
      </c>
      <c r="K3967" s="11">
        <v>648.20000000000005</v>
      </c>
      <c r="L3967" s="12">
        <v>623.04999999999995</v>
      </c>
    </row>
    <row r="3968" spans="1:12" x14ac:dyDescent="0.2">
      <c r="A3968" s="9">
        <v>46256</v>
      </c>
      <c r="B3968" t="s">
        <v>279</v>
      </c>
      <c r="C3968" t="s">
        <v>280</v>
      </c>
      <c r="D3968" t="s">
        <v>68</v>
      </c>
      <c r="E3968" t="s">
        <v>660</v>
      </c>
      <c r="F3968" t="s">
        <v>661</v>
      </c>
      <c r="G3968" s="10">
        <v>19</v>
      </c>
      <c r="H3968" s="10">
        <v>4252</v>
      </c>
      <c r="I3968" s="10">
        <v>80788</v>
      </c>
      <c r="J3968" t="s">
        <v>51</v>
      </c>
      <c r="K3968" s="11">
        <v>648.20000000000005</v>
      </c>
      <c r="L3968" s="12">
        <v>124.63</v>
      </c>
    </row>
    <row r="3969" spans="1:12" x14ac:dyDescent="0.2">
      <c r="A3969" s="9">
        <v>46256</v>
      </c>
      <c r="B3969" t="s">
        <v>285</v>
      </c>
      <c r="C3969" t="s">
        <v>286</v>
      </c>
      <c r="D3969" t="s">
        <v>68</v>
      </c>
      <c r="E3969" t="s">
        <v>649</v>
      </c>
      <c r="F3969" t="s">
        <v>663</v>
      </c>
      <c r="G3969" s="10">
        <v>10</v>
      </c>
      <c r="H3969" s="10">
        <v>2003</v>
      </c>
      <c r="I3969" s="10">
        <v>20030</v>
      </c>
      <c r="J3969" t="s">
        <v>51</v>
      </c>
      <c r="K3969" s="11">
        <v>648.20000000000005</v>
      </c>
      <c r="L3969" s="12">
        <v>30.9</v>
      </c>
    </row>
    <row r="3970" spans="1:12" x14ac:dyDescent="0.2">
      <c r="A3970" s="9">
        <v>46256</v>
      </c>
      <c r="B3970" t="s">
        <v>288</v>
      </c>
      <c r="C3970" t="s">
        <v>289</v>
      </c>
      <c r="D3970" t="s">
        <v>41</v>
      </c>
      <c r="E3970" t="s">
        <v>647</v>
      </c>
      <c r="F3970" t="s">
        <v>667</v>
      </c>
      <c r="G3970" s="10">
        <v>18</v>
      </c>
      <c r="H3970" s="10">
        <v>35822</v>
      </c>
      <c r="I3970" s="10">
        <v>644796</v>
      </c>
      <c r="J3970" t="s">
        <v>42</v>
      </c>
      <c r="K3970" s="11">
        <v>3145.8</v>
      </c>
      <c r="L3970" s="12">
        <v>204.97</v>
      </c>
    </row>
    <row r="3971" spans="1:12" x14ac:dyDescent="0.2">
      <c r="A3971" s="9">
        <v>46256</v>
      </c>
      <c r="B3971" t="s">
        <v>291</v>
      </c>
      <c r="C3971" t="s">
        <v>292</v>
      </c>
      <c r="D3971" t="s">
        <v>68</v>
      </c>
      <c r="E3971" t="s">
        <v>655</v>
      </c>
      <c r="F3971" t="s">
        <v>656</v>
      </c>
      <c r="G3971" s="10">
        <v>4</v>
      </c>
      <c r="H3971" s="10">
        <v>591</v>
      </c>
      <c r="I3971" s="10">
        <v>2364</v>
      </c>
      <c r="J3971" t="s">
        <v>51</v>
      </c>
      <c r="K3971" s="11">
        <v>648.20000000000005</v>
      </c>
      <c r="L3971" s="12">
        <v>3.65</v>
      </c>
    </row>
    <row r="3972" spans="1:12" x14ac:dyDescent="0.2">
      <c r="A3972" s="9">
        <v>46256</v>
      </c>
      <c r="B3972" t="s">
        <v>294</v>
      </c>
      <c r="C3972" t="s">
        <v>295</v>
      </c>
      <c r="D3972" t="s">
        <v>41</v>
      </c>
      <c r="E3972" t="s">
        <v>647</v>
      </c>
      <c r="F3972" t="s">
        <v>648</v>
      </c>
      <c r="G3972" s="10">
        <v>12</v>
      </c>
      <c r="H3972" s="10">
        <v>80676</v>
      </c>
      <c r="I3972" s="10">
        <v>968112</v>
      </c>
      <c r="J3972" t="s">
        <v>42</v>
      </c>
      <c r="K3972" s="11">
        <v>3145.8</v>
      </c>
      <c r="L3972" s="12">
        <v>307.75</v>
      </c>
    </row>
    <row r="3973" spans="1:12" x14ac:dyDescent="0.2">
      <c r="A3973" s="9">
        <v>46256</v>
      </c>
      <c r="B3973" t="s">
        <v>297</v>
      </c>
      <c r="C3973" t="s">
        <v>298</v>
      </c>
      <c r="D3973" t="s">
        <v>36</v>
      </c>
      <c r="E3973" t="s">
        <v>649</v>
      </c>
      <c r="F3973" t="s">
        <v>663</v>
      </c>
      <c r="G3973" s="10">
        <v>10</v>
      </c>
      <c r="H3973" s="10">
        <v>2049</v>
      </c>
      <c r="I3973" s="10">
        <v>20490</v>
      </c>
      <c r="J3973" t="s">
        <v>37</v>
      </c>
      <c r="K3973" s="11">
        <v>648.20000000000005</v>
      </c>
      <c r="L3973" s="12">
        <v>31.61</v>
      </c>
    </row>
    <row r="3974" spans="1:12" x14ac:dyDescent="0.2">
      <c r="A3974" s="9">
        <v>46256</v>
      </c>
      <c r="B3974" t="s">
        <v>297</v>
      </c>
      <c r="C3974" t="s">
        <v>298</v>
      </c>
      <c r="D3974" t="s">
        <v>36</v>
      </c>
      <c r="E3974" t="s">
        <v>649</v>
      </c>
      <c r="F3974" t="s">
        <v>659</v>
      </c>
      <c r="G3974" s="10">
        <v>10</v>
      </c>
      <c r="H3974" s="10">
        <v>9190</v>
      </c>
      <c r="I3974" s="10">
        <v>91900</v>
      </c>
      <c r="J3974" t="s">
        <v>37</v>
      </c>
      <c r="K3974" s="11">
        <v>648.20000000000005</v>
      </c>
      <c r="L3974" s="12">
        <v>141.78</v>
      </c>
    </row>
    <row r="3975" spans="1:12" x14ac:dyDescent="0.2">
      <c r="A3975" s="9">
        <v>46256</v>
      </c>
      <c r="B3975" t="s">
        <v>300</v>
      </c>
      <c r="C3975" t="s">
        <v>301</v>
      </c>
      <c r="D3975" t="s">
        <v>41</v>
      </c>
      <c r="E3975" t="s">
        <v>653</v>
      </c>
      <c r="F3975" t="s">
        <v>658</v>
      </c>
      <c r="G3975" s="10">
        <v>40</v>
      </c>
      <c r="H3975" s="10">
        <v>13658</v>
      </c>
      <c r="I3975" s="10">
        <v>546320</v>
      </c>
      <c r="J3975" t="s">
        <v>42</v>
      </c>
      <c r="K3975" s="11">
        <v>3145.8</v>
      </c>
      <c r="L3975" s="12">
        <v>173.67</v>
      </c>
    </row>
    <row r="3976" spans="1:12" x14ac:dyDescent="0.2">
      <c r="A3976" s="9">
        <v>46256</v>
      </c>
      <c r="B3976" t="s">
        <v>300</v>
      </c>
      <c r="C3976" t="s">
        <v>301</v>
      </c>
      <c r="D3976" t="s">
        <v>41</v>
      </c>
      <c r="E3976" t="s">
        <v>660</v>
      </c>
      <c r="F3976" t="s">
        <v>670</v>
      </c>
      <c r="G3976" s="10">
        <v>7</v>
      </c>
      <c r="H3976" s="10">
        <v>71840</v>
      </c>
      <c r="I3976" s="10">
        <v>502880</v>
      </c>
      <c r="J3976" t="s">
        <v>42</v>
      </c>
      <c r="K3976" s="11">
        <v>3145.8</v>
      </c>
      <c r="L3976" s="12">
        <v>159.86000000000001</v>
      </c>
    </row>
    <row r="3977" spans="1:12" x14ac:dyDescent="0.2">
      <c r="A3977" s="9">
        <v>46256</v>
      </c>
      <c r="B3977" t="s">
        <v>303</v>
      </c>
      <c r="C3977" t="s">
        <v>304</v>
      </c>
      <c r="D3977" t="s">
        <v>36</v>
      </c>
      <c r="E3977" t="s">
        <v>653</v>
      </c>
      <c r="F3977" t="s">
        <v>658</v>
      </c>
      <c r="G3977" s="10">
        <v>31</v>
      </c>
      <c r="H3977" s="10">
        <v>2768</v>
      </c>
      <c r="I3977" s="10">
        <v>85808</v>
      </c>
      <c r="J3977" t="s">
        <v>37</v>
      </c>
      <c r="K3977" s="11">
        <v>648.20000000000005</v>
      </c>
      <c r="L3977" s="12">
        <v>132.38</v>
      </c>
    </row>
    <row r="3978" spans="1:12" x14ac:dyDescent="0.2">
      <c r="A3978" s="9">
        <v>46256</v>
      </c>
      <c r="B3978" t="s">
        <v>303</v>
      </c>
      <c r="C3978" t="s">
        <v>304</v>
      </c>
      <c r="D3978" t="s">
        <v>36</v>
      </c>
      <c r="E3978" t="s">
        <v>647</v>
      </c>
      <c r="F3978" t="s">
        <v>668</v>
      </c>
      <c r="G3978" s="10">
        <v>1</v>
      </c>
      <c r="H3978" s="10">
        <v>24396</v>
      </c>
      <c r="I3978" s="10">
        <v>24396</v>
      </c>
      <c r="J3978" t="s">
        <v>37</v>
      </c>
      <c r="K3978" s="11">
        <v>648.20000000000005</v>
      </c>
      <c r="L3978" s="12">
        <v>37.64</v>
      </c>
    </row>
    <row r="3979" spans="1:12" x14ac:dyDescent="0.2">
      <c r="A3979" s="9">
        <v>46256</v>
      </c>
      <c r="B3979" t="s">
        <v>303</v>
      </c>
      <c r="C3979" t="s">
        <v>304</v>
      </c>
      <c r="D3979" t="s">
        <v>36</v>
      </c>
      <c r="E3979" t="s">
        <v>647</v>
      </c>
      <c r="F3979" t="s">
        <v>668</v>
      </c>
      <c r="G3979" s="10">
        <v>12</v>
      </c>
      <c r="H3979" s="10">
        <v>24673</v>
      </c>
      <c r="I3979" s="10">
        <v>296076</v>
      </c>
      <c r="J3979" t="s">
        <v>37</v>
      </c>
      <c r="K3979" s="11">
        <v>648.20000000000005</v>
      </c>
      <c r="L3979" s="12">
        <v>456.77</v>
      </c>
    </row>
    <row r="3980" spans="1:12" x14ac:dyDescent="0.2">
      <c r="A3980" s="9">
        <v>46256</v>
      </c>
      <c r="B3980" t="s">
        <v>303</v>
      </c>
      <c r="C3980" t="s">
        <v>304</v>
      </c>
      <c r="D3980" t="s">
        <v>36</v>
      </c>
      <c r="E3980" t="s">
        <v>647</v>
      </c>
      <c r="F3980" t="s">
        <v>667</v>
      </c>
      <c r="G3980" s="10">
        <v>14</v>
      </c>
      <c r="H3980" s="10">
        <v>7524</v>
      </c>
      <c r="I3980" s="10">
        <v>105336</v>
      </c>
      <c r="J3980" t="s">
        <v>37</v>
      </c>
      <c r="K3980" s="11">
        <v>648.20000000000005</v>
      </c>
      <c r="L3980" s="12">
        <v>162.51</v>
      </c>
    </row>
    <row r="3981" spans="1:12" x14ac:dyDescent="0.2">
      <c r="A3981" s="9">
        <v>46256</v>
      </c>
      <c r="B3981" t="s">
        <v>306</v>
      </c>
      <c r="C3981" t="s">
        <v>307</v>
      </c>
      <c r="D3981" t="s">
        <v>36</v>
      </c>
      <c r="E3981" t="s">
        <v>649</v>
      </c>
      <c r="F3981" t="s">
        <v>650</v>
      </c>
      <c r="G3981" s="10">
        <v>5</v>
      </c>
      <c r="H3981" s="10">
        <v>19271</v>
      </c>
      <c r="I3981" s="10">
        <v>96355</v>
      </c>
      <c r="J3981" t="s">
        <v>37</v>
      </c>
      <c r="K3981" s="11">
        <v>648.20000000000005</v>
      </c>
      <c r="L3981" s="12">
        <v>148.65</v>
      </c>
    </row>
    <row r="3982" spans="1:12" x14ac:dyDescent="0.2">
      <c r="A3982" s="9">
        <v>46256</v>
      </c>
      <c r="B3982" t="s">
        <v>306</v>
      </c>
      <c r="C3982" t="s">
        <v>307</v>
      </c>
      <c r="D3982" t="s">
        <v>36</v>
      </c>
      <c r="E3982" t="s">
        <v>649</v>
      </c>
      <c r="F3982" t="s">
        <v>663</v>
      </c>
      <c r="G3982" s="10">
        <v>2</v>
      </c>
      <c r="H3982" s="10">
        <v>2079</v>
      </c>
      <c r="I3982" s="10">
        <v>4158</v>
      </c>
      <c r="J3982" t="s">
        <v>37</v>
      </c>
      <c r="K3982" s="11">
        <v>648.20000000000005</v>
      </c>
      <c r="L3982" s="12">
        <v>6.41</v>
      </c>
    </row>
    <row r="3983" spans="1:12" x14ac:dyDescent="0.2">
      <c r="A3983" s="9">
        <v>46256</v>
      </c>
      <c r="B3983" t="s">
        <v>306</v>
      </c>
      <c r="C3983" t="s">
        <v>307</v>
      </c>
      <c r="D3983" t="s">
        <v>36</v>
      </c>
      <c r="E3983" t="s">
        <v>649</v>
      </c>
      <c r="F3983" t="s">
        <v>663</v>
      </c>
      <c r="G3983" s="10">
        <v>3</v>
      </c>
      <c r="H3983" s="10">
        <v>2052</v>
      </c>
      <c r="I3983" s="10">
        <v>6156</v>
      </c>
      <c r="J3983" t="s">
        <v>37</v>
      </c>
      <c r="K3983" s="11">
        <v>648.20000000000005</v>
      </c>
      <c r="L3983" s="12">
        <v>9.5</v>
      </c>
    </row>
    <row r="3984" spans="1:12" x14ac:dyDescent="0.2">
      <c r="A3984" s="9">
        <v>46256</v>
      </c>
      <c r="B3984" t="s">
        <v>306</v>
      </c>
      <c r="C3984" t="s">
        <v>307</v>
      </c>
      <c r="D3984" t="s">
        <v>36</v>
      </c>
      <c r="E3984" t="s">
        <v>660</v>
      </c>
      <c r="F3984" t="s">
        <v>661</v>
      </c>
      <c r="G3984" s="10">
        <v>1</v>
      </c>
      <c r="H3984" s="10">
        <v>4322</v>
      </c>
      <c r="I3984" s="10">
        <v>4322</v>
      </c>
      <c r="J3984" t="s">
        <v>37</v>
      </c>
      <c r="K3984" s="11">
        <v>648.20000000000005</v>
      </c>
      <c r="L3984" s="12">
        <v>6.67</v>
      </c>
    </row>
    <row r="3985" spans="1:12" x14ac:dyDescent="0.2">
      <c r="A3985" s="9">
        <v>46256</v>
      </c>
      <c r="B3985" t="s">
        <v>309</v>
      </c>
      <c r="C3985" t="s">
        <v>310</v>
      </c>
      <c r="D3985" t="s">
        <v>41</v>
      </c>
      <c r="E3985" t="s">
        <v>653</v>
      </c>
      <c r="F3985" t="s">
        <v>658</v>
      </c>
      <c r="G3985" s="10">
        <v>29</v>
      </c>
      <c r="H3985" s="10">
        <v>12686</v>
      </c>
      <c r="I3985" s="10">
        <v>367894</v>
      </c>
      <c r="J3985" t="s">
        <v>42</v>
      </c>
      <c r="K3985" s="11">
        <v>3145.8</v>
      </c>
      <c r="L3985" s="12">
        <v>116.95</v>
      </c>
    </row>
    <row r="3986" spans="1:12" x14ac:dyDescent="0.2">
      <c r="A3986" s="9">
        <v>46256</v>
      </c>
      <c r="B3986" t="s">
        <v>309</v>
      </c>
      <c r="C3986" t="s">
        <v>310</v>
      </c>
      <c r="D3986" t="s">
        <v>41</v>
      </c>
      <c r="E3986" t="s">
        <v>647</v>
      </c>
      <c r="F3986" t="s">
        <v>667</v>
      </c>
      <c r="G3986" s="10">
        <v>18</v>
      </c>
      <c r="H3986" s="10">
        <v>36734</v>
      </c>
      <c r="I3986" s="10">
        <v>661212</v>
      </c>
      <c r="J3986" t="s">
        <v>42</v>
      </c>
      <c r="K3986" s="11">
        <v>3145.8</v>
      </c>
      <c r="L3986" s="12">
        <v>210.19</v>
      </c>
    </row>
    <row r="3987" spans="1:12" x14ac:dyDescent="0.2">
      <c r="A3987" s="9">
        <v>46256</v>
      </c>
      <c r="B3987" t="s">
        <v>315</v>
      </c>
      <c r="C3987" t="s">
        <v>316</v>
      </c>
      <c r="D3987" t="s">
        <v>46</v>
      </c>
      <c r="E3987" t="s">
        <v>651</v>
      </c>
      <c r="F3987" t="s">
        <v>652</v>
      </c>
      <c r="G3987" s="10">
        <v>9</v>
      </c>
      <c r="H3987" s="10">
        <v>9285</v>
      </c>
      <c r="I3987" s="10">
        <v>83565</v>
      </c>
      <c r="J3987" t="s">
        <v>37</v>
      </c>
      <c r="K3987" s="11">
        <v>648.20000000000005</v>
      </c>
      <c r="L3987" s="12">
        <v>128.91999999999999</v>
      </c>
    </row>
    <row r="3988" spans="1:12" x14ac:dyDescent="0.2">
      <c r="A3988" s="9">
        <v>46256</v>
      </c>
      <c r="B3988" t="s">
        <v>315</v>
      </c>
      <c r="C3988" t="s">
        <v>316</v>
      </c>
      <c r="D3988" t="s">
        <v>46</v>
      </c>
      <c r="E3988" t="s">
        <v>647</v>
      </c>
      <c r="F3988" t="s">
        <v>668</v>
      </c>
      <c r="G3988" s="10">
        <v>9</v>
      </c>
      <c r="H3988" s="10">
        <v>25135</v>
      </c>
      <c r="I3988" s="10">
        <v>226215</v>
      </c>
      <c r="J3988" t="s">
        <v>37</v>
      </c>
      <c r="K3988" s="11">
        <v>648.20000000000005</v>
      </c>
      <c r="L3988" s="12">
        <v>348.99</v>
      </c>
    </row>
    <row r="3989" spans="1:12" x14ac:dyDescent="0.2">
      <c r="A3989" s="9">
        <v>46256</v>
      </c>
      <c r="B3989" t="s">
        <v>324</v>
      </c>
      <c r="C3989" t="s">
        <v>325</v>
      </c>
      <c r="D3989" t="s">
        <v>46</v>
      </c>
      <c r="E3989" t="s">
        <v>660</v>
      </c>
      <c r="F3989" t="s">
        <v>661</v>
      </c>
      <c r="G3989" s="10">
        <v>5</v>
      </c>
      <c r="H3989" s="10">
        <v>4071</v>
      </c>
      <c r="I3989" s="10">
        <v>20355</v>
      </c>
      <c r="J3989" t="s">
        <v>37</v>
      </c>
      <c r="K3989" s="11">
        <v>648.20000000000005</v>
      </c>
      <c r="L3989" s="12">
        <v>31.4</v>
      </c>
    </row>
    <row r="3990" spans="1:12" x14ac:dyDescent="0.2">
      <c r="A3990" s="9">
        <v>46256</v>
      </c>
      <c r="B3990" t="s">
        <v>324</v>
      </c>
      <c r="C3990" t="s">
        <v>325</v>
      </c>
      <c r="D3990" t="s">
        <v>46</v>
      </c>
      <c r="E3990" t="s">
        <v>660</v>
      </c>
      <c r="F3990" t="s">
        <v>661</v>
      </c>
      <c r="G3990" s="10">
        <v>6</v>
      </c>
      <c r="H3990" s="10">
        <v>4270</v>
      </c>
      <c r="I3990" s="10">
        <v>25620</v>
      </c>
      <c r="J3990" t="s">
        <v>37</v>
      </c>
      <c r="K3990" s="11">
        <v>648.20000000000005</v>
      </c>
      <c r="L3990" s="12">
        <v>39.520000000000003</v>
      </c>
    </row>
    <row r="3991" spans="1:12" x14ac:dyDescent="0.2">
      <c r="A3991" s="9">
        <v>46256</v>
      </c>
      <c r="B3991" t="s">
        <v>327</v>
      </c>
      <c r="C3991" t="s">
        <v>328</v>
      </c>
      <c r="D3991" t="s">
        <v>46</v>
      </c>
      <c r="E3991" t="s">
        <v>660</v>
      </c>
      <c r="F3991" t="s">
        <v>670</v>
      </c>
      <c r="G3991" s="10">
        <v>2</v>
      </c>
      <c r="H3991" s="10">
        <v>14163</v>
      </c>
      <c r="I3991" s="10">
        <v>28326</v>
      </c>
      <c r="J3991" t="s">
        <v>37</v>
      </c>
      <c r="K3991" s="11">
        <v>648.20000000000005</v>
      </c>
      <c r="L3991" s="12">
        <v>43.7</v>
      </c>
    </row>
    <row r="3992" spans="1:12" x14ac:dyDescent="0.2">
      <c r="A3992" s="9">
        <v>46256</v>
      </c>
      <c r="B3992" t="s">
        <v>327</v>
      </c>
      <c r="C3992" t="s">
        <v>328</v>
      </c>
      <c r="D3992" t="s">
        <v>46</v>
      </c>
      <c r="E3992" t="s">
        <v>647</v>
      </c>
      <c r="F3992" t="s">
        <v>648</v>
      </c>
      <c r="G3992" s="10">
        <v>14</v>
      </c>
      <c r="H3992" s="10">
        <v>16488</v>
      </c>
      <c r="I3992" s="10">
        <v>230832</v>
      </c>
      <c r="J3992" t="s">
        <v>37</v>
      </c>
      <c r="K3992" s="11">
        <v>648.20000000000005</v>
      </c>
      <c r="L3992" s="12">
        <v>356.11</v>
      </c>
    </row>
    <row r="3993" spans="1:12" x14ac:dyDescent="0.2">
      <c r="A3993" s="9">
        <v>46256</v>
      </c>
      <c r="B3993" t="s">
        <v>327</v>
      </c>
      <c r="C3993" t="s">
        <v>328</v>
      </c>
      <c r="D3993" t="s">
        <v>46</v>
      </c>
      <c r="E3993" t="s">
        <v>655</v>
      </c>
      <c r="F3993" t="s">
        <v>656</v>
      </c>
      <c r="G3993" s="10">
        <v>1</v>
      </c>
      <c r="H3993" s="10">
        <v>599</v>
      </c>
      <c r="I3993" s="10">
        <v>599</v>
      </c>
      <c r="J3993" t="s">
        <v>37</v>
      </c>
      <c r="K3993" s="11">
        <v>648.20000000000005</v>
      </c>
      <c r="L3993" s="12">
        <v>0.92</v>
      </c>
    </row>
    <row r="3994" spans="1:12" x14ac:dyDescent="0.2">
      <c r="A3994" s="9">
        <v>46256</v>
      </c>
      <c r="B3994" t="s">
        <v>330</v>
      </c>
      <c r="C3994" t="s">
        <v>331</v>
      </c>
      <c r="D3994" t="s">
        <v>68</v>
      </c>
      <c r="E3994" t="s">
        <v>651</v>
      </c>
      <c r="F3994" t="s">
        <v>664</v>
      </c>
      <c r="G3994" s="10">
        <v>20</v>
      </c>
      <c r="H3994" s="10">
        <v>11548</v>
      </c>
      <c r="I3994" s="10">
        <v>230960</v>
      </c>
      <c r="J3994" t="s">
        <v>51</v>
      </c>
      <c r="K3994" s="11">
        <v>648.20000000000005</v>
      </c>
      <c r="L3994" s="12">
        <v>356.31</v>
      </c>
    </row>
    <row r="3995" spans="1:12" x14ac:dyDescent="0.2">
      <c r="A3995" s="9">
        <v>46256</v>
      </c>
      <c r="B3995" t="s">
        <v>336</v>
      </c>
      <c r="C3995" t="s">
        <v>337</v>
      </c>
      <c r="D3995" t="s">
        <v>68</v>
      </c>
      <c r="E3995" t="s">
        <v>655</v>
      </c>
      <c r="F3995" t="s">
        <v>662</v>
      </c>
      <c r="G3995" s="10">
        <v>51</v>
      </c>
      <c r="H3995" s="10">
        <v>1136</v>
      </c>
      <c r="I3995" s="10">
        <v>57936</v>
      </c>
      <c r="J3995" t="s">
        <v>51</v>
      </c>
      <c r="K3995" s="11">
        <v>648.20000000000005</v>
      </c>
      <c r="L3995" s="12">
        <v>89.38</v>
      </c>
    </row>
    <row r="3996" spans="1:12" x14ac:dyDescent="0.2">
      <c r="A3996" s="9">
        <v>46256</v>
      </c>
      <c r="B3996" t="s">
        <v>339</v>
      </c>
      <c r="C3996" t="s">
        <v>340</v>
      </c>
      <c r="D3996" t="s">
        <v>68</v>
      </c>
      <c r="E3996" t="s">
        <v>653</v>
      </c>
      <c r="F3996" t="s">
        <v>654</v>
      </c>
      <c r="G3996" s="10">
        <v>6</v>
      </c>
      <c r="H3996" s="10">
        <v>5648</v>
      </c>
      <c r="I3996" s="10">
        <v>33888</v>
      </c>
      <c r="J3996" t="s">
        <v>51</v>
      </c>
      <c r="K3996" s="11">
        <v>648.20000000000005</v>
      </c>
      <c r="L3996" s="12">
        <v>52.28</v>
      </c>
    </row>
    <row r="3997" spans="1:12" x14ac:dyDescent="0.2">
      <c r="A3997" s="9">
        <v>46256</v>
      </c>
      <c r="B3997" t="s">
        <v>342</v>
      </c>
      <c r="C3997" t="s">
        <v>343</v>
      </c>
      <c r="D3997" t="s">
        <v>41</v>
      </c>
      <c r="E3997" t="s">
        <v>660</v>
      </c>
      <c r="F3997" t="s">
        <v>661</v>
      </c>
      <c r="G3997" s="10">
        <v>18</v>
      </c>
      <c r="H3997" s="10">
        <v>19616</v>
      </c>
      <c r="I3997" s="10">
        <v>353088</v>
      </c>
      <c r="J3997" t="s">
        <v>42</v>
      </c>
      <c r="K3997" s="11">
        <v>3145.8</v>
      </c>
      <c r="L3997" s="12">
        <v>112.24</v>
      </c>
    </row>
    <row r="3998" spans="1:12" x14ac:dyDescent="0.2">
      <c r="A3998" s="9">
        <v>46256</v>
      </c>
      <c r="B3998" t="s">
        <v>345</v>
      </c>
      <c r="C3998" t="s">
        <v>346</v>
      </c>
      <c r="D3998" t="s">
        <v>68</v>
      </c>
      <c r="E3998" t="s">
        <v>647</v>
      </c>
      <c r="F3998" t="s">
        <v>668</v>
      </c>
      <c r="G3998" s="10">
        <v>8</v>
      </c>
      <c r="H3998" s="10">
        <v>24760</v>
      </c>
      <c r="I3998" s="10">
        <v>198080</v>
      </c>
      <c r="J3998" t="s">
        <v>51</v>
      </c>
      <c r="K3998" s="11">
        <v>648.20000000000005</v>
      </c>
      <c r="L3998" s="12">
        <v>305.58</v>
      </c>
    </row>
    <row r="3999" spans="1:12" x14ac:dyDescent="0.2">
      <c r="A3999" s="9">
        <v>46256</v>
      </c>
      <c r="B3999" t="s">
        <v>348</v>
      </c>
      <c r="C3999" t="s">
        <v>349</v>
      </c>
      <c r="D3999" t="s">
        <v>36</v>
      </c>
      <c r="E3999" t="s">
        <v>660</v>
      </c>
      <c r="F3999" t="s">
        <v>669</v>
      </c>
      <c r="G3999" s="10">
        <v>13</v>
      </c>
      <c r="H3999" s="10">
        <v>2622</v>
      </c>
      <c r="I3999" s="10">
        <v>34086</v>
      </c>
      <c r="J3999" t="s">
        <v>37</v>
      </c>
      <c r="K3999" s="11">
        <v>648.20000000000005</v>
      </c>
      <c r="L3999" s="12">
        <v>52.59</v>
      </c>
    </row>
    <row r="4000" spans="1:12" x14ac:dyDescent="0.2">
      <c r="A4000" s="9">
        <v>46256</v>
      </c>
      <c r="B4000" t="s">
        <v>357</v>
      </c>
      <c r="C4000" t="s">
        <v>358</v>
      </c>
      <c r="D4000" t="s">
        <v>36</v>
      </c>
      <c r="E4000" t="s">
        <v>660</v>
      </c>
      <c r="F4000" t="s">
        <v>670</v>
      </c>
      <c r="G4000" s="10">
        <v>85</v>
      </c>
      <c r="H4000" s="10">
        <v>14520</v>
      </c>
      <c r="I4000" s="10">
        <v>1234200</v>
      </c>
      <c r="J4000" t="s">
        <v>37</v>
      </c>
      <c r="K4000" s="11">
        <v>648.20000000000005</v>
      </c>
      <c r="L4000" s="12">
        <v>1904.04</v>
      </c>
    </row>
    <row r="4001" spans="1:12" x14ac:dyDescent="0.2">
      <c r="A4001" s="9">
        <v>46256</v>
      </c>
      <c r="B4001" t="s">
        <v>357</v>
      </c>
      <c r="C4001" t="s">
        <v>358</v>
      </c>
      <c r="D4001" t="s">
        <v>36</v>
      </c>
      <c r="E4001" t="s">
        <v>660</v>
      </c>
      <c r="F4001" t="s">
        <v>661</v>
      </c>
      <c r="G4001" s="10">
        <v>29</v>
      </c>
      <c r="H4001" s="10">
        <v>4184</v>
      </c>
      <c r="I4001" s="10">
        <v>121336</v>
      </c>
      <c r="J4001" t="s">
        <v>37</v>
      </c>
      <c r="K4001" s="11">
        <v>648.20000000000005</v>
      </c>
      <c r="L4001" s="12">
        <v>187.19</v>
      </c>
    </row>
    <row r="4002" spans="1:12" x14ac:dyDescent="0.2">
      <c r="A4002" s="9">
        <v>46256</v>
      </c>
      <c r="B4002" t="s">
        <v>357</v>
      </c>
      <c r="C4002" t="s">
        <v>358</v>
      </c>
      <c r="D4002" t="s">
        <v>36</v>
      </c>
      <c r="E4002" t="s">
        <v>647</v>
      </c>
      <c r="F4002" t="s">
        <v>667</v>
      </c>
      <c r="G4002" s="10">
        <v>4</v>
      </c>
      <c r="H4002" s="10">
        <v>7143</v>
      </c>
      <c r="I4002" s="10">
        <v>28572</v>
      </c>
      <c r="J4002" t="s">
        <v>37</v>
      </c>
      <c r="K4002" s="11">
        <v>648.20000000000005</v>
      </c>
      <c r="L4002" s="12">
        <v>44.08</v>
      </c>
    </row>
    <row r="4003" spans="1:12" x14ac:dyDescent="0.2">
      <c r="A4003" s="9">
        <v>46256</v>
      </c>
      <c r="B4003" t="s">
        <v>363</v>
      </c>
      <c r="C4003" t="s">
        <v>364</v>
      </c>
      <c r="D4003" t="s">
        <v>46</v>
      </c>
      <c r="E4003" t="s">
        <v>660</v>
      </c>
      <c r="F4003" t="s">
        <v>670</v>
      </c>
      <c r="G4003" s="10">
        <v>113</v>
      </c>
      <c r="H4003" s="10">
        <v>14318</v>
      </c>
      <c r="I4003" s="10">
        <v>1617934</v>
      </c>
      <c r="J4003" t="s">
        <v>37</v>
      </c>
      <c r="K4003" s="11">
        <v>648.20000000000005</v>
      </c>
      <c r="L4003" s="12">
        <v>2496.04</v>
      </c>
    </row>
    <row r="4004" spans="1:12" x14ac:dyDescent="0.2">
      <c r="A4004" s="9">
        <v>46256</v>
      </c>
      <c r="B4004" t="s">
        <v>366</v>
      </c>
      <c r="C4004" t="s">
        <v>367</v>
      </c>
      <c r="D4004" t="s">
        <v>41</v>
      </c>
      <c r="E4004" t="s">
        <v>653</v>
      </c>
      <c r="F4004" t="s">
        <v>654</v>
      </c>
      <c r="G4004" s="10">
        <v>5</v>
      </c>
      <c r="H4004" s="10">
        <v>27797</v>
      </c>
      <c r="I4004" s="10">
        <v>138985</v>
      </c>
      <c r="J4004" t="s">
        <v>42</v>
      </c>
      <c r="K4004" s="11">
        <v>3145.8</v>
      </c>
      <c r="L4004" s="12">
        <v>44.18</v>
      </c>
    </row>
    <row r="4005" spans="1:12" x14ac:dyDescent="0.2">
      <c r="A4005" s="9">
        <v>46256</v>
      </c>
      <c r="B4005" t="s">
        <v>372</v>
      </c>
      <c r="C4005" t="s">
        <v>373</v>
      </c>
      <c r="D4005" t="s">
        <v>75</v>
      </c>
      <c r="E4005" t="s">
        <v>649</v>
      </c>
      <c r="F4005" t="s">
        <v>663</v>
      </c>
      <c r="G4005" s="10">
        <v>30</v>
      </c>
      <c r="H4005" s="10">
        <v>10216</v>
      </c>
      <c r="I4005" s="10">
        <v>306480</v>
      </c>
      <c r="J4005" t="s">
        <v>42</v>
      </c>
      <c r="K4005" s="11">
        <v>3145.8</v>
      </c>
      <c r="L4005" s="12">
        <v>97.43</v>
      </c>
    </row>
    <row r="4006" spans="1:12" x14ac:dyDescent="0.2">
      <c r="A4006" s="9">
        <v>46256</v>
      </c>
      <c r="B4006" t="s">
        <v>372</v>
      </c>
      <c r="C4006" t="s">
        <v>373</v>
      </c>
      <c r="D4006" t="s">
        <v>75</v>
      </c>
      <c r="E4006" t="s">
        <v>649</v>
      </c>
      <c r="F4006" t="s">
        <v>659</v>
      </c>
      <c r="G4006" s="10">
        <v>15</v>
      </c>
      <c r="H4006" s="10">
        <v>42541</v>
      </c>
      <c r="I4006" s="10">
        <v>638115</v>
      </c>
      <c r="J4006" t="s">
        <v>42</v>
      </c>
      <c r="K4006" s="11">
        <v>3145.8</v>
      </c>
      <c r="L4006" s="12">
        <v>202.85</v>
      </c>
    </row>
    <row r="4007" spans="1:12" x14ac:dyDescent="0.2">
      <c r="A4007" s="9">
        <v>46256</v>
      </c>
      <c r="B4007" t="s">
        <v>372</v>
      </c>
      <c r="C4007" t="s">
        <v>373</v>
      </c>
      <c r="D4007" t="s">
        <v>75</v>
      </c>
      <c r="E4007" t="s">
        <v>653</v>
      </c>
      <c r="F4007" t="s">
        <v>654</v>
      </c>
      <c r="G4007" s="10">
        <v>17</v>
      </c>
      <c r="H4007" s="10">
        <v>27811</v>
      </c>
      <c r="I4007" s="10">
        <v>472787</v>
      </c>
      <c r="J4007" t="s">
        <v>42</v>
      </c>
      <c r="K4007" s="11">
        <v>3145.8</v>
      </c>
      <c r="L4007" s="12">
        <v>150.29</v>
      </c>
    </row>
    <row r="4008" spans="1:12" x14ac:dyDescent="0.2">
      <c r="A4008" s="9">
        <v>46256</v>
      </c>
      <c r="B4008" t="s">
        <v>375</v>
      </c>
      <c r="C4008" t="s">
        <v>376</v>
      </c>
      <c r="D4008" t="s">
        <v>36</v>
      </c>
      <c r="E4008" t="s">
        <v>655</v>
      </c>
      <c r="F4008" t="s">
        <v>662</v>
      </c>
      <c r="G4008" s="10">
        <v>36</v>
      </c>
      <c r="H4008" s="10">
        <v>1087</v>
      </c>
      <c r="I4008" s="10">
        <v>39132</v>
      </c>
      <c r="J4008" t="s">
        <v>37</v>
      </c>
      <c r="K4008" s="11">
        <v>648.20000000000005</v>
      </c>
      <c r="L4008" s="12">
        <v>60.37</v>
      </c>
    </row>
    <row r="4009" spans="1:12" x14ac:dyDescent="0.2">
      <c r="A4009" s="9">
        <v>46256</v>
      </c>
      <c r="B4009" t="s">
        <v>375</v>
      </c>
      <c r="C4009" t="s">
        <v>376</v>
      </c>
      <c r="D4009" t="s">
        <v>36</v>
      </c>
      <c r="E4009" t="s">
        <v>655</v>
      </c>
      <c r="F4009" t="s">
        <v>656</v>
      </c>
      <c r="G4009" s="10">
        <v>13</v>
      </c>
      <c r="H4009" s="10">
        <v>583</v>
      </c>
      <c r="I4009" s="10">
        <v>7579</v>
      </c>
      <c r="J4009" t="s">
        <v>37</v>
      </c>
      <c r="K4009" s="11">
        <v>648.20000000000005</v>
      </c>
      <c r="L4009" s="12">
        <v>11.69</v>
      </c>
    </row>
    <row r="4010" spans="1:12" x14ac:dyDescent="0.2">
      <c r="A4010" s="9">
        <v>46256</v>
      </c>
      <c r="B4010" t="s">
        <v>381</v>
      </c>
      <c r="C4010" t="s">
        <v>382</v>
      </c>
      <c r="D4010" t="s">
        <v>36</v>
      </c>
      <c r="E4010" t="s">
        <v>660</v>
      </c>
      <c r="F4010" t="s">
        <v>661</v>
      </c>
      <c r="G4010" s="10">
        <v>6</v>
      </c>
      <c r="H4010" s="10">
        <v>4175</v>
      </c>
      <c r="I4010" s="10">
        <v>25050</v>
      </c>
      <c r="J4010" t="s">
        <v>37</v>
      </c>
      <c r="K4010" s="11">
        <v>648.20000000000005</v>
      </c>
      <c r="L4010" s="12">
        <v>38.65</v>
      </c>
    </row>
    <row r="4011" spans="1:12" x14ac:dyDescent="0.2">
      <c r="A4011" s="9">
        <v>46256</v>
      </c>
      <c r="B4011" t="s">
        <v>384</v>
      </c>
      <c r="C4011" t="s">
        <v>385</v>
      </c>
      <c r="D4011" t="s">
        <v>46</v>
      </c>
      <c r="E4011" t="s">
        <v>653</v>
      </c>
      <c r="F4011" t="s">
        <v>658</v>
      </c>
      <c r="G4011" s="10">
        <v>4</v>
      </c>
      <c r="H4011" s="10">
        <v>2643</v>
      </c>
      <c r="I4011" s="10">
        <v>10572</v>
      </c>
      <c r="J4011" t="s">
        <v>37</v>
      </c>
      <c r="K4011" s="11">
        <v>648.20000000000005</v>
      </c>
      <c r="L4011" s="12">
        <v>16.309999999999999</v>
      </c>
    </row>
    <row r="4012" spans="1:12" x14ac:dyDescent="0.2">
      <c r="A4012" s="9">
        <v>46256</v>
      </c>
      <c r="B4012" t="s">
        <v>390</v>
      </c>
      <c r="C4012" t="s">
        <v>391</v>
      </c>
      <c r="D4012" t="s">
        <v>46</v>
      </c>
      <c r="E4012" t="s">
        <v>647</v>
      </c>
      <c r="F4012" t="s">
        <v>668</v>
      </c>
      <c r="G4012" s="10">
        <v>2</v>
      </c>
      <c r="H4012" s="10">
        <v>26107</v>
      </c>
      <c r="I4012" s="10">
        <v>52214</v>
      </c>
      <c r="J4012" t="s">
        <v>37</v>
      </c>
      <c r="K4012" s="11">
        <v>648.20000000000005</v>
      </c>
      <c r="L4012" s="12">
        <v>80.55</v>
      </c>
    </row>
    <row r="4013" spans="1:12" x14ac:dyDescent="0.2">
      <c r="A4013" s="9">
        <v>46256</v>
      </c>
      <c r="B4013" t="s">
        <v>393</v>
      </c>
      <c r="C4013" t="s">
        <v>307</v>
      </c>
      <c r="D4013" t="s">
        <v>68</v>
      </c>
      <c r="E4013" t="s">
        <v>660</v>
      </c>
      <c r="F4013" t="s">
        <v>670</v>
      </c>
      <c r="G4013" s="10">
        <v>160</v>
      </c>
      <c r="H4013" s="10">
        <v>14879</v>
      </c>
      <c r="I4013" s="10">
        <v>2380640</v>
      </c>
      <c r="J4013" t="s">
        <v>51</v>
      </c>
      <c r="K4013" s="11">
        <v>648.20000000000005</v>
      </c>
      <c r="L4013" s="12">
        <v>3672.69</v>
      </c>
    </row>
    <row r="4014" spans="1:12" x14ac:dyDescent="0.2">
      <c r="A4014" s="9">
        <v>46256</v>
      </c>
      <c r="B4014" t="s">
        <v>393</v>
      </c>
      <c r="C4014" t="s">
        <v>307</v>
      </c>
      <c r="D4014" t="s">
        <v>68</v>
      </c>
      <c r="E4014" t="s">
        <v>660</v>
      </c>
      <c r="F4014" t="s">
        <v>661</v>
      </c>
      <c r="G4014" s="10">
        <v>128</v>
      </c>
      <c r="H4014" s="10">
        <v>4039</v>
      </c>
      <c r="I4014" s="10">
        <v>516992</v>
      </c>
      <c r="J4014" t="s">
        <v>51</v>
      </c>
      <c r="K4014" s="11">
        <v>648.20000000000005</v>
      </c>
      <c r="L4014" s="12">
        <v>797.58</v>
      </c>
    </row>
    <row r="4015" spans="1:12" x14ac:dyDescent="0.2">
      <c r="A4015" s="9">
        <v>46256</v>
      </c>
      <c r="B4015" t="s">
        <v>393</v>
      </c>
      <c r="C4015" t="s">
        <v>307</v>
      </c>
      <c r="D4015" t="s">
        <v>68</v>
      </c>
      <c r="E4015" t="s">
        <v>647</v>
      </c>
      <c r="F4015" t="s">
        <v>667</v>
      </c>
      <c r="G4015" s="10">
        <v>193</v>
      </c>
      <c r="H4015" s="10">
        <v>7479</v>
      </c>
      <c r="I4015" s="10">
        <v>1443447</v>
      </c>
      <c r="J4015" t="s">
        <v>51</v>
      </c>
      <c r="K4015" s="11">
        <v>648.20000000000005</v>
      </c>
      <c r="L4015" s="12">
        <v>2226.85</v>
      </c>
    </row>
    <row r="4016" spans="1:12" x14ac:dyDescent="0.2">
      <c r="A4016" s="9">
        <v>46256</v>
      </c>
      <c r="B4016" t="s">
        <v>398</v>
      </c>
      <c r="C4016" t="s">
        <v>399</v>
      </c>
      <c r="D4016" t="s">
        <v>46</v>
      </c>
      <c r="E4016" t="s">
        <v>660</v>
      </c>
      <c r="F4016" t="s">
        <v>670</v>
      </c>
      <c r="G4016" s="10">
        <v>6</v>
      </c>
      <c r="H4016" s="10">
        <v>14011</v>
      </c>
      <c r="I4016" s="10">
        <v>84066</v>
      </c>
      <c r="J4016" t="s">
        <v>37</v>
      </c>
      <c r="K4016" s="11">
        <v>648.20000000000005</v>
      </c>
      <c r="L4016" s="12">
        <v>129.69</v>
      </c>
    </row>
    <row r="4017" spans="1:12" x14ac:dyDescent="0.2">
      <c r="A4017" s="9">
        <v>46256</v>
      </c>
      <c r="B4017" t="s">
        <v>398</v>
      </c>
      <c r="C4017" t="s">
        <v>399</v>
      </c>
      <c r="D4017" t="s">
        <v>46</v>
      </c>
      <c r="E4017" t="s">
        <v>647</v>
      </c>
      <c r="F4017" t="s">
        <v>668</v>
      </c>
      <c r="G4017" s="10">
        <v>17</v>
      </c>
      <c r="H4017" s="10">
        <v>24767</v>
      </c>
      <c r="I4017" s="10">
        <v>421039</v>
      </c>
      <c r="J4017" t="s">
        <v>37</v>
      </c>
      <c r="K4017" s="11">
        <v>648.20000000000005</v>
      </c>
      <c r="L4017" s="12">
        <v>649.54999999999995</v>
      </c>
    </row>
    <row r="4018" spans="1:12" x14ac:dyDescent="0.2">
      <c r="A4018" s="9">
        <v>46256</v>
      </c>
      <c r="B4018" t="s">
        <v>398</v>
      </c>
      <c r="C4018" t="s">
        <v>399</v>
      </c>
      <c r="D4018" t="s">
        <v>46</v>
      </c>
      <c r="E4018" t="s">
        <v>647</v>
      </c>
      <c r="F4018" t="s">
        <v>667</v>
      </c>
      <c r="G4018" s="10">
        <v>20</v>
      </c>
      <c r="H4018" s="10">
        <v>7129</v>
      </c>
      <c r="I4018" s="10">
        <v>142580</v>
      </c>
      <c r="J4018" t="s">
        <v>37</v>
      </c>
      <c r="K4018" s="11">
        <v>648.20000000000005</v>
      </c>
      <c r="L4018" s="12">
        <v>219.96</v>
      </c>
    </row>
    <row r="4019" spans="1:12" x14ac:dyDescent="0.2">
      <c r="A4019" s="9">
        <v>46256</v>
      </c>
      <c r="B4019" t="s">
        <v>401</v>
      </c>
      <c r="C4019" t="s">
        <v>402</v>
      </c>
      <c r="D4019" t="s">
        <v>36</v>
      </c>
      <c r="E4019" t="s">
        <v>649</v>
      </c>
      <c r="F4019" t="s">
        <v>650</v>
      </c>
      <c r="G4019" s="10">
        <v>5</v>
      </c>
      <c r="H4019" s="10">
        <v>19032</v>
      </c>
      <c r="I4019" s="10">
        <v>95160</v>
      </c>
      <c r="J4019" t="s">
        <v>37</v>
      </c>
      <c r="K4019" s="11">
        <v>648.20000000000005</v>
      </c>
      <c r="L4019" s="12">
        <v>146.81</v>
      </c>
    </row>
    <row r="4020" spans="1:12" x14ac:dyDescent="0.2">
      <c r="A4020" s="9">
        <v>46256</v>
      </c>
      <c r="B4020" t="s">
        <v>401</v>
      </c>
      <c r="C4020" t="s">
        <v>402</v>
      </c>
      <c r="D4020" t="s">
        <v>36</v>
      </c>
      <c r="E4020" t="s">
        <v>655</v>
      </c>
      <c r="F4020" t="s">
        <v>662</v>
      </c>
      <c r="G4020" s="10">
        <v>7</v>
      </c>
      <c r="H4020" s="10">
        <v>1132</v>
      </c>
      <c r="I4020" s="10">
        <v>7924</v>
      </c>
      <c r="J4020" t="s">
        <v>37</v>
      </c>
      <c r="K4020" s="11">
        <v>648.20000000000005</v>
      </c>
      <c r="L4020" s="12">
        <v>12.22</v>
      </c>
    </row>
    <row r="4021" spans="1:12" x14ac:dyDescent="0.2">
      <c r="A4021" s="9">
        <v>46256</v>
      </c>
      <c r="B4021" t="s">
        <v>401</v>
      </c>
      <c r="C4021" t="s">
        <v>402</v>
      </c>
      <c r="D4021" t="s">
        <v>36</v>
      </c>
      <c r="E4021" t="s">
        <v>647</v>
      </c>
      <c r="F4021" t="s">
        <v>668</v>
      </c>
      <c r="G4021" s="10">
        <v>4</v>
      </c>
      <c r="H4021" s="10">
        <v>25421</v>
      </c>
      <c r="I4021" s="10">
        <v>101684</v>
      </c>
      <c r="J4021" t="s">
        <v>37</v>
      </c>
      <c r="K4021" s="11">
        <v>648.20000000000005</v>
      </c>
      <c r="L4021" s="12">
        <v>156.87</v>
      </c>
    </row>
    <row r="4022" spans="1:12" x14ac:dyDescent="0.2">
      <c r="A4022" s="9">
        <v>46256</v>
      </c>
      <c r="B4022" t="s">
        <v>407</v>
      </c>
      <c r="C4022" t="s">
        <v>408</v>
      </c>
      <c r="D4022" t="s">
        <v>75</v>
      </c>
      <c r="E4022" t="s">
        <v>649</v>
      </c>
      <c r="F4022" t="s">
        <v>663</v>
      </c>
      <c r="G4022" s="10">
        <v>5</v>
      </c>
      <c r="H4022" s="10">
        <v>9729</v>
      </c>
      <c r="I4022" s="10">
        <v>48645</v>
      </c>
      <c r="J4022" t="s">
        <v>42</v>
      </c>
      <c r="K4022" s="11">
        <v>3145.8</v>
      </c>
      <c r="L4022" s="12">
        <v>15.46</v>
      </c>
    </row>
    <row r="4023" spans="1:12" x14ac:dyDescent="0.2">
      <c r="A4023" s="9">
        <v>46256</v>
      </c>
      <c r="B4023" t="s">
        <v>407</v>
      </c>
      <c r="C4023" t="s">
        <v>408</v>
      </c>
      <c r="D4023" t="s">
        <v>75</v>
      </c>
      <c r="E4023" t="s">
        <v>649</v>
      </c>
      <c r="F4023" t="s">
        <v>659</v>
      </c>
      <c r="G4023" s="10">
        <v>4</v>
      </c>
      <c r="H4023" s="10">
        <v>41769</v>
      </c>
      <c r="I4023" s="10">
        <v>167076</v>
      </c>
      <c r="J4023" t="s">
        <v>42</v>
      </c>
      <c r="K4023" s="11">
        <v>3145.8</v>
      </c>
      <c r="L4023" s="12">
        <v>53.11</v>
      </c>
    </row>
    <row r="4024" spans="1:12" x14ac:dyDescent="0.2">
      <c r="A4024" s="9">
        <v>46256</v>
      </c>
      <c r="B4024" t="s">
        <v>407</v>
      </c>
      <c r="C4024" t="s">
        <v>408</v>
      </c>
      <c r="D4024" t="s">
        <v>75</v>
      </c>
      <c r="E4024" t="s">
        <v>660</v>
      </c>
      <c r="F4024" t="s">
        <v>661</v>
      </c>
      <c r="G4024" s="10">
        <v>2</v>
      </c>
      <c r="H4024" s="10">
        <v>19787</v>
      </c>
      <c r="I4024" s="10">
        <v>39574</v>
      </c>
      <c r="J4024" t="s">
        <v>42</v>
      </c>
      <c r="K4024" s="11">
        <v>3145.8</v>
      </c>
      <c r="L4024" s="12">
        <v>12.58</v>
      </c>
    </row>
    <row r="4025" spans="1:12" x14ac:dyDescent="0.2">
      <c r="A4025" s="9">
        <v>46256</v>
      </c>
      <c r="B4025" t="s">
        <v>413</v>
      </c>
      <c r="C4025" t="s">
        <v>414</v>
      </c>
      <c r="D4025" t="s">
        <v>41</v>
      </c>
      <c r="E4025" t="s">
        <v>649</v>
      </c>
      <c r="F4025" t="s">
        <v>663</v>
      </c>
      <c r="G4025" s="10">
        <v>14</v>
      </c>
      <c r="H4025" s="10">
        <v>9664</v>
      </c>
      <c r="I4025" s="10">
        <v>135296</v>
      </c>
      <c r="J4025" t="s">
        <v>42</v>
      </c>
      <c r="K4025" s="11">
        <v>3145.8</v>
      </c>
      <c r="L4025" s="12">
        <v>43.01</v>
      </c>
    </row>
    <row r="4026" spans="1:12" x14ac:dyDescent="0.2">
      <c r="A4026" s="9">
        <v>46256</v>
      </c>
      <c r="B4026" t="s">
        <v>413</v>
      </c>
      <c r="C4026" t="s">
        <v>414</v>
      </c>
      <c r="D4026" t="s">
        <v>41</v>
      </c>
      <c r="E4026" t="s">
        <v>660</v>
      </c>
      <c r="F4026" t="s">
        <v>669</v>
      </c>
      <c r="G4026" s="10">
        <v>19</v>
      </c>
      <c r="H4026" s="10">
        <v>12102</v>
      </c>
      <c r="I4026" s="10">
        <v>229938</v>
      </c>
      <c r="J4026" t="s">
        <v>42</v>
      </c>
      <c r="K4026" s="11">
        <v>3145.8</v>
      </c>
      <c r="L4026" s="12">
        <v>73.09</v>
      </c>
    </row>
    <row r="4027" spans="1:12" x14ac:dyDescent="0.2">
      <c r="A4027" s="9">
        <v>46256</v>
      </c>
      <c r="B4027" t="s">
        <v>419</v>
      </c>
      <c r="C4027" t="s">
        <v>420</v>
      </c>
      <c r="D4027" t="s">
        <v>46</v>
      </c>
      <c r="E4027" t="s">
        <v>647</v>
      </c>
      <c r="F4027" t="s">
        <v>648</v>
      </c>
      <c r="G4027" s="10">
        <v>5</v>
      </c>
      <c r="H4027" s="10">
        <v>15694</v>
      </c>
      <c r="I4027" s="10">
        <v>78470</v>
      </c>
      <c r="J4027" t="s">
        <v>37</v>
      </c>
      <c r="K4027" s="11">
        <v>648.20000000000005</v>
      </c>
      <c r="L4027" s="12">
        <v>121.06</v>
      </c>
    </row>
    <row r="4028" spans="1:12" x14ac:dyDescent="0.2">
      <c r="A4028" s="9">
        <v>46256</v>
      </c>
      <c r="B4028" t="s">
        <v>422</v>
      </c>
      <c r="C4028" t="s">
        <v>423</v>
      </c>
      <c r="D4028" t="s">
        <v>68</v>
      </c>
      <c r="E4028" t="s">
        <v>651</v>
      </c>
      <c r="F4028" t="s">
        <v>652</v>
      </c>
      <c r="G4028" s="10">
        <v>6</v>
      </c>
      <c r="H4028" s="10">
        <v>9476</v>
      </c>
      <c r="I4028" s="10">
        <v>56856</v>
      </c>
      <c r="J4028" t="s">
        <v>51</v>
      </c>
      <c r="K4028" s="11">
        <v>648.20000000000005</v>
      </c>
      <c r="L4028" s="12">
        <v>87.71</v>
      </c>
    </row>
    <row r="4029" spans="1:12" x14ac:dyDescent="0.2">
      <c r="A4029" s="9">
        <v>46256</v>
      </c>
      <c r="B4029" t="s">
        <v>422</v>
      </c>
      <c r="C4029" t="s">
        <v>423</v>
      </c>
      <c r="D4029" t="s">
        <v>68</v>
      </c>
      <c r="E4029" t="s">
        <v>660</v>
      </c>
      <c r="F4029" t="s">
        <v>670</v>
      </c>
      <c r="G4029" s="10">
        <v>10</v>
      </c>
      <c r="H4029" s="10">
        <v>14734</v>
      </c>
      <c r="I4029" s="10">
        <v>147340</v>
      </c>
      <c r="J4029" t="s">
        <v>51</v>
      </c>
      <c r="K4029" s="11">
        <v>648.20000000000005</v>
      </c>
      <c r="L4029" s="12">
        <v>227.31</v>
      </c>
    </row>
    <row r="4030" spans="1:12" x14ac:dyDescent="0.2">
      <c r="A4030" s="9">
        <v>46256</v>
      </c>
      <c r="B4030" t="s">
        <v>431</v>
      </c>
      <c r="C4030" t="s">
        <v>432</v>
      </c>
      <c r="D4030" t="s">
        <v>36</v>
      </c>
      <c r="E4030" t="s">
        <v>647</v>
      </c>
      <c r="F4030" t="s">
        <v>668</v>
      </c>
      <c r="G4030" s="10">
        <v>9</v>
      </c>
      <c r="H4030" s="10">
        <v>25398</v>
      </c>
      <c r="I4030" s="10">
        <v>228582</v>
      </c>
      <c r="J4030" t="s">
        <v>37</v>
      </c>
      <c r="K4030" s="11">
        <v>648.20000000000005</v>
      </c>
      <c r="L4030" s="12">
        <v>352.64</v>
      </c>
    </row>
    <row r="4031" spans="1:12" x14ac:dyDescent="0.2">
      <c r="A4031" s="9">
        <v>46256</v>
      </c>
      <c r="B4031" t="s">
        <v>434</v>
      </c>
      <c r="C4031" t="s">
        <v>176</v>
      </c>
      <c r="D4031" t="s">
        <v>46</v>
      </c>
      <c r="E4031" t="s">
        <v>651</v>
      </c>
      <c r="F4031" t="s">
        <v>657</v>
      </c>
      <c r="G4031" s="10">
        <v>14</v>
      </c>
      <c r="H4031" s="10">
        <v>6526</v>
      </c>
      <c r="I4031" s="10">
        <v>91364</v>
      </c>
      <c r="J4031" t="s">
        <v>37</v>
      </c>
      <c r="K4031" s="11">
        <v>648.20000000000005</v>
      </c>
      <c r="L4031" s="12">
        <v>140.94999999999999</v>
      </c>
    </row>
    <row r="4032" spans="1:12" x14ac:dyDescent="0.2">
      <c r="A4032" s="9">
        <v>46256</v>
      </c>
      <c r="B4032" t="s">
        <v>439</v>
      </c>
      <c r="C4032" t="s">
        <v>440</v>
      </c>
      <c r="D4032" t="s">
        <v>50</v>
      </c>
      <c r="E4032" t="s">
        <v>660</v>
      </c>
      <c r="F4032" t="s">
        <v>670</v>
      </c>
      <c r="G4032" s="10">
        <v>14</v>
      </c>
      <c r="H4032" s="10">
        <v>15029</v>
      </c>
      <c r="I4032" s="10">
        <v>210406</v>
      </c>
      <c r="J4032" t="s">
        <v>51</v>
      </c>
      <c r="K4032" s="11">
        <v>648.20000000000005</v>
      </c>
      <c r="L4032" s="12">
        <v>324.60000000000002</v>
      </c>
    </row>
    <row r="4033" spans="1:12" x14ac:dyDescent="0.2">
      <c r="A4033" s="9">
        <v>46256</v>
      </c>
      <c r="B4033" t="s">
        <v>442</v>
      </c>
      <c r="C4033" t="s">
        <v>443</v>
      </c>
      <c r="D4033" t="s">
        <v>41</v>
      </c>
      <c r="E4033" t="s">
        <v>649</v>
      </c>
      <c r="F4033" t="s">
        <v>663</v>
      </c>
      <c r="G4033" s="10">
        <v>13</v>
      </c>
      <c r="H4033" s="10">
        <v>9552</v>
      </c>
      <c r="I4033" s="10">
        <v>124176</v>
      </c>
      <c r="J4033" t="s">
        <v>42</v>
      </c>
      <c r="K4033" s="11">
        <v>3145.8</v>
      </c>
      <c r="L4033" s="12">
        <v>39.47</v>
      </c>
    </row>
    <row r="4034" spans="1:12" x14ac:dyDescent="0.2">
      <c r="A4034" s="9">
        <v>46256</v>
      </c>
      <c r="B4034" t="s">
        <v>448</v>
      </c>
      <c r="C4034" t="s">
        <v>449</v>
      </c>
      <c r="D4034" t="s">
        <v>75</v>
      </c>
      <c r="E4034" t="s">
        <v>647</v>
      </c>
      <c r="F4034" t="s">
        <v>667</v>
      </c>
      <c r="G4034" s="10">
        <v>10</v>
      </c>
      <c r="H4034" s="10">
        <v>36452</v>
      </c>
      <c r="I4034" s="10">
        <v>364520</v>
      </c>
      <c r="J4034" t="s">
        <v>42</v>
      </c>
      <c r="K4034" s="11">
        <v>3145.8</v>
      </c>
      <c r="L4034" s="12">
        <v>115.88</v>
      </c>
    </row>
    <row r="4035" spans="1:12" x14ac:dyDescent="0.2">
      <c r="A4035" s="9">
        <v>46256</v>
      </c>
      <c r="B4035" t="s">
        <v>457</v>
      </c>
      <c r="C4035" t="s">
        <v>458</v>
      </c>
      <c r="D4035" t="s">
        <v>46</v>
      </c>
      <c r="E4035" t="s">
        <v>660</v>
      </c>
      <c r="F4035" t="s">
        <v>669</v>
      </c>
      <c r="G4035" s="10">
        <v>2</v>
      </c>
      <c r="H4035" s="10">
        <v>2498</v>
      </c>
      <c r="I4035" s="10">
        <v>4996</v>
      </c>
      <c r="J4035" t="s">
        <v>37</v>
      </c>
      <c r="K4035" s="11">
        <v>648.20000000000005</v>
      </c>
      <c r="L4035" s="12">
        <v>7.71</v>
      </c>
    </row>
    <row r="4036" spans="1:12" x14ac:dyDescent="0.2">
      <c r="A4036" s="9">
        <v>46256</v>
      </c>
      <c r="B4036" t="s">
        <v>460</v>
      </c>
      <c r="C4036" t="s">
        <v>461</v>
      </c>
      <c r="D4036" t="s">
        <v>75</v>
      </c>
      <c r="E4036" t="s">
        <v>651</v>
      </c>
      <c r="F4036" t="s">
        <v>652</v>
      </c>
      <c r="G4036" s="10">
        <v>17</v>
      </c>
      <c r="H4036" s="10">
        <v>45492</v>
      </c>
      <c r="I4036" s="10">
        <v>773364</v>
      </c>
      <c r="J4036" t="s">
        <v>42</v>
      </c>
      <c r="K4036" s="11">
        <v>3145.8</v>
      </c>
      <c r="L4036" s="12">
        <v>245.84</v>
      </c>
    </row>
    <row r="4037" spans="1:12" x14ac:dyDescent="0.2">
      <c r="A4037" s="9">
        <v>46256</v>
      </c>
      <c r="B4037" t="s">
        <v>460</v>
      </c>
      <c r="C4037" t="s">
        <v>461</v>
      </c>
      <c r="D4037" t="s">
        <v>75</v>
      </c>
      <c r="E4037" t="s">
        <v>660</v>
      </c>
      <c r="F4037" t="s">
        <v>669</v>
      </c>
      <c r="G4037" s="10">
        <v>29</v>
      </c>
      <c r="H4037" s="10">
        <v>13044</v>
      </c>
      <c r="I4037" s="10">
        <v>378276</v>
      </c>
      <c r="J4037" t="s">
        <v>42</v>
      </c>
      <c r="K4037" s="11">
        <v>3145.8</v>
      </c>
      <c r="L4037" s="12">
        <v>120.25</v>
      </c>
    </row>
    <row r="4038" spans="1:12" x14ac:dyDescent="0.2">
      <c r="A4038" s="9">
        <v>46256</v>
      </c>
      <c r="B4038" t="s">
        <v>463</v>
      </c>
      <c r="C4038" t="s">
        <v>464</v>
      </c>
      <c r="D4038" t="s">
        <v>36</v>
      </c>
      <c r="E4038" t="s">
        <v>653</v>
      </c>
      <c r="F4038" t="s">
        <v>654</v>
      </c>
      <c r="G4038" s="10">
        <v>11</v>
      </c>
      <c r="H4038" s="10">
        <v>5881</v>
      </c>
      <c r="I4038" s="10">
        <v>64691</v>
      </c>
      <c r="J4038" t="s">
        <v>37</v>
      </c>
      <c r="K4038" s="11">
        <v>648.20000000000005</v>
      </c>
      <c r="L4038" s="12">
        <v>99.8</v>
      </c>
    </row>
    <row r="4039" spans="1:12" x14ac:dyDescent="0.2">
      <c r="A4039" s="9">
        <v>46256</v>
      </c>
      <c r="B4039" t="s">
        <v>463</v>
      </c>
      <c r="C4039" t="s">
        <v>464</v>
      </c>
      <c r="D4039" t="s">
        <v>36</v>
      </c>
      <c r="E4039" t="s">
        <v>647</v>
      </c>
      <c r="F4039" t="s">
        <v>667</v>
      </c>
      <c r="G4039" s="10">
        <v>10</v>
      </c>
      <c r="H4039" s="10">
        <v>7468</v>
      </c>
      <c r="I4039" s="10">
        <v>74680</v>
      </c>
      <c r="J4039" t="s">
        <v>37</v>
      </c>
      <c r="K4039" s="11">
        <v>648.20000000000005</v>
      </c>
      <c r="L4039" s="12">
        <v>115.21</v>
      </c>
    </row>
    <row r="4040" spans="1:12" x14ac:dyDescent="0.2">
      <c r="A4040" s="9">
        <v>46256</v>
      </c>
      <c r="B4040" t="s">
        <v>466</v>
      </c>
      <c r="C4040" t="s">
        <v>467</v>
      </c>
      <c r="D4040" t="s">
        <v>50</v>
      </c>
      <c r="E4040" t="s">
        <v>647</v>
      </c>
      <c r="F4040" t="s">
        <v>648</v>
      </c>
      <c r="G4040" s="10">
        <v>107</v>
      </c>
      <c r="H4040" s="10">
        <v>16816</v>
      </c>
      <c r="I4040" s="10">
        <v>1799312</v>
      </c>
      <c r="J4040" t="s">
        <v>51</v>
      </c>
      <c r="K4040" s="11">
        <v>648.20000000000005</v>
      </c>
      <c r="L4040" s="12">
        <v>2775.86</v>
      </c>
    </row>
    <row r="4041" spans="1:12" x14ac:dyDescent="0.2">
      <c r="A4041" s="9">
        <v>46256</v>
      </c>
      <c r="B4041" t="s">
        <v>469</v>
      </c>
      <c r="C4041" t="s">
        <v>470</v>
      </c>
      <c r="D4041" t="s">
        <v>41</v>
      </c>
      <c r="E4041" t="s">
        <v>653</v>
      </c>
      <c r="F4041" t="s">
        <v>666</v>
      </c>
      <c r="G4041" s="10">
        <v>20</v>
      </c>
      <c r="H4041" s="10">
        <v>7080</v>
      </c>
      <c r="I4041" s="10">
        <v>141600</v>
      </c>
      <c r="J4041" t="s">
        <v>42</v>
      </c>
      <c r="K4041" s="11">
        <v>3145.8</v>
      </c>
      <c r="L4041" s="12">
        <v>45.01</v>
      </c>
    </row>
    <row r="4042" spans="1:12" x14ac:dyDescent="0.2">
      <c r="A4042" s="9">
        <v>46256</v>
      </c>
      <c r="B4042" t="s">
        <v>469</v>
      </c>
      <c r="C4042" t="s">
        <v>470</v>
      </c>
      <c r="D4042" t="s">
        <v>41</v>
      </c>
      <c r="E4042" t="s">
        <v>660</v>
      </c>
      <c r="F4042" t="s">
        <v>669</v>
      </c>
      <c r="G4042" s="10">
        <v>8</v>
      </c>
      <c r="H4042" s="10">
        <v>12374</v>
      </c>
      <c r="I4042" s="10">
        <v>98992</v>
      </c>
      <c r="J4042" t="s">
        <v>42</v>
      </c>
      <c r="K4042" s="11">
        <v>3145.8</v>
      </c>
      <c r="L4042" s="12">
        <v>31.47</v>
      </c>
    </row>
    <row r="4043" spans="1:12" x14ac:dyDescent="0.2">
      <c r="A4043" s="9">
        <v>46256</v>
      </c>
      <c r="B4043" t="s">
        <v>469</v>
      </c>
      <c r="C4043" t="s">
        <v>470</v>
      </c>
      <c r="D4043" t="s">
        <v>41</v>
      </c>
      <c r="E4043" t="s">
        <v>660</v>
      </c>
      <c r="F4043" t="s">
        <v>670</v>
      </c>
      <c r="G4043" s="10">
        <v>69</v>
      </c>
      <c r="H4043" s="10">
        <v>71288</v>
      </c>
      <c r="I4043" s="10">
        <v>4918872</v>
      </c>
      <c r="J4043" t="s">
        <v>42</v>
      </c>
      <c r="K4043" s="11">
        <v>3145.8</v>
      </c>
      <c r="L4043" s="12">
        <v>1563.63</v>
      </c>
    </row>
    <row r="4044" spans="1:12" x14ac:dyDescent="0.2">
      <c r="A4044" s="9">
        <v>46256</v>
      </c>
      <c r="B4044" t="s">
        <v>469</v>
      </c>
      <c r="C4044" t="s">
        <v>470</v>
      </c>
      <c r="D4044" t="s">
        <v>41</v>
      </c>
      <c r="E4044" t="s">
        <v>655</v>
      </c>
      <c r="F4044" t="s">
        <v>656</v>
      </c>
      <c r="G4044" s="10">
        <v>34</v>
      </c>
      <c r="H4044" s="10">
        <v>2829</v>
      </c>
      <c r="I4044" s="10">
        <v>96186</v>
      </c>
      <c r="J4044" t="s">
        <v>42</v>
      </c>
      <c r="K4044" s="11">
        <v>3145.8</v>
      </c>
      <c r="L4044" s="12">
        <v>30.58</v>
      </c>
    </row>
    <row r="4045" spans="1:12" x14ac:dyDescent="0.2">
      <c r="A4045" s="9">
        <v>46256</v>
      </c>
      <c r="B4045" t="s">
        <v>472</v>
      </c>
      <c r="C4045" t="s">
        <v>473</v>
      </c>
      <c r="D4045" t="s">
        <v>68</v>
      </c>
      <c r="E4045" t="s">
        <v>647</v>
      </c>
      <c r="F4045" t="s">
        <v>668</v>
      </c>
      <c r="G4045" s="10">
        <v>5</v>
      </c>
      <c r="H4045" s="10">
        <v>24219</v>
      </c>
      <c r="I4045" s="10">
        <v>121095</v>
      </c>
      <c r="J4045" t="s">
        <v>51</v>
      </c>
      <c r="K4045" s="11">
        <v>648.20000000000005</v>
      </c>
      <c r="L4045" s="12">
        <v>186.82</v>
      </c>
    </row>
    <row r="4046" spans="1:12" x14ac:dyDescent="0.2">
      <c r="A4046" s="9">
        <v>46256</v>
      </c>
      <c r="B4046" t="s">
        <v>475</v>
      </c>
      <c r="C4046" t="s">
        <v>476</v>
      </c>
      <c r="D4046" t="s">
        <v>75</v>
      </c>
      <c r="E4046" t="s">
        <v>649</v>
      </c>
      <c r="F4046" t="s">
        <v>663</v>
      </c>
      <c r="G4046" s="10">
        <v>24</v>
      </c>
      <c r="H4046" s="10">
        <v>9957</v>
      </c>
      <c r="I4046" s="10">
        <v>238968</v>
      </c>
      <c r="J4046" t="s">
        <v>42</v>
      </c>
      <c r="K4046" s="11">
        <v>3145.8</v>
      </c>
      <c r="L4046" s="12">
        <v>75.959999999999994</v>
      </c>
    </row>
    <row r="4047" spans="1:12" x14ac:dyDescent="0.2">
      <c r="A4047" s="9">
        <v>46256</v>
      </c>
      <c r="B4047" t="s">
        <v>475</v>
      </c>
      <c r="C4047" t="s">
        <v>476</v>
      </c>
      <c r="D4047" t="s">
        <v>75</v>
      </c>
      <c r="E4047" t="s">
        <v>660</v>
      </c>
      <c r="F4047" t="s">
        <v>670</v>
      </c>
      <c r="G4047" s="10">
        <v>96</v>
      </c>
      <c r="H4047" s="10">
        <v>71357</v>
      </c>
      <c r="I4047" s="10">
        <v>6850272</v>
      </c>
      <c r="J4047" t="s">
        <v>42</v>
      </c>
      <c r="K4047" s="11">
        <v>3145.8</v>
      </c>
      <c r="L4047" s="12">
        <v>2177.59</v>
      </c>
    </row>
    <row r="4048" spans="1:12" x14ac:dyDescent="0.2">
      <c r="A4048" s="9">
        <v>46256</v>
      </c>
      <c r="B4048" t="s">
        <v>475</v>
      </c>
      <c r="C4048" t="s">
        <v>476</v>
      </c>
      <c r="D4048" t="s">
        <v>75</v>
      </c>
      <c r="E4048" t="s">
        <v>660</v>
      </c>
      <c r="F4048" t="s">
        <v>661</v>
      </c>
      <c r="G4048" s="10">
        <v>65</v>
      </c>
      <c r="H4048" s="10">
        <v>19790</v>
      </c>
      <c r="I4048" s="10">
        <v>1286350</v>
      </c>
      <c r="J4048" t="s">
        <v>42</v>
      </c>
      <c r="K4048" s="11">
        <v>3145.8</v>
      </c>
      <c r="L4048" s="12">
        <v>408.91</v>
      </c>
    </row>
    <row r="4049" spans="1:12" x14ac:dyDescent="0.2">
      <c r="A4049" s="9">
        <v>46256</v>
      </c>
      <c r="B4049" t="s">
        <v>475</v>
      </c>
      <c r="C4049" t="s">
        <v>476</v>
      </c>
      <c r="D4049" t="s">
        <v>75</v>
      </c>
      <c r="E4049" t="s">
        <v>647</v>
      </c>
      <c r="F4049" t="s">
        <v>648</v>
      </c>
      <c r="G4049" s="10">
        <v>113</v>
      </c>
      <c r="H4049" s="10">
        <v>80260</v>
      </c>
      <c r="I4049" s="10">
        <v>9069380</v>
      </c>
      <c r="J4049" t="s">
        <v>42</v>
      </c>
      <c r="K4049" s="11">
        <v>3145.8</v>
      </c>
      <c r="L4049" s="12">
        <v>2883.01</v>
      </c>
    </row>
    <row r="4050" spans="1:12" x14ac:dyDescent="0.2">
      <c r="A4050" s="9">
        <v>46256</v>
      </c>
      <c r="B4050" t="s">
        <v>475</v>
      </c>
      <c r="C4050" t="s">
        <v>476</v>
      </c>
      <c r="D4050" t="s">
        <v>75</v>
      </c>
      <c r="E4050" t="s">
        <v>655</v>
      </c>
      <c r="F4050" t="s">
        <v>656</v>
      </c>
      <c r="G4050" s="10">
        <v>21</v>
      </c>
      <c r="H4050" s="10">
        <v>2897</v>
      </c>
      <c r="I4050" s="10">
        <v>60837</v>
      </c>
      <c r="J4050" t="s">
        <v>42</v>
      </c>
      <c r="K4050" s="11">
        <v>3145.8</v>
      </c>
      <c r="L4050" s="12">
        <v>19.34</v>
      </c>
    </row>
    <row r="4051" spans="1:12" x14ac:dyDescent="0.2">
      <c r="A4051" s="9">
        <v>46256</v>
      </c>
      <c r="B4051" t="s">
        <v>478</v>
      </c>
      <c r="C4051" t="s">
        <v>479</v>
      </c>
      <c r="D4051" t="s">
        <v>75</v>
      </c>
      <c r="E4051" t="s">
        <v>655</v>
      </c>
      <c r="F4051" t="s">
        <v>656</v>
      </c>
      <c r="G4051" s="10">
        <v>6</v>
      </c>
      <c r="H4051" s="10">
        <v>2723</v>
      </c>
      <c r="I4051" s="10">
        <v>16338</v>
      </c>
      <c r="J4051" t="s">
        <v>42</v>
      </c>
      <c r="K4051" s="11">
        <v>3145.8</v>
      </c>
      <c r="L4051" s="12">
        <v>5.19</v>
      </c>
    </row>
    <row r="4052" spans="1:12" x14ac:dyDescent="0.2">
      <c r="A4052" s="9">
        <v>46256</v>
      </c>
      <c r="B4052" t="s">
        <v>481</v>
      </c>
      <c r="C4052" t="s">
        <v>78</v>
      </c>
      <c r="D4052" t="s">
        <v>41</v>
      </c>
      <c r="E4052" t="s">
        <v>649</v>
      </c>
      <c r="F4052" t="s">
        <v>663</v>
      </c>
      <c r="G4052" s="10">
        <v>9</v>
      </c>
      <c r="H4052" s="10">
        <v>10209</v>
      </c>
      <c r="I4052" s="10">
        <v>91881</v>
      </c>
      <c r="J4052" t="s">
        <v>42</v>
      </c>
      <c r="K4052" s="11">
        <v>3145.8</v>
      </c>
      <c r="L4052" s="12">
        <v>29.21</v>
      </c>
    </row>
    <row r="4053" spans="1:12" x14ac:dyDescent="0.2">
      <c r="A4053" s="9">
        <v>46256</v>
      </c>
      <c r="B4053" t="s">
        <v>493</v>
      </c>
      <c r="C4053" t="s">
        <v>494</v>
      </c>
      <c r="D4053" t="s">
        <v>46</v>
      </c>
      <c r="E4053" t="s">
        <v>647</v>
      </c>
      <c r="F4053" t="s">
        <v>648</v>
      </c>
      <c r="G4053" s="10">
        <v>2</v>
      </c>
      <c r="H4053" s="10">
        <v>16230</v>
      </c>
      <c r="I4053" s="10">
        <v>32460</v>
      </c>
      <c r="J4053" t="s">
        <v>37</v>
      </c>
      <c r="K4053" s="11">
        <v>648.20000000000005</v>
      </c>
      <c r="L4053" s="12">
        <v>50.08</v>
      </c>
    </row>
    <row r="4054" spans="1:12" x14ac:dyDescent="0.2">
      <c r="A4054" s="9">
        <v>46256</v>
      </c>
      <c r="B4054" t="s">
        <v>493</v>
      </c>
      <c r="C4054" t="s">
        <v>494</v>
      </c>
      <c r="D4054" t="s">
        <v>46</v>
      </c>
      <c r="E4054" t="s">
        <v>647</v>
      </c>
      <c r="F4054" t="s">
        <v>667</v>
      </c>
      <c r="G4054" s="10">
        <v>4</v>
      </c>
      <c r="H4054" s="10">
        <v>7150</v>
      </c>
      <c r="I4054" s="10">
        <v>28600</v>
      </c>
      <c r="J4054" t="s">
        <v>37</v>
      </c>
      <c r="K4054" s="11">
        <v>648.20000000000005</v>
      </c>
      <c r="L4054" s="12">
        <v>44.12</v>
      </c>
    </row>
    <row r="4055" spans="1:12" x14ac:dyDescent="0.2">
      <c r="A4055" s="9">
        <v>46256</v>
      </c>
      <c r="B4055" t="s">
        <v>493</v>
      </c>
      <c r="C4055" t="s">
        <v>494</v>
      </c>
      <c r="D4055" t="s">
        <v>46</v>
      </c>
      <c r="E4055" t="s">
        <v>651</v>
      </c>
      <c r="F4055" t="s">
        <v>664</v>
      </c>
      <c r="G4055" s="10">
        <v>2</v>
      </c>
      <c r="H4055" s="10">
        <v>12349</v>
      </c>
      <c r="I4055" s="10">
        <v>24698</v>
      </c>
      <c r="J4055" t="s">
        <v>37</v>
      </c>
      <c r="K4055" s="11">
        <v>648.20000000000005</v>
      </c>
      <c r="L4055" s="12">
        <v>38.1</v>
      </c>
    </row>
    <row r="4056" spans="1:12" x14ac:dyDescent="0.2">
      <c r="A4056" s="9">
        <v>46256</v>
      </c>
      <c r="B4056" t="s">
        <v>499</v>
      </c>
      <c r="C4056" t="s">
        <v>500</v>
      </c>
      <c r="D4056" t="s">
        <v>41</v>
      </c>
      <c r="E4056" t="s">
        <v>649</v>
      </c>
      <c r="F4056" t="s">
        <v>659</v>
      </c>
      <c r="G4056" s="10">
        <v>16</v>
      </c>
      <c r="H4056" s="10">
        <v>44677</v>
      </c>
      <c r="I4056" s="10">
        <v>714832</v>
      </c>
      <c r="J4056" t="s">
        <v>42</v>
      </c>
      <c r="K4056" s="11">
        <v>3145.8</v>
      </c>
      <c r="L4056" s="12">
        <v>227.23</v>
      </c>
    </row>
    <row r="4057" spans="1:12" x14ac:dyDescent="0.2">
      <c r="A4057" s="9">
        <v>46256</v>
      </c>
      <c r="B4057" t="s">
        <v>499</v>
      </c>
      <c r="C4057" t="s">
        <v>500</v>
      </c>
      <c r="D4057" t="s">
        <v>41</v>
      </c>
      <c r="E4057" t="s">
        <v>651</v>
      </c>
      <c r="F4057" t="s">
        <v>657</v>
      </c>
      <c r="G4057" s="10">
        <v>11</v>
      </c>
      <c r="H4057" s="10">
        <v>30549</v>
      </c>
      <c r="I4057" s="10">
        <v>336039</v>
      </c>
      <c r="J4057" t="s">
        <v>42</v>
      </c>
      <c r="K4057" s="11">
        <v>3145.8</v>
      </c>
      <c r="L4057" s="12">
        <v>106.82</v>
      </c>
    </row>
    <row r="4058" spans="1:12" x14ac:dyDescent="0.2">
      <c r="A4058" s="9">
        <v>46256</v>
      </c>
      <c r="B4058" t="s">
        <v>505</v>
      </c>
      <c r="C4058" t="s">
        <v>506</v>
      </c>
      <c r="D4058" t="s">
        <v>36</v>
      </c>
      <c r="E4058" t="s">
        <v>649</v>
      </c>
      <c r="F4058" t="s">
        <v>663</v>
      </c>
      <c r="G4058" s="10">
        <v>4</v>
      </c>
      <c r="H4058" s="10">
        <v>2105</v>
      </c>
      <c r="I4058" s="10">
        <v>8420</v>
      </c>
      <c r="J4058" t="s">
        <v>37</v>
      </c>
      <c r="K4058" s="11">
        <v>648.20000000000005</v>
      </c>
      <c r="L4058" s="12">
        <v>12.99</v>
      </c>
    </row>
    <row r="4059" spans="1:12" x14ac:dyDescent="0.2">
      <c r="A4059" s="9">
        <v>46256</v>
      </c>
      <c r="B4059" t="s">
        <v>505</v>
      </c>
      <c r="C4059" t="s">
        <v>506</v>
      </c>
      <c r="D4059" t="s">
        <v>36</v>
      </c>
      <c r="E4059" t="s">
        <v>647</v>
      </c>
      <c r="F4059" t="s">
        <v>648</v>
      </c>
      <c r="G4059" s="10">
        <v>9</v>
      </c>
      <c r="H4059" s="10">
        <v>15801</v>
      </c>
      <c r="I4059" s="10">
        <v>142209</v>
      </c>
      <c r="J4059" t="s">
        <v>37</v>
      </c>
      <c r="K4059" s="11">
        <v>648.20000000000005</v>
      </c>
      <c r="L4059" s="12">
        <v>219.39</v>
      </c>
    </row>
    <row r="4060" spans="1:12" x14ac:dyDescent="0.2">
      <c r="A4060" s="9">
        <v>46256</v>
      </c>
      <c r="B4060" t="s">
        <v>505</v>
      </c>
      <c r="C4060" t="s">
        <v>506</v>
      </c>
      <c r="D4060" t="s">
        <v>36</v>
      </c>
      <c r="E4060" t="s">
        <v>651</v>
      </c>
      <c r="F4060" t="s">
        <v>657</v>
      </c>
      <c r="G4060" s="10">
        <v>8</v>
      </c>
      <c r="H4060" s="10">
        <v>6552</v>
      </c>
      <c r="I4060" s="10">
        <v>52416</v>
      </c>
      <c r="J4060" t="s">
        <v>37</v>
      </c>
      <c r="K4060" s="11">
        <v>648.20000000000005</v>
      </c>
      <c r="L4060" s="12">
        <v>80.86</v>
      </c>
    </row>
    <row r="4061" spans="1:12" x14ac:dyDescent="0.2">
      <c r="A4061" s="9">
        <v>46256</v>
      </c>
      <c r="B4061" t="s">
        <v>508</v>
      </c>
      <c r="C4061" t="s">
        <v>509</v>
      </c>
      <c r="D4061" t="s">
        <v>68</v>
      </c>
      <c r="E4061" t="s">
        <v>653</v>
      </c>
      <c r="F4061" t="s">
        <v>666</v>
      </c>
      <c r="G4061" s="10">
        <v>6</v>
      </c>
      <c r="H4061" s="10">
        <v>1534</v>
      </c>
      <c r="I4061" s="10">
        <v>9204</v>
      </c>
      <c r="J4061" t="s">
        <v>51</v>
      </c>
      <c r="K4061" s="11">
        <v>648.20000000000005</v>
      </c>
      <c r="L4061" s="12">
        <v>14.2</v>
      </c>
    </row>
    <row r="4062" spans="1:12" x14ac:dyDescent="0.2">
      <c r="A4062" s="9">
        <v>46256</v>
      </c>
      <c r="B4062" t="s">
        <v>514</v>
      </c>
      <c r="C4062" t="s">
        <v>515</v>
      </c>
      <c r="D4062" t="s">
        <v>41</v>
      </c>
      <c r="E4062" t="s">
        <v>649</v>
      </c>
      <c r="F4062" t="s">
        <v>659</v>
      </c>
      <c r="G4062" s="10">
        <v>3</v>
      </c>
      <c r="H4062" s="10">
        <v>42010</v>
      </c>
      <c r="I4062" s="10">
        <v>126030</v>
      </c>
      <c r="J4062" t="s">
        <v>42</v>
      </c>
      <c r="K4062" s="11">
        <v>3145.8</v>
      </c>
      <c r="L4062" s="12">
        <v>40.06</v>
      </c>
    </row>
    <row r="4063" spans="1:12" x14ac:dyDescent="0.2">
      <c r="A4063" s="9">
        <v>46256</v>
      </c>
      <c r="B4063" t="s">
        <v>517</v>
      </c>
      <c r="C4063" t="s">
        <v>518</v>
      </c>
      <c r="D4063" t="s">
        <v>41</v>
      </c>
      <c r="E4063" t="s">
        <v>649</v>
      </c>
      <c r="F4063" t="s">
        <v>663</v>
      </c>
      <c r="G4063" s="10">
        <v>24</v>
      </c>
      <c r="H4063" s="10">
        <v>9714</v>
      </c>
      <c r="I4063" s="10">
        <v>233136</v>
      </c>
      <c r="J4063" t="s">
        <v>42</v>
      </c>
      <c r="K4063" s="11">
        <v>3145.8</v>
      </c>
      <c r="L4063" s="12">
        <v>74.11</v>
      </c>
    </row>
    <row r="4064" spans="1:12" x14ac:dyDescent="0.2">
      <c r="A4064" s="9">
        <v>46256</v>
      </c>
      <c r="B4064" t="s">
        <v>520</v>
      </c>
      <c r="C4064" t="s">
        <v>489</v>
      </c>
      <c r="D4064" t="s">
        <v>46</v>
      </c>
      <c r="E4064" t="s">
        <v>660</v>
      </c>
      <c r="F4064" t="s">
        <v>661</v>
      </c>
      <c r="G4064" s="10">
        <v>3</v>
      </c>
      <c r="H4064" s="10">
        <v>4076</v>
      </c>
      <c r="I4064" s="10">
        <v>12228</v>
      </c>
      <c r="J4064" t="s">
        <v>37</v>
      </c>
      <c r="K4064" s="11">
        <v>648.20000000000005</v>
      </c>
      <c r="L4064" s="12">
        <v>18.86</v>
      </c>
    </row>
    <row r="4065" spans="1:12" x14ac:dyDescent="0.2">
      <c r="A4065" s="9">
        <v>46256</v>
      </c>
      <c r="B4065" t="s">
        <v>522</v>
      </c>
      <c r="C4065" t="s">
        <v>523</v>
      </c>
      <c r="D4065" t="s">
        <v>50</v>
      </c>
      <c r="E4065" t="s">
        <v>647</v>
      </c>
      <c r="F4065" t="s">
        <v>667</v>
      </c>
      <c r="G4065" s="10">
        <v>9</v>
      </c>
      <c r="H4065" s="10">
        <v>7344</v>
      </c>
      <c r="I4065" s="10">
        <v>66096</v>
      </c>
      <c r="J4065" t="s">
        <v>51</v>
      </c>
      <c r="K4065" s="11">
        <v>648.20000000000005</v>
      </c>
      <c r="L4065" s="12">
        <v>101.97</v>
      </c>
    </row>
    <row r="4066" spans="1:12" x14ac:dyDescent="0.2">
      <c r="A4066" s="9">
        <v>46256</v>
      </c>
      <c r="B4066" t="s">
        <v>522</v>
      </c>
      <c r="C4066" t="s">
        <v>523</v>
      </c>
      <c r="D4066" t="s">
        <v>50</v>
      </c>
      <c r="E4066" t="s">
        <v>651</v>
      </c>
      <c r="F4066" t="s">
        <v>664</v>
      </c>
      <c r="G4066" s="10">
        <v>20</v>
      </c>
      <c r="H4066" s="10">
        <v>11861</v>
      </c>
      <c r="I4066" s="10">
        <v>237220</v>
      </c>
      <c r="J4066" t="s">
        <v>51</v>
      </c>
      <c r="K4066" s="11">
        <v>648.20000000000005</v>
      </c>
      <c r="L4066" s="12">
        <v>365.97</v>
      </c>
    </row>
    <row r="4067" spans="1:12" x14ac:dyDescent="0.2">
      <c r="A4067" s="9">
        <v>46256</v>
      </c>
      <c r="B4067" t="s">
        <v>525</v>
      </c>
      <c r="C4067" t="s">
        <v>526</v>
      </c>
      <c r="D4067" t="s">
        <v>46</v>
      </c>
      <c r="E4067" t="s">
        <v>649</v>
      </c>
      <c r="F4067" t="s">
        <v>659</v>
      </c>
      <c r="G4067" s="10">
        <v>6</v>
      </c>
      <c r="H4067" s="10">
        <v>8841</v>
      </c>
      <c r="I4067" s="10">
        <v>53046</v>
      </c>
      <c r="J4067" t="s">
        <v>37</v>
      </c>
      <c r="K4067" s="11">
        <v>648.20000000000005</v>
      </c>
      <c r="L4067" s="12">
        <v>81.84</v>
      </c>
    </row>
    <row r="4068" spans="1:12" x14ac:dyDescent="0.2">
      <c r="A4068" s="9">
        <v>46256</v>
      </c>
      <c r="B4068" t="s">
        <v>525</v>
      </c>
      <c r="C4068" t="s">
        <v>526</v>
      </c>
      <c r="D4068" t="s">
        <v>46</v>
      </c>
      <c r="E4068" t="s">
        <v>651</v>
      </c>
      <c r="F4068" t="s">
        <v>664</v>
      </c>
      <c r="G4068" s="10">
        <v>7</v>
      </c>
      <c r="H4068" s="10">
        <v>11903</v>
      </c>
      <c r="I4068" s="10">
        <v>83321</v>
      </c>
      <c r="J4068" t="s">
        <v>37</v>
      </c>
      <c r="K4068" s="11">
        <v>648.20000000000005</v>
      </c>
      <c r="L4068" s="12">
        <v>128.54</v>
      </c>
    </row>
    <row r="4069" spans="1:12" x14ac:dyDescent="0.2">
      <c r="A4069" s="9">
        <v>46256</v>
      </c>
      <c r="B4069" t="s">
        <v>528</v>
      </c>
      <c r="C4069" t="s">
        <v>529</v>
      </c>
      <c r="D4069" t="s">
        <v>46</v>
      </c>
      <c r="E4069" t="s">
        <v>649</v>
      </c>
      <c r="F4069" t="s">
        <v>659</v>
      </c>
      <c r="G4069" s="10">
        <v>26</v>
      </c>
      <c r="H4069" s="10">
        <v>9233</v>
      </c>
      <c r="I4069" s="10">
        <v>240058</v>
      </c>
      <c r="J4069" t="s">
        <v>37</v>
      </c>
      <c r="K4069" s="11">
        <v>648.20000000000005</v>
      </c>
      <c r="L4069" s="12">
        <v>370.35</v>
      </c>
    </row>
    <row r="4070" spans="1:12" x14ac:dyDescent="0.2">
      <c r="A4070" s="9">
        <v>46256</v>
      </c>
      <c r="B4070" t="s">
        <v>528</v>
      </c>
      <c r="C4070" t="s">
        <v>529</v>
      </c>
      <c r="D4070" t="s">
        <v>46</v>
      </c>
      <c r="E4070" t="s">
        <v>660</v>
      </c>
      <c r="F4070" t="s">
        <v>669</v>
      </c>
      <c r="G4070" s="10">
        <v>11</v>
      </c>
      <c r="H4070" s="10">
        <v>2566</v>
      </c>
      <c r="I4070" s="10">
        <v>28226</v>
      </c>
      <c r="J4070" t="s">
        <v>37</v>
      </c>
      <c r="K4070" s="11">
        <v>648.20000000000005</v>
      </c>
      <c r="L4070" s="12">
        <v>43.55</v>
      </c>
    </row>
    <row r="4071" spans="1:12" x14ac:dyDescent="0.2">
      <c r="A4071" s="9">
        <v>46256</v>
      </c>
      <c r="B4071" t="s">
        <v>531</v>
      </c>
      <c r="C4071" t="s">
        <v>532</v>
      </c>
      <c r="D4071" t="s">
        <v>50</v>
      </c>
      <c r="E4071" t="s">
        <v>660</v>
      </c>
      <c r="F4071" t="s">
        <v>669</v>
      </c>
      <c r="G4071" s="10">
        <v>72</v>
      </c>
      <c r="H4071" s="10">
        <v>2688</v>
      </c>
      <c r="I4071" s="10">
        <v>193536</v>
      </c>
      <c r="J4071" t="s">
        <v>51</v>
      </c>
      <c r="K4071" s="11">
        <v>648.20000000000005</v>
      </c>
      <c r="L4071" s="12">
        <v>298.57</v>
      </c>
    </row>
    <row r="4072" spans="1:12" x14ac:dyDescent="0.2">
      <c r="A4072" s="9">
        <v>46256</v>
      </c>
      <c r="B4072" t="s">
        <v>531</v>
      </c>
      <c r="C4072" t="s">
        <v>532</v>
      </c>
      <c r="D4072" t="s">
        <v>50</v>
      </c>
      <c r="E4072" t="s">
        <v>651</v>
      </c>
      <c r="F4072" t="s">
        <v>657</v>
      </c>
      <c r="G4072" s="10">
        <v>41</v>
      </c>
      <c r="H4072" s="10">
        <v>6242</v>
      </c>
      <c r="I4072" s="10">
        <v>255922</v>
      </c>
      <c r="J4072" t="s">
        <v>51</v>
      </c>
      <c r="K4072" s="11">
        <v>648.20000000000005</v>
      </c>
      <c r="L4072" s="12">
        <v>394.82</v>
      </c>
    </row>
    <row r="4073" spans="1:12" x14ac:dyDescent="0.2">
      <c r="A4073" s="9">
        <v>46256</v>
      </c>
      <c r="B4073" t="s">
        <v>531</v>
      </c>
      <c r="C4073" t="s">
        <v>532</v>
      </c>
      <c r="D4073" t="s">
        <v>50</v>
      </c>
      <c r="E4073" t="s">
        <v>651</v>
      </c>
      <c r="F4073" t="s">
        <v>664</v>
      </c>
      <c r="G4073" s="10">
        <v>116</v>
      </c>
      <c r="H4073" s="10">
        <v>11801</v>
      </c>
      <c r="I4073" s="10">
        <v>1368916</v>
      </c>
      <c r="J4073" t="s">
        <v>51</v>
      </c>
      <c r="K4073" s="11">
        <v>648.20000000000005</v>
      </c>
      <c r="L4073" s="12">
        <v>2111.87</v>
      </c>
    </row>
    <row r="4074" spans="1:12" x14ac:dyDescent="0.2">
      <c r="A4074" s="9">
        <v>46256</v>
      </c>
      <c r="B4074" t="s">
        <v>537</v>
      </c>
      <c r="C4074" t="s">
        <v>538</v>
      </c>
      <c r="D4074" t="s">
        <v>68</v>
      </c>
      <c r="E4074" t="s">
        <v>660</v>
      </c>
      <c r="F4074" t="s">
        <v>670</v>
      </c>
      <c r="G4074" s="10">
        <v>31</v>
      </c>
      <c r="H4074" s="10">
        <v>14209</v>
      </c>
      <c r="I4074" s="10">
        <v>440479</v>
      </c>
      <c r="J4074" t="s">
        <v>51</v>
      </c>
      <c r="K4074" s="11">
        <v>648.20000000000005</v>
      </c>
      <c r="L4074" s="12">
        <v>679.54</v>
      </c>
    </row>
    <row r="4075" spans="1:12" x14ac:dyDescent="0.2">
      <c r="A4075" s="9">
        <v>46256</v>
      </c>
      <c r="B4075" t="s">
        <v>537</v>
      </c>
      <c r="C4075" t="s">
        <v>538</v>
      </c>
      <c r="D4075" t="s">
        <v>68</v>
      </c>
      <c r="E4075" t="s">
        <v>660</v>
      </c>
      <c r="F4075" t="s">
        <v>670</v>
      </c>
      <c r="G4075" s="10">
        <v>141</v>
      </c>
      <c r="H4075" s="10">
        <v>14224</v>
      </c>
      <c r="I4075" s="10">
        <v>2005584</v>
      </c>
      <c r="J4075" t="s">
        <v>51</v>
      </c>
      <c r="K4075" s="11">
        <v>648.20000000000005</v>
      </c>
      <c r="L4075" s="12">
        <v>3094.08</v>
      </c>
    </row>
    <row r="4076" spans="1:12" x14ac:dyDescent="0.2">
      <c r="A4076" s="9">
        <v>46256</v>
      </c>
      <c r="B4076" t="s">
        <v>537</v>
      </c>
      <c r="C4076" t="s">
        <v>538</v>
      </c>
      <c r="D4076" t="s">
        <v>68</v>
      </c>
      <c r="E4076" t="s">
        <v>660</v>
      </c>
      <c r="F4076" t="s">
        <v>661</v>
      </c>
      <c r="G4076" s="10">
        <v>30</v>
      </c>
      <c r="H4076" s="10">
        <v>4294</v>
      </c>
      <c r="I4076" s="10">
        <v>128820</v>
      </c>
      <c r="J4076" t="s">
        <v>51</v>
      </c>
      <c r="K4076" s="11">
        <v>648.20000000000005</v>
      </c>
      <c r="L4076" s="12">
        <v>198.73</v>
      </c>
    </row>
    <row r="4077" spans="1:12" x14ac:dyDescent="0.2">
      <c r="A4077" s="9">
        <v>46256</v>
      </c>
      <c r="B4077" t="s">
        <v>540</v>
      </c>
      <c r="C4077" t="s">
        <v>541</v>
      </c>
      <c r="D4077" t="s">
        <v>41</v>
      </c>
      <c r="E4077" t="s">
        <v>647</v>
      </c>
      <c r="F4077" t="s">
        <v>667</v>
      </c>
      <c r="G4077" s="10">
        <v>18</v>
      </c>
      <c r="H4077" s="10">
        <v>36908</v>
      </c>
      <c r="I4077" s="10">
        <v>664344</v>
      </c>
      <c r="J4077" t="s">
        <v>42</v>
      </c>
      <c r="K4077" s="11">
        <v>3145.8</v>
      </c>
      <c r="L4077" s="12">
        <v>211.18</v>
      </c>
    </row>
    <row r="4078" spans="1:12" x14ac:dyDescent="0.2">
      <c r="A4078" s="9">
        <v>46256</v>
      </c>
      <c r="B4078" t="s">
        <v>543</v>
      </c>
      <c r="C4078" t="s">
        <v>544</v>
      </c>
      <c r="D4078" t="s">
        <v>68</v>
      </c>
      <c r="E4078" t="s">
        <v>651</v>
      </c>
      <c r="F4078" t="s">
        <v>652</v>
      </c>
      <c r="G4078" s="10">
        <v>23</v>
      </c>
      <c r="H4078" s="10">
        <v>9751</v>
      </c>
      <c r="I4078" s="10">
        <v>224273</v>
      </c>
      <c r="J4078" t="s">
        <v>51</v>
      </c>
      <c r="K4078" s="11">
        <v>648.20000000000005</v>
      </c>
      <c r="L4078" s="12">
        <v>345.99</v>
      </c>
    </row>
    <row r="4079" spans="1:12" x14ac:dyDescent="0.2">
      <c r="A4079" s="9">
        <v>46256</v>
      </c>
      <c r="B4079" t="s">
        <v>546</v>
      </c>
      <c r="C4079" t="s">
        <v>547</v>
      </c>
      <c r="D4079" t="s">
        <v>41</v>
      </c>
      <c r="E4079" t="s">
        <v>653</v>
      </c>
      <c r="F4079" t="s">
        <v>654</v>
      </c>
      <c r="G4079" s="10">
        <v>4</v>
      </c>
      <c r="H4079" s="10">
        <v>27686</v>
      </c>
      <c r="I4079" s="10">
        <v>110744</v>
      </c>
      <c r="J4079" t="s">
        <v>42</v>
      </c>
      <c r="K4079" s="11">
        <v>3145.8</v>
      </c>
      <c r="L4079" s="12">
        <v>35.200000000000003</v>
      </c>
    </row>
    <row r="4080" spans="1:12" x14ac:dyDescent="0.2">
      <c r="A4080" s="9">
        <v>46256</v>
      </c>
      <c r="B4080" t="s">
        <v>549</v>
      </c>
      <c r="C4080" t="s">
        <v>550</v>
      </c>
      <c r="D4080" t="s">
        <v>41</v>
      </c>
      <c r="E4080" t="s">
        <v>649</v>
      </c>
      <c r="F4080" t="s">
        <v>659</v>
      </c>
      <c r="G4080" s="10">
        <v>19</v>
      </c>
      <c r="H4080" s="10">
        <v>43016</v>
      </c>
      <c r="I4080" s="10">
        <v>817304</v>
      </c>
      <c r="J4080" t="s">
        <v>42</v>
      </c>
      <c r="K4080" s="11">
        <v>3145.8</v>
      </c>
      <c r="L4080" s="12">
        <v>259.81</v>
      </c>
    </row>
    <row r="4081" spans="1:12" x14ac:dyDescent="0.2">
      <c r="A4081" s="9">
        <v>46256</v>
      </c>
      <c r="B4081" t="s">
        <v>552</v>
      </c>
      <c r="C4081" t="s">
        <v>553</v>
      </c>
      <c r="D4081" t="s">
        <v>41</v>
      </c>
      <c r="E4081" t="s">
        <v>649</v>
      </c>
      <c r="F4081" t="s">
        <v>650</v>
      </c>
      <c r="G4081" s="10">
        <v>5</v>
      </c>
      <c r="H4081" s="10">
        <v>95472</v>
      </c>
      <c r="I4081" s="10">
        <v>477360</v>
      </c>
      <c r="J4081" t="s">
        <v>42</v>
      </c>
      <c r="K4081" s="11">
        <v>3145.8</v>
      </c>
      <c r="L4081" s="12">
        <v>151.75</v>
      </c>
    </row>
    <row r="4082" spans="1:12" x14ac:dyDescent="0.2">
      <c r="A4082" s="9">
        <v>46256</v>
      </c>
      <c r="B4082" t="s">
        <v>552</v>
      </c>
      <c r="C4082" t="s">
        <v>553</v>
      </c>
      <c r="D4082" t="s">
        <v>41</v>
      </c>
      <c r="E4082" t="s">
        <v>647</v>
      </c>
      <c r="F4082" t="s">
        <v>668</v>
      </c>
      <c r="G4082" s="10">
        <v>8</v>
      </c>
      <c r="H4082" s="10">
        <v>118031</v>
      </c>
      <c r="I4082" s="10">
        <v>944248</v>
      </c>
      <c r="J4082" t="s">
        <v>42</v>
      </c>
      <c r="K4082" s="11">
        <v>3145.8</v>
      </c>
      <c r="L4082" s="12">
        <v>300.16000000000003</v>
      </c>
    </row>
    <row r="4083" spans="1:12" x14ac:dyDescent="0.2">
      <c r="A4083" s="9">
        <v>46256</v>
      </c>
      <c r="B4083" t="s">
        <v>555</v>
      </c>
      <c r="C4083" t="s">
        <v>556</v>
      </c>
      <c r="D4083" t="s">
        <v>41</v>
      </c>
      <c r="E4083" t="s">
        <v>647</v>
      </c>
      <c r="F4083" t="s">
        <v>668</v>
      </c>
      <c r="G4083" s="10">
        <v>33</v>
      </c>
      <c r="H4083" s="10">
        <v>120260</v>
      </c>
      <c r="I4083" s="10">
        <v>3968580</v>
      </c>
      <c r="J4083" t="s">
        <v>42</v>
      </c>
      <c r="K4083" s="11">
        <v>3145.8</v>
      </c>
      <c r="L4083" s="12">
        <v>1261.55</v>
      </c>
    </row>
    <row r="4084" spans="1:12" x14ac:dyDescent="0.2">
      <c r="A4084" s="9">
        <v>46256</v>
      </c>
      <c r="B4084" t="s">
        <v>555</v>
      </c>
      <c r="C4084" t="s">
        <v>556</v>
      </c>
      <c r="D4084" t="s">
        <v>41</v>
      </c>
      <c r="E4084" t="s">
        <v>647</v>
      </c>
      <c r="F4084" t="s">
        <v>648</v>
      </c>
      <c r="G4084" s="10">
        <v>61</v>
      </c>
      <c r="H4084" s="10">
        <v>76250</v>
      </c>
      <c r="I4084" s="10">
        <v>4651250</v>
      </c>
      <c r="J4084" t="s">
        <v>42</v>
      </c>
      <c r="K4084" s="11">
        <v>3145.8</v>
      </c>
      <c r="L4084" s="12">
        <v>1478.56</v>
      </c>
    </row>
    <row r="4085" spans="1:12" x14ac:dyDescent="0.2">
      <c r="A4085" s="9">
        <v>46256</v>
      </c>
      <c r="B4085" t="s">
        <v>558</v>
      </c>
      <c r="C4085" t="s">
        <v>559</v>
      </c>
      <c r="D4085" t="s">
        <v>75</v>
      </c>
      <c r="E4085" t="s">
        <v>647</v>
      </c>
      <c r="F4085" t="s">
        <v>648</v>
      </c>
      <c r="G4085" s="10">
        <v>3</v>
      </c>
      <c r="H4085" s="10">
        <v>76746</v>
      </c>
      <c r="I4085" s="10">
        <v>230238</v>
      </c>
      <c r="J4085" t="s">
        <v>42</v>
      </c>
      <c r="K4085" s="11">
        <v>3145.8</v>
      </c>
      <c r="L4085" s="12">
        <v>73.19</v>
      </c>
    </row>
    <row r="4086" spans="1:12" x14ac:dyDescent="0.2">
      <c r="A4086" s="9">
        <v>46256</v>
      </c>
      <c r="B4086" t="s">
        <v>561</v>
      </c>
      <c r="C4086" t="s">
        <v>562</v>
      </c>
      <c r="D4086" t="s">
        <v>46</v>
      </c>
      <c r="E4086" t="s">
        <v>649</v>
      </c>
      <c r="F4086" t="s">
        <v>659</v>
      </c>
      <c r="G4086" s="10">
        <v>34</v>
      </c>
      <c r="H4086" s="10">
        <v>8562</v>
      </c>
      <c r="I4086" s="10">
        <v>291108</v>
      </c>
      <c r="J4086" t="s">
        <v>37</v>
      </c>
      <c r="K4086" s="11">
        <v>648.20000000000005</v>
      </c>
      <c r="L4086" s="12">
        <v>449.1</v>
      </c>
    </row>
    <row r="4087" spans="1:12" x14ac:dyDescent="0.2">
      <c r="A4087" s="9">
        <v>46256</v>
      </c>
      <c r="B4087" t="s">
        <v>561</v>
      </c>
      <c r="C4087" t="s">
        <v>562</v>
      </c>
      <c r="D4087" t="s">
        <v>46</v>
      </c>
      <c r="E4087" t="s">
        <v>647</v>
      </c>
      <c r="F4087" t="s">
        <v>648</v>
      </c>
      <c r="G4087" s="10">
        <v>5</v>
      </c>
      <c r="H4087" s="10">
        <v>15843</v>
      </c>
      <c r="I4087" s="10">
        <v>79215</v>
      </c>
      <c r="J4087" t="s">
        <v>37</v>
      </c>
      <c r="K4087" s="11">
        <v>648.20000000000005</v>
      </c>
      <c r="L4087" s="12">
        <v>122.21</v>
      </c>
    </row>
    <row r="4088" spans="1:12" x14ac:dyDescent="0.2">
      <c r="A4088" s="9">
        <v>46256</v>
      </c>
      <c r="B4088" t="s">
        <v>564</v>
      </c>
      <c r="C4088" t="s">
        <v>565</v>
      </c>
      <c r="D4088" t="s">
        <v>41</v>
      </c>
      <c r="E4088" t="s">
        <v>649</v>
      </c>
      <c r="F4088" t="s">
        <v>650</v>
      </c>
      <c r="G4088" s="10">
        <v>21</v>
      </c>
      <c r="H4088" s="10">
        <v>95946</v>
      </c>
      <c r="I4088" s="10">
        <v>2014866</v>
      </c>
      <c r="J4088" t="s">
        <v>42</v>
      </c>
      <c r="K4088" s="11">
        <v>3145.8</v>
      </c>
      <c r="L4088" s="12">
        <v>640.49</v>
      </c>
    </row>
    <row r="4089" spans="1:12" x14ac:dyDescent="0.2">
      <c r="A4089" s="9">
        <v>46256</v>
      </c>
      <c r="B4089" t="s">
        <v>564</v>
      </c>
      <c r="C4089" t="s">
        <v>565</v>
      </c>
      <c r="D4089" t="s">
        <v>41</v>
      </c>
      <c r="E4089" t="s">
        <v>655</v>
      </c>
      <c r="F4089" t="s">
        <v>656</v>
      </c>
      <c r="G4089" s="10">
        <v>27</v>
      </c>
      <c r="H4089" s="10">
        <v>2776</v>
      </c>
      <c r="I4089" s="10">
        <v>74952</v>
      </c>
      <c r="J4089" t="s">
        <v>42</v>
      </c>
      <c r="K4089" s="11">
        <v>3145.8</v>
      </c>
      <c r="L4089" s="12">
        <v>23.83</v>
      </c>
    </row>
    <row r="4090" spans="1:12" x14ac:dyDescent="0.2">
      <c r="A4090" s="9">
        <v>46256</v>
      </c>
      <c r="B4090" t="s">
        <v>567</v>
      </c>
      <c r="C4090" t="s">
        <v>568</v>
      </c>
      <c r="D4090" t="s">
        <v>41</v>
      </c>
      <c r="E4090" t="s">
        <v>655</v>
      </c>
      <c r="F4090" t="s">
        <v>662</v>
      </c>
      <c r="G4090" s="10">
        <v>11</v>
      </c>
      <c r="H4090" s="10">
        <v>5491</v>
      </c>
      <c r="I4090" s="10">
        <v>60401</v>
      </c>
      <c r="J4090" t="s">
        <v>42</v>
      </c>
      <c r="K4090" s="11">
        <v>3145.8</v>
      </c>
      <c r="L4090" s="12">
        <v>19.2</v>
      </c>
    </row>
    <row r="4091" spans="1:12" x14ac:dyDescent="0.2">
      <c r="A4091" s="9">
        <v>46256</v>
      </c>
      <c r="B4091" t="s">
        <v>570</v>
      </c>
      <c r="C4091" t="s">
        <v>571</v>
      </c>
      <c r="D4091" t="s">
        <v>68</v>
      </c>
      <c r="E4091" t="s">
        <v>653</v>
      </c>
      <c r="F4091" t="s">
        <v>666</v>
      </c>
      <c r="G4091" s="10">
        <v>2</v>
      </c>
      <c r="H4091" s="10">
        <v>1498</v>
      </c>
      <c r="I4091" s="10">
        <v>2996</v>
      </c>
      <c r="J4091" t="s">
        <v>51</v>
      </c>
      <c r="K4091" s="11">
        <v>648.20000000000005</v>
      </c>
      <c r="L4091" s="12">
        <v>4.62</v>
      </c>
    </row>
    <row r="4092" spans="1:12" x14ac:dyDescent="0.2">
      <c r="A4092" s="9">
        <v>46256</v>
      </c>
      <c r="B4092" t="s">
        <v>570</v>
      </c>
      <c r="C4092" t="s">
        <v>571</v>
      </c>
      <c r="D4092" t="s">
        <v>68</v>
      </c>
      <c r="E4092" t="s">
        <v>653</v>
      </c>
      <c r="F4092" t="s">
        <v>654</v>
      </c>
      <c r="G4092" s="10">
        <v>6</v>
      </c>
      <c r="H4092" s="10">
        <v>5475</v>
      </c>
      <c r="I4092" s="10">
        <v>32850</v>
      </c>
      <c r="J4092" t="s">
        <v>51</v>
      </c>
      <c r="K4092" s="11">
        <v>648.20000000000005</v>
      </c>
      <c r="L4092" s="12">
        <v>50.68</v>
      </c>
    </row>
    <row r="4093" spans="1:12" x14ac:dyDescent="0.2">
      <c r="A4093" s="9">
        <v>46256</v>
      </c>
      <c r="B4093" t="s">
        <v>582</v>
      </c>
      <c r="C4093" t="s">
        <v>583</v>
      </c>
      <c r="D4093" t="s">
        <v>36</v>
      </c>
      <c r="E4093" t="s">
        <v>651</v>
      </c>
      <c r="F4093" t="s">
        <v>664</v>
      </c>
      <c r="G4093" s="10">
        <v>23</v>
      </c>
      <c r="H4093" s="10">
        <v>12030</v>
      </c>
      <c r="I4093" s="10">
        <v>276690</v>
      </c>
      <c r="J4093" t="s">
        <v>37</v>
      </c>
      <c r="K4093" s="11">
        <v>648.20000000000005</v>
      </c>
      <c r="L4093" s="12">
        <v>426.86</v>
      </c>
    </row>
    <row r="4094" spans="1:12" x14ac:dyDescent="0.2">
      <c r="A4094" s="9">
        <v>46256</v>
      </c>
      <c r="B4094" t="s">
        <v>585</v>
      </c>
      <c r="C4094" t="s">
        <v>586</v>
      </c>
      <c r="D4094" t="s">
        <v>50</v>
      </c>
      <c r="E4094" t="s">
        <v>660</v>
      </c>
      <c r="F4094" t="s">
        <v>669</v>
      </c>
      <c r="G4094" s="10">
        <v>2</v>
      </c>
      <c r="H4094" s="10">
        <v>2525</v>
      </c>
      <c r="I4094" s="10">
        <v>5050</v>
      </c>
      <c r="J4094" t="s">
        <v>51</v>
      </c>
      <c r="K4094" s="11">
        <v>648.20000000000005</v>
      </c>
      <c r="L4094" s="12">
        <v>7.79</v>
      </c>
    </row>
    <row r="4095" spans="1:12" x14ac:dyDescent="0.2">
      <c r="A4095" s="9">
        <v>46256</v>
      </c>
      <c r="B4095" t="s">
        <v>585</v>
      </c>
      <c r="C4095" t="s">
        <v>586</v>
      </c>
      <c r="D4095" t="s">
        <v>50</v>
      </c>
      <c r="E4095" t="s">
        <v>660</v>
      </c>
      <c r="F4095" t="s">
        <v>661</v>
      </c>
      <c r="G4095" s="10">
        <v>1</v>
      </c>
      <c r="H4095" s="10">
        <v>4070</v>
      </c>
      <c r="I4095" s="10">
        <v>4070</v>
      </c>
      <c r="J4095" t="s">
        <v>51</v>
      </c>
      <c r="K4095" s="11">
        <v>648.20000000000005</v>
      </c>
      <c r="L4095" s="12">
        <v>6.28</v>
      </c>
    </row>
    <row r="4096" spans="1:12" x14ac:dyDescent="0.2">
      <c r="A4096" s="9">
        <v>46256</v>
      </c>
      <c r="B4096" t="s">
        <v>590</v>
      </c>
      <c r="C4096" t="s">
        <v>591</v>
      </c>
      <c r="D4096" t="s">
        <v>41</v>
      </c>
      <c r="E4096" t="s">
        <v>660</v>
      </c>
      <c r="F4096" t="s">
        <v>661</v>
      </c>
      <c r="G4096" s="10">
        <v>8</v>
      </c>
      <c r="H4096" s="10">
        <v>19673</v>
      </c>
      <c r="I4096" s="10">
        <v>157384</v>
      </c>
      <c r="J4096" t="s">
        <v>42</v>
      </c>
      <c r="K4096" s="11">
        <v>3145.8</v>
      </c>
      <c r="L4096" s="12">
        <v>50.03</v>
      </c>
    </row>
    <row r="4097" spans="1:12" x14ac:dyDescent="0.2">
      <c r="A4097" s="9">
        <v>46256</v>
      </c>
      <c r="B4097" t="s">
        <v>593</v>
      </c>
      <c r="C4097" t="s">
        <v>594</v>
      </c>
      <c r="D4097" t="s">
        <v>50</v>
      </c>
      <c r="E4097" t="s">
        <v>651</v>
      </c>
      <c r="F4097" t="s">
        <v>657</v>
      </c>
      <c r="G4097" s="10">
        <v>2</v>
      </c>
      <c r="H4097" s="10">
        <v>6609</v>
      </c>
      <c r="I4097" s="10">
        <v>13218</v>
      </c>
      <c r="J4097" t="s">
        <v>51</v>
      </c>
      <c r="K4097" s="11">
        <v>648.20000000000005</v>
      </c>
      <c r="L4097" s="12">
        <v>20.39</v>
      </c>
    </row>
    <row r="4098" spans="1:12" x14ac:dyDescent="0.2">
      <c r="A4098" s="9">
        <v>46256</v>
      </c>
      <c r="B4098" t="s">
        <v>599</v>
      </c>
      <c r="C4098" t="s">
        <v>600</v>
      </c>
      <c r="D4098" t="s">
        <v>75</v>
      </c>
      <c r="E4098" t="s">
        <v>647</v>
      </c>
      <c r="F4098" t="s">
        <v>668</v>
      </c>
      <c r="G4098" s="10">
        <v>9</v>
      </c>
      <c r="H4098" s="10">
        <v>125911</v>
      </c>
      <c r="I4098" s="10">
        <v>1133199</v>
      </c>
      <c r="J4098" t="s">
        <v>42</v>
      </c>
      <c r="K4098" s="11">
        <v>3145.8</v>
      </c>
      <c r="L4098" s="12">
        <v>360.23</v>
      </c>
    </row>
    <row r="4099" spans="1:12" x14ac:dyDescent="0.2">
      <c r="A4099" s="9">
        <v>46256</v>
      </c>
      <c r="B4099" t="s">
        <v>602</v>
      </c>
      <c r="C4099" t="s">
        <v>603</v>
      </c>
      <c r="D4099" t="s">
        <v>50</v>
      </c>
      <c r="E4099" t="s">
        <v>655</v>
      </c>
      <c r="F4099" t="s">
        <v>662</v>
      </c>
      <c r="G4099" s="10">
        <v>23</v>
      </c>
      <c r="H4099" s="10">
        <v>1100</v>
      </c>
      <c r="I4099" s="10">
        <v>25300</v>
      </c>
      <c r="J4099" t="s">
        <v>51</v>
      </c>
      <c r="K4099" s="11">
        <v>648.20000000000005</v>
      </c>
      <c r="L4099" s="12">
        <v>39.03</v>
      </c>
    </row>
    <row r="4100" spans="1:12" x14ac:dyDescent="0.2">
      <c r="A4100" s="9">
        <v>46256</v>
      </c>
      <c r="B4100" t="s">
        <v>602</v>
      </c>
      <c r="C4100" t="s">
        <v>603</v>
      </c>
      <c r="D4100" t="s">
        <v>50</v>
      </c>
      <c r="E4100" t="s">
        <v>660</v>
      </c>
      <c r="F4100" t="s">
        <v>670</v>
      </c>
      <c r="G4100" s="10">
        <v>16</v>
      </c>
      <c r="H4100" s="10">
        <v>14257</v>
      </c>
      <c r="I4100" s="10">
        <v>228112</v>
      </c>
      <c r="J4100" t="s">
        <v>51</v>
      </c>
      <c r="K4100" s="11">
        <v>648.20000000000005</v>
      </c>
      <c r="L4100" s="12">
        <v>351.92</v>
      </c>
    </row>
    <row r="4101" spans="1:12" x14ac:dyDescent="0.2">
      <c r="A4101" s="9">
        <v>46256</v>
      </c>
      <c r="B4101" t="s">
        <v>602</v>
      </c>
      <c r="C4101" t="s">
        <v>603</v>
      </c>
      <c r="D4101" t="s">
        <v>50</v>
      </c>
      <c r="E4101" t="s">
        <v>647</v>
      </c>
      <c r="F4101" t="s">
        <v>668</v>
      </c>
      <c r="G4101" s="10">
        <v>21</v>
      </c>
      <c r="H4101" s="10">
        <v>24651</v>
      </c>
      <c r="I4101" s="10">
        <v>517671</v>
      </c>
      <c r="J4101" t="s">
        <v>51</v>
      </c>
      <c r="K4101" s="11">
        <v>648.20000000000005</v>
      </c>
      <c r="L4101" s="12">
        <v>798.63</v>
      </c>
    </row>
    <row r="4102" spans="1:12" x14ac:dyDescent="0.2">
      <c r="A4102" s="9">
        <v>46256</v>
      </c>
      <c r="B4102" t="s">
        <v>602</v>
      </c>
      <c r="C4102" t="s">
        <v>603</v>
      </c>
      <c r="D4102" t="s">
        <v>50</v>
      </c>
      <c r="E4102" t="s">
        <v>651</v>
      </c>
      <c r="F4102" t="s">
        <v>664</v>
      </c>
      <c r="G4102" s="10">
        <v>26</v>
      </c>
      <c r="H4102" s="10">
        <v>12165</v>
      </c>
      <c r="I4102" s="10">
        <v>316290</v>
      </c>
      <c r="J4102" t="s">
        <v>51</v>
      </c>
      <c r="K4102" s="11">
        <v>648.20000000000005</v>
      </c>
      <c r="L4102" s="12">
        <v>487.95</v>
      </c>
    </row>
    <row r="4103" spans="1:12" x14ac:dyDescent="0.2">
      <c r="A4103" s="9">
        <v>46256</v>
      </c>
      <c r="B4103" t="s">
        <v>605</v>
      </c>
      <c r="C4103" t="s">
        <v>606</v>
      </c>
      <c r="D4103" t="s">
        <v>68</v>
      </c>
      <c r="E4103" t="s">
        <v>651</v>
      </c>
      <c r="F4103" t="s">
        <v>652</v>
      </c>
      <c r="G4103" s="10">
        <v>48</v>
      </c>
      <c r="H4103" s="10">
        <v>9702</v>
      </c>
      <c r="I4103" s="10">
        <v>465696</v>
      </c>
      <c r="J4103" t="s">
        <v>51</v>
      </c>
      <c r="K4103" s="11">
        <v>648.20000000000005</v>
      </c>
      <c r="L4103" s="12">
        <v>718.44</v>
      </c>
    </row>
    <row r="4104" spans="1:12" x14ac:dyDescent="0.2">
      <c r="A4104" s="9">
        <v>46256</v>
      </c>
      <c r="B4104" t="s">
        <v>605</v>
      </c>
      <c r="C4104" t="s">
        <v>606</v>
      </c>
      <c r="D4104" t="s">
        <v>68</v>
      </c>
      <c r="E4104" t="s">
        <v>660</v>
      </c>
      <c r="F4104" t="s">
        <v>669</v>
      </c>
      <c r="G4104" s="10">
        <v>11</v>
      </c>
      <c r="H4104" s="10">
        <v>2567</v>
      </c>
      <c r="I4104" s="10">
        <v>28237</v>
      </c>
      <c r="J4104" t="s">
        <v>51</v>
      </c>
      <c r="K4104" s="11">
        <v>648.20000000000005</v>
      </c>
      <c r="L4104" s="12">
        <v>43.56</v>
      </c>
    </row>
    <row r="4105" spans="1:12" x14ac:dyDescent="0.2">
      <c r="A4105" s="9">
        <v>46256</v>
      </c>
      <c r="B4105" t="s">
        <v>605</v>
      </c>
      <c r="C4105" t="s">
        <v>606</v>
      </c>
      <c r="D4105" t="s">
        <v>68</v>
      </c>
      <c r="E4105" t="s">
        <v>660</v>
      </c>
      <c r="F4105" t="s">
        <v>670</v>
      </c>
      <c r="G4105" s="10">
        <v>17</v>
      </c>
      <c r="H4105" s="10">
        <v>14472</v>
      </c>
      <c r="I4105" s="10">
        <v>246024</v>
      </c>
      <c r="J4105" t="s">
        <v>51</v>
      </c>
      <c r="K4105" s="11">
        <v>648.20000000000005</v>
      </c>
      <c r="L4105" s="12">
        <v>379.55</v>
      </c>
    </row>
    <row r="4106" spans="1:12" x14ac:dyDescent="0.2">
      <c r="A4106" s="9">
        <v>46256</v>
      </c>
      <c r="B4106" t="s">
        <v>605</v>
      </c>
      <c r="C4106" t="s">
        <v>606</v>
      </c>
      <c r="D4106" t="s">
        <v>68</v>
      </c>
      <c r="E4106" t="s">
        <v>647</v>
      </c>
      <c r="F4106" t="s">
        <v>667</v>
      </c>
      <c r="G4106" s="10">
        <v>76</v>
      </c>
      <c r="H4106" s="10">
        <v>7447</v>
      </c>
      <c r="I4106" s="10">
        <v>565972</v>
      </c>
      <c r="J4106" t="s">
        <v>51</v>
      </c>
      <c r="K4106" s="11">
        <v>648.20000000000005</v>
      </c>
      <c r="L4106" s="12">
        <v>873.14</v>
      </c>
    </row>
    <row r="4107" spans="1:12" x14ac:dyDescent="0.2">
      <c r="A4107" s="9">
        <v>46256</v>
      </c>
      <c r="B4107" t="s">
        <v>605</v>
      </c>
      <c r="C4107" t="s">
        <v>606</v>
      </c>
      <c r="D4107" t="s">
        <v>68</v>
      </c>
      <c r="E4107" t="s">
        <v>647</v>
      </c>
      <c r="F4107" t="s">
        <v>667</v>
      </c>
      <c r="G4107" s="10">
        <v>16</v>
      </c>
      <c r="H4107" s="10">
        <v>7196</v>
      </c>
      <c r="I4107" s="10">
        <v>115136</v>
      </c>
      <c r="J4107" t="s">
        <v>51</v>
      </c>
      <c r="K4107" s="11">
        <v>648.20000000000005</v>
      </c>
      <c r="L4107" s="12">
        <v>177.62</v>
      </c>
    </row>
    <row r="4108" spans="1:12" x14ac:dyDescent="0.2">
      <c r="A4108" s="9">
        <v>46256</v>
      </c>
      <c r="B4108" t="s">
        <v>608</v>
      </c>
      <c r="C4108" t="s">
        <v>609</v>
      </c>
      <c r="D4108" t="s">
        <v>75</v>
      </c>
      <c r="E4108" t="s">
        <v>655</v>
      </c>
      <c r="F4108" t="s">
        <v>665</v>
      </c>
      <c r="G4108" s="10">
        <v>1</v>
      </c>
      <c r="H4108" s="10">
        <v>3458</v>
      </c>
      <c r="I4108" s="10">
        <v>3458</v>
      </c>
      <c r="J4108" t="s">
        <v>42</v>
      </c>
      <c r="K4108" s="11">
        <v>3145.8</v>
      </c>
      <c r="L4108" s="12">
        <v>1.1000000000000001</v>
      </c>
    </row>
    <row r="4109" spans="1:12" x14ac:dyDescent="0.2">
      <c r="A4109" s="9">
        <v>46256</v>
      </c>
      <c r="B4109" t="s">
        <v>614</v>
      </c>
      <c r="C4109" t="s">
        <v>615</v>
      </c>
      <c r="D4109" t="s">
        <v>68</v>
      </c>
      <c r="E4109" t="s">
        <v>647</v>
      </c>
      <c r="F4109" t="s">
        <v>668</v>
      </c>
      <c r="G4109" s="10">
        <v>10</v>
      </c>
      <c r="H4109" s="10">
        <v>24252</v>
      </c>
      <c r="I4109" s="10">
        <v>242520</v>
      </c>
      <c r="J4109" t="s">
        <v>51</v>
      </c>
      <c r="K4109" s="11">
        <v>648.20000000000005</v>
      </c>
      <c r="L4109" s="12">
        <v>374.14</v>
      </c>
    </row>
    <row r="4110" spans="1:12" x14ac:dyDescent="0.2">
      <c r="A4110" s="9">
        <v>46256</v>
      </c>
      <c r="B4110" t="s">
        <v>617</v>
      </c>
      <c r="C4110" t="s">
        <v>618</v>
      </c>
      <c r="D4110" t="s">
        <v>75</v>
      </c>
      <c r="E4110" t="s">
        <v>649</v>
      </c>
      <c r="F4110" t="s">
        <v>650</v>
      </c>
      <c r="G4110" s="10">
        <v>4</v>
      </c>
      <c r="H4110" s="10">
        <v>94066</v>
      </c>
      <c r="I4110" s="10">
        <v>376264</v>
      </c>
      <c r="J4110" t="s">
        <v>42</v>
      </c>
      <c r="K4110" s="11">
        <v>3145.8</v>
      </c>
      <c r="L4110" s="12">
        <v>119.61</v>
      </c>
    </row>
    <row r="4111" spans="1:12" x14ac:dyDescent="0.2">
      <c r="A4111" s="9">
        <v>46256</v>
      </c>
      <c r="B4111" t="s">
        <v>623</v>
      </c>
      <c r="C4111" t="s">
        <v>624</v>
      </c>
      <c r="D4111" t="s">
        <v>68</v>
      </c>
      <c r="E4111" t="s">
        <v>653</v>
      </c>
      <c r="F4111" t="s">
        <v>654</v>
      </c>
      <c r="G4111" s="10">
        <v>37</v>
      </c>
      <c r="H4111" s="10">
        <v>5662</v>
      </c>
      <c r="I4111" s="10">
        <v>209494</v>
      </c>
      <c r="J4111" t="s">
        <v>51</v>
      </c>
      <c r="K4111" s="11">
        <v>648.20000000000005</v>
      </c>
      <c r="L4111" s="12">
        <v>323.19</v>
      </c>
    </row>
    <row r="4112" spans="1:12" x14ac:dyDescent="0.2">
      <c r="A4112" s="9">
        <v>46256</v>
      </c>
      <c r="B4112" t="s">
        <v>626</v>
      </c>
      <c r="C4112" t="s">
        <v>627</v>
      </c>
      <c r="D4112" t="s">
        <v>50</v>
      </c>
      <c r="E4112" t="s">
        <v>647</v>
      </c>
      <c r="F4112" t="s">
        <v>668</v>
      </c>
      <c r="G4112" s="10">
        <v>31</v>
      </c>
      <c r="H4112" s="10">
        <v>24603</v>
      </c>
      <c r="I4112" s="10">
        <v>762693</v>
      </c>
      <c r="J4112" t="s">
        <v>51</v>
      </c>
      <c r="K4112" s="11">
        <v>648.20000000000005</v>
      </c>
      <c r="L4112" s="12">
        <v>1176.6300000000001</v>
      </c>
    </row>
    <row r="4113" spans="1:12" x14ac:dyDescent="0.2">
      <c r="A4113" s="9">
        <v>46256</v>
      </c>
      <c r="B4113" t="s">
        <v>632</v>
      </c>
      <c r="C4113" t="s">
        <v>633</v>
      </c>
      <c r="D4113" t="s">
        <v>68</v>
      </c>
      <c r="E4113" t="s">
        <v>649</v>
      </c>
      <c r="F4113" t="s">
        <v>663</v>
      </c>
      <c r="G4113" s="10">
        <v>9</v>
      </c>
      <c r="H4113" s="10">
        <v>2106</v>
      </c>
      <c r="I4113" s="10">
        <v>18954</v>
      </c>
      <c r="J4113" t="s">
        <v>51</v>
      </c>
      <c r="K4113" s="11">
        <v>648.20000000000005</v>
      </c>
      <c r="L4113" s="12">
        <v>29.24</v>
      </c>
    </row>
    <row r="4114" spans="1:12" x14ac:dyDescent="0.2">
      <c r="A4114" s="9">
        <v>46256</v>
      </c>
      <c r="B4114" t="s">
        <v>632</v>
      </c>
      <c r="C4114" t="s">
        <v>633</v>
      </c>
      <c r="D4114" t="s">
        <v>68</v>
      </c>
      <c r="E4114" t="s">
        <v>653</v>
      </c>
      <c r="F4114" t="s">
        <v>654</v>
      </c>
      <c r="G4114" s="10">
        <v>10</v>
      </c>
      <c r="H4114" s="10">
        <v>5814</v>
      </c>
      <c r="I4114" s="10">
        <v>58140</v>
      </c>
      <c r="J4114" t="s">
        <v>51</v>
      </c>
      <c r="K4114" s="11">
        <v>648.20000000000005</v>
      </c>
      <c r="L4114" s="12">
        <v>89.69</v>
      </c>
    </row>
    <row r="4115" spans="1:12" x14ac:dyDescent="0.2">
      <c r="A4115" s="9">
        <v>46256</v>
      </c>
      <c r="B4115" t="s">
        <v>632</v>
      </c>
      <c r="C4115" t="s">
        <v>633</v>
      </c>
      <c r="D4115" t="s">
        <v>68</v>
      </c>
      <c r="E4115" t="s">
        <v>655</v>
      </c>
      <c r="F4115" t="s">
        <v>656</v>
      </c>
      <c r="G4115" s="10">
        <v>7</v>
      </c>
      <c r="H4115" s="10">
        <v>553</v>
      </c>
      <c r="I4115" s="10">
        <v>3871</v>
      </c>
      <c r="J4115" t="s">
        <v>51</v>
      </c>
      <c r="K4115" s="11">
        <v>648.20000000000005</v>
      </c>
      <c r="L4115" s="12">
        <v>5.97</v>
      </c>
    </row>
    <row r="4116" spans="1:12" x14ac:dyDescent="0.2">
      <c r="A4116" s="9">
        <v>46256</v>
      </c>
      <c r="B4116" t="s">
        <v>635</v>
      </c>
      <c r="C4116" t="s">
        <v>636</v>
      </c>
      <c r="D4116" t="s">
        <v>41</v>
      </c>
      <c r="E4116" t="s">
        <v>649</v>
      </c>
      <c r="F4116" t="s">
        <v>650</v>
      </c>
      <c r="G4116" s="10">
        <v>5</v>
      </c>
      <c r="H4116" s="10">
        <v>90143</v>
      </c>
      <c r="I4116" s="10">
        <v>450715</v>
      </c>
      <c r="J4116" t="s">
        <v>42</v>
      </c>
      <c r="K4116" s="11">
        <v>3145.8</v>
      </c>
      <c r="L4116" s="12">
        <v>143.28</v>
      </c>
    </row>
    <row r="4117" spans="1:12" x14ac:dyDescent="0.2">
      <c r="A4117" s="9">
        <v>46256</v>
      </c>
      <c r="B4117" t="s">
        <v>635</v>
      </c>
      <c r="C4117" t="s">
        <v>636</v>
      </c>
      <c r="D4117" t="s">
        <v>41</v>
      </c>
      <c r="E4117" t="s">
        <v>649</v>
      </c>
      <c r="F4117" t="s">
        <v>663</v>
      </c>
      <c r="G4117" s="10">
        <v>18</v>
      </c>
      <c r="H4117" s="10">
        <v>9753</v>
      </c>
      <c r="I4117" s="10">
        <v>175554</v>
      </c>
      <c r="J4117" t="s">
        <v>42</v>
      </c>
      <c r="K4117" s="11">
        <v>3145.8</v>
      </c>
      <c r="L4117" s="12">
        <v>55.81</v>
      </c>
    </row>
    <row r="4118" spans="1:12" x14ac:dyDescent="0.2">
      <c r="A4118" s="9">
        <v>46256</v>
      </c>
      <c r="B4118" t="s">
        <v>635</v>
      </c>
      <c r="C4118" t="s">
        <v>636</v>
      </c>
      <c r="D4118" t="s">
        <v>41</v>
      </c>
      <c r="E4118" t="s">
        <v>660</v>
      </c>
      <c r="F4118" t="s">
        <v>670</v>
      </c>
      <c r="G4118" s="10">
        <v>10</v>
      </c>
      <c r="H4118" s="10">
        <v>67787</v>
      </c>
      <c r="I4118" s="10">
        <v>677870</v>
      </c>
      <c r="J4118" t="s">
        <v>42</v>
      </c>
      <c r="K4118" s="11">
        <v>3145.8</v>
      </c>
      <c r="L4118" s="12">
        <v>215.48</v>
      </c>
    </row>
    <row r="4119" spans="1:12" x14ac:dyDescent="0.2">
      <c r="A4119" s="9">
        <v>46256</v>
      </c>
      <c r="B4119" t="s">
        <v>635</v>
      </c>
      <c r="C4119" t="s">
        <v>636</v>
      </c>
      <c r="D4119" t="s">
        <v>41</v>
      </c>
      <c r="E4119" t="s">
        <v>660</v>
      </c>
      <c r="F4119" t="s">
        <v>661</v>
      </c>
      <c r="G4119" s="10">
        <v>16</v>
      </c>
      <c r="H4119" s="10">
        <v>19952</v>
      </c>
      <c r="I4119" s="10">
        <v>319232</v>
      </c>
      <c r="J4119" t="s">
        <v>42</v>
      </c>
      <c r="K4119" s="11">
        <v>3145.8</v>
      </c>
      <c r="L4119" s="12">
        <v>101.48</v>
      </c>
    </row>
    <row r="4120" spans="1:12" x14ac:dyDescent="0.2">
      <c r="A4120" s="9">
        <v>46256</v>
      </c>
      <c r="B4120" t="s">
        <v>635</v>
      </c>
      <c r="C4120" t="s">
        <v>636</v>
      </c>
      <c r="D4120" t="s">
        <v>41</v>
      </c>
      <c r="E4120" t="s">
        <v>647</v>
      </c>
      <c r="F4120" t="s">
        <v>648</v>
      </c>
      <c r="G4120" s="10">
        <v>20</v>
      </c>
      <c r="H4120" s="10">
        <v>79454</v>
      </c>
      <c r="I4120" s="10">
        <v>1589080</v>
      </c>
      <c r="J4120" t="s">
        <v>42</v>
      </c>
      <c r="K4120" s="11">
        <v>3145.8</v>
      </c>
      <c r="L4120" s="12">
        <v>505.14</v>
      </c>
    </row>
    <row r="4121" spans="1:12" x14ac:dyDescent="0.2">
      <c r="A4121" s="9">
        <v>46258</v>
      </c>
      <c r="B4121" t="s">
        <v>39</v>
      </c>
      <c r="C4121" t="s">
        <v>40</v>
      </c>
      <c r="D4121" t="s">
        <v>41</v>
      </c>
      <c r="E4121" t="s">
        <v>660</v>
      </c>
      <c r="F4121" t="s">
        <v>670</v>
      </c>
      <c r="G4121" s="10">
        <v>7</v>
      </c>
      <c r="H4121" s="10">
        <v>69470</v>
      </c>
      <c r="I4121" s="10">
        <v>486290</v>
      </c>
      <c r="J4121" t="s">
        <v>42</v>
      </c>
      <c r="K4121" s="11">
        <v>3145.8</v>
      </c>
      <c r="L4121" s="12">
        <v>154.58000000000001</v>
      </c>
    </row>
    <row r="4122" spans="1:12" x14ac:dyDescent="0.2">
      <c r="A4122" s="9">
        <v>46258</v>
      </c>
      <c r="B4122" t="s">
        <v>44</v>
      </c>
      <c r="C4122" t="s">
        <v>45</v>
      </c>
      <c r="D4122" t="s">
        <v>46</v>
      </c>
      <c r="E4122" t="s">
        <v>660</v>
      </c>
      <c r="F4122" t="s">
        <v>670</v>
      </c>
      <c r="G4122" s="10">
        <v>4</v>
      </c>
      <c r="H4122" s="10">
        <v>14863</v>
      </c>
      <c r="I4122" s="10">
        <v>59452</v>
      </c>
      <c r="J4122" t="s">
        <v>37</v>
      </c>
      <c r="K4122" s="11">
        <v>648.20000000000005</v>
      </c>
      <c r="L4122" s="12">
        <v>91.72</v>
      </c>
    </row>
    <row r="4123" spans="1:12" x14ac:dyDescent="0.2">
      <c r="A4123" s="9">
        <v>46258</v>
      </c>
      <c r="B4123" t="s">
        <v>53</v>
      </c>
      <c r="C4123" t="s">
        <v>54</v>
      </c>
      <c r="D4123" t="s">
        <v>41</v>
      </c>
      <c r="E4123" t="s">
        <v>660</v>
      </c>
      <c r="F4123" t="s">
        <v>661</v>
      </c>
      <c r="G4123" s="10">
        <v>7</v>
      </c>
      <c r="H4123" s="10">
        <v>20125</v>
      </c>
      <c r="I4123" s="10">
        <v>140875</v>
      </c>
      <c r="J4123" t="s">
        <v>42</v>
      </c>
      <c r="K4123" s="11">
        <v>3145.8</v>
      </c>
      <c r="L4123" s="12">
        <v>44.78</v>
      </c>
    </row>
    <row r="4124" spans="1:12" x14ac:dyDescent="0.2">
      <c r="A4124" s="9">
        <v>46258</v>
      </c>
      <c r="B4124" t="s">
        <v>56</v>
      </c>
      <c r="C4124" t="s">
        <v>57</v>
      </c>
      <c r="D4124" t="s">
        <v>46</v>
      </c>
      <c r="E4124" t="s">
        <v>660</v>
      </c>
      <c r="F4124" t="s">
        <v>661</v>
      </c>
      <c r="G4124" s="10">
        <v>3</v>
      </c>
      <c r="H4124" s="10">
        <v>4318</v>
      </c>
      <c r="I4124" s="10">
        <v>12954</v>
      </c>
      <c r="J4124" t="s">
        <v>37</v>
      </c>
      <c r="K4124" s="11">
        <v>648.20000000000005</v>
      </c>
      <c r="L4124" s="12">
        <v>19.98</v>
      </c>
    </row>
    <row r="4125" spans="1:12" x14ac:dyDescent="0.2">
      <c r="A4125" s="9">
        <v>46258</v>
      </c>
      <c r="B4125" t="s">
        <v>56</v>
      </c>
      <c r="C4125" t="s">
        <v>57</v>
      </c>
      <c r="D4125" t="s">
        <v>46</v>
      </c>
      <c r="E4125" t="s">
        <v>655</v>
      </c>
      <c r="F4125" t="s">
        <v>665</v>
      </c>
      <c r="G4125" s="10">
        <v>13</v>
      </c>
      <c r="H4125" s="10">
        <v>698</v>
      </c>
      <c r="I4125" s="10">
        <v>9074</v>
      </c>
      <c r="J4125" t="s">
        <v>37</v>
      </c>
      <c r="K4125" s="11">
        <v>648.20000000000005</v>
      </c>
      <c r="L4125" s="12">
        <v>14</v>
      </c>
    </row>
    <row r="4126" spans="1:12" x14ac:dyDescent="0.2">
      <c r="A4126" s="9">
        <v>46258</v>
      </c>
      <c r="B4126" t="s">
        <v>63</v>
      </c>
      <c r="C4126" t="s">
        <v>64</v>
      </c>
      <c r="D4126" t="s">
        <v>50</v>
      </c>
      <c r="E4126" t="s">
        <v>660</v>
      </c>
      <c r="F4126" t="s">
        <v>670</v>
      </c>
      <c r="G4126" s="10">
        <v>13</v>
      </c>
      <c r="H4126" s="10">
        <v>14911</v>
      </c>
      <c r="I4126" s="10">
        <v>193843</v>
      </c>
      <c r="J4126" t="s">
        <v>51</v>
      </c>
      <c r="K4126" s="11">
        <v>648.20000000000005</v>
      </c>
      <c r="L4126" s="12">
        <v>299.05</v>
      </c>
    </row>
    <row r="4127" spans="1:12" x14ac:dyDescent="0.2">
      <c r="A4127" s="9">
        <v>46258</v>
      </c>
      <c r="B4127" t="s">
        <v>63</v>
      </c>
      <c r="C4127" t="s">
        <v>64</v>
      </c>
      <c r="D4127" t="s">
        <v>50</v>
      </c>
      <c r="E4127" t="s">
        <v>647</v>
      </c>
      <c r="F4127" t="s">
        <v>648</v>
      </c>
      <c r="G4127" s="10">
        <v>48</v>
      </c>
      <c r="H4127" s="10">
        <v>15921</v>
      </c>
      <c r="I4127" s="10">
        <v>764208</v>
      </c>
      <c r="J4127" t="s">
        <v>51</v>
      </c>
      <c r="K4127" s="11">
        <v>648.20000000000005</v>
      </c>
      <c r="L4127" s="12">
        <v>1178.97</v>
      </c>
    </row>
    <row r="4128" spans="1:12" x14ac:dyDescent="0.2">
      <c r="A4128" s="9">
        <v>46258</v>
      </c>
      <c r="B4128" t="s">
        <v>66</v>
      </c>
      <c r="C4128" t="s">
        <v>67</v>
      </c>
      <c r="D4128" t="s">
        <v>68</v>
      </c>
      <c r="E4128" t="s">
        <v>653</v>
      </c>
      <c r="F4128" t="s">
        <v>658</v>
      </c>
      <c r="G4128" s="10">
        <v>71</v>
      </c>
      <c r="H4128" s="10">
        <v>2784</v>
      </c>
      <c r="I4128" s="10">
        <v>197664</v>
      </c>
      <c r="J4128" t="s">
        <v>51</v>
      </c>
      <c r="K4128" s="11">
        <v>648.20000000000005</v>
      </c>
      <c r="L4128" s="12">
        <v>304.94</v>
      </c>
    </row>
    <row r="4129" spans="1:12" x14ac:dyDescent="0.2">
      <c r="A4129" s="9">
        <v>46258</v>
      </c>
      <c r="B4129" t="s">
        <v>73</v>
      </c>
      <c r="C4129" t="s">
        <v>74</v>
      </c>
      <c r="D4129" t="s">
        <v>75</v>
      </c>
      <c r="E4129" t="s">
        <v>649</v>
      </c>
      <c r="F4129" t="s">
        <v>650</v>
      </c>
      <c r="G4129" s="10">
        <v>23</v>
      </c>
      <c r="H4129" s="10">
        <v>91374</v>
      </c>
      <c r="I4129" s="10">
        <v>2101602</v>
      </c>
      <c r="J4129" t="s">
        <v>42</v>
      </c>
      <c r="K4129" s="11">
        <v>3145.8</v>
      </c>
      <c r="L4129" s="12">
        <v>668.07</v>
      </c>
    </row>
    <row r="4130" spans="1:12" x14ac:dyDescent="0.2">
      <c r="A4130" s="9">
        <v>46258</v>
      </c>
      <c r="B4130" t="s">
        <v>73</v>
      </c>
      <c r="C4130" t="s">
        <v>74</v>
      </c>
      <c r="D4130" t="s">
        <v>75</v>
      </c>
      <c r="E4130" t="s">
        <v>655</v>
      </c>
      <c r="F4130" t="s">
        <v>656</v>
      </c>
      <c r="G4130" s="10">
        <v>106</v>
      </c>
      <c r="H4130" s="10">
        <v>2776</v>
      </c>
      <c r="I4130" s="10">
        <v>294256</v>
      </c>
      <c r="J4130" t="s">
        <v>42</v>
      </c>
      <c r="K4130" s="11">
        <v>3145.8</v>
      </c>
      <c r="L4130" s="12">
        <v>93.54</v>
      </c>
    </row>
    <row r="4131" spans="1:12" x14ac:dyDescent="0.2">
      <c r="A4131" s="9">
        <v>46258</v>
      </c>
      <c r="B4131" t="s">
        <v>77</v>
      </c>
      <c r="C4131" t="s">
        <v>78</v>
      </c>
      <c r="D4131" t="s">
        <v>50</v>
      </c>
      <c r="E4131" t="s">
        <v>649</v>
      </c>
      <c r="F4131" t="s">
        <v>663</v>
      </c>
      <c r="G4131" s="10">
        <v>12</v>
      </c>
      <c r="H4131" s="10">
        <v>2085</v>
      </c>
      <c r="I4131" s="10">
        <v>25020</v>
      </c>
      <c r="J4131" t="s">
        <v>51</v>
      </c>
      <c r="K4131" s="11">
        <v>648.20000000000005</v>
      </c>
      <c r="L4131" s="12">
        <v>38.6</v>
      </c>
    </row>
    <row r="4132" spans="1:12" x14ac:dyDescent="0.2">
      <c r="A4132" s="9">
        <v>46258</v>
      </c>
      <c r="B4132" t="s">
        <v>77</v>
      </c>
      <c r="C4132" t="s">
        <v>78</v>
      </c>
      <c r="D4132" t="s">
        <v>50</v>
      </c>
      <c r="E4132" t="s">
        <v>647</v>
      </c>
      <c r="F4132" t="s">
        <v>667</v>
      </c>
      <c r="G4132" s="10">
        <v>12</v>
      </c>
      <c r="H4132" s="10">
        <v>7278</v>
      </c>
      <c r="I4132" s="10">
        <v>87336</v>
      </c>
      <c r="J4132" t="s">
        <v>51</v>
      </c>
      <c r="K4132" s="11">
        <v>648.20000000000005</v>
      </c>
      <c r="L4132" s="12">
        <v>134.74</v>
      </c>
    </row>
    <row r="4133" spans="1:12" x14ac:dyDescent="0.2">
      <c r="A4133" s="9">
        <v>46258</v>
      </c>
      <c r="B4133" t="s">
        <v>80</v>
      </c>
      <c r="C4133" t="s">
        <v>81</v>
      </c>
      <c r="D4133" t="s">
        <v>46</v>
      </c>
      <c r="E4133" t="s">
        <v>660</v>
      </c>
      <c r="F4133" t="s">
        <v>661</v>
      </c>
      <c r="G4133" s="10">
        <v>6</v>
      </c>
      <c r="H4133" s="10">
        <v>4237</v>
      </c>
      <c r="I4133" s="10">
        <v>25422</v>
      </c>
      <c r="J4133" t="s">
        <v>37</v>
      </c>
      <c r="K4133" s="11">
        <v>648.20000000000005</v>
      </c>
      <c r="L4133" s="12">
        <v>39.22</v>
      </c>
    </row>
    <row r="4134" spans="1:12" x14ac:dyDescent="0.2">
      <c r="A4134" s="9">
        <v>46258</v>
      </c>
      <c r="B4134" t="s">
        <v>86</v>
      </c>
      <c r="C4134" t="s">
        <v>87</v>
      </c>
      <c r="D4134" t="s">
        <v>50</v>
      </c>
      <c r="E4134" t="s">
        <v>649</v>
      </c>
      <c r="F4134" t="s">
        <v>659</v>
      </c>
      <c r="G4134" s="10">
        <v>35</v>
      </c>
      <c r="H4134" s="10">
        <v>8774</v>
      </c>
      <c r="I4134" s="10">
        <v>307090</v>
      </c>
      <c r="J4134" t="s">
        <v>51</v>
      </c>
      <c r="K4134" s="11">
        <v>648.20000000000005</v>
      </c>
      <c r="L4134" s="12">
        <v>473.76</v>
      </c>
    </row>
    <row r="4135" spans="1:12" x14ac:dyDescent="0.2">
      <c r="A4135" s="9">
        <v>46258</v>
      </c>
      <c r="B4135" t="s">
        <v>102</v>
      </c>
      <c r="C4135" t="s">
        <v>103</v>
      </c>
      <c r="D4135" t="s">
        <v>41</v>
      </c>
      <c r="E4135" t="s">
        <v>649</v>
      </c>
      <c r="F4135" t="s">
        <v>650</v>
      </c>
      <c r="G4135" s="10">
        <v>5</v>
      </c>
      <c r="H4135" s="10">
        <v>90633</v>
      </c>
      <c r="I4135" s="10">
        <v>453165</v>
      </c>
      <c r="J4135" t="s">
        <v>42</v>
      </c>
      <c r="K4135" s="11">
        <v>3145.8</v>
      </c>
      <c r="L4135" s="12">
        <v>144.05000000000001</v>
      </c>
    </row>
    <row r="4136" spans="1:12" x14ac:dyDescent="0.2">
      <c r="A4136" s="9">
        <v>46258</v>
      </c>
      <c r="B4136" t="s">
        <v>105</v>
      </c>
      <c r="C4136" t="s">
        <v>106</v>
      </c>
      <c r="D4136" t="s">
        <v>41</v>
      </c>
      <c r="E4136" t="s">
        <v>660</v>
      </c>
      <c r="F4136" t="s">
        <v>669</v>
      </c>
      <c r="G4136" s="10">
        <v>1</v>
      </c>
      <c r="H4136" s="10">
        <v>12343</v>
      </c>
      <c r="I4136" s="10">
        <v>12343</v>
      </c>
      <c r="J4136" t="s">
        <v>42</v>
      </c>
      <c r="K4136" s="11">
        <v>3145.8</v>
      </c>
      <c r="L4136" s="12">
        <v>3.92</v>
      </c>
    </row>
    <row r="4137" spans="1:12" x14ac:dyDescent="0.2">
      <c r="A4137" s="9">
        <v>46258</v>
      </c>
      <c r="B4137" t="s">
        <v>111</v>
      </c>
      <c r="C4137" t="s">
        <v>112</v>
      </c>
      <c r="D4137" t="s">
        <v>41</v>
      </c>
      <c r="E4137" t="s">
        <v>649</v>
      </c>
      <c r="F4137" t="s">
        <v>659</v>
      </c>
      <c r="G4137" s="10">
        <v>9</v>
      </c>
      <c r="H4137" s="10">
        <v>43478</v>
      </c>
      <c r="I4137" s="10">
        <v>391302</v>
      </c>
      <c r="J4137" t="s">
        <v>42</v>
      </c>
      <c r="K4137" s="11">
        <v>3145.8</v>
      </c>
      <c r="L4137" s="12">
        <v>124.39</v>
      </c>
    </row>
    <row r="4138" spans="1:12" x14ac:dyDescent="0.2">
      <c r="A4138" s="9">
        <v>46258</v>
      </c>
      <c r="B4138" t="s">
        <v>111</v>
      </c>
      <c r="C4138" t="s">
        <v>112</v>
      </c>
      <c r="D4138" t="s">
        <v>41</v>
      </c>
      <c r="E4138" t="s">
        <v>647</v>
      </c>
      <c r="F4138" t="s">
        <v>648</v>
      </c>
      <c r="G4138" s="10">
        <v>4</v>
      </c>
      <c r="H4138" s="10">
        <v>76794</v>
      </c>
      <c r="I4138" s="10">
        <v>307176</v>
      </c>
      <c r="J4138" t="s">
        <v>42</v>
      </c>
      <c r="K4138" s="11">
        <v>3145.8</v>
      </c>
      <c r="L4138" s="12">
        <v>97.65</v>
      </c>
    </row>
    <row r="4139" spans="1:12" x14ac:dyDescent="0.2">
      <c r="A4139" s="9">
        <v>46258</v>
      </c>
      <c r="B4139" t="s">
        <v>115</v>
      </c>
      <c r="C4139" t="s">
        <v>116</v>
      </c>
      <c r="D4139" t="s">
        <v>41</v>
      </c>
      <c r="E4139" t="s">
        <v>649</v>
      </c>
      <c r="F4139" t="s">
        <v>663</v>
      </c>
      <c r="G4139" s="10">
        <v>82</v>
      </c>
      <c r="H4139" s="10">
        <v>9737</v>
      </c>
      <c r="I4139" s="10">
        <v>798434</v>
      </c>
      <c r="J4139" t="s">
        <v>42</v>
      </c>
      <c r="K4139" s="11">
        <v>3145.8</v>
      </c>
      <c r="L4139" s="12">
        <v>253.81</v>
      </c>
    </row>
    <row r="4140" spans="1:12" x14ac:dyDescent="0.2">
      <c r="A4140" s="9">
        <v>46258</v>
      </c>
      <c r="B4140" t="s">
        <v>118</v>
      </c>
      <c r="C4140" t="s">
        <v>119</v>
      </c>
      <c r="D4140" t="s">
        <v>36</v>
      </c>
      <c r="E4140" t="s">
        <v>649</v>
      </c>
      <c r="F4140" t="s">
        <v>650</v>
      </c>
      <c r="G4140" s="10">
        <v>6</v>
      </c>
      <c r="H4140" s="10">
        <v>18982</v>
      </c>
      <c r="I4140" s="10">
        <v>113892</v>
      </c>
      <c r="J4140" t="s">
        <v>37</v>
      </c>
      <c r="K4140" s="11">
        <v>648.20000000000005</v>
      </c>
      <c r="L4140" s="12">
        <v>175.71</v>
      </c>
    </row>
    <row r="4141" spans="1:12" x14ac:dyDescent="0.2">
      <c r="A4141" s="9">
        <v>46258</v>
      </c>
      <c r="B4141" t="s">
        <v>118</v>
      </c>
      <c r="C4141" t="s">
        <v>119</v>
      </c>
      <c r="D4141" t="s">
        <v>36</v>
      </c>
      <c r="E4141" t="s">
        <v>651</v>
      </c>
      <c r="F4141" t="s">
        <v>657</v>
      </c>
      <c r="G4141" s="10">
        <v>17</v>
      </c>
      <c r="H4141" s="10">
        <v>6205</v>
      </c>
      <c r="I4141" s="10">
        <v>105485</v>
      </c>
      <c r="J4141" t="s">
        <v>37</v>
      </c>
      <c r="K4141" s="11">
        <v>648.20000000000005</v>
      </c>
      <c r="L4141" s="12">
        <v>162.74</v>
      </c>
    </row>
    <row r="4142" spans="1:12" x14ac:dyDescent="0.2">
      <c r="A4142" s="9">
        <v>46258</v>
      </c>
      <c r="B4142" t="s">
        <v>130</v>
      </c>
      <c r="C4142" t="s">
        <v>131</v>
      </c>
      <c r="D4142" t="s">
        <v>46</v>
      </c>
      <c r="E4142" t="s">
        <v>649</v>
      </c>
      <c r="F4142" t="s">
        <v>650</v>
      </c>
      <c r="G4142" s="10">
        <v>6</v>
      </c>
      <c r="H4142" s="10">
        <v>19589</v>
      </c>
      <c r="I4142" s="10">
        <v>117534</v>
      </c>
      <c r="J4142" t="s">
        <v>37</v>
      </c>
      <c r="K4142" s="11">
        <v>648.20000000000005</v>
      </c>
      <c r="L4142" s="12">
        <v>181.32</v>
      </c>
    </row>
    <row r="4143" spans="1:12" x14ac:dyDescent="0.2">
      <c r="A4143" s="9">
        <v>46258</v>
      </c>
      <c r="B4143" t="s">
        <v>136</v>
      </c>
      <c r="C4143" t="s">
        <v>137</v>
      </c>
      <c r="D4143" t="s">
        <v>41</v>
      </c>
      <c r="E4143" t="s">
        <v>653</v>
      </c>
      <c r="F4143" t="s">
        <v>658</v>
      </c>
      <c r="G4143" s="10">
        <v>3</v>
      </c>
      <c r="H4143" s="10">
        <v>13556</v>
      </c>
      <c r="I4143" s="10">
        <v>40668</v>
      </c>
      <c r="J4143" t="s">
        <v>42</v>
      </c>
      <c r="K4143" s="11">
        <v>3145.8</v>
      </c>
      <c r="L4143" s="12">
        <v>12.93</v>
      </c>
    </row>
    <row r="4144" spans="1:12" x14ac:dyDescent="0.2">
      <c r="A4144" s="9">
        <v>46258</v>
      </c>
      <c r="B4144" t="s">
        <v>142</v>
      </c>
      <c r="C4144" t="s">
        <v>143</v>
      </c>
      <c r="D4144" t="s">
        <v>75</v>
      </c>
      <c r="E4144" t="s">
        <v>655</v>
      </c>
      <c r="F4144" t="s">
        <v>662</v>
      </c>
      <c r="G4144" s="10">
        <v>16</v>
      </c>
      <c r="H4144" s="10">
        <v>5286</v>
      </c>
      <c r="I4144" s="10">
        <v>84576</v>
      </c>
      <c r="J4144" t="s">
        <v>42</v>
      </c>
      <c r="K4144" s="11">
        <v>3145.8</v>
      </c>
      <c r="L4144" s="12">
        <v>26.89</v>
      </c>
    </row>
    <row r="4145" spans="1:12" x14ac:dyDescent="0.2">
      <c r="A4145" s="9">
        <v>46258</v>
      </c>
      <c r="B4145" t="s">
        <v>142</v>
      </c>
      <c r="C4145" t="s">
        <v>143</v>
      </c>
      <c r="D4145" t="s">
        <v>75</v>
      </c>
      <c r="E4145" t="s">
        <v>647</v>
      </c>
      <c r="F4145" t="s">
        <v>668</v>
      </c>
      <c r="G4145" s="10">
        <v>2</v>
      </c>
      <c r="H4145" s="10">
        <v>118768</v>
      </c>
      <c r="I4145" s="10">
        <v>237536</v>
      </c>
      <c r="J4145" t="s">
        <v>42</v>
      </c>
      <c r="K4145" s="11">
        <v>3145.8</v>
      </c>
      <c r="L4145" s="12">
        <v>75.510000000000005</v>
      </c>
    </row>
    <row r="4146" spans="1:12" x14ac:dyDescent="0.2">
      <c r="A4146" s="9">
        <v>46258</v>
      </c>
      <c r="B4146" t="s">
        <v>158</v>
      </c>
      <c r="C4146" t="s">
        <v>159</v>
      </c>
      <c r="D4146" t="s">
        <v>41</v>
      </c>
      <c r="E4146" t="s">
        <v>660</v>
      </c>
      <c r="F4146" t="s">
        <v>661</v>
      </c>
      <c r="G4146" s="10">
        <v>20</v>
      </c>
      <c r="H4146" s="10">
        <v>20459</v>
      </c>
      <c r="I4146" s="10">
        <v>409180</v>
      </c>
      <c r="J4146" t="s">
        <v>42</v>
      </c>
      <c r="K4146" s="11">
        <v>3145.8</v>
      </c>
      <c r="L4146" s="12">
        <v>130.07</v>
      </c>
    </row>
    <row r="4147" spans="1:12" x14ac:dyDescent="0.2">
      <c r="A4147" s="9">
        <v>46258</v>
      </c>
      <c r="B4147" t="s">
        <v>158</v>
      </c>
      <c r="C4147" t="s">
        <v>159</v>
      </c>
      <c r="D4147" t="s">
        <v>41</v>
      </c>
      <c r="E4147" t="s">
        <v>653</v>
      </c>
      <c r="F4147" t="s">
        <v>654</v>
      </c>
      <c r="G4147" s="10">
        <v>63</v>
      </c>
      <c r="H4147" s="10">
        <v>28126</v>
      </c>
      <c r="I4147" s="10">
        <v>1771938</v>
      </c>
      <c r="J4147" t="s">
        <v>42</v>
      </c>
      <c r="K4147" s="11">
        <v>3145.8</v>
      </c>
      <c r="L4147" s="12">
        <v>563.27</v>
      </c>
    </row>
    <row r="4148" spans="1:12" x14ac:dyDescent="0.2">
      <c r="A4148" s="9">
        <v>46258</v>
      </c>
      <c r="B4148" t="s">
        <v>158</v>
      </c>
      <c r="C4148" t="s">
        <v>159</v>
      </c>
      <c r="D4148" t="s">
        <v>41</v>
      </c>
      <c r="E4148" t="s">
        <v>647</v>
      </c>
      <c r="F4148" t="s">
        <v>648</v>
      </c>
      <c r="G4148" s="10">
        <v>13</v>
      </c>
      <c r="H4148" s="10">
        <v>76197</v>
      </c>
      <c r="I4148" s="10">
        <v>990561</v>
      </c>
      <c r="J4148" t="s">
        <v>42</v>
      </c>
      <c r="K4148" s="11">
        <v>3145.8</v>
      </c>
      <c r="L4148" s="12">
        <v>314.88</v>
      </c>
    </row>
    <row r="4149" spans="1:12" x14ac:dyDescent="0.2">
      <c r="A4149" s="9">
        <v>46258</v>
      </c>
      <c r="B4149" t="s">
        <v>158</v>
      </c>
      <c r="C4149" t="s">
        <v>159</v>
      </c>
      <c r="D4149" t="s">
        <v>41</v>
      </c>
      <c r="E4149" t="s">
        <v>655</v>
      </c>
      <c r="F4149" t="s">
        <v>656</v>
      </c>
      <c r="G4149" s="10">
        <v>96</v>
      </c>
      <c r="H4149" s="10">
        <v>2697</v>
      </c>
      <c r="I4149" s="10">
        <v>258912</v>
      </c>
      <c r="J4149" t="s">
        <v>42</v>
      </c>
      <c r="K4149" s="11">
        <v>3145.8</v>
      </c>
      <c r="L4149" s="12">
        <v>82.3</v>
      </c>
    </row>
    <row r="4150" spans="1:12" x14ac:dyDescent="0.2">
      <c r="A4150" s="9">
        <v>46258</v>
      </c>
      <c r="B4150" t="s">
        <v>161</v>
      </c>
      <c r="C4150" t="s">
        <v>67</v>
      </c>
      <c r="D4150" t="s">
        <v>41</v>
      </c>
      <c r="E4150" t="s">
        <v>655</v>
      </c>
      <c r="F4150" t="s">
        <v>656</v>
      </c>
      <c r="G4150" s="10">
        <v>14</v>
      </c>
      <c r="H4150" s="10">
        <v>2767</v>
      </c>
      <c r="I4150" s="10">
        <v>38738</v>
      </c>
      <c r="J4150" t="s">
        <v>42</v>
      </c>
      <c r="K4150" s="11">
        <v>3145.8</v>
      </c>
      <c r="L4150" s="12">
        <v>12.31</v>
      </c>
    </row>
    <row r="4151" spans="1:12" x14ac:dyDescent="0.2">
      <c r="A4151" s="9">
        <v>46258</v>
      </c>
      <c r="B4151" t="s">
        <v>166</v>
      </c>
      <c r="C4151" t="s">
        <v>167</v>
      </c>
      <c r="D4151" t="s">
        <v>46</v>
      </c>
      <c r="E4151" t="s">
        <v>647</v>
      </c>
      <c r="F4151" t="s">
        <v>648</v>
      </c>
      <c r="G4151" s="10">
        <v>1</v>
      </c>
      <c r="H4151" s="10">
        <v>16529</v>
      </c>
      <c r="I4151" s="10">
        <v>16529</v>
      </c>
      <c r="J4151" t="s">
        <v>37</v>
      </c>
      <c r="K4151" s="11">
        <v>648.20000000000005</v>
      </c>
      <c r="L4151" s="12">
        <v>25.5</v>
      </c>
    </row>
    <row r="4152" spans="1:12" x14ac:dyDescent="0.2">
      <c r="A4152" s="9">
        <v>46258</v>
      </c>
      <c r="B4152" t="s">
        <v>169</v>
      </c>
      <c r="C4152" t="s">
        <v>170</v>
      </c>
      <c r="D4152" t="s">
        <v>41</v>
      </c>
      <c r="E4152" t="s">
        <v>655</v>
      </c>
      <c r="F4152" t="s">
        <v>662</v>
      </c>
      <c r="G4152" s="10">
        <v>21</v>
      </c>
      <c r="H4152" s="10">
        <v>5379</v>
      </c>
      <c r="I4152" s="10">
        <v>112959</v>
      </c>
      <c r="J4152" t="s">
        <v>42</v>
      </c>
      <c r="K4152" s="11">
        <v>3145.8</v>
      </c>
      <c r="L4152" s="12">
        <v>35.909999999999997</v>
      </c>
    </row>
    <row r="4153" spans="1:12" x14ac:dyDescent="0.2">
      <c r="A4153" s="9">
        <v>46258</v>
      </c>
      <c r="B4153" t="s">
        <v>169</v>
      </c>
      <c r="C4153" t="s">
        <v>170</v>
      </c>
      <c r="D4153" t="s">
        <v>41</v>
      </c>
      <c r="E4153" t="s">
        <v>653</v>
      </c>
      <c r="F4153" t="s">
        <v>654</v>
      </c>
      <c r="G4153" s="10">
        <v>14</v>
      </c>
      <c r="H4153" s="10">
        <v>27376</v>
      </c>
      <c r="I4153" s="10">
        <v>383264</v>
      </c>
      <c r="J4153" t="s">
        <v>42</v>
      </c>
      <c r="K4153" s="11">
        <v>3145.8</v>
      </c>
      <c r="L4153" s="12">
        <v>121.83</v>
      </c>
    </row>
    <row r="4154" spans="1:12" x14ac:dyDescent="0.2">
      <c r="A4154" s="9">
        <v>46258</v>
      </c>
      <c r="B4154" t="s">
        <v>169</v>
      </c>
      <c r="C4154" t="s">
        <v>170</v>
      </c>
      <c r="D4154" t="s">
        <v>41</v>
      </c>
      <c r="E4154" t="s">
        <v>647</v>
      </c>
      <c r="F4154" t="s">
        <v>668</v>
      </c>
      <c r="G4154" s="10">
        <v>8</v>
      </c>
      <c r="H4154" s="10">
        <v>118749</v>
      </c>
      <c r="I4154" s="10">
        <v>949992</v>
      </c>
      <c r="J4154" t="s">
        <v>42</v>
      </c>
      <c r="K4154" s="11">
        <v>3145.8</v>
      </c>
      <c r="L4154" s="12">
        <v>301.99</v>
      </c>
    </row>
    <row r="4155" spans="1:12" x14ac:dyDescent="0.2">
      <c r="A4155" s="9">
        <v>46258</v>
      </c>
      <c r="B4155" t="s">
        <v>175</v>
      </c>
      <c r="C4155" t="s">
        <v>176</v>
      </c>
      <c r="D4155" t="s">
        <v>50</v>
      </c>
      <c r="E4155" t="s">
        <v>651</v>
      </c>
      <c r="F4155" t="s">
        <v>652</v>
      </c>
      <c r="G4155" s="10">
        <v>12</v>
      </c>
      <c r="H4155" s="10">
        <v>9432</v>
      </c>
      <c r="I4155" s="10">
        <v>113184</v>
      </c>
      <c r="J4155" t="s">
        <v>51</v>
      </c>
      <c r="K4155" s="11">
        <v>648.20000000000005</v>
      </c>
      <c r="L4155" s="12">
        <v>174.61</v>
      </c>
    </row>
    <row r="4156" spans="1:12" x14ac:dyDescent="0.2">
      <c r="A4156" s="9">
        <v>46258</v>
      </c>
      <c r="B4156" t="s">
        <v>178</v>
      </c>
      <c r="C4156" t="s">
        <v>179</v>
      </c>
      <c r="D4156" t="s">
        <v>50</v>
      </c>
      <c r="E4156" t="s">
        <v>653</v>
      </c>
      <c r="F4156" t="s">
        <v>654</v>
      </c>
      <c r="G4156" s="10">
        <v>3</v>
      </c>
      <c r="H4156" s="10">
        <v>5789</v>
      </c>
      <c r="I4156" s="10">
        <v>17367</v>
      </c>
      <c r="J4156" t="s">
        <v>51</v>
      </c>
      <c r="K4156" s="11">
        <v>648.20000000000005</v>
      </c>
      <c r="L4156" s="12">
        <v>26.79</v>
      </c>
    </row>
    <row r="4157" spans="1:12" x14ac:dyDescent="0.2">
      <c r="A4157" s="9">
        <v>46258</v>
      </c>
      <c r="B4157" t="s">
        <v>181</v>
      </c>
      <c r="C4157" t="s">
        <v>182</v>
      </c>
      <c r="D4157" t="s">
        <v>41</v>
      </c>
      <c r="E4157" t="s">
        <v>653</v>
      </c>
      <c r="F4157" t="s">
        <v>654</v>
      </c>
      <c r="G4157" s="10">
        <v>6</v>
      </c>
      <c r="H4157" s="10">
        <v>26652</v>
      </c>
      <c r="I4157" s="10">
        <v>159912</v>
      </c>
      <c r="J4157" t="s">
        <v>42</v>
      </c>
      <c r="K4157" s="11">
        <v>3145.8</v>
      </c>
      <c r="L4157" s="12">
        <v>50.83</v>
      </c>
    </row>
    <row r="4158" spans="1:12" x14ac:dyDescent="0.2">
      <c r="A4158" s="9">
        <v>46258</v>
      </c>
      <c r="B4158" t="s">
        <v>181</v>
      </c>
      <c r="C4158" t="s">
        <v>182</v>
      </c>
      <c r="D4158" t="s">
        <v>41</v>
      </c>
      <c r="E4158" t="s">
        <v>647</v>
      </c>
      <c r="F4158" t="s">
        <v>648</v>
      </c>
      <c r="G4158" s="10">
        <v>6</v>
      </c>
      <c r="H4158" s="10">
        <v>78654</v>
      </c>
      <c r="I4158" s="10">
        <v>471924</v>
      </c>
      <c r="J4158" t="s">
        <v>42</v>
      </c>
      <c r="K4158" s="11">
        <v>3145.8</v>
      </c>
      <c r="L4158" s="12">
        <v>150.02000000000001</v>
      </c>
    </row>
    <row r="4159" spans="1:12" x14ac:dyDescent="0.2">
      <c r="A4159" s="9">
        <v>46258</v>
      </c>
      <c r="B4159" t="s">
        <v>187</v>
      </c>
      <c r="C4159" t="s">
        <v>188</v>
      </c>
      <c r="D4159" t="s">
        <v>75</v>
      </c>
      <c r="E4159" t="s">
        <v>655</v>
      </c>
      <c r="F4159" t="s">
        <v>662</v>
      </c>
      <c r="G4159" s="10">
        <v>15</v>
      </c>
      <c r="H4159" s="10">
        <v>5607</v>
      </c>
      <c r="I4159" s="10">
        <v>84105</v>
      </c>
      <c r="J4159" t="s">
        <v>42</v>
      </c>
      <c r="K4159" s="11">
        <v>3145.8</v>
      </c>
      <c r="L4159" s="12">
        <v>26.74</v>
      </c>
    </row>
    <row r="4160" spans="1:12" x14ac:dyDescent="0.2">
      <c r="A4160" s="9">
        <v>46258</v>
      </c>
      <c r="B4160" t="s">
        <v>187</v>
      </c>
      <c r="C4160" t="s">
        <v>188</v>
      </c>
      <c r="D4160" t="s">
        <v>75</v>
      </c>
      <c r="E4160" t="s">
        <v>655</v>
      </c>
      <c r="F4160" t="s">
        <v>656</v>
      </c>
      <c r="G4160" s="10">
        <v>13</v>
      </c>
      <c r="H4160" s="10">
        <v>2797</v>
      </c>
      <c r="I4160" s="10">
        <v>36361</v>
      </c>
      <c r="J4160" t="s">
        <v>42</v>
      </c>
      <c r="K4160" s="11">
        <v>3145.8</v>
      </c>
      <c r="L4160" s="12">
        <v>11.56</v>
      </c>
    </row>
    <row r="4161" spans="1:12" x14ac:dyDescent="0.2">
      <c r="A4161" s="9">
        <v>46258</v>
      </c>
      <c r="B4161" t="s">
        <v>187</v>
      </c>
      <c r="C4161" t="s">
        <v>188</v>
      </c>
      <c r="D4161" t="s">
        <v>75</v>
      </c>
      <c r="E4161" t="s">
        <v>655</v>
      </c>
      <c r="F4161" t="s">
        <v>665</v>
      </c>
      <c r="G4161" s="10">
        <v>4</v>
      </c>
      <c r="H4161" s="10">
        <v>3263</v>
      </c>
      <c r="I4161" s="10">
        <v>13052</v>
      </c>
      <c r="J4161" t="s">
        <v>42</v>
      </c>
      <c r="K4161" s="11">
        <v>3145.8</v>
      </c>
      <c r="L4161" s="12">
        <v>4.1500000000000004</v>
      </c>
    </row>
    <row r="4162" spans="1:12" x14ac:dyDescent="0.2">
      <c r="A4162" s="9">
        <v>46258</v>
      </c>
      <c r="B4162" t="s">
        <v>190</v>
      </c>
      <c r="C4162" t="s">
        <v>191</v>
      </c>
      <c r="D4162" t="s">
        <v>68</v>
      </c>
      <c r="E4162" t="s">
        <v>660</v>
      </c>
      <c r="F4162" t="s">
        <v>670</v>
      </c>
      <c r="G4162" s="10">
        <v>8</v>
      </c>
      <c r="H4162" s="10">
        <v>14776</v>
      </c>
      <c r="I4162" s="10">
        <v>118208</v>
      </c>
      <c r="J4162" t="s">
        <v>51</v>
      </c>
      <c r="K4162" s="11">
        <v>648.20000000000005</v>
      </c>
      <c r="L4162" s="12">
        <v>182.36</v>
      </c>
    </row>
    <row r="4163" spans="1:12" x14ac:dyDescent="0.2">
      <c r="A4163" s="9">
        <v>46258</v>
      </c>
      <c r="B4163" t="s">
        <v>196</v>
      </c>
      <c r="C4163" t="s">
        <v>197</v>
      </c>
      <c r="D4163" t="s">
        <v>46</v>
      </c>
      <c r="E4163" t="s">
        <v>649</v>
      </c>
      <c r="F4163" t="s">
        <v>659</v>
      </c>
      <c r="G4163" s="10">
        <v>24</v>
      </c>
      <c r="H4163" s="10">
        <v>8837</v>
      </c>
      <c r="I4163" s="10">
        <v>212088</v>
      </c>
      <c r="J4163" t="s">
        <v>37</v>
      </c>
      <c r="K4163" s="11">
        <v>648.20000000000005</v>
      </c>
      <c r="L4163" s="12">
        <v>327.2</v>
      </c>
    </row>
    <row r="4164" spans="1:12" x14ac:dyDescent="0.2">
      <c r="A4164" s="9">
        <v>46258</v>
      </c>
      <c r="B4164" t="s">
        <v>196</v>
      </c>
      <c r="C4164" t="s">
        <v>197</v>
      </c>
      <c r="D4164" t="s">
        <v>46</v>
      </c>
      <c r="E4164" t="s">
        <v>653</v>
      </c>
      <c r="F4164" t="s">
        <v>654</v>
      </c>
      <c r="G4164" s="10">
        <v>8</v>
      </c>
      <c r="H4164" s="10">
        <v>5754</v>
      </c>
      <c r="I4164" s="10">
        <v>46032</v>
      </c>
      <c r="J4164" t="s">
        <v>37</v>
      </c>
      <c r="K4164" s="11">
        <v>648.20000000000005</v>
      </c>
      <c r="L4164" s="12">
        <v>71.02</v>
      </c>
    </row>
    <row r="4165" spans="1:12" x14ac:dyDescent="0.2">
      <c r="A4165" s="9">
        <v>46258</v>
      </c>
      <c r="B4165" t="s">
        <v>199</v>
      </c>
      <c r="C4165" t="s">
        <v>200</v>
      </c>
      <c r="D4165" t="s">
        <v>46</v>
      </c>
      <c r="E4165" t="s">
        <v>653</v>
      </c>
      <c r="F4165" t="s">
        <v>658</v>
      </c>
      <c r="G4165" s="10">
        <v>31</v>
      </c>
      <c r="H4165" s="10">
        <v>2716</v>
      </c>
      <c r="I4165" s="10">
        <v>84196</v>
      </c>
      <c r="J4165" t="s">
        <v>37</v>
      </c>
      <c r="K4165" s="11">
        <v>648.20000000000005</v>
      </c>
      <c r="L4165" s="12">
        <v>129.88999999999999</v>
      </c>
    </row>
    <row r="4166" spans="1:12" x14ac:dyDescent="0.2">
      <c r="A4166" s="9">
        <v>46258</v>
      </c>
      <c r="B4166" t="s">
        <v>199</v>
      </c>
      <c r="C4166" t="s">
        <v>200</v>
      </c>
      <c r="D4166" t="s">
        <v>46</v>
      </c>
      <c r="E4166" t="s">
        <v>649</v>
      </c>
      <c r="F4166" t="s">
        <v>663</v>
      </c>
      <c r="G4166" s="10">
        <v>33</v>
      </c>
      <c r="H4166" s="10">
        <v>2049</v>
      </c>
      <c r="I4166" s="10">
        <v>67617</v>
      </c>
      <c r="J4166" t="s">
        <v>37</v>
      </c>
      <c r="K4166" s="11">
        <v>648.20000000000005</v>
      </c>
      <c r="L4166" s="12">
        <v>104.32</v>
      </c>
    </row>
    <row r="4167" spans="1:12" x14ac:dyDescent="0.2">
      <c r="A4167" s="9">
        <v>46258</v>
      </c>
      <c r="B4167" t="s">
        <v>199</v>
      </c>
      <c r="C4167" t="s">
        <v>200</v>
      </c>
      <c r="D4167" t="s">
        <v>46</v>
      </c>
      <c r="E4167" t="s">
        <v>647</v>
      </c>
      <c r="F4167" t="s">
        <v>667</v>
      </c>
      <c r="G4167" s="10">
        <v>89</v>
      </c>
      <c r="H4167" s="10">
        <v>7531</v>
      </c>
      <c r="I4167" s="10">
        <v>670259</v>
      </c>
      <c r="J4167" t="s">
        <v>37</v>
      </c>
      <c r="K4167" s="11">
        <v>648.20000000000005</v>
      </c>
      <c r="L4167" s="12">
        <v>1034.03</v>
      </c>
    </row>
    <row r="4168" spans="1:12" x14ac:dyDescent="0.2">
      <c r="A4168" s="9">
        <v>46258</v>
      </c>
      <c r="B4168" t="s">
        <v>208</v>
      </c>
      <c r="C4168" t="s">
        <v>209</v>
      </c>
      <c r="D4168" t="s">
        <v>46</v>
      </c>
      <c r="E4168" t="s">
        <v>647</v>
      </c>
      <c r="F4168" t="s">
        <v>648</v>
      </c>
      <c r="G4168" s="10">
        <v>3</v>
      </c>
      <c r="H4168" s="10">
        <v>16757</v>
      </c>
      <c r="I4168" s="10">
        <v>50271</v>
      </c>
      <c r="J4168" t="s">
        <v>37</v>
      </c>
      <c r="K4168" s="11">
        <v>648.20000000000005</v>
      </c>
      <c r="L4168" s="12">
        <v>77.55</v>
      </c>
    </row>
    <row r="4169" spans="1:12" x14ac:dyDescent="0.2">
      <c r="A4169" s="9">
        <v>46258</v>
      </c>
      <c r="B4169" t="s">
        <v>211</v>
      </c>
      <c r="C4169" t="s">
        <v>212</v>
      </c>
      <c r="D4169" t="s">
        <v>46</v>
      </c>
      <c r="E4169" t="s">
        <v>660</v>
      </c>
      <c r="F4169" t="s">
        <v>669</v>
      </c>
      <c r="G4169" s="10">
        <v>7</v>
      </c>
      <c r="H4169" s="10">
        <v>2595</v>
      </c>
      <c r="I4169" s="10">
        <v>18165</v>
      </c>
      <c r="J4169" t="s">
        <v>37</v>
      </c>
      <c r="K4169" s="11">
        <v>648.20000000000005</v>
      </c>
      <c r="L4169" s="12">
        <v>28.02</v>
      </c>
    </row>
    <row r="4170" spans="1:12" x14ac:dyDescent="0.2">
      <c r="A4170" s="9">
        <v>46258</v>
      </c>
      <c r="B4170" t="s">
        <v>211</v>
      </c>
      <c r="C4170" t="s">
        <v>212</v>
      </c>
      <c r="D4170" t="s">
        <v>46</v>
      </c>
      <c r="E4170" t="s">
        <v>660</v>
      </c>
      <c r="F4170" t="s">
        <v>661</v>
      </c>
      <c r="G4170" s="10">
        <v>7</v>
      </c>
      <c r="H4170" s="10">
        <v>4267</v>
      </c>
      <c r="I4170" s="10">
        <v>29869</v>
      </c>
      <c r="J4170" t="s">
        <v>37</v>
      </c>
      <c r="K4170" s="11">
        <v>648.20000000000005</v>
      </c>
      <c r="L4170" s="12">
        <v>46.08</v>
      </c>
    </row>
    <row r="4171" spans="1:12" x14ac:dyDescent="0.2">
      <c r="A4171" s="9">
        <v>46258</v>
      </c>
      <c r="B4171" t="s">
        <v>220</v>
      </c>
      <c r="C4171" t="s">
        <v>221</v>
      </c>
      <c r="D4171" t="s">
        <v>46</v>
      </c>
      <c r="E4171" t="s">
        <v>655</v>
      </c>
      <c r="F4171" t="s">
        <v>662</v>
      </c>
      <c r="G4171" s="10">
        <v>6</v>
      </c>
      <c r="H4171" s="10">
        <v>1099</v>
      </c>
      <c r="I4171" s="10">
        <v>6594</v>
      </c>
      <c r="J4171" t="s">
        <v>37</v>
      </c>
      <c r="K4171" s="11">
        <v>648.20000000000005</v>
      </c>
      <c r="L4171" s="12">
        <v>10.17</v>
      </c>
    </row>
    <row r="4172" spans="1:12" x14ac:dyDescent="0.2">
      <c r="A4172" s="9">
        <v>46258</v>
      </c>
      <c r="B4172" t="s">
        <v>220</v>
      </c>
      <c r="C4172" t="s">
        <v>221</v>
      </c>
      <c r="D4172" t="s">
        <v>46</v>
      </c>
      <c r="E4172" t="s">
        <v>660</v>
      </c>
      <c r="F4172" t="s">
        <v>670</v>
      </c>
      <c r="G4172" s="10">
        <v>14</v>
      </c>
      <c r="H4172" s="10">
        <v>14173</v>
      </c>
      <c r="I4172" s="10">
        <v>198422</v>
      </c>
      <c r="J4172" t="s">
        <v>37</v>
      </c>
      <c r="K4172" s="11">
        <v>648.20000000000005</v>
      </c>
      <c r="L4172" s="12">
        <v>306.11</v>
      </c>
    </row>
    <row r="4173" spans="1:12" x14ac:dyDescent="0.2">
      <c r="A4173" s="9">
        <v>46258</v>
      </c>
      <c r="B4173" t="s">
        <v>223</v>
      </c>
      <c r="C4173" t="s">
        <v>224</v>
      </c>
      <c r="D4173" t="s">
        <v>36</v>
      </c>
      <c r="E4173" t="s">
        <v>660</v>
      </c>
      <c r="F4173" t="s">
        <v>661</v>
      </c>
      <c r="G4173" s="10">
        <v>5</v>
      </c>
      <c r="H4173" s="10">
        <v>4164</v>
      </c>
      <c r="I4173" s="10">
        <v>20820</v>
      </c>
      <c r="J4173" t="s">
        <v>37</v>
      </c>
      <c r="K4173" s="11">
        <v>648.20000000000005</v>
      </c>
      <c r="L4173" s="12">
        <v>32.119999999999997</v>
      </c>
    </row>
    <row r="4174" spans="1:12" x14ac:dyDescent="0.2">
      <c r="A4174" s="9">
        <v>46258</v>
      </c>
      <c r="B4174" t="s">
        <v>226</v>
      </c>
      <c r="C4174" t="s">
        <v>227</v>
      </c>
      <c r="D4174" t="s">
        <v>41</v>
      </c>
      <c r="E4174" t="s">
        <v>647</v>
      </c>
      <c r="F4174" t="s">
        <v>648</v>
      </c>
      <c r="G4174" s="10">
        <v>12</v>
      </c>
      <c r="H4174" s="10">
        <v>80753</v>
      </c>
      <c r="I4174" s="10">
        <v>969036</v>
      </c>
      <c r="J4174" t="s">
        <v>42</v>
      </c>
      <c r="K4174" s="11">
        <v>3145.8</v>
      </c>
      <c r="L4174" s="12">
        <v>308.04000000000002</v>
      </c>
    </row>
    <row r="4175" spans="1:12" x14ac:dyDescent="0.2">
      <c r="A4175" s="9">
        <v>46258</v>
      </c>
      <c r="B4175" t="s">
        <v>232</v>
      </c>
      <c r="C4175" t="s">
        <v>233</v>
      </c>
      <c r="D4175" t="s">
        <v>46</v>
      </c>
      <c r="E4175" t="s">
        <v>660</v>
      </c>
      <c r="F4175" t="s">
        <v>661</v>
      </c>
      <c r="G4175" s="10">
        <v>17</v>
      </c>
      <c r="H4175" s="10">
        <v>4301</v>
      </c>
      <c r="I4175" s="10">
        <v>73117</v>
      </c>
      <c r="J4175" t="s">
        <v>37</v>
      </c>
      <c r="K4175" s="11">
        <v>648.20000000000005</v>
      </c>
      <c r="L4175" s="12">
        <v>112.8</v>
      </c>
    </row>
    <row r="4176" spans="1:12" x14ac:dyDescent="0.2">
      <c r="A4176" s="9">
        <v>46258</v>
      </c>
      <c r="B4176" t="s">
        <v>235</v>
      </c>
      <c r="C4176" t="s">
        <v>236</v>
      </c>
      <c r="D4176" t="s">
        <v>50</v>
      </c>
      <c r="E4176" t="s">
        <v>655</v>
      </c>
      <c r="F4176" t="s">
        <v>662</v>
      </c>
      <c r="G4176" s="10">
        <v>26</v>
      </c>
      <c r="H4176" s="10">
        <v>1157</v>
      </c>
      <c r="I4176" s="10">
        <v>30082</v>
      </c>
      <c r="J4176" t="s">
        <v>51</v>
      </c>
      <c r="K4176" s="11">
        <v>648.20000000000005</v>
      </c>
      <c r="L4176" s="12">
        <v>46.41</v>
      </c>
    </row>
    <row r="4177" spans="1:12" x14ac:dyDescent="0.2">
      <c r="A4177" s="9">
        <v>46258</v>
      </c>
      <c r="B4177" t="s">
        <v>235</v>
      </c>
      <c r="C4177" t="s">
        <v>236</v>
      </c>
      <c r="D4177" t="s">
        <v>50</v>
      </c>
      <c r="E4177" t="s">
        <v>647</v>
      </c>
      <c r="F4177" t="s">
        <v>668</v>
      </c>
      <c r="G4177" s="10">
        <v>81</v>
      </c>
      <c r="H4177" s="10">
        <v>24974</v>
      </c>
      <c r="I4177" s="10">
        <v>2022894</v>
      </c>
      <c r="J4177" t="s">
        <v>51</v>
      </c>
      <c r="K4177" s="11">
        <v>648.20000000000005</v>
      </c>
      <c r="L4177" s="12">
        <v>3120.79</v>
      </c>
    </row>
    <row r="4178" spans="1:12" x14ac:dyDescent="0.2">
      <c r="A4178" s="9">
        <v>46258</v>
      </c>
      <c r="B4178" t="s">
        <v>235</v>
      </c>
      <c r="C4178" t="s">
        <v>236</v>
      </c>
      <c r="D4178" t="s">
        <v>50</v>
      </c>
      <c r="E4178" t="s">
        <v>647</v>
      </c>
      <c r="F4178" t="s">
        <v>648</v>
      </c>
      <c r="G4178" s="10">
        <v>38</v>
      </c>
      <c r="H4178" s="10">
        <v>16324</v>
      </c>
      <c r="I4178" s="10">
        <v>620312</v>
      </c>
      <c r="J4178" t="s">
        <v>51</v>
      </c>
      <c r="K4178" s="11">
        <v>648.20000000000005</v>
      </c>
      <c r="L4178" s="12">
        <v>956.98</v>
      </c>
    </row>
    <row r="4179" spans="1:12" x14ac:dyDescent="0.2">
      <c r="A4179" s="9">
        <v>46258</v>
      </c>
      <c r="B4179" t="s">
        <v>235</v>
      </c>
      <c r="C4179" t="s">
        <v>236</v>
      </c>
      <c r="D4179" t="s">
        <v>50</v>
      </c>
      <c r="E4179" t="s">
        <v>655</v>
      </c>
      <c r="F4179" t="s">
        <v>665</v>
      </c>
      <c r="G4179" s="10">
        <v>4</v>
      </c>
      <c r="H4179" s="10">
        <v>676</v>
      </c>
      <c r="I4179" s="10">
        <v>2704</v>
      </c>
      <c r="J4179" t="s">
        <v>51</v>
      </c>
      <c r="K4179" s="11">
        <v>648.20000000000005</v>
      </c>
      <c r="L4179" s="12">
        <v>4.17</v>
      </c>
    </row>
    <row r="4180" spans="1:12" x14ac:dyDescent="0.2">
      <c r="A4180" s="9">
        <v>46258</v>
      </c>
      <c r="B4180" t="s">
        <v>238</v>
      </c>
      <c r="C4180" t="s">
        <v>239</v>
      </c>
      <c r="D4180" t="s">
        <v>68</v>
      </c>
      <c r="E4180" t="s">
        <v>651</v>
      </c>
      <c r="F4180" t="s">
        <v>652</v>
      </c>
      <c r="G4180" s="10">
        <v>44</v>
      </c>
      <c r="H4180" s="10">
        <v>9607</v>
      </c>
      <c r="I4180" s="10">
        <v>422708</v>
      </c>
      <c r="J4180" t="s">
        <v>51</v>
      </c>
      <c r="K4180" s="11">
        <v>648.20000000000005</v>
      </c>
      <c r="L4180" s="12">
        <v>652.13</v>
      </c>
    </row>
    <row r="4181" spans="1:12" x14ac:dyDescent="0.2">
      <c r="A4181" s="9">
        <v>46258</v>
      </c>
      <c r="B4181" t="s">
        <v>241</v>
      </c>
      <c r="C4181" t="s">
        <v>242</v>
      </c>
      <c r="D4181" t="s">
        <v>46</v>
      </c>
      <c r="E4181" t="s">
        <v>653</v>
      </c>
      <c r="F4181" t="s">
        <v>658</v>
      </c>
      <c r="G4181" s="10">
        <v>2</v>
      </c>
      <c r="H4181" s="10">
        <v>2720</v>
      </c>
      <c r="I4181" s="10">
        <v>5440</v>
      </c>
      <c r="J4181" t="s">
        <v>37</v>
      </c>
      <c r="K4181" s="11">
        <v>648.20000000000005</v>
      </c>
      <c r="L4181" s="12">
        <v>8.39</v>
      </c>
    </row>
    <row r="4182" spans="1:12" x14ac:dyDescent="0.2">
      <c r="A4182" s="9">
        <v>46258</v>
      </c>
      <c r="B4182" t="s">
        <v>244</v>
      </c>
      <c r="C4182" t="s">
        <v>245</v>
      </c>
      <c r="D4182" t="s">
        <v>75</v>
      </c>
      <c r="E4182" t="s">
        <v>653</v>
      </c>
      <c r="F4182" t="s">
        <v>666</v>
      </c>
      <c r="G4182" s="10">
        <v>6</v>
      </c>
      <c r="H4182" s="10">
        <v>7273</v>
      </c>
      <c r="I4182" s="10">
        <v>43638</v>
      </c>
      <c r="J4182" t="s">
        <v>42</v>
      </c>
      <c r="K4182" s="11">
        <v>3145.8</v>
      </c>
      <c r="L4182" s="12">
        <v>13.87</v>
      </c>
    </row>
    <row r="4183" spans="1:12" x14ac:dyDescent="0.2">
      <c r="A4183" s="9">
        <v>46258</v>
      </c>
      <c r="B4183" t="s">
        <v>244</v>
      </c>
      <c r="C4183" t="s">
        <v>245</v>
      </c>
      <c r="D4183" t="s">
        <v>75</v>
      </c>
      <c r="E4183" t="s">
        <v>653</v>
      </c>
      <c r="F4183" t="s">
        <v>654</v>
      </c>
      <c r="G4183" s="10">
        <v>31</v>
      </c>
      <c r="H4183" s="10">
        <v>28245</v>
      </c>
      <c r="I4183" s="10">
        <v>875595</v>
      </c>
      <c r="J4183" t="s">
        <v>42</v>
      </c>
      <c r="K4183" s="11">
        <v>3145.8</v>
      </c>
      <c r="L4183" s="12">
        <v>278.33999999999997</v>
      </c>
    </row>
    <row r="4184" spans="1:12" x14ac:dyDescent="0.2">
      <c r="A4184" s="9">
        <v>46258</v>
      </c>
      <c r="B4184" t="s">
        <v>247</v>
      </c>
      <c r="C4184" t="s">
        <v>248</v>
      </c>
      <c r="D4184" t="s">
        <v>75</v>
      </c>
      <c r="E4184" t="s">
        <v>647</v>
      </c>
      <c r="F4184" t="s">
        <v>648</v>
      </c>
      <c r="G4184" s="10">
        <v>14</v>
      </c>
      <c r="H4184" s="10">
        <v>81737</v>
      </c>
      <c r="I4184" s="10">
        <v>1144318</v>
      </c>
      <c r="J4184" t="s">
        <v>42</v>
      </c>
      <c r="K4184" s="11">
        <v>3145.8</v>
      </c>
      <c r="L4184" s="12">
        <v>363.76</v>
      </c>
    </row>
    <row r="4185" spans="1:12" x14ac:dyDescent="0.2">
      <c r="A4185" s="9">
        <v>46258</v>
      </c>
      <c r="B4185" t="s">
        <v>250</v>
      </c>
      <c r="C4185" t="s">
        <v>251</v>
      </c>
      <c r="D4185" t="s">
        <v>46</v>
      </c>
      <c r="E4185" t="s">
        <v>649</v>
      </c>
      <c r="F4185" t="s">
        <v>659</v>
      </c>
      <c r="G4185" s="10">
        <v>6</v>
      </c>
      <c r="H4185" s="10">
        <v>9055</v>
      </c>
      <c r="I4185" s="10">
        <v>54330</v>
      </c>
      <c r="J4185" t="s">
        <v>37</v>
      </c>
      <c r="K4185" s="11">
        <v>648.20000000000005</v>
      </c>
      <c r="L4185" s="12">
        <v>83.82</v>
      </c>
    </row>
    <row r="4186" spans="1:12" x14ac:dyDescent="0.2">
      <c r="A4186" s="9">
        <v>46258</v>
      </c>
      <c r="B4186" t="s">
        <v>253</v>
      </c>
      <c r="C4186" t="s">
        <v>254</v>
      </c>
      <c r="D4186" t="s">
        <v>50</v>
      </c>
      <c r="E4186" t="s">
        <v>651</v>
      </c>
      <c r="F4186" t="s">
        <v>652</v>
      </c>
      <c r="G4186" s="10">
        <v>1</v>
      </c>
      <c r="H4186" s="10">
        <v>9349</v>
      </c>
      <c r="I4186" s="10">
        <v>9349</v>
      </c>
      <c r="J4186" t="s">
        <v>51</v>
      </c>
      <c r="K4186" s="11">
        <v>648.20000000000005</v>
      </c>
      <c r="L4186" s="12">
        <v>14.42</v>
      </c>
    </row>
    <row r="4187" spans="1:12" x14ac:dyDescent="0.2">
      <c r="A4187" s="9">
        <v>46258</v>
      </c>
      <c r="B4187" t="s">
        <v>253</v>
      </c>
      <c r="C4187" t="s">
        <v>254</v>
      </c>
      <c r="D4187" t="s">
        <v>50</v>
      </c>
      <c r="E4187" t="s">
        <v>649</v>
      </c>
      <c r="F4187" t="s">
        <v>659</v>
      </c>
      <c r="G4187" s="10">
        <v>26</v>
      </c>
      <c r="H4187" s="10">
        <v>8713</v>
      </c>
      <c r="I4187" s="10">
        <v>226538</v>
      </c>
      <c r="J4187" t="s">
        <v>51</v>
      </c>
      <c r="K4187" s="11">
        <v>648.20000000000005</v>
      </c>
      <c r="L4187" s="12">
        <v>349.49</v>
      </c>
    </row>
    <row r="4188" spans="1:12" x14ac:dyDescent="0.2">
      <c r="A4188" s="9">
        <v>46258</v>
      </c>
      <c r="B4188" t="s">
        <v>253</v>
      </c>
      <c r="C4188" t="s">
        <v>254</v>
      </c>
      <c r="D4188" t="s">
        <v>50</v>
      </c>
      <c r="E4188" t="s">
        <v>655</v>
      </c>
      <c r="F4188" t="s">
        <v>656</v>
      </c>
      <c r="G4188" s="10">
        <v>10</v>
      </c>
      <c r="H4188" s="10">
        <v>575</v>
      </c>
      <c r="I4188" s="10">
        <v>5750</v>
      </c>
      <c r="J4188" t="s">
        <v>51</v>
      </c>
      <c r="K4188" s="11">
        <v>648.20000000000005</v>
      </c>
      <c r="L4188" s="12">
        <v>8.8699999999999992</v>
      </c>
    </row>
    <row r="4189" spans="1:12" x14ac:dyDescent="0.2">
      <c r="A4189" s="9">
        <v>46258</v>
      </c>
      <c r="B4189" t="s">
        <v>256</v>
      </c>
      <c r="C4189" t="s">
        <v>182</v>
      </c>
      <c r="D4189" t="s">
        <v>50</v>
      </c>
      <c r="E4189" t="s">
        <v>660</v>
      </c>
      <c r="F4189" t="s">
        <v>669</v>
      </c>
      <c r="G4189" s="10">
        <v>8</v>
      </c>
      <c r="H4189" s="10">
        <v>2669</v>
      </c>
      <c r="I4189" s="10">
        <v>21352</v>
      </c>
      <c r="J4189" t="s">
        <v>51</v>
      </c>
      <c r="K4189" s="11">
        <v>648.20000000000005</v>
      </c>
      <c r="L4189" s="12">
        <v>32.94</v>
      </c>
    </row>
    <row r="4190" spans="1:12" x14ac:dyDescent="0.2">
      <c r="A4190" s="9">
        <v>46258</v>
      </c>
      <c r="B4190" t="s">
        <v>261</v>
      </c>
      <c r="C4190" t="s">
        <v>262</v>
      </c>
      <c r="D4190" t="s">
        <v>41</v>
      </c>
      <c r="E4190" t="s">
        <v>649</v>
      </c>
      <c r="F4190" t="s">
        <v>650</v>
      </c>
      <c r="G4190" s="10">
        <v>12</v>
      </c>
      <c r="H4190" s="10">
        <v>95139</v>
      </c>
      <c r="I4190" s="10">
        <v>1141668</v>
      </c>
      <c r="J4190" t="s">
        <v>42</v>
      </c>
      <c r="K4190" s="11">
        <v>3145.8</v>
      </c>
      <c r="L4190" s="12">
        <v>362.92</v>
      </c>
    </row>
    <row r="4191" spans="1:12" x14ac:dyDescent="0.2">
      <c r="A4191" s="9">
        <v>46258</v>
      </c>
      <c r="B4191" t="s">
        <v>261</v>
      </c>
      <c r="C4191" t="s">
        <v>262</v>
      </c>
      <c r="D4191" t="s">
        <v>41</v>
      </c>
      <c r="E4191" t="s">
        <v>660</v>
      </c>
      <c r="F4191" t="s">
        <v>670</v>
      </c>
      <c r="G4191" s="10">
        <v>14</v>
      </c>
      <c r="H4191" s="10">
        <v>67473</v>
      </c>
      <c r="I4191" s="10">
        <v>944622</v>
      </c>
      <c r="J4191" t="s">
        <v>42</v>
      </c>
      <c r="K4191" s="11">
        <v>3145.8</v>
      </c>
      <c r="L4191" s="12">
        <v>300.27999999999997</v>
      </c>
    </row>
    <row r="4192" spans="1:12" x14ac:dyDescent="0.2">
      <c r="A4192" s="9">
        <v>46258</v>
      </c>
      <c r="B4192" t="s">
        <v>267</v>
      </c>
      <c r="C4192" t="s">
        <v>268</v>
      </c>
      <c r="D4192" t="s">
        <v>46</v>
      </c>
      <c r="E4192" t="s">
        <v>649</v>
      </c>
      <c r="F4192" t="s">
        <v>663</v>
      </c>
      <c r="G4192" s="10">
        <v>63</v>
      </c>
      <c r="H4192" s="10">
        <v>2068</v>
      </c>
      <c r="I4192" s="10">
        <v>130284</v>
      </c>
      <c r="J4192" t="s">
        <v>37</v>
      </c>
      <c r="K4192" s="11">
        <v>648.20000000000005</v>
      </c>
      <c r="L4192" s="12">
        <v>200.99</v>
      </c>
    </row>
    <row r="4193" spans="1:12" x14ac:dyDescent="0.2">
      <c r="A4193" s="9">
        <v>46258</v>
      </c>
      <c r="B4193" t="s">
        <v>267</v>
      </c>
      <c r="C4193" t="s">
        <v>268</v>
      </c>
      <c r="D4193" t="s">
        <v>46</v>
      </c>
      <c r="E4193" t="s">
        <v>647</v>
      </c>
      <c r="F4193" t="s">
        <v>668</v>
      </c>
      <c r="G4193" s="10">
        <v>14</v>
      </c>
      <c r="H4193" s="10">
        <v>24269</v>
      </c>
      <c r="I4193" s="10">
        <v>339766</v>
      </c>
      <c r="J4193" t="s">
        <v>37</v>
      </c>
      <c r="K4193" s="11">
        <v>648.20000000000005</v>
      </c>
      <c r="L4193" s="12">
        <v>524.16999999999996</v>
      </c>
    </row>
    <row r="4194" spans="1:12" x14ac:dyDescent="0.2">
      <c r="A4194" s="9">
        <v>46258</v>
      </c>
      <c r="B4194" t="s">
        <v>267</v>
      </c>
      <c r="C4194" t="s">
        <v>268</v>
      </c>
      <c r="D4194" t="s">
        <v>46</v>
      </c>
      <c r="E4194" t="s">
        <v>655</v>
      </c>
      <c r="F4194" t="s">
        <v>665</v>
      </c>
      <c r="G4194" s="10">
        <v>29</v>
      </c>
      <c r="H4194" s="10">
        <v>691</v>
      </c>
      <c r="I4194" s="10">
        <v>20039</v>
      </c>
      <c r="J4194" t="s">
        <v>37</v>
      </c>
      <c r="K4194" s="11">
        <v>648.20000000000005</v>
      </c>
      <c r="L4194" s="12">
        <v>30.91</v>
      </c>
    </row>
    <row r="4195" spans="1:12" x14ac:dyDescent="0.2">
      <c r="A4195" s="9">
        <v>46258</v>
      </c>
      <c r="B4195" t="s">
        <v>270</v>
      </c>
      <c r="C4195" t="s">
        <v>271</v>
      </c>
      <c r="D4195" t="s">
        <v>75</v>
      </c>
      <c r="E4195" t="s">
        <v>655</v>
      </c>
      <c r="F4195" t="s">
        <v>662</v>
      </c>
      <c r="G4195" s="10">
        <v>20</v>
      </c>
      <c r="H4195" s="10">
        <v>5566</v>
      </c>
      <c r="I4195" s="10">
        <v>111320</v>
      </c>
      <c r="J4195" t="s">
        <v>42</v>
      </c>
      <c r="K4195" s="11">
        <v>3145.8</v>
      </c>
      <c r="L4195" s="12">
        <v>35.39</v>
      </c>
    </row>
    <row r="4196" spans="1:12" x14ac:dyDescent="0.2">
      <c r="A4196" s="9">
        <v>46258</v>
      </c>
      <c r="B4196" t="s">
        <v>273</v>
      </c>
      <c r="C4196" t="s">
        <v>274</v>
      </c>
      <c r="D4196" t="s">
        <v>41</v>
      </c>
      <c r="E4196" t="s">
        <v>653</v>
      </c>
      <c r="F4196" t="s">
        <v>654</v>
      </c>
      <c r="G4196" s="10">
        <v>1</v>
      </c>
      <c r="H4196" s="10">
        <v>27441</v>
      </c>
      <c r="I4196" s="10">
        <v>27441</v>
      </c>
      <c r="J4196" t="s">
        <v>42</v>
      </c>
      <c r="K4196" s="11">
        <v>3145.8</v>
      </c>
      <c r="L4196" s="12">
        <v>8.7200000000000006</v>
      </c>
    </row>
    <row r="4197" spans="1:12" x14ac:dyDescent="0.2">
      <c r="A4197" s="9">
        <v>46258</v>
      </c>
      <c r="B4197" t="s">
        <v>279</v>
      </c>
      <c r="C4197" t="s">
        <v>280</v>
      </c>
      <c r="D4197" t="s">
        <v>68</v>
      </c>
      <c r="E4197" t="s">
        <v>651</v>
      </c>
      <c r="F4197" t="s">
        <v>657</v>
      </c>
      <c r="G4197" s="10">
        <v>23</v>
      </c>
      <c r="H4197" s="10">
        <v>6607</v>
      </c>
      <c r="I4197" s="10">
        <v>151961</v>
      </c>
      <c r="J4197" t="s">
        <v>51</v>
      </c>
      <c r="K4197" s="11">
        <v>648.20000000000005</v>
      </c>
      <c r="L4197" s="12">
        <v>234.44</v>
      </c>
    </row>
    <row r="4198" spans="1:12" x14ac:dyDescent="0.2">
      <c r="A4198" s="9">
        <v>46258</v>
      </c>
      <c r="B4198" t="s">
        <v>282</v>
      </c>
      <c r="C4198" t="s">
        <v>283</v>
      </c>
      <c r="D4198" t="s">
        <v>41</v>
      </c>
      <c r="E4198" t="s">
        <v>647</v>
      </c>
      <c r="F4198" t="s">
        <v>667</v>
      </c>
      <c r="G4198" s="10">
        <v>6</v>
      </c>
      <c r="H4198" s="10">
        <v>36845</v>
      </c>
      <c r="I4198" s="10">
        <v>221070</v>
      </c>
      <c r="J4198" t="s">
        <v>42</v>
      </c>
      <c r="K4198" s="11">
        <v>3145.8</v>
      </c>
      <c r="L4198" s="12">
        <v>70.27</v>
      </c>
    </row>
    <row r="4199" spans="1:12" x14ac:dyDescent="0.2">
      <c r="A4199" s="9">
        <v>46258</v>
      </c>
      <c r="B4199" t="s">
        <v>285</v>
      </c>
      <c r="C4199" t="s">
        <v>286</v>
      </c>
      <c r="D4199" t="s">
        <v>68</v>
      </c>
      <c r="E4199" t="s">
        <v>660</v>
      </c>
      <c r="F4199" t="s">
        <v>669</v>
      </c>
      <c r="G4199" s="10">
        <v>5</v>
      </c>
      <c r="H4199" s="10">
        <v>2666</v>
      </c>
      <c r="I4199" s="10">
        <v>13330</v>
      </c>
      <c r="J4199" t="s">
        <v>51</v>
      </c>
      <c r="K4199" s="11">
        <v>648.20000000000005</v>
      </c>
      <c r="L4199" s="12">
        <v>20.56</v>
      </c>
    </row>
    <row r="4200" spans="1:12" x14ac:dyDescent="0.2">
      <c r="A4200" s="9">
        <v>46258</v>
      </c>
      <c r="B4200" t="s">
        <v>291</v>
      </c>
      <c r="C4200" t="s">
        <v>292</v>
      </c>
      <c r="D4200" t="s">
        <v>68</v>
      </c>
      <c r="E4200" t="s">
        <v>653</v>
      </c>
      <c r="F4200" t="s">
        <v>658</v>
      </c>
      <c r="G4200" s="10">
        <v>46</v>
      </c>
      <c r="H4200" s="10">
        <v>2775</v>
      </c>
      <c r="I4200" s="10">
        <v>127650</v>
      </c>
      <c r="J4200" t="s">
        <v>51</v>
      </c>
      <c r="K4200" s="11">
        <v>648.20000000000005</v>
      </c>
      <c r="L4200" s="12">
        <v>196.93</v>
      </c>
    </row>
    <row r="4201" spans="1:12" x14ac:dyDescent="0.2">
      <c r="A4201" s="9">
        <v>46258</v>
      </c>
      <c r="B4201" t="s">
        <v>291</v>
      </c>
      <c r="C4201" t="s">
        <v>292</v>
      </c>
      <c r="D4201" t="s">
        <v>68</v>
      </c>
      <c r="E4201" t="s">
        <v>647</v>
      </c>
      <c r="F4201" t="s">
        <v>668</v>
      </c>
      <c r="G4201" s="10">
        <v>4</v>
      </c>
      <c r="H4201" s="10">
        <v>25432</v>
      </c>
      <c r="I4201" s="10">
        <v>101728</v>
      </c>
      <c r="J4201" t="s">
        <v>51</v>
      </c>
      <c r="K4201" s="11">
        <v>648.20000000000005</v>
      </c>
      <c r="L4201" s="12">
        <v>156.94</v>
      </c>
    </row>
    <row r="4202" spans="1:12" x14ac:dyDescent="0.2">
      <c r="A4202" s="9">
        <v>46258</v>
      </c>
      <c r="B4202" t="s">
        <v>294</v>
      </c>
      <c r="C4202" t="s">
        <v>295</v>
      </c>
      <c r="D4202" t="s">
        <v>41</v>
      </c>
      <c r="E4202" t="s">
        <v>653</v>
      </c>
      <c r="F4202" t="s">
        <v>666</v>
      </c>
      <c r="G4202" s="10">
        <v>5</v>
      </c>
      <c r="H4202" s="10">
        <v>7364</v>
      </c>
      <c r="I4202" s="10">
        <v>36820</v>
      </c>
      <c r="J4202" t="s">
        <v>42</v>
      </c>
      <c r="K4202" s="11">
        <v>3145.8</v>
      </c>
      <c r="L4202" s="12">
        <v>11.7</v>
      </c>
    </row>
    <row r="4203" spans="1:12" x14ac:dyDescent="0.2">
      <c r="A4203" s="9">
        <v>46258</v>
      </c>
      <c r="B4203" t="s">
        <v>294</v>
      </c>
      <c r="C4203" t="s">
        <v>295</v>
      </c>
      <c r="D4203" t="s">
        <v>41</v>
      </c>
      <c r="E4203" t="s">
        <v>649</v>
      </c>
      <c r="F4203" t="s">
        <v>650</v>
      </c>
      <c r="G4203" s="10">
        <v>13</v>
      </c>
      <c r="H4203" s="10">
        <v>93424</v>
      </c>
      <c r="I4203" s="10">
        <v>1214512</v>
      </c>
      <c r="J4203" t="s">
        <v>42</v>
      </c>
      <c r="K4203" s="11">
        <v>3145.8</v>
      </c>
      <c r="L4203" s="12">
        <v>386.07</v>
      </c>
    </row>
    <row r="4204" spans="1:12" x14ac:dyDescent="0.2">
      <c r="A4204" s="9">
        <v>46258</v>
      </c>
      <c r="B4204" t="s">
        <v>297</v>
      </c>
      <c r="C4204" t="s">
        <v>298</v>
      </c>
      <c r="D4204" t="s">
        <v>36</v>
      </c>
      <c r="E4204" t="s">
        <v>653</v>
      </c>
      <c r="F4204" t="s">
        <v>666</v>
      </c>
      <c r="G4204" s="10">
        <v>14</v>
      </c>
      <c r="H4204" s="10">
        <v>1561</v>
      </c>
      <c r="I4204" s="10">
        <v>21854</v>
      </c>
      <c r="J4204" t="s">
        <v>37</v>
      </c>
      <c r="K4204" s="11">
        <v>648.20000000000005</v>
      </c>
      <c r="L4204" s="12">
        <v>33.71</v>
      </c>
    </row>
    <row r="4205" spans="1:12" x14ac:dyDescent="0.2">
      <c r="A4205" s="9">
        <v>46258</v>
      </c>
      <c r="B4205" t="s">
        <v>297</v>
      </c>
      <c r="C4205" t="s">
        <v>298</v>
      </c>
      <c r="D4205" t="s">
        <v>36</v>
      </c>
      <c r="E4205" t="s">
        <v>660</v>
      </c>
      <c r="F4205" t="s">
        <v>661</v>
      </c>
      <c r="G4205" s="10">
        <v>13</v>
      </c>
      <c r="H4205" s="10">
        <v>4330</v>
      </c>
      <c r="I4205" s="10">
        <v>56290</v>
      </c>
      <c r="J4205" t="s">
        <v>37</v>
      </c>
      <c r="K4205" s="11">
        <v>648.20000000000005</v>
      </c>
      <c r="L4205" s="12">
        <v>86.84</v>
      </c>
    </row>
    <row r="4206" spans="1:12" x14ac:dyDescent="0.2">
      <c r="A4206" s="9">
        <v>46258</v>
      </c>
      <c r="B4206" t="s">
        <v>297</v>
      </c>
      <c r="C4206" t="s">
        <v>298</v>
      </c>
      <c r="D4206" t="s">
        <v>36</v>
      </c>
      <c r="E4206" t="s">
        <v>647</v>
      </c>
      <c r="F4206" t="s">
        <v>667</v>
      </c>
      <c r="G4206" s="10">
        <v>6</v>
      </c>
      <c r="H4206" s="10">
        <v>7193</v>
      </c>
      <c r="I4206" s="10">
        <v>43158</v>
      </c>
      <c r="J4206" t="s">
        <v>37</v>
      </c>
      <c r="K4206" s="11">
        <v>648.20000000000005</v>
      </c>
      <c r="L4206" s="12">
        <v>66.58</v>
      </c>
    </row>
    <row r="4207" spans="1:12" x14ac:dyDescent="0.2">
      <c r="A4207" s="9">
        <v>46258</v>
      </c>
      <c r="B4207" t="s">
        <v>300</v>
      </c>
      <c r="C4207" t="s">
        <v>301</v>
      </c>
      <c r="D4207" t="s">
        <v>41</v>
      </c>
      <c r="E4207" t="s">
        <v>647</v>
      </c>
      <c r="F4207" t="s">
        <v>668</v>
      </c>
      <c r="G4207" s="10">
        <v>3</v>
      </c>
      <c r="H4207" s="10">
        <v>123454</v>
      </c>
      <c r="I4207" s="10">
        <v>370362</v>
      </c>
      <c r="J4207" t="s">
        <v>42</v>
      </c>
      <c r="K4207" s="11">
        <v>3145.8</v>
      </c>
      <c r="L4207" s="12">
        <v>117.73</v>
      </c>
    </row>
    <row r="4208" spans="1:12" x14ac:dyDescent="0.2">
      <c r="A4208" s="9">
        <v>46258</v>
      </c>
      <c r="B4208" t="s">
        <v>309</v>
      </c>
      <c r="C4208" t="s">
        <v>310</v>
      </c>
      <c r="D4208" t="s">
        <v>41</v>
      </c>
      <c r="E4208" t="s">
        <v>655</v>
      </c>
      <c r="F4208" t="s">
        <v>662</v>
      </c>
      <c r="G4208" s="10">
        <v>11</v>
      </c>
      <c r="H4208" s="10">
        <v>5480</v>
      </c>
      <c r="I4208" s="10">
        <v>60280</v>
      </c>
      <c r="J4208" t="s">
        <v>42</v>
      </c>
      <c r="K4208" s="11">
        <v>3145.8</v>
      </c>
      <c r="L4208" s="12">
        <v>19.16</v>
      </c>
    </row>
    <row r="4209" spans="1:12" x14ac:dyDescent="0.2">
      <c r="A4209" s="9">
        <v>46258</v>
      </c>
      <c r="B4209" t="s">
        <v>315</v>
      </c>
      <c r="C4209" t="s">
        <v>316</v>
      </c>
      <c r="D4209" t="s">
        <v>46</v>
      </c>
      <c r="E4209" t="s">
        <v>660</v>
      </c>
      <c r="F4209" t="s">
        <v>661</v>
      </c>
      <c r="G4209" s="10">
        <v>13</v>
      </c>
      <c r="H4209" s="10">
        <v>4298</v>
      </c>
      <c r="I4209" s="10">
        <v>55874</v>
      </c>
      <c r="J4209" t="s">
        <v>37</v>
      </c>
      <c r="K4209" s="11">
        <v>648.20000000000005</v>
      </c>
      <c r="L4209" s="12">
        <v>86.2</v>
      </c>
    </row>
    <row r="4210" spans="1:12" x14ac:dyDescent="0.2">
      <c r="A4210" s="9">
        <v>46258</v>
      </c>
      <c r="B4210" t="s">
        <v>315</v>
      </c>
      <c r="C4210" t="s">
        <v>316</v>
      </c>
      <c r="D4210" t="s">
        <v>46</v>
      </c>
      <c r="E4210" t="s">
        <v>660</v>
      </c>
      <c r="F4210" t="s">
        <v>661</v>
      </c>
      <c r="G4210" s="10">
        <v>3</v>
      </c>
      <c r="H4210" s="10">
        <v>4247</v>
      </c>
      <c r="I4210" s="10">
        <v>12741</v>
      </c>
      <c r="J4210" t="s">
        <v>37</v>
      </c>
      <c r="K4210" s="11">
        <v>648.20000000000005</v>
      </c>
      <c r="L4210" s="12">
        <v>19.66</v>
      </c>
    </row>
    <row r="4211" spans="1:12" x14ac:dyDescent="0.2">
      <c r="A4211" s="9">
        <v>46258</v>
      </c>
      <c r="B4211" t="s">
        <v>315</v>
      </c>
      <c r="C4211" t="s">
        <v>316</v>
      </c>
      <c r="D4211" t="s">
        <v>46</v>
      </c>
      <c r="E4211" t="s">
        <v>660</v>
      </c>
      <c r="F4211" t="s">
        <v>661</v>
      </c>
      <c r="G4211" s="10">
        <v>12</v>
      </c>
      <c r="H4211" s="10">
        <v>4175</v>
      </c>
      <c r="I4211" s="10">
        <v>50100</v>
      </c>
      <c r="J4211" t="s">
        <v>37</v>
      </c>
      <c r="K4211" s="11">
        <v>648.20000000000005</v>
      </c>
      <c r="L4211" s="12">
        <v>77.290000000000006</v>
      </c>
    </row>
    <row r="4212" spans="1:12" x14ac:dyDescent="0.2">
      <c r="A4212" s="9">
        <v>46258</v>
      </c>
      <c r="B4212" t="s">
        <v>318</v>
      </c>
      <c r="C4212" t="s">
        <v>319</v>
      </c>
      <c r="D4212" t="s">
        <v>41</v>
      </c>
      <c r="E4212" t="s">
        <v>647</v>
      </c>
      <c r="F4212" t="s">
        <v>667</v>
      </c>
      <c r="G4212" s="10">
        <v>9</v>
      </c>
      <c r="H4212" s="10">
        <v>35682</v>
      </c>
      <c r="I4212" s="10">
        <v>321138</v>
      </c>
      <c r="J4212" t="s">
        <v>42</v>
      </c>
      <c r="K4212" s="11">
        <v>3145.8</v>
      </c>
      <c r="L4212" s="12">
        <v>102.08</v>
      </c>
    </row>
    <row r="4213" spans="1:12" x14ac:dyDescent="0.2">
      <c r="A4213" s="9">
        <v>46258</v>
      </c>
      <c r="B4213" t="s">
        <v>321</v>
      </c>
      <c r="C4213" t="s">
        <v>322</v>
      </c>
      <c r="D4213" t="s">
        <v>41</v>
      </c>
      <c r="E4213" t="s">
        <v>649</v>
      </c>
      <c r="F4213" t="s">
        <v>659</v>
      </c>
      <c r="G4213" s="10">
        <v>15</v>
      </c>
      <c r="H4213" s="10">
        <v>44844</v>
      </c>
      <c r="I4213" s="10">
        <v>672660</v>
      </c>
      <c r="J4213" t="s">
        <v>42</v>
      </c>
      <c r="K4213" s="11">
        <v>3145.8</v>
      </c>
      <c r="L4213" s="12">
        <v>213.83</v>
      </c>
    </row>
    <row r="4214" spans="1:12" x14ac:dyDescent="0.2">
      <c r="A4214" s="9">
        <v>46258</v>
      </c>
      <c r="B4214" t="s">
        <v>324</v>
      </c>
      <c r="C4214" t="s">
        <v>325</v>
      </c>
      <c r="D4214" t="s">
        <v>46</v>
      </c>
      <c r="E4214" t="s">
        <v>653</v>
      </c>
      <c r="F4214" t="s">
        <v>666</v>
      </c>
      <c r="G4214" s="10">
        <v>5</v>
      </c>
      <c r="H4214" s="10">
        <v>1509</v>
      </c>
      <c r="I4214" s="10">
        <v>7545</v>
      </c>
      <c r="J4214" t="s">
        <v>37</v>
      </c>
      <c r="K4214" s="11">
        <v>648.20000000000005</v>
      </c>
      <c r="L4214" s="12">
        <v>11.64</v>
      </c>
    </row>
    <row r="4215" spans="1:12" x14ac:dyDescent="0.2">
      <c r="A4215" s="9">
        <v>46258</v>
      </c>
      <c r="B4215" t="s">
        <v>324</v>
      </c>
      <c r="C4215" t="s">
        <v>325</v>
      </c>
      <c r="D4215" t="s">
        <v>46</v>
      </c>
      <c r="E4215" t="s">
        <v>660</v>
      </c>
      <c r="F4215" t="s">
        <v>669</v>
      </c>
      <c r="G4215" s="10">
        <v>3</v>
      </c>
      <c r="H4215" s="10">
        <v>2656</v>
      </c>
      <c r="I4215" s="10">
        <v>7968</v>
      </c>
      <c r="J4215" t="s">
        <v>37</v>
      </c>
      <c r="K4215" s="11">
        <v>648.20000000000005</v>
      </c>
      <c r="L4215" s="12">
        <v>12.29</v>
      </c>
    </row>
    <row r="4216" spans="1:12" x14ac:dyDescent="0.2">
      <c r="A4216" s="9">
        <v>46258</v>
      </c>
      <c r="B4216" t="s">
        <v>324</v>
      </c>
      <c r="C4216" t="s">
        <v>325</v>
      </c>
      <c r="D4216" t="s">
        <v>46</v>
      </c>
      <c r="E4216" t="s">
        <v>655</v>
      </c>
      <c r="F4216" t="s">
        <v>665</v>
      </c>
      <c r="G4216" s="10">
        <v>2</v>
      </c>
      <c r="H4216" s="10">
        <v>672</v>
      </c>
      <c r="I4216" s="10">
        <v>1344</v>
      </c>
      <c r="J4216" t="s">
        <v>37</v>
      </c>
      <c r="K4216" s="11">
        <v>648.20000000000005</v>
      </c>
      <c r="L4216" s="12">
        <v>2.0699999999999998</v>
      </c>
    </row>
    <row r="4217" spans="1:12" x14ac:dyDescent="0.2">
      <c r="A4217" s="9">
        <v>46258</v>
      </c>
      <c r="B4217" t="s">
        <v>327</v>
      </c>
      <c r="C4217" t="s">
        <v>328</v>
      </c>
      <c r="D4217" t="s">
        <v>46</v>
      </c>
      <c r="E4217" t="s">
        <v>655</v>
      </c>
      <c r="F4217" t="s">
        <v>665</v>
      </c>
      <c r="G4217" s="10">
        <v>11</v>
      </c>
      <c r="H4217" s="10">
        <v>691</v>
      </c>
      <c r="I4217" s="10">
        <v>7601</v>
      </c>
      <c r="J4217" t="s">
        <v>37</v>
      </c>
      <c r="K4217" s="11">
        <v>648.20000000000005</v>
      </c>
      <c r="L4217" s="12">
        <v>11.73</v>
      </c>
    </row>
    <row r="4218" spans="1:12" x14ac:dyDescent="0.2">
      <c r="A4218" s="9">
        <v>46258</v>
      </c>
      <c r="B4218" t="s">
        <v>330</v>
      </c>
      <c r="C4218" t="s">
        <v>331</v>
      </c>
      <c r="D4218" t="s">
        <v>68</v>
      </c>
      <c r="E4218" t="s">
        <v>649</v>
      </c>
      <c r="F4218" t="s">
        <v>650</v>
      </c>
      <c r="G4218" s="10">
        <v>11</v>
      </c>
      <c r="H4218" s="10">
        <v>18679</v>
      </c>
      <c r="I4218" s="10">
        <v>205469</v>
      </c>
      <c r="J4218" t="s">
        <v>51</v>
      </c>
      <c r="K4218" s="11">
        <v>648.20000000000005</v>
      </c>
      <c r="L4218" s="12">
        <v>316.98</v>
      </c>
    </row>
    <row r="4219" spans="1:12" x14ac:dyDescent="0.2">
      <c r="A4219" s="9">
        <v>46258</v>
      </c>
      <c r="B4219" t="s">
        <v>330</v>
      </c>
      <c r="C4219" t="s">
        <v>331</v>
      </c>
      <c r="D4219" t="s">
        <v>68</v>
      </c>
      <c r="E4219" t="s">
        <v>647</v>
      </c>
      <c r="F4219" t="s">
        <v>667</v>
      </c>
      <c r="G4219" s="10">
        <v>12</v>
      </c>
      <c r="H4219" s="10">
        <v>7548</v>
      </c>
      <c r="I4219" s="10">
        <v>90576</v>
      </c>
      <c r="J4219" t="s">
        <v>51</v>
      </c>
      <c r="K4219" s="11">
        <v>648.20000000000005</v>
      </c>
      <c r="L4219" s="12">
        <v>139.72999999999999</v>
      </c>
    </row>
    <row r="4220" spans="1:12" x14ac:dyDescent="0.2">
      <c r="A4220" s="9">
        <v>46258</v>
      </c>
      <c r="B4220" t="s">
        <v>333</v>
      </c>
      <c r="C4220" t="s">
        <v>334</v>
      </c>
      <c r="D4220" t="s">
        <v>68</v>
      </c>
      <c r="E4220" t="s">
        <v>653</v>
      </c>
      <c r="F4220" t="s">
        <v>654</v>
      </c>
      <c r="G4220" s="10">
        <v>38</v>
      </c>
      <c r="H4220" s="10">
        <v>5801</v>
      </c>
      <c r="I4220" s="10">
        <v>220438</v>
      </c>
      <c r="J4220" t="s">
        <v>51</v>
      </c>
      <c r="K4220" s="11">
        <v>648.20000000000005</v>
      </c>
      <c r="L4220" s="12">
        <v>340.08</v>
      </c>
    </row>
    <row r="4221" spans="1:12" x14ac:dyDescent="0.2">
      <c r="A4221" s="9">
        <v>46258</v>
      </c>
      <c r="B4221" t="s">
        <v>333</v>
      </c>
      <c r="C4221" t="s">
        <v>334</v>
      </c>
      <c r="D4221" t="s">
        <v>68</v>
      </c>
      <c r="E4221" t="s">
        <v>651</v>
      </c>
      <c r="F4221" t="s">
        <v>657</v>
      </c>
      <c r="G4221" s="10">
        <v>29</v>
      </c>
      <c r="H4221" s="10">
        <v>6628</v>
      </c>
      <c r="I4221" s="10">
        <v>192212</v>
      </c>
      <c r="J4221" t="s">
        <v>51</v>
      </c>
      <c r="K4221" s="11">
        <v>648.20000000000005</v>
      </c>
      <c r="L4221" s="12">
        <v>296.52999999999997</v>
      </c>
    </row>
    <row r="4222" spans="1:12" x14ac:dyDescent="0.2">
      <c r="A4222" s="9">
        <v>46258</v>
      </c>
      <c r="B4222" t="s">
        <v>339</v>
      </c>
      <c r="C4222" t="s">
        <v>340</v>
      </c>
      <c r="D4222" t="s">
        <v>68</v>
      </c>
      <c r="E4222" t="s">
        <v>647</v>
      </c>
      <c r="F4222" t="s">
        <v>667</v>
      </c>
      <c r="G4222" s="10">
        <v>46</v>
      </c>
      <c r="H4222" s="10">
        <v>7578</v>
      </c>
      <c r="I4222" s="10">
        <v>348588</v>
      </c>
      <c r="J4222" t="s">
        <v>51</v>
      </c>
      <c r="K4222" s="11">
        <v>648.20000000000005</v>
      </c>
      <c r="L4222" s="12">
        <v>537.78</v>
      </c>
    </row>
    <row r="4223" spans="1:12" x14ac:dyDescent="0.2">
      <c r="A4223" s="9">
        <v>46258</v>
      </c>
      <c r="B4223" t="s">
        <v>339</v>
      </c>
      <c r="C4223" t="s">
        <v>340</v>
      </c>
      <c r="D4223" t="s">
        <v>68</v>
      </c>
      <c r="E4223" t="s">
        <v>651</v>
      </c>
      <c r="F4223" t="s">
        <v>664</v>
      </c>
      <c r="G4223" s="10">
        <v>39</v>
      </c>
      <c r="H4223" s="10">
        <v>12060</v>
      </c>
      <c r="I4223" s="10">
        <v>470340</v>
      </c>
      <c r="J4223" t="s">
        <v>51</v>
      </c>
      <c r="K4223" s="11">
        <v>648.20000000000005</v>
      </c>
      <c r="L4223" s="12">
        <v>725.61</v>
      </c>
    </row>
    <row r="4224" spans="1:12" x14ac:dyDescent="0.2">
      <c r="A4224" s="9">
        <v>46258</v>
      </c>
      <c r="B4224" t="s">
        <v>342</v>
      </c>
      <c r="C4224" t="s">
        <v>343</v>
      </c>
      <c r="D4224" t="s">
        <v>41</v>
      </c>
      <c r="E4224" t="s">
        <v>660</v>
      </c>
      <c r="F4224" t="s">
        <v>669</v>
      </c>
      <c r="G4224" s="10">
        <v>31</v>
      </c>
      <c r="H4224" s="10">
        <v>12687</v>
      </c>
      <c r="I4224" s="10">
        <v>393297</v>
      </c>
      <c r="J4224" t="s">
        <v>42</v>
      </c>
      <c r="K4224" s="11">
        <v>3145.8</v>
      </c>
      <c r="L4224" s="12">
        <v>125.02</v>
      </c>
    </row>
    <row r="4225" spans="1:12" x14ac:dyDescent="0.2">
      <c r="A4225" s="9">
        <v>46258</v>
      </c>
      <c r="B4225" t="s">
        <v>345</v>
      </c>
      <c r="C4225" t="s">
        <v>346</v>
      </c>
      <c r="D4225" t="s">
        <v>68</v>
      </c>
      <c r="E4225" t="s">
        <v>647</v>
      </c>
      <c r="F4225" t="s">
        <v>668</v>
      </c>
      <c r="G4225" s="10">
        <v>2</v>
      </c>
      <c r="H4225" s="10">
        <v>24778</v>
      </c>
      <c r="I4225" s="10">
        <v>49556</v>
      </c>
      <c r="J4225" t="s">
        <v>51</v>
      </c>
      <c r="K4225" s="11">
        <v>648.20000000000005</v>
      </c>
      <c r="L4225" s="12">
        <v>76.45</v>
      </c>
    </row>
    <row r="4226" spans="1:12" x14ac:dyDescent="0.2">
      <c r="A4226" s="9">
        <v>46258</v>
      </c>
      <c r="B4226" t="s">
        <v>348</v>
      </c>
      <c r="C4226" t="s">
        <v>349</v>
      </c>
      <c r="D4226" t="s">
        <v>36</v>
      </c>
      <c r="E4226" t="s">
        <v>651</v>
      </c>
      <c r="F4226" t="s">
        <v>664</v>
      </c>
      <c r="G4226" s="10">
        <v>30</v>
      </c>
      <c r="H4226" s="10">
        <v>11705</v>
      </c>
      <c r="I4226" s="10">
        <v>351150</v>
      </c>
      <c r="J4226" t="s">
        <v>37</v>
      </c>
      <c r="K4226" s="11">
        <v>648.20000000000005</v>
      </c>
      <c r="L4226" s="12">
        <v>541.73</v>
      </c>
    </row>
    <row r="4227" spans="1:12" x14ac:dyDescent="0.2">
      <c r="A4227" s="9">
        <v>46258</v>
      </c>
      <c r="B4227" t="s">
        <v>357</v>
      </c>
      <c r="C4227" t="s">
        <v>358</v>
      </c>
      <c r="D4227" t="s">
        <v>36</v>
      </c>
      <c r="E4227" t="s">
        <v>653</v>
      </c>
      <c r="F4227" t="s">
        <v>666</v>
      </c>
      <c r="G4227" s="10">
        <v>86</v>
      </c>
      <c r="H4227" s="10">
        <v>1522</v>
      </c>
      <c r="I4227" s="10">
        <v>130892</v>
      </c>
      <c r="J4227" t="s">
        <v>37</v>
      </c>
      <c r="K4227" s="11">
        <v>648.20000000000005</v>
      </c>
      <c r="L4227" s="12">
        <v>201.93</v>
      </c>
    </row>
    <row r="4228" spans="1:12" x14ac:dyDescent="0.2">
      <c r="A4228" s="9">
        <v>46258</v>
      </c>
      <c r="B4228" t="s">
        <v>357</v>
      </c>
      <c r="C4228" t="s">
        <v>358</v>
      </c>
      <c r="D4228" t="s">
        <v>36</v>
      </c>
      <c r="E4228" t="s">
        <v>660</v>
      </c>
      <c r="F4228" t="s">
        <v>669</v>
      </c>
      <c r="G4228" s="10">
        <v>143</v>
      </c>
      <c r="H4228" s="10">
        <v>2673</v>
      </c>
      <c r="I4228" s="10">
        <v>382239</v>
      </c>
      <c r="J4228" t="s">
        <v>37</v>
      </c>
      <c r="K4228" s="11">
        <v>648.20000000000005</v>
      </c>
      <c r="L4228" s="12">
        <v>589.69000000000005</v>
      </c>
    </row>
    <row r="4229" spans="1:12" x14ac:dyDescent="0.2">
      <c r="A4229" s="9">
        <v>46258</v>
      </c>
      <c r="B4229" t="s">
        <v>363</v>
      </c>
      <c r="C4229" t="s">
        <v>364</v>
      </c>
      <c r="D4229" t="s">
        <v>46</v>
      </c>
      <c r="E4229" t="s">
        <v>653</v>
      </c>
      <c r="F4229" t="s">
        <v>666</v>
      </c>
      <c r="G4229" s="10">
        <v>158</v>
      </c>
      <c r="H4229" s="10">
        <v>1480</v>
      </c>
      <c r="I4229" s="10">
        <v>233840</v>
      </c>
      <c r="J4229" t="s">
        <v>37</v>
      </c>
      <c r="K4229" s="11">
        <v>648.20000000000005</v>
      </c>
      <c r="L4229" s="12">
        <v>360.75</v>
      </c>
    </row>
    <row r="4230" spans="1:12" x14ac:dyDescent="0.2">
      <c r="A4230" s="9">
        <v>46258</v>
      </c>
      <c r="B4230" t="s">
        <v>363</v>
      </c>
      <c r="C4230" t="s">
        <v>364</v>
      </c>
      <c r="D4230" t="s">
        <v>46</v>
      </c>
      <c r="E4230" t="s">
        <v>649</v>
      </c>
      <c r="F4230" t="s">
        <v>663</v>
      </c>
      <c r="G4230" s="10">
        <v>23</v>
      </c>
      <c r="H4230" s="10">
        <v>2035</v>
      </c>
      <c r="I4230" s="10">
        <v>46805</v>
      </c>
      <c r="J4230" t="s">
        <v>37</v>
      </c>
      <c r="K4230" s="11">
        <v>648.20000000000005</v>
      </c>
      <c r="L4230" s="12">
        <v>72.209999999999994</v>
      </c>
    </row>
    <row r="4231" spans="1:12" x14ac:dyDescent="0.2">
      <c r="A4231" s="9">
        <v>46258</v>
      </c>
      <c r="B4231" t="s">
        <v>363</v>
      </c>
      <c r="C4231" t="s">
        <v>364</v>
      </c>
      <c r="D4231" t="s">
        <v>46</v>
      </c>
      <c r="E4231" t="s">
        <v>660</v>
      </c>
      <c r="F4231" t="s">
        <v>669</v>
      </c>
      <c r="G4231" s="10">
        <v>44</v>
      </c>
      <c r="H4231" s="10">
        <v>2508</v>
      </c>
      <c r="I4231" s="10">
        <v>110352</v>
      </c>
      <c r="J4231" t="s">
        <v>37</v>
      </c>
      <c r="K4231" s="11">
        <v>648.20000000000005</v>
      </c>
      <c r="L4231" s="12">
        <v>170.24</v>
      </c>
    </row>
    <row r="4232" spans="1:12" x14ac:dyDescent="0.2">
      <c r="A4232" s="9">
        <v>46258</v>
      </c>
      <c r="B4232" t="s">
        <v>363</v>
      </c>
      <c r="C4232" t="s">
        <v>364</v>
      </c>
      <c r="D4232" t="s">
        <v>46</v>
      </c>
      <c r="E4232" t="s">
        <v>660</v>
      </c>
      <c r="F4232" t="s">
        <v>670</v>
      </c>
      <c r="G4232" s="10">
        <v>136</v>
      </c>
      <c r="H4232" s="10">
        <v>14667</v>
      </c>
      <c r="I4232" s="10">
        <v>1994712</v>
      </c>
      <c r="J4232" t="s">
        <v>37</v>
      </c>
      <c r="K4232" s="11">
        <v>648.20000000000005</v>
      </c>
      <c r="L4232" s="12">
        <v>3077.31</v>
      </c>
    </row>
    <row r="4233" spans="1:12" x14ac:dyDescent="0.2">
      <c r="A4233" s="9">
        <v>46258</v>
      </c>
      <c r="B4233" t="s">
        <v>369</v>
      </c>
      <c r="C4233" t="s">
        <v>370</v>
      </c>
      <c r="D4233" t="s">
        <v>36</v>
      </c>
      <c r="E4233" t="s">
        <v>653</v>
      </c>
      <c r="F4233" t="s">
        <v>658</v>
      </c>
      <c r="G4233" s="10">
        <v>6</v>
      </c>
      <c r="H4233" s="10">
        <v>2755</v>
      </c>
      <c r="I4233" s="10">
        <v>16530</v>
      </c>
      <c r="J4233" t="s">
        <v>37</v>
      </c>
      <c r="K4233" s="11">
        <v>648.20000000000005</v>
      </c>
      <c r="L4233" s="12">
        <v>25.5</v>
      </c>
    </row>
    <row r="4234" spans="1:12" x14ac:dyDescent="0.2">
      <c r="A4234" s="9">
        <v>46258</v>
      </c>
      <c r="B4234" t="s">
        <v>369</v>
      </c>
      <c r="C4234" t="s">
        <v>370</v>
      </c>
      <c r="D4234" t="s">
        <v>36</v>
      </c>
      <c r="E4234" t="s">
        <v>649</v>
      </c>
      <c r="F4234" t="s">
        <v>663</v>
      </c>
      <c r="G4234" s="10">
        <v>26</v>
      </c>
      <c r="H4234" s="10">
        <v>2005</v>
      </c>
      <c r="I4234" s="10">
        <v>52130</v>
      </c>
      <c r="J4234" t="s">
        <v>37</v>
      </c>
      <c r="K4234" s="11">
        <v>648.20000000000005</v>
      </c>
      <c r="L4234" s="12">
        <v>80.42</v>
      </c>
    </row>
    <row r="4235" spans="1:12" x14ac:dyDescent="0.2">
      <c r="A4235" s="9">
        <v>46258</v>
      </c>
      <c r="B4235" t="s">
        <v>369</v>
      </c>
      <c r="C4235" t="s">
        <v>370</v>
      </c>
      <c r="D4235" t="s">
        <v>36</v>
      </c>
      <c r="E4235" t="s">
        <v>647</v>
      </c>
      <c r="F4235" t="s">
        <v>648</v>
      </c>
      <c r="G4235" s="10">
        <v>15</v>
      </c>
      <c r="H4235" s="10">
        <v>15729</v>
      </c>
      <c r="I4235" s="10">
        <v>235935</v>
      </c>
      <c r="J4235" t="s">
        <v>37</v>
      </c>
      <c r="K4235" s="11">
        <v>648.20000000000005</v>
      </c>
      <c r="L4235" s="12">
        <v>363.98</v>
      </c>
    </row>
    <row r="4236" spans="1:12" x14ac:dyDescent="0.2">
      <c r="A4236" s="9">
        <v>46258</v>
      </c>
      <c r="B4236" t="s">
        <v>369</v>
      </c>
      <c r="C4236" t="s">
        <v>370</v>
      </c>
      <c r="D4236" t="s">
        <v>36</v>
      </c>
      <c r="E4236" t="s">
        <v>647</v>
      </c>
      <c r="F4236" t="s">
        <v>648</v>
      </c>
      <c r="G4236" s="10">
        <v>13</v>
      </c>
      <c r="H4236" s="10">
        <v>16461</v>
      </c>
      <c r="I4236" s="10">
        <v>213993</v>
      </c>
      <c r="J4236" t="s">
        <v>37</v>
      </c>
      <c r="K4236" s="11">
        <v>648.20000000000005</v>
      </c>
      <c r="L4236" s="12">
        <v>330.13</v>
      </c>
    </row>
    <row r="4237" spans="1:12" x14ac:dyDescent="0.2">
      <c r="A4237" s="9">
        <v>46258</v>
      </c>
      <c r="B4237" t="s">
        <v>372</v>
      </c>
      <c r="C4237" t="s">
        <v>373</v>
      </c>
      <c r="D4237" t="s">
        <v>75</v>
      </c>
      <c r="E4237" t="s">
        <v>653</v>
      </c>
      <c r="F4237" t="s">
        <v>666</v>
      </c>
      <c r="G4237" s="10">
        <v>7</v>
      </c>
      <c r="H4237" s="10">
        <v>7110</v>
      </c>
      <c r="I4237" s="10">
        <v>49770</v>
      </c>
      <c r="J4237" t="s">
        <v>42</v>
      </c>
      <c r="K4237" s="11">
        <v>3145.8</v>
      </c>
      <c r="L4237" s="12">
        <v>15.82</v>
      </c>
    </row>
    <row r="4238" spans="1:12" x14ac:dyDescent="0.2">
      <c r="A4238" s="9">
        <v>46258</v>
      </c>
      <c r="B4238" t="s">
        <v>372</v>
      </c>
      <c r="C4238" t="s">
        <v>373</v>
      </c>
      <c r="D4238" t="s">
        <v>75</v>
      </c>
      <c r="E4238" t="s">
        <v>647</v>
      </c>
      <c r="F4238" t="s">
        <v>648</v>
      </c>
      <c r="G4238" s="10">
        <v>11</v>
      </c>
      <c r="H4238" s="10">
        <v>80131</v>
      </c>
      <c r="I4238" s="10">
        <v>881441</v>
      </c>
      <c r="J4238" t="s">
        <v>42</v>
      </c>
      <c r="K4238" s="11">
        <v>3145.8</v>
      </c>
      <c r="L4238" s="12">
        <v>280.2</v>
      </c>
    </row>
    <row r="4239" spans="1:12" x14ac:dyDescent="0.2">
      <c r="A4239" s="9">
        <v>46258</v>
      </c>
      <c r="B4239" t="s">
        <v>375</v>
      </c>
      <c r="C4239" t="s">
        <v>376</v>
      </c>
      <c r="D4239" t="s">
        <v>36</v>
      </c>
      <c r="E4239" t="s">
        <v>653</v>
      </c>
      <c r="F4239" t="s">
        <v>654</v>
      </c>
      <c r="G4239" s="10">
        <v>9</v>
      </c>
      <c r="H4239" s="10">
        <v>5911</v>
      </c>
      <c r="I4239" s="10">
        <v>53199</v>
      </c>
      <c r="J4239" t="s">
        <v>37</v>
      </c>
      <c r="K4239" s="11">
        <v>648.20000000000005</v>
      </c>
      <c r="L4239" s="12">
        <v>82.07</v>
      </c>
    </row>
    <row r="4240" spans="1:12" x14ac:dyDescent="0.2">
      <c r="A4240" s="9">
        <v>46258</v>
      </c>
      <c r="B4240" t="s">
        <v>375</v>
      </c>
      <c r="C4240" t="s">
        <v>376</v>
      </c>
      <c r="D4240" t="s">
        <v>36</v>
      </c>
      <c r="E4240" t="s">
        <v>651</v>
      </c>
      <c r="F4240" t="s">
        <v>657</v>
      </c>
      <c r="G4240" s="10">
        <v>7</v>
      </c>
      <c r="H4240" s="10">
        <v>6334</v>
      </c>
      <c r="I4240" s="10">
        <v>44338</v>
      </c>
      <c r="J4240" t="s">
        <v>37</v>
      </c>
      <c r="K4240" s="11">
        <v>648.20000000000005</v>
      </c>
      <c r="L4240" s="12">
        <v>68.400000000000006</v>
      </c>
    </row>
    <row r="4241" spans="1:12" x14ac:dyDescent="0.2">
      <c r="A4241" s="9">
        <v>46258</v>
      </c>
      <c r="B4241" t="s">
        <v>375</v>
      </c>
      <c r="C4241" t="s">
        <v>376</v>
      </c>
      <c r="D4241" t="s">
        <v>36</v>
      </c>
      <c r="E4241" t="s">
        <v>651</v>
      </c>
      <c r="F4241" t="s">
        <v>657</v>
      </c>
      <c r="G4241" s="10">
        <v>36</v>
      </c>
      <c r="H4241" s="10">
        <v>6628</v>
      </c>
      <c r="I4241" s="10">
        <v>238608</v>
      </c>
      <c r="J4241" t="s">
        <v>37</v>
      </c>
      <c r="K4241" s="11">
        <v>648.20000000000005</v>
      </c>
      <c r="L4241" s="12">
        <v>368.11</v>
      </c>
    </row>
    <row r="4242" spans="1:12" x14ac:dyDescent="0.2">
      <c r="A4242" s="9">
        <v>46258</v>
      </c>
      <c r="B4242" t="s">
        <v>381</v>
      </c>
      <c r="C4242" t="s">
        <v>382</v>
      </c>
      <c r="D4242" t="s">
        <v>36</v>
      </c>
      <c r="E4242" t="s">
        <v>653</v>
      </c>
      <c r="F4242" t="s">
        <v>666</v>
      </c>
      <c r="G4242" s="10">
        <v>11</v>
      </c>
      <c r="H4242" s="10">
        <v>1565</v>
      </c>
      <c r="I4242" s="10">
        <v>17215</v>
      </c>
      <c r="J4242" t="s">
        <v>37</v>
      </c>
      <c r="K4242" s="11">
        <v>648.20000000000005</v>
      </c>
      <c r="L4242" s="12">
        <v>26.56</v>
      </c>
    </row>
    <row r="4243" spans="1:12" x14ac:dyDescent="0.2">
      <c r="A4243" s="9">
        <v>46258</v>
      </c>
      <c r="B4243" t="s">
        <v>381</v>
      </c>
      <c r="C4243" t="s">
        <v>382</v>
      </c>
      <c r="D4243" t="s">
        <v>36</v>
      </c>
      <c r="E4243" t="s">
        <v>660</v>
      </c>
      <c r="F4243" t="s">
        <v>670</v>
      </c>
      <c r="G4243" s="10">
        <v>30</v>
      </c>
      <c r="H4243" s="10">
        <v>14168</v>
      </c>
      <c r="I4243" s="10">
        <v>425040</v>
      </c>
      <c r="J4243" t="s">
        <v>37</v>
      </c>
      <c r="K4243" s="11">
        <v>648.20000000000005</v>
      </c>
      <c r="L4243" s="12">
        <v>655.72</v>
      </c>
    </row>
    <row r="4244" spans="1:12" x14ac:dyDescent="0.2">
      <c r="A4244" s="9">
        <v>46258</v>
      </c>
      <c r="B4244" t="s">
        <v>384</v>
      </c>
      <c r="C4244" t="s">
        <v>385</v>
      </c>
      <c r="D4244" t="s">
        <v>46</v>
      </c>
      <c r="E4244" t="s">
        <v>647</v>
      </c>
      <c r="F4244" t="s">
        <v>648</v>
      </c>
      <c r="G4244" s="10">
        <v>7</v>
      </c>
      <c r="H4244" s="10">
        <v>16394</v>
      </c>
      <c r="I4244" s="10">
        <v>114758</v>
      </c>
      <c r="J4244" t="s">
        <v>37</v>
      </c>
      <c r="K4244" s="11">
        <v>648.20000000000005</v>
      </c>
      <c r="L4244" s="12">
        <v>177.04</v>
      </c>
    </row>
    <row r="4245" spans="1:12" x14ac:dyDescent="0.2">
      <c r="A4245" s="9">
        <v>46258</v>
      </c>
      <c r="B4245" t="s">
        <v>384</v>
      </c>
      <c r="C4245" t="s">
        <v>385</v>
      </c>
      <c r="D4245" t="s">
        <v>46</v>
      </c>
      <c r="E4245" t="s">
        <v>647</v>
      </c>
      <c r="F4245" t="s">
        <v>648</v>
      </c>
      <c r="G4245" s="10">
        <v>2</v>
      </c>
      <c r="H4245" s="10">
        <v>16859</v>
      </c>
      <c r="I4245" s="10">
        <v>33718</v>
      </c>
      <c r="J4245" t="s">
        <v>37</v>
      </c>
      <c r="K4245" s="11">
        <v>648.20000000000005</v>
      </c>
      <c r="L4245" s="12">
        <v>52.02</v>
      </c>
    </row>
    <row r="4246" spans="1:12" x14ac:dyDescent="0.2">
      <c r="A4246" s="9">
        <v>46258</v>
      </c>
      <c r="B4246" t="s">
        <v>390</v>
      </c>
      <c r="C4246" t="s">
        <v>391</v>
      </c>
      <c r="D4246" t="s">
        <v>46</v>
      </c>
      <c r="E4246" t="s">
        <v>660</v>
      </c>
      <c r="F4246" t="s">
        <v>661</v>
      </c>
      <c r="G4246" s="10">
        <v>17</v>
      </c>
      <c r="H4246" s="10">
        <v>4343</v>
      </c>
      <c r="I4246" s="10">
        <v>73831</v>
      </c>
      <c r="J4246" t="s">
        <v>37</v>
      </c>
      <c r="K4246" s="11">
        <v>648.20000000000005</v>
      </c>
      <c r="L4246" s="12">
        <v>113.9</v>
      </c>
    </row>
    <row r="4247" spans="1:12" x14ac:dyDescent="0.2">
      <c r="A4247" s="9">
        <v>46258</v>
      </c>
      <c r="B4247" t="s">
        <v>393</v>
      </c>
      <c r="C4247" t="s">
        <v>307</v>
      </c>
      <c r="D4247" t="s">
        <v>68</v>
      </c>
      <c r="E4247" t="s">
        <v>649</v>
      </c>
      <c r="F4247" t="s">
        <v>663</v>
      </c>
      <c r="G4247" s="10">
        <v>92</v>
      </c>
      <c r="H4247" s="10">
        <v>1963</v>
      </c>
      <c r="I4247" s="10">
        <v>180596</v>
      </c>
      <c r="J4247" t="s">
        <v>51</v>
      </c>
      <c r="K4247" s="11">
        <v>648.20000000000005</v>
      </c>
      <c r="L4247" s="12">
        <v>278.61</v>
      </c>
    </row>
    <row r="4248" spans="1:12" x14ac:dyDescent="0.2">
      <c r="A4248" s="9">
        <v>46258</v>
      </c>
      <c r="B4248" t="s">
        <v>393</v>
      </c>
      <c r="C4248" t="s">
        <v>307</v>
      </c>
      <c r="D4248" t="s">
        <v>68</v>
      </c>
      <c r="E4248" t="s">
        <v>660</v>
      </c>
      <c r="F4248" t="s">
        <v>661</v>
      </c>
      <c r="G4248" s="10">
        <v>65</v>
      </c>
      <c r="H4248" s="10">
        <v>4147</v>
      </c>
      <c r="I4248" s="10">
        <v>269555</v>
      </c>
      <c r="J4248" t="s">
        <v>51</v>
      </c>
      <c r="K4248" s="11">
        <v>648.20000000000005</v>
      </c>
      <c r="L4248" s="12">
        <v>415.85</v>
      </c>
    </row>
    <row r="4249" spans="1:12" x14ac:dyDescent="0.2">
      <c r="A4249" s="9">
        <v>46258</v>
      </c>
      <c r="B4249" t="s">
        <v>395</v>
      </c>
      <c r="C4249" t="s">
        <v>396</v>
      </c>
      <c r="D4249" t="s">
        <v>46</v>
      </c>
      <c r="E4249" t="s">
        <v>660</v>
      </c>
      <c r="F4249" t="s">
        <v>669</v>
      </c>
      <c r="G4249" s="10">
        <v>1</v>
      </c>
      <c r="H4249" s="10">
        <v>2573</v>
      </c>
      <c r="I4249" s="10">
        <v>2573</v>
      </c>
      <c r="J4249" t="s">
        <v>37</v>
      </c>
      <c r="K4249" s="11">
        <v>648.20000000000005</v>
      </c>
      <c r="L4249" s="12">
        <v>3.97</v>
      </c>
    </row>
    <row r="4250" spans="1:12" x14ac:dyDescent="0.2">
      <c r="A4250" s="9">
        <v>46258</v>
      </c>
      <c r="B4250" t="s">
        <v>398</v>
      </c>
      <c r="C4250" t="s">
        <v>399</v>
      </c>
      <c r="D4250" t="s">
        <v>46</v>
      </c>
      <c r="E4250" t="s">
        <v>655</v>
      </c>
      <c r="F4250" t="s">
        <v>656</v>
      </c>
      <c r="G4250" s="10">
        <v>23</v>
      </c>
      <c r="H4250" s="10">
        <v>599</v>
      </c>
      <c r="I4250" s="10">
        <v>13777</v>
      </c>
      <c r="J4250" t="s">
        <v>37</v>
      </c>
      <c r="K4250" s="11">
        <v>648.20000000000005</v>
      </c>
      <c r="L4250" s="12">
        <v>21.25</v>
      </c>
    </row>
    <row r="4251" spans="1:12" x14ac:dyDescent="0.2">
      <c r="A4251" s="9">
        <v>46258</v>
      </c>
      <c r="B4251" t="s">
        <v>401</v>
      </c>
      <c r="C4251" t="s">
        <v>402</v>
      </c>
      <c r="D4251" t="s">
        <v>36</v>
      </c>
      <c r="E4251" t="s">
        <v>655</v>
      </c>
      <c r="F4251" t="s">
        <v>662</v>
      </c>
      <c r="G4251" s="10">
        <v>9</v>
      </c>
      <c r="H4251" s="10">
        <v>1137</v>
      </c>
      <c r="I4251" s="10">
        <v>10233</v>
      </c>
      <c r="J4251" t="s">
        <v>37</v>
      </c>
      <c r="K4251" s="11">
        <v>648.20000000000005</v>
      </c>
      <c r="L4251" s="12">
        <v>15.79</v>
      </c>
    </row>
    <row r="4252" spans="1:12" x14ac:dyDescent="0.2">
      <c r="A4252" s="9">
        <v>46258</v>
      </c>
      <c r="B4252" t="s">
        <v>401</v>
      </c>
      <c r="C4252" t="s">
        <v>402</v>
      </c>
      <c r="D4252" t="s">
        <v>36</v>
      </c>
      <c r="E4252" t="s">
        <v>660</v>
      </c>
      <c r="F4252" t="s">
        <v>661</v>
      </c>
      <c r="G4252" s="10">
        <v>19</v>
      </c>
      <c r="H4252" s="10">
        <v>4259</v>
      </c>
      <c r="I4252" s="10">
        <v>80921</v>
      </c>
      <c r="J4252" t="s">
        <v>37</v>
      </c>
      <c r="K4252" s="11">
        <v>648.20000000000005</v>
      </c>
      <c r="L4252" s="12">
        <v>124.84</v>
      </c>
    </row>
    <row r="4253" spans="1:12" x14ac:dyDescent="0.2">
      <c r="A4253" s="9">
        <v>46258</v>
      </c>
      <c r="B4253" t="s">
        <v>407</v>
      </c>
      <c r="C4253" t="s">
        <v>408</v>
      </c>
      <c r="D4253" t="s">
        <v>75</v>
      </c>
      <c r="E4253" t="s">
        <v>647</v>
      </c>
      <c r="F4253" t="s">
        <v>648</v>
      </c>
      <c r="G4253" s="10">
        <v>8</v>
      </c>
      <c r="H4253" s="10">
        <v>76136</v>
      </c>
      <c r="I4253" s="10">
        <v>609088</v>
      </c>
      <c r="J4253" t="s">
        <v>42</v>
      </c>
      <c r="K4253" s="11">
        <v>3145.8</v>
      </c>
      <c r="L4253" s="12">
        <v>193.62</v>
      </c>
    </row>
    <row r="4254" spans="1:12" x14ac:dyDescent="0.2">
      <c r="A4254" s="9">
        <v>46258</v>
      </c>
      <c r="B4254" t="s">
        <v>410</v>
      </c>
      <c r="C4254" t="s">
        <v>411</v>
      </c>
      <c r="D4254" t="s">
        <v>46</v>
      </c>
      <c r="E4254" t="s">
        <v>653</v>
      </c>
      <c r="F4254" t="s">
        <v>658</v>
      </c>
      <c r="G4254" s="10">
        <v>6</v>
      </c>
      <c r="H4254" s="10">
        <v>2639</v>
      </c>
      <c r="I4254" s="10">
        <v>15834</v>
      </c>
      <c r="J4254" t="s">
        <v>37</v>
      </c>
      <c r="K4254" s="11">
        <v>648.20000000000005</v>
      </c>
      <c r="L4254" s="12">
        <v>24.43</v>
      </c>
    </row>
    <row r="4255" spans="1:12" x14ac:dyDescent="0.2">
      <c r="A4255" s="9">
        <v>46258</v>
      </c>
      <c r="B4255" t="s">
        <v>410</v>
      </c>
      <c r="C4255" t="s">
        <v>411</v>
      </c>
      <c r="D4255" t="s">
        <v>46</v>
      </c>
      <c r="E4255" t="s">
        <v>653</v>
      </c>
      <c r="F4255" t="s">
        <v>654</v>
      </c>
      <c r="G4255" s="10">
        <v>34</v>
      </c>
      <c r="H4255" s="10">
        <v>5861</v>
      </c>
      <c r="I4255" s="10">
        <v>199274</v>
      </c>
      <c r="J4255" t="s">
        <v>37</v>
      </c>
      <c r="K4255" s="11">
        <v>648.20000000000005</v>
      </c>
      <c r="L4255" s="12">
        <v>307.43</v>
      </c>
    </row>
    <row r="4256" spans="1:12" x14ac:dyDescent="0.2">
      <c r="A4256" s="9">
        <v>46258</v>
      </c>
      <c r="B4256" t="s">
        <v>413</v>
      </c>
      <c r="C4256" t="s">
        <v>414</v>
      </c>
      <c r="D4256" t="s">
        <v>41</v>
      </c>
      <c r="E4256" t="s">
        <v>655</v>
      </c>
      <c r="F4256" t="s">
        <v>656</v>
      </c>
      <c r="G4256" s="10">
        <v>18</v>
      </c>
      <c r="H4256" s="10">
        <v>2819</v>
      </c>
      <c r="I4256" s="10">
        <v>50742</v>
      </c>
      <c r="J4256" t="s">
        <v>42</v>
      </c>
      <c r="K4256" s="11">
        <v>3145.8</v>
      </c>
      <c r="L4256" s="12">
        <v>16.13</v>
      </c>
    </row>
    <row r="4257" spans="1:12" x14ac:dyDescent="0.2">
      <c r="A4257" s="9">
        <v>46258</v>
      </c>
      <c r="B4257" t="s">
        <v>419</v>
      </c>
      <c r="C4257" t="s">
        <v>420</v>
      </c>
      <c r="D4257" t="s">
        <v>46</v>
      </c>
      <c r="E4257" t="s">
        <v>660</v>
      </c>
      <c r="F4257" t="s">
        <v>669</v>
      </c>
      <c r="G4257" s="10">
        <v>41</v>
      </c>
      <c r="H4257" s="10">
        <v>2605</v>
      </c>
      <c r="I4257" s="10">
        <v>106805</v>
      </c>
      <c r="J4257" t="s">
        <v>37</v>
      </c>
      <c r="K4257" s="11">
        <v>648.20000000000005</v>
      </c>
      <c r="L4257" s="12">
        <v>164.77</v>
      </c>
    </row>
    <row r="4258" spans="1:12" x14ac:dyDescent="0.2">
      <c r="A4258" s="9">
        <v>46258</v>
      </c>
      <c r="B4258" t="s">
        <v>419</v>
      </c>
      <c r="C4258" t="s">
        <v>420</v>
      </c>
      <c r="D4258" t="s">
        <v>46</v>
      </c>
      <c r="E4258" t="s">
        <v>660</v>
      </c>
      <c r="F4258" t="s">
        <v>669</v>
      </c>
      <c r="G4258" s="10">
        <v>2</v>
      </c>
      <c r="H4258" s="10">
        <v>2623</v>
      </c>
      <c r="I4258" s="10">
        <v>5246</v>
      </c>
      <c r="J4258" t="s">
        <v>37</v>
      </c>
      <c r="K4258" s="11">
        <v>648.20000000000005</v>
      </c>
      <c r="L4258" s="12">
        <v>8.09</v>
      </c>
    </row>
    <row r="4259" spans="1:12" x14ac:dyDescent="0.2">
      <c r="A4259" s="9">
        <v>46258</v>
      </c>
      <c r="B4259" t="s">
        <v>419</v>
      </c>
      <c r="C4259" t="s">
        <v>420</v>
      </c>
      <c r="D4259" t="s">
        <v>46</v>
      </c>
      <c r="E4259" t="s">
        <v>653</v>
      </c>
      <c r="F4259" t="s">
        <v>654</v>
      </c>
      <c r="G4259" s="10">
        <v>2</v>
      </c>
      <c r="H4259" s="10">
        <v>5742</v>
      </c>
      <c r="I4259" s="10">
        <v>11484</v>
      </c>
      <c r="J4259" t="s">
        <v>37</v>
      </c>
      <c r="K4259" s="11">
        <v>648.20000000000005</v>
      </c>
      <c r="L4259" s="12">
        <v>17.72</v>
      </c>
    </row>
    <row r="4260" spans="1:12" x14ac:dyDescent="0.2">
      <c r="A4260" s="9">
        <v>46258</v>
      </c>
      <c r="B4260" t="s">
        <v>419</v>
      </c>
      <c r="C4260" t="s">
        <v>420</v>
      </c>
      <c r="D4260" t="s">
        <v>46</v>
      </c>
      <c r="E4260" t="s">
        <v>655</v>
      </c>
      <c r="F4260" t="s">
        <v>656</v>
      </c>
      <c r="G4260" s="10">
        <v>4</v>
      </c>
      <c r="H4260" s="10">
        <v>555</v>
      </c>
      <c r="I4260" s="10">
        <v>2220</v>
      </c>
      <c r="J4260" t="s">
        <v>37</v>
      </c>
      <c r="K4260" s="11">
        <v>648.20000000000005</v>
      </c>
      <c r="L4260" s="12">
        <v>3.42</v>
      </c>
    </row>
    <row r="4261" spans="1:12" x14ac:dyDescent="0.2">
      <c r="A4261" s="9">
        <v>46258</v>
      </c>
      <c r="B4261" t="s">
        <v>425</v>
      </c>
      <c r="C4261" t="s">
        <v>426</v>
      </c>
      <c r="D4261" t="s">
        <v>50</v>
      </c>
      <c r="E4261" t="s">
        <v>649</v>
      </c>
      <c r="F4261" t="s">
        <v>663</v>
      </c>
      <c r="G4261" s="10">
        <v>8</v>
      </c>
      <c r="H4261" s="10">
        <v>1961</v>
      </c>
      <c r="I4261" s="10">
        <v>15688</v>
      </c>
      <c r="J4261" t="s">
        <v>51</v>
      </c>
      <c r="K4261" s="11">
        <v>648.20000000000005</v>
      </c>
      <c r="L4261" s="12">
        <v>24.2</v>
      </c>
    </row>
    <row r="4262" spans="1:12" x14ac:dyDescent="0.2">
      <c r="A4262" s="9">
        <v>46258</v>
      </c>
      <c r="B4262" t="s">
        <v>425</v>
      </c>
      <c r="C4262" t="s">
        <v>426</v>
      </c>
      <c r="D4262" t="s">
        <v>50</v>
      </c>
      <c r="E4262" t="s">
        <v>651</v>
      </c>
      <c r="F4262" t="s">
        <v>664</v>
      </c>
      <c r="G4262" s="10">
        <v>4</v>
      </c>
      <c r="H4262" s="10">
        <v>11786</v>
      </c>
      <c r="I4262" s="10">
        <v>47144</v>
      </c>
      <c r="J4262" t="s">
        <v>51</v>
      </c>
      <c r="K4262" s="11">
        <v>648.20000000000005</v>
      </c>
      <c r="L4262" s="12">
        <v>72.73</v>
      </c>
    </row>
    <row r="4263" spans="1:12" x14ac:dyDescent="0.2">
      <c r="A4263" s="9">
        <v>46258</v>
      </c>
      <c r="B4263" t="s">
        <v>431</v>
      </c>
      <c r="C4263" t="s">
        <v>432</v>
      </c>
      <c r="D4263" t="s">
        <v>36</v>
      </c>
      <c r="E4263" t="s">
        <v>660</v>
      </c>
      <c r="F4263" t="s">
        <v>669</v>
      </c>
      <c r="G4263" s="10">
        <v>2</v>
      </c>
      <c r="H4263" s="10">
        <v>2677</v>
      </c>
      <c r="I4263" s="10">
        <v>5354</v>
      </c>
      <c r="J4263" t="s">
        <v>37</v>
      </c>
      <c r="K4263" s="11">
        <v>648.20000000000005</v>
      </c>
      <c r="L4263" s="12">
        <v>8.26</v>
      </c>
    </row>
    <row r="4264" spans="1:12" x14ac:dyDescent="0.2">
      <c r="A4264" s="9">
        <v>46258</v>
      </c>
      <c r="B4264" t="s">
        <v>431</v>
      </c>
      <c r="C4264" t="s">
        <v>432</v>
      </c>
      <c r="D4264" t="s">
        <v>36</v>
      </c>
      <c r="E4264" t="s">
        <v>647</v>
      </c>
      <c r="F4264" t="s">
        <v>667</v>
      </c>
      <c r="G4264" s="10">
        <v>9</v>
      </c>
      <c r="H4264" s="10">
        <v>7361</v>
      </c>
      <c r="I4264" s="10">
        <v>66249</v>
      </c>
      <c r="J4264" t="s">
        <v>37</v>
      </c>
      <c r="K4264" s="11">
        <v>648.20000000000005</v>
      </c>
      <c r="L4264" s="12">
        <v>102.2</v>
      </c>
    </row>
    <row r="4265" spans="1:12" x14ac:dyDescent="0.2">
      <c r="A4265" s="9">
        <v>46258</v>
      </c>
      <c r="B4265" t="s">
        <v>439</v>
      </c>
      <c r="C4265" t="s">
        <v>440</v>
      </c>
      <c r="D4265" t="s">
        <v>50</v>
      </c>
      <c r="E4265" t="s">
        <v>660</v>
      </c>
      <c r="F4265" t="s">
        <v>670</v>
      </c>
      <c r="G4265" s="10">
        <v>7</v>
      </c>
      <c r="H4265" s="10">
        <v>14050</v>
      </c>
      <c r="I4265" s="10">
        <v>98350</v>
      </c>
      <c r="J4265" t="s">
        <v>51</v>
      </c>
      <c r="K4265" s="11">
        <v>648.20000000000005</v>
      </c>
      <c r="L4265" s="12">
        <v>151.72999999999999</v>
      </c>
    </row>
    <row r="4266" spans="1:12" x14ac:dyDescent="0.2">
      <c r="A4266" s="9">
        <v>46258</v>
      </c>
      <c r="B4266" t="s">
        <v>439</v>
      </c>
      <c r="C4266" t="s">
        <v>440</v>
      </c>
      <c r="D4266" t="s">
        <v>50</v>
      </c>
      <c r="E4266" t="s">
        <v>660</v>
      </c>
      <c r="F4266" t="s">
        <v>661</v>
      </c>
      <c r="G4266" s="10">
        <v>2</v>
      </c>
      <c r="H4266" s="10">
        <v>4131</v>
      </c>
      <c r="I4266" s="10">
        <v>8262</v>
      </c>
      <c r="J4266" t="s">
        <v>51</v>
      </c>
      <c r="K4266" s="11">
        <v>648.20000000000005</v>
      </c>
      <c r="L4266" s="12">
        <v>12.75</v>
      </c>
    </row>
    <row r="4267" spans="1:12" x14ac:dyDescent="0.2">
      <c r="A4267" s="9">
        <v>46258</v>
      </c>
      <c r="B4267" t="s">
        <v>439</v>
      </c>
      <c r="C4267" t="s">
        <v>440</v>
      </c>
      <c r="D4267" t="s">
        <v>50</v>
      </c>
      <c r="E4267" t="s">
        <v>653</v>
      </c>
      <c r="F4267" t="s">
        <v>654</v>
      </c>
      <c r="G4267" s="10">
        <v>7</v>
      </c>
      <c r="H4267" s="10">
        <v>5653</v>
      </c>
      <c r="I4267" s="10">
        <v>39571</v>
      </c>
      <c r="J4267" t="s">
        <v>51</v>
      </c>
      <c r="K4267" s="11">
        <v>648.20000000000005</v>
      </c>
      <c r="L4267" s="12">
        <v>61.05</v>
      </c>
    </row>
    <row r="4268" spans="1:12" x14ac:dyDescent="0.2">
      <c r="A4268" s="9">
        <v>46258</v>
      </c>
      <c r="B4268" t="s">
        <v>442</v>
      </c>
      <c r="C4268" t="s">
        <v>443</v>
      </c>
      <c r="D4268" t="s">
        <v>41</v>
      </c>
      <c r="E4268" t="s">
        <v>647</v>
      </c>
      <c r="F4268" t="s">
        <v>648</v>
      </c>
      <c r="G4268" s="10">
        <v>6</v>
      </c>
      <c r="H4268" s="10">
        <v>80714</v>
      </c>
      <c r="I4268" s="10">
        <v>484284</v>
      </c>
      <c r="J4268" t="s">
        <v>42</v>
      </c>
      <c r="K4268" s="11">
        <v>3145.8</v>
      </c>
      <c r="L4268" s="12">
        <v>153.94999999999999</v>
      </c>
    </row>
    <row r="4269" spans="1:12" x14ac:dyDescent="0.2">
      <c r="A4269" s="9">
        <v>46258</v>
      </c>
      <c r="B4269" t="s">
        <v>445</v>
      </c>
      <c r="C4269" t="s">
        <v>446</v>
      </c>
      <c r="D4269" t="s">
        <v>68</v>
      </c>
      <c r="E4269" t="s">
        <v>649</v>
      </c>
      <c r="F4269" t="s">
        <v>663</v>
      </c>
      <c r="G4269" s="10">
        <v>10</v>
      </c>
      <c r="H4269" s="10">
        <v>2101</v>
      </c>
      <c r="I4269" s="10">
        <v>21010</v>
      </c>
      <c r="J4269" t="s">
        <v>51</v>
      </c>
      <c r="K4269" s="11">
        <v>648.20000000000005</v>
      </c>
      <c r="L4269" s="12">
        <v>32.409999999999997</v>
      </c>
    </row>
    <row r="4270" spans="1:12" x14ac:dyDescent="0.2">
      <c r="A4270" s="9">
        <v>46258</v>
      </c>
      <c r="B4270" t="s">
        <v>445</v>
      </c>
      <c r="C4270" t="s">
        <v>446</v>
      </c>
      <c r="D4270" t="s">
        <v>68</v>
      </c>
      <c r="E4270" t="s">
        <v>647</v>
      </c>
      <c r="F4270" t="s">
        <v>668</v>
      </c>
      <c r="G4270" s="10">
        <v>9</v>
      </c>
      <c r="H4270" s="10">
        <v>24872</v>
      </c>
      <c r="I4270" s="10">
        <v>223848</v>
      </c>
      <c r="J4270" t="s">
        <v>51</v>
      </c>
      <c r="K4270" s="11">
        <v>648.20000000000005</v>
      </c>
      <c r="L4270" s="12">
        <v>345.34</v>
      </c>
    </row>
    <row r="4271" spans="1:12" x14ac:dyDescent="0.2">
      <c r="A4271" s="9">
        <v>46258</v>
      </c>
      <c r="B4271" t="s">
        <v>448</v>
      </c>
      <c r="C4271" t="s">
        <v>449</v>
      </c>
      <c r="D4271" t="s">
        <v>75</v>
      </c>
      <c r="E4271" t="s">
        <v>660</v>
      </c>
      <c r="F4271" t="s">
        <v>669</v>
      </c>
      <c r="G4271" s="10">
        <v>68</v>
      </c>
      <c r="H4271" s="10">
        <v>12388</v>
      </c>
      <c r="I4271" s="10">
        <v>842384</v>
      </c>
      <c r="J4271" t="s">
        <v>42</v>
      </c>
      <c r="K4271" s="11">
        <v>3145.8</v>
      </c>
      <c r="L4271" s="12">
        <v>267.77999999999997</v>
      </c>
    </row>
    <row r="4272" spans="1:12" x14ac:dyDescent="0.2">
      <c r="A4272" s="9">
        <v>46258</v>
      </c>
      <c r="B4272" t="s">
        <v>457</v>
      </c>
      <c r="C4272" t="s">
        <v>458</v>
      </c>
      <c r="D4272" t="s">
        <v>46</v>
      </c>
      <c r="E4272" t="s">
        <v>655</v>
      </c>
      <c r="F4272" t="s">
        <v>662</v>
      </c>
      <c r="G4272" s="10">
        <v>44</v>
      </c>
      <c r="H4272" s="10">
        <v>1102</v>
      </c>
      <c r="I4272" s="10">
        <v>48488</v>
      </c>
      <c r="J4272" t="s">
        <v>37</v>
      </c>
      <c r="K4272" s="11">
        <v>648.20000000000005</v>
      </c>
      <c r="L4272" s="12">
        <v>74.8</v>
      </c>
    </row>
    <row r="4273" spans="1:12" x14ac:dyDescent="0.2">
      <c r="A4273" s="9">
        <v>46258</v>
      </c>
      <c r="B4273" t="s">
        <v>460</v>
      </c>
      <c r="C4273" t="s">
        <v>461</v>
      </c>
      <c r="D4273" t="s">
        <v>75</v>
      </c>
      <c r="E4273" t="s">
        <v>655</v>
      </c>
      <c r="F4273" t="s">
        <v>662</v>
      </c>
      <c r="G4273" s="10">
        <v>40</v>
      </c>
      <c r="H4273" s="10">
        <v>5423</v>
      </c>
      <c r="I4273" s="10">
        <v>216920</v>
      </c>
      <c r="J4273" t="s">
        <v>42</v>
      </c>
      <c r="K4273" s="11">
        <v>3145.8</v>
      </c>
      <c r="L4273" s="12">
        <v>68.959999999999994</v>
      </c>
    </row>
    <row r="4274" spans="1:12" x14ac:dyDescent="0.2">
      <c r="A4274" s="9">
        <v>46258</v>
      </c>
      <c r="B4274" t="s">
        <v>460</v>
      </c>
      <c r="C4274" t="s">
        <v>461</v>
      </c>
      <c r="D4274" t="s">
        <v>75</v>
      </c>
      <c r="E4274" t="s">
        <v>651</v>
      </c>
      <c r="F4274" t="s">
        <v>657</v>
      </c>
      <c r="G4274" s="10">
        <v>22</v>
      </c>
      <c r="H4274" s="10">
        <v>31427</v>
      </c>
      <c r="I4274" s="10">
        <v>691394</v>
      </c>
      <c r="J4274" t="s">
        <v>42</v>
      </c>
      <c r="K4274" s="11">
        <v>3145.8</v>
      </c>
      <c r="L4274" s="12">
        <v>219.78</v>
      </c>
    </row>
    <row r="4275" spans="1:12" x14ac:dyDescent="0.2">
      <c r="A4275" s="9">
        <v>46258</v>
      </c>
      <c r="B4275" t="s">
        <v>460</v>
      </c>
      <c r="C4275" t="s">
        <v>461</v>
      </c>
      <c r="D4275" t="s">
        <v>75</v>
      </c>
      <c r="E4275" t="s">
        <v>651</v>
      </c>
      <c r="F4275" t="s">
        <v>664</v>
      </c>
      <c r="G4275" s="10">
        <v>25</v>
      </c>
      <c r="H4275" s="10">
        <v>59413</v>
      </c>
      <c r="I4275" s="10">
        <v>1485325</v>
      </c>
      <c r="J4275" t="s">
        <v>42</v>
      </c>
      <c r="K4275" s="11">
        <v>3145.8</v>
      </c>
      <c r="L4275" s="12">
        <v>472.16</v>
      </c>
    </row>
    <row r="4276" spans="1:12" x14ac:dyDescent="0.2">
      <c r="A4276" s="9">
        <v>46258</v>
      </c>
      <c r="B4276" t="s">
        <v>469</v>
      </c>
      <c r="C4276" t="s">
        <v>470</v>
      </c>
      <c r="D4276" t="s">
        <v>41</v>
      </c>
      <c r="E4276" t="s">
        <v>653</v>
      </c>
      <c r="F4276" t="s">
        <v>666</v>
      </c>
      <c r="G4276" s="10">
        <v>32</v>
      </c>
      <c r="H4276" s="10">
        <v>7059</v>
      </c>
      <c r="I4276" s="10">
        <v>225888</v>
      </c>
      <c r="J4276" t="s">
        <v>42</v>
      </c>
      <c r="K4276" s="11">
        <v>3145.8</v>
      </c>
      <c r="L4276" s="12">
        <v>71.81</v>
      </c>
    </row>
    <row r="4277" spans="1:12" x14ac:dyDescent="0.2">
      <c r="A4277" s="9">
        <v>46258</v>
      </c>
      <c r="B4277" t="s">
        <v>469</v>
      </c>
      <c r="C4277" t="s">
        <v>470</v>
      </c>
      <c r="D4277" t="s">
        <v>41</v>
      </c>
      <c r="E4277" t="s">
        <v>660</v>
      </c>
      <c r="F4277" t="s">
        <v>670</v>
      </c>
      <c r="G4277" s="10">
        <v>61</v>
      </c>
      <c r="H4277" s="10">
        <v>68888</v>
      </c>
      <c r="I4277" s="10">
        <v>4202168</v>
      </c>
      <c r="J4277" t="s">
        <v>42</v>
      </c>
      <c r="K4277" s="11">
        <v>3145.8</v>
      </c>
      <c r="L4277" s="12">
        <v>1335.8</v>
      </c>
    </row>
    <row r="4278" spans="1:12" x14ac:dyDescent="0.2">
      <c r="A4278" s="9">
        <v>46258</v>
      </c>
      <c r="B4278" t="s">
        <v>469</v>
      </c>
      <c r="C4278" t="s">
        <v>470</v>
      </c>
      <c r="D4278" t="s">
        <v>41</v>
      </c>
      <c r="E4278" t="s">
        <v>653</v>
      </c>
      <c r="F4278" t="s">
        <v>654</v>
      </c>
      <c r="G4278" s="10">
        <v>5</v>
      </c>
      <c r="H4278" s="10">
        <v>28564</v>
      </c>
      <c r="I4278" s="10">
        <v>142820</v>
      </c>
      <c r="J4278" t="s">
        <v>42</v>
      </c>
      <c r="K4278" s="11">
        <v>3145.8</v>
      </c>
      <c r="L4278" s="12">
        <v>45.4</v>
      </c>
    </row>
    <row r="4279" spans="1:12" x14ac:dyDescent="0.2">
      <c r="A4279" s="9">
        <v>46258</v>
      </c>
      <c r="B4279" t="s">
        <v>469</v>
      </c>
      <c r="C4279" t="s">
        <v>470</v>
      </c>
      <c r="D4279" t="s">
        <v>41</v>
      </c>
      <c r="E4279" t="s">
        <v>647</v>
      </c>
      <c r="F4279" t="s">
        <v>667</v>
      </c>
      <c r="G4279" s="10">
        <v>25</v>
      </c>
      <c r="H4279" s="10">
        <v>36146</v>
      </c>
      <c r="I4279" s="10">
        <v>903650</v>
      </c>
      <c r="J4279" t="s">
        <v>42</v>
      </c>
      <c r="K4279" s="11">
        <v>3145.8</v>
      </c>
      <c r="L4279" s="12">
        <v>287.26</v>
      </c>
    </row>
    <row r="4280" spans="1:12" x14ac:dyDescent="0.2">
      <c r="A4280" s="9">
        <v>46258</v>
      </c>
      <c r="B4280" t="s">
        <v>478</v>
      </c>
      <c r="C4280" t="s">
        <v>479</v>
      </c>
      <c r="D4280" t="s">
        <v>75</v>
      </c>
      <c r="E4280" t="s">
        <v>655</v>
      </c>
      <c r="F4280" t="s">
        <v>662</v>
      </c>
      <c r="G4280" s="10">
        <v>1</v>
      </c>
      <c r="H4280" s="10">
        <v>5530</v>
      </c>
      <c r="I4280" s="10">
        <v>5530</v>
      </c>
      <c r="J4280" t="s">
        <v>42</v>
      </c>
      <c r="K4280" s="11">
        <v>3145.8</v>
      </c>
      <c r="L4280" s="12">
        <v>1.76</v>
      </c>
    </row>
    <row r="4281" spans="1:12" x14ac:dyDescent="0.2">
      <c r="A4281" s="9">
        <v>46258</v>
      </c>
      <c r="B4281" t="s">
        <v>481</v>
      </c>
      <c r="C4281" t="s">
        <v>78</v>
      </c>
      <c r="D4281" t="s">
        <v>41</v>
      </c>
      <c r="E4281" t="s">
        <v>653</v>
      </c>
      <c r="F4281" t="s">
        <v>654</v>
      </c>
      <c r="G4281" s="10">
        <v>26</v>
      </c>
      <c r="H4281" s="10">
        <v>27909</v>
      </c>
      <c r="I4281" s="10">
        <v>725634</v>
      </c>
      <c r="J4281" t="s">
        <v>42</v>
      </c>
      <c r="K4281" s="11">
        <v>3145.8</v>
      </c>
      <c r="L4281" s="12">
        <v>230.67</v>
      </c>
    </row>
    <row r="4282" spans="1:12" x14ac:dyDescent="0.2">
      <c r="A4282" s="9">
        <v>46258</v>
      </c>
      <c r="B4282" t="s">
        <v>483</v>
      </c>
      <c r="C4282" t="s">
        <v>340</v>
      </c>
      <c r="D4282" t="s">
        <v>46</v>
      </c>
      <c r="E4282" t="s">
        <v>655</v>
      </c>
      <c r="F4282" t="s">
        <v>662</v>
      </c>
      <c r="G4282" s="10">
        <v>17</v>
      </c>
      <c r="H4282" s="10">
        <v>1141</v>
      </c>
      <c r="I4282" s="10">
        <v>19397</v>
      </c>
      <c r="J4282" t="s">
        <v>37</v>
      </c>
      <c r="K4282" s="11">
        <v>648.20000000000005</v>
      </c>
      <c r="L4282" s="12">
        <v>29.92</v>
      </c>
    </row>
    <row r="4283" spans="1:12" x14ac:dyDescent="0.2">
      <c r="A4283" s="9">
        <v>46258</v>
      </c>
      <c r="B4283" t="s">
        <v>483</v>
      </c>
      <c r="C4283" t="s">
        <v>340</v>
      </c>
      <c r="D4283" t="s">
        <v>46</v>
      </c>
      <c r="E4283" t="s">
        <v>655</v>
      </c>
      <c r="F4283" t="s">
        <v>656</v>
      </c>
      <c r="G4283" s="10">
        <v>2</v>
      </c>
      <c r="H4283" s="10">
        <v>590</v>
      </c>
      <c r="I4283" s="10">
        <v>1180</v>
      </c>
      <c r="J4283" t="s">
        <v>37</v>
      </c>
      <c r="K4283" s="11">
        <v>648.20000000000005</v>
      </c>
      <c r="L4283" s="12">
        <v>1.82</v>
      </c>
    </row>
    <row r="4284" spans="1:12" x14ac:dyDescent="0.2">
      <c r="A4284" s="9">
        <v>46258</v>
      </c>
      <c r="B4284" t="s">
        <v>491</v>
      </c>
      <c r="C4284" t="s">
        <v>125</v>
      </c>
      <c r="D4284" t="s">
        <v>75</v>
      </c>
      <c r="E4284" t="s">
        <v>647</v>
      </c>
      <c r="F4284" t="s">
        <v>668</v>
      </c>
      <c r="G4284" s="10">
        <v>10</v>
      </c>
      <c r="H4284" s="10">
        <v>120017</v>
      </c>
      <c r="I4284" s="10">
        <v>1200170</v>
      </c>
      <c r="J4284" t="s">
        <v>42</v>
      </c>
      <c r="K4284" s="11">
        <v>3145.8</v>
      </c>
      <c r="L4284" s="12">
        <v>381.52</v>
      </c>
    </row>
    <row r="4285" spans="1:12" x14ac:dyDescent="0.2">
      <c r="A4285" s="9">
        <v>46258</v>
      </c>
      <c r="B4285" t="s">
        <v>491</v>
      </c>
      <c r="C4285" t="s">
        <v>125</v>
      </c>
      <c r="D4285" t="s">
        <v>75</v>
      </c>
      <c r="E4285" t="s">
        <v>655</v>
      </c>
      <c r="F4285" t="s">
        <v>665</v>
      </c>
      <c r="G4285" s="10">
        <v>17</v>
      </c>
      <c r="H4285" s="10">
        <v>3407</v>
      </c>
      <c r="I4285" s="10">
        <v>57919</v>
      </c>
      <c r="J4285" t="s">
        <v>42</v>
      </c>
      <c r="K4285" s="11">
        <v>3145.8</v>
      </c>
      <c r="L4285" s="12">
        <v>18.41</v>
      </c>
    </row>
    <row r="4286" spans="1:12" x14ac:dyDescent="0.2">
      <c r="A4286" s="9">
        <v>46258</v>
      </c>
      <c r="B4286" t="s">
        <v>493</v>
      </c>
      <c r="C4286" t="s">
        <v>494</v>
      </c>
      <c r="D4286" t="s">
        <v>46</v>
      </c>
      <c r="E4286" t="s">
        <v>647</v>
      </c>
      <c r="F4286" t="s">
        <v>668</v>
      </c>
      <c r="G4286" s="10">
        <v>1</v>
      </c>
      <c r="H4286" s="10">
        <v>24961</v>
      </c>
      <c r="I4286" s="10">
        <v>24961</v>
      </c>
      <c r="J4286" t="s">
        <v>37</v>
      </c>
      <c r="K4286" s="11">
        <v>648.20000000000005</v>
      </c>
      <c r="L4286" s="12">
        <v>38.51</v>
      </c>
    </row>
    <row r="4287" spans="1:12" x14ac:dyDescent="0.2">
      <c r="A4287" s="9">
        <v>46258</v>
      </c>
      <c r="B4287" t="s">
        <v>496</v>
      </c>
      <c r="C4287" t="s">
        <v>497</v>
      </c>
      <c r="D4287" t="s">
        <v>41</v>
      </c>
      <c r="E4287" t="s">
        <v>647</v>
      </c>
      <c r="F4287" t="s">
        <v>668</v>
      </c>
      <c r="G4287" s="10">
        <v>2</v>
      </c>
      <c r="H4287" s="10">
        <v>120874</v>
      </c>
      <c r="I4287" s="10">
        <v>241748</v>
      </c>
      <c r="J4287" t="s">
        <v>42</v>
      </c>
      <c r="K4287" s="11">
        <v>3145.8</v>
      </c>
      <c r="L4287" s="12">
        <v>76.849999999999994</v>
      </c>
    </row>
    <row r="4288" spans="1:12" x14ac:dyDescent="0.2">
      <c r="A4288" s="9">
        <v>46258</v>
      </c>
      <c r="B4288" t="s">
        <v>499</v>
      </c>
      <c r="C4288" t="s">
        <v>500</v>
      </c>
      <c r="D4288" t="s">
        <v>41</v>
      </c>
      <c r="E4288" t="s">
        <v>649</v>
      </c>
      <c r="F4288" t="s">
        <v>659</v>
      </c>
      <c r="G4288" s="10">
        <v>10</v>
      </c>
      <c r="H4288" s="10">
        <v>41983</v>
      </c>
      <c r="I4288" s="10">
        <v>419830</v>
      </c>
      <c r="J4288" t="s">
        <v>42</v>
      </c>
      <c r="K4288" s="11">
        <v>3145.8</v>
      </c>
      <c r="L4288" s="12">
        <v>133.46</v>
      </c>
    </row>
    <row r="4289" spans="1:12" x14ac:dyDescent="0.2">
      <c r="A4289" s="9">
        <v>46258</v>
      </c>
      <c r="B4289" t="s">
        <v>502</v>
      </c>
      <c r="C4289" t="s">
        <v>503</v>
      </c>
      <c r="D4289" t="s">
        <v>41</v>
      </c>
      <c r="E4289" t="s">
        <v>647</v>
      </c>
      <c r="F4289" t="s">
        <v>648</v>
      </c>
      <c r="G4289" s="10">
        <v>1</v>
      </c>
      <c r="H4289" s="10">
        <v>79645</v>
      </c>
      <c r="I4289" s="10">
        <v>79645</v>
      </c>
      <c r="J4289" t="s">
        <v>42</v>
      </c>
      <c r="K4289" s="11">
        <v>3145.8</v>
      </c>
      <c r="L4289" s="12">
        <v>25.32</v>
      </c>
    </row>
    <row r="4290" spans="1:12" x14ac:dyDescent="0.2">
      <c r="A4290" s="9">
        <v>46258</v>
      </c>
      <c r="B4290" t="s">
        <v>502</v>
      </c>
      <c r="C4290" t="s">
        <v>503</v>
      </c>
      <c r="D4290" t="s">
        <v>41</v>
      </c>
      <c r="E4290" t="s">
        <v>655</v>
      </c>
      <c r="F4290" t="s">
        <v>656</v>
      </c>
      <c r="G4290" s="10">
        <v>3</v>
      </c>
      <c r="H4290" s="10">
        <v>2699</v>
      </c>
      <c r="I4290" s="10">
        <v>8097</v>
      </c>
      <c r="J4290" t="s">
        <v>42</v>
      </c>
      <c r="K4290" s="11">
        <v>3145.8</v>
      </c>
      <c r="L4290" s="12">
        <v>2.57</v>
      </c>
    </row>
    <row r="4291" spans="1:12" x14ac:dyDescent="0.2">
      <c r="A4291" s="9">
        <v>46258</v>
      </c>
      <c r="B4291" t="s">
        <v>502</v>
      </c>
      <c r="C4291" t="s">
        <v>503</v>
      </c>
      <c r="D4291" t="s">
        <v>41</v>
      </c>
      <c r="E4291" t="s">
        <v>655</v>
      </c>
      <c r="F4291" t="s">
        <v>656</v>
      </c>
      <c r="G4291" s="10">
        <v>2</v>
      </c>
      <c r="H4291" s="10">
        <v>2896</v>
      </c>
      <c r="I4291" s="10">
        <v>5792</v>
      </c>
      <c r="J4291" t="s">
        <v>42</v>
      </c>
      <c r="K4291" s="11">
        <v>3145.8</v>
      </c>
      <c r="L4291" s="12">
        <v>1.84</v>
      </c>
    </row>
    <row r="4292" spans="1:12" x14ac:dyDescent="0.2">
      <c r="A4292" s="9">
        <v>46258</v>
      </c>
      <c r="B4292" t="s">
        <v>505</v>
      </c>
      <c r="C4292" t="s">
        <v>506</v>
      </c>
      <c r="D4292" t="s">
        <v>36</v>
      </c>
      <c r="E4292" t="s">
        <v>649</v>
      </c>
      <c r="F4292" t="s">
        <v>663</v>
      </c>
      <c r="G4292" s="10">
        <v>48</v>
      </c>
      <c r="H4292" s="10">
        <v>2030</v>
      </c>
      <c r="I4292" s="10">
        <v>97440</v>
      </c>
      <c r="J4292" t="s">
        <v>37</v>
      </c>
      <c r="K4292" s="11">
        <v>648.20000000000005</v>
      </c>
      <c r="L4292" s="12">
        <v>150.32</v>
      </c>
    </row>
    <row r="4293" spans="1:12" x14ac:dyDescent="0.2">
      <c r="A4293" s="9">
        <v>46258</v>
      </c>
      <c r="B4293" t="s">
        <v>508</v>
      </c>
      <c r="C4293" t="s">
        <v>509</v>
      </c>
      <c r="D4293" t="s">
        <v>68</v>
      </c>
      <c r="E4293" t="s">
        <v>651</v>
      </c>
      <c r="F4293" t="s">
        <v>652</v>
      </c>
      <c r="G4293" s="10">
        <v>21</v>
      </c>
      <c r="H4293" s="10">
        <v>9402</v>
      </c>
      <c r="I4293" s="10">
        <v>197442</v>
      </c>
      <c r="J4293" t="s">
        <v>51</v>
      </c>
      <c r="K4293" s="11">
        <v>648.20000000000005</v>
      </c>
      <c r="L4293" s="12">
        <v>304.60000000000002</v>
      </c>
    </row>
    <row r="4294" spans="1:12" x14ac:dyDescent="0.2">
      <c r="A4294" s="9">
        <v>46258</v>
      </c>
      <c r="B4294" t="s">
        <v>508</v>
      </c>
      <c r="C4294" t="s">
        <v>509</v>
      </c>
      <c r="D4294" t="s">
        <v>68</v>
      </c>
      <c r="E4294" t="s">
        <v>647</v>
      </c>
      <c r="F4294" t="s">
        <v>667</v>
      </c>
      <c r="G4294" s="10">
        <v>35</v>
      </c>
      <c r="H4294" s="10">
        <v>7570</v>
      </c>
      <c r="I4294" s="10">
        <v>264950</v>
      </c>
      <c r="J4294" t="s">
        <v>51</v>
      </c>
      <c r="K4294" s="11">
        <v>648.20000000000005</v>
      </c>
      <c r="L4294" s="12">
        <v>408.75</v>
      </c>
    </row>
    <row r="4295" spans="1:12" x14ac:dyDescent="0.2">
      <c r="A4295" s="9">
        <v>46258</v>
      </c>
      <c r="B4295" t="s">
        <v>511</v>
      </c>
      <c r="C4295" t="s">
        <v>512</v>
      </c>
      <c r="D4295" t="s">
        <v>75</v>
      </c>
      <c r="E4295" t="s">
        <v>651</v>
      </c>
      <c r="F4295" t="s">
        <v>664</v>
      </c>
      <c r="G4295" s="10">
        <v>13</v>
      </c>
      <c r="H4295" s="10">
        <v>60094</v>
      </c>
      <c r="I4295" s="10">
        <v>781222</v>
      </c>
      <c r="J4295" t="s">
        <v>42</v>
      </c>
      <c r="K4295" s="11">
        <v>3145.8</v>
      </c>
      <c r="L4295" s="12">
        <v>248.34</v>
      </c>
    </row>
    <row r="4296" spans="1:12" x14ac:dyDescent="0.2">
      <c r="A4296" s="9">
        <v>46258</v>
      </c>
      <c r="B4296" t="s">
        <v>514</v>
      </c>
      <c r="C4296" t="s">
        <v>515</v>
      </c>
      <c r="D4296" t="s">
        <v>41</v>
      </c>
      <c r="E4296" t="s">
        <v>649</v>
      </c>
      <c r="F4296" t="s">
        <v>659</v>
      </c>
      <c r="G4296" s="10">
        <v>14</v>
      </c>
      <c r="H4296" s="10">
        <v>42200</v>
      </c>
      <c r="I4296" s="10">
        <v>590800</v>
      </c>
      <c r="J4296" t="s">
        <v>42</v>
      </c>
      <c r="K4296" s="11">
        <v>3145.8</v>
      </c>
      <c r="L4296" s="12">
        <v>187.81</v>
      </c>
    </row>
    <row r="4297" spans="1:12" x14ac:dyDescent="0.2">
      <c r="A4297" s="9">
        <v>46258</v>
      </c>
      <c r="B4297" t="s">
        <v>514</v>
      </c>
      <c r="C4297" t="s">
        <v>515</v>
      </c>
      <c r="D4297" t="s">
        <v>41</v>
      </c>
      <c r="E4297" t="s">
        <v>660</v>
      </c>
      <c r="F4297" t="s">
        <v>670</v>
      </c>
      <c r="G4297" s="10">
        <v>9</v>
      </c>
      <c r="H4297" s="10">
        <v>68650</v>
      </c>
      <c r="I4297" s="10">
        <v>617850</v>
      </c>
      <c r="J4297" t="s">
        <v>42</v>
      </c>
      <c r="K4297" s="11">
        <v>3145.8</v>
      </c>
      <c r="L4297" s="12">
        <v>196.4</v>
      </c>
    </row>
    <row r="4298" spans="1:12" x14ac:dyDescent="0.2">
      <c r="A4298" s="9">
        <v>46258</v>
      </c>
      <c r="B4298" t="s">
        <v>514</v>
      </c>
      <c r="C4298" t="s">
        <v>515</v>
      </c>
      <c r="D4298" t="s">
        <v>41</v>
      </c>
      <c r="E4298" t="s">
        <v>660</v>
      </c>
      <c r="F4298" t="s">
        <v>661</v>
      </c>
      <c r="G4298" s="10">
        <v>1</v>
      </c>
      <c r="H4298" s="10">
        <v>19711</v>
      </c>
      <c r="I4298" s="10">
        <v>19711</v>
      </c>
      <c r="J4298" t="s">
        <v>42</v>
      </c>
      <c r="K4298" s="11">
        <v>3145.8</v>
      </c>
      <c r="L4298" s="12">
        <v>6.27</v>
      </c>
    </row>
    <row r="4299" spans="1:12" x14ac:dyDescent="0.2">
      <c r="A4299" s="9">
        <v>46258</v>
      </c>
      <c r="B4299" t="s">
        <v>517</v>
      </c>
      <c r="C4299" t="s">
        <v>518</v>
      </c>
      <c r="D4299" t="s">
        <v>41</v>
      </c>
      <c r="E4299" t="s">
        <v>649</v>
      </c>
      <c r="F4299" t="s">
        <v>659</v>
      </c>
      <c r="G4299" s="10">
        <v>8</v>
      </c>
      <c r="H4299" s="10">
        <v>43398</v>
      </c>
      <c r="I4299" s="10">
        <v>347184</v>
      </c>
      <c r="J4299" t="s">
        <v>42</v>
      </c>
      <c r="K4299" s="11">
        <v>3145.8</v>
      </c>
      <c r="L4299" s="12">
        <v>110.36</v>
      </c>
    </row>
    <row r="4300" spans="1:12" x14ac:dyDescent="0.2">
      <c r="A4300" s="9">
        <v>46258</v>
      </c>
      <c r="B4300" t="s">
        <v>517</v>
      </c>
      <c r="C4300" t="s">
        <v>518</v>
      </c>
      <c r="D4300" t="s">
        <v>41</v>
      </c>
      <c r="E4300" t="s">
        <v>647</v>
      </c>
      <c r="F4300" t="s">
        <v>668</v>
      </c>
      <c r="G4300" s="10">
        <v>5</v>
      </c>
      <c r="H4300" s="10">
        <v>123922</v>
      </c>
      <c r="I4300" s="10">
        <v>619610</v>
      </c>
      <c r="J4300" t="s">
        <v>42</v>
      </c>
      <c r="K4300" s="11">
        <v>3145.8</v>
      </c>
      <c r="L4300" s="12">
        <v>196.96</v>
      </c>
    </row>
    <row r="4301" spans="1:12" x14ac:dyDescent="0.2">
      <c r="A4301" s="9">
        <v>46258</v>
      </c>
      <c r="B4301" t="s">
        <v>522</v>
      </c>
      <c r="C4301" t="s">
        <v>523</v>
      </c>
      <c r="D4301" t="s">
        <v>50</v>
      </c>
      <c r="E4301" t="s">
        <v>647</v>
      </c>
      <c r="F4301" t="s">
        <v>668</v>
      </c>
      <c r="G4301" s="10">
        <v>4</v>
      </c>
      <c r="H4301" s="10">
        <v>25551</v>
      </c>
      <c r="I4301" s="10">
        <v>102204</v>
      </c>
      <c r="J4301" t="s">
        <v>51</v>
      </c>
      <c r="K4301" s="11">
        <v>648.20000000000005</v>
      </c>
      <c r="L4301" s="12">
        <v>157.66999999999999</v>
      </c>
    </row>
    <row r="4302" spans="1:12" x14ac:dyDescent="0.2">
      <c r="A4302" s="9">
        <v>46258</v>
      </c>
      <c r="B4302" t="s">
        <v>525</v>
      </c>
      <c r="C4302" t="s">
        <v>526</v>
      </c>
      <c r="D4302" t="s">
        <v>46</v>
      </c>
      <c r="E4302" t="s">
        <v>651</v>
      </c>
      <c r="F4302" t="s">
        <v>664</v>
      </c>
      <c r="G4302" s="10">
        <v>20</v>
      </c>
      <c r="H4302" s="10">
        <v>11575</v>
      </c>
      <c r="I4302" s="10">
        <v>231500</v>
      </c>
      <c r="J4302" t="s">
        <v>37</v>
      </c>
      <c r="K4302" s="11">
        <v>648.20000000000005</v>
      </c>
      <c r="L4302" s="12">
        <v>357.14</v>
      </c>
    </row>
    <row r="4303" spans="1:12" x14ac:dyDescent="0.2">
      <c r="A4303" s="9">
        <v>46258</v>
      </c>
      <c r="B4303" t="s">
        <v>531</v>
      </c>
      <c r="C4303" t="s">
        <v>532</v>
      </c>
      <c r="D4303" t="s">
        <v>50</v>
      </c>
      <c r="E4303" t="s">
        <v>649</v>
      </c>
      <c r="F4303" t="s">
        <v>650</v>
      </c>
      <c r="G4303" s="10">
        <v>74</v>
      </c>
      <c r="H4303" s="10">
        <v>18818</v>
      </c>
      <c r="I4303" s="10">
        <v>1392532</v>
      </c>
      <c r="J4303" t="s">
        <v>51</v>
      </c>
      <c r="K4303" s="11">
        <v>648.20000000000005</v>
      </c>
      <c r="L4303" s="12">
        <v>2148.31</v>
      </c>
    </row>
    <row r="4304" spans="1:12" x14ac:dyDescent="0.2">
      <c r="A4304" s="9">
        <v>46258</v>
      </c>
      <c r="B4304" t="s">
        <v>531</v>
      </c>
      <c r="C4304" t="s">
        <v>532</v>
      </c>
      <c r="D4304" t="s">
        <v>50</v>
      </c>
      <c r="E4304" t="s">
        <v>653</v>
      </c>
      <c r="F4304" t="s">
        <v>654</v>
      </c>
      <c r="G4304" s="10">
        <v>14</v>
      </c>
      <c r="H4304" s="10">
        <v>5675</v>
      </c>
      <c r="I4304" s="10">
        <v>79450</v>
      </c>
      <c r="J4304" t="s">
        <v>51</v>
      </c>
      <c r="K4304" s="11">
        <v>648.20000000000005</v>
      </c>
      <c r="L4304" s="12">
        <v>122.57</v>
      </c>
    </row>
    <row r="4305" spans="1:12" x14ac:dyDescent="0.2">
      <c r="A4305" s="9">
        <v>46258</v>
      </c>
      <c r="B4305" t="s">
        <v>537</v>
      </c>
      <c r="C4305" t="s">
        <v>538</v>
      </c>
      <c r="D4305" t="s">
        <v>68</v>
      </c>
      <c r="E4305" t="s">
        <v>649</v>
      </c>
      <c r="F4305" t="s">
        <v>663</v>
      </c>
      <c r="G4305" s="10">
        <v>94</v>
      </c>
      <c r="H4305" s="10">
        <v>1989</v>
      </c>
      <c r="I4305" s="10">
        <v>186966</v>
      </c>
      <c r="J4305" t="s">
        <v>51</v>
      </c>
      <c r="K4305" s="11">
        <v>648.20000000000005</v>
      </c>
      <c r="L4305" s="12">
        <v>288.44</v>
      </c>
    </row>
    <row r="4306" spans="1:12" x14ac:dyDescent="0.2">
      <c r="A4306" s="9">
        <v>46258</v>
      </c>
      <c r="B4306" t="s">
        <v>543</v>
      </c>
      <c r="C4306" t="s">
        <v>544</v>
      </c>
      <c r="D4306" t="s">
        <v>68</v>
      </c>
      <c r="E4306" t="s">
        <v>647</v>
      </c>
      <c r="F4306" t="s">
        <v>667</v>
      </c>
      <c r="G4306" s="10">
        <v>25</v>
      </c>
      <c r="H4306" s="10">
        <v>7294</v>
      </c>
      <c r="I4306" s="10">
        <v>182350</v>
      </c>
      <c r="J4306" t="s">
        <v>51</v>
      </c>
      <c r="K4306" s="11">
        <v>648.20000000000005</v>
      </c>
      <c r="L4306" s="12">
        <v>281.32</v>
      </c>
    </row>
    <row r="4307" spans="1:12" x14ac:dyDescent="0.2">
      <c r="A4307" s="9">
        <v>46258</v>
      </c>
      <c r="B4307" t="s">
        <v>546</v>
      </c>
      <c r="C4307" t="s">
        <v>547</v>
      </c>
      <c r="D4307" t="s">
        <v>41</v>
      </c>
      <c r="E4307" t="s">
        <v>651</v>
      </c>
      <c r="F4307" t="s">
        <v>652</v>
      </c>
      <c r="G4307" s="10">
        <v>46</v>
      </c>
      <c r="H4307" s="10">
        <v>47570</v>
      </c>
      <c r="I4307" s="10">
        <v>2188220</v>
      </c>
      <c r="J4307" t="s">
        <v>42</v>
      </c>
      <c r="K4307" s="11">
        <v>3145.8</v>
      </c>
      <c r="L4307" s="12">
        <v>695.6</v>
      </c>
    </row>
    <row r="4308" spans="1:12" x14ac:dyDescent="0.2">
      <c r="A4308" s="9">
        <v>46258</v>
      </c>
      <c r="B4308" t="s">
        <v>546</v>
      </c>
      <c r="C4308" t="s">
        <v>547</v>
      </c>
      <c r="D4308" t="s">
        <v>41</v>
      </c>
      <c r="E4308" t="s">
        <v>660</v>
      </c>
      <c r="F4308" t="s">
        <v>669</v>
      </c>
      <c r="G4308" s="10">
        <v>11</v>
      </c>
      <c r="H4308" s="10">
        <v>12941</v>
      </c>
      <c r="I4308" s="10">
        <v>142351</v>
      </c>
      <c r="J4308" t="s">
        <v>42</v>
      </c>
      <c r="K4308" s="11">
        <v>3145.8</v>
      </c>
      <c r="L4308" s="12">
        <v>45.25</v>
      </c>
    </row>
    <row r="4309" spans="1:12" x14ac:dyDescent="0.2">
      <c r="A4309" s="9">
        <v>46258</v>
      </c>
      <c r="B4309" t="s">
        <v>546</v>
      </c>
      <c r="C4309" t="s">
        <v>547</v>
      </c>
      <c r="D4309" t="s">
        <v>41</v>
      </c>
      <c r="E4309" t="s">
        <v>647</v>
      </c>
      <c r="F4309" t="s">
        <v>667</v>
      </c>
      <c r="G4309" s="10">
        <v>45</v>
      </c>
      <c r="H4309" s="10">
        <v>36064</v>
      </c>
      <c r="I4309" s="10">
        <v>1622880</v>
      </c>
      <c r="J4309" t="s">
        <v>42</v>
      </c>
      <c r="K4309" s="11">
        <v>3145.8</v>
      </c>
      <c r="L4309" s="12">
        <v>515.89</v>
      </c>
    </row>
    <row r="4310" spans="1:12" x14ac:dyDescent="0.2">
      <c r="A4310" s="9">
        <v>46258</v>
      </c>
      <c r="B4310" t="s">
        <v>549</v>
      </c>
      <c r="C4310" t="s">
        <v>550</v>
      </c>
      <c r="D4310" t="s">
        <v>41</v>
      </c>
      <c r="E4310" t="s">
        <v>660</v>
      </c>
      <c r="F4310" t="s">
        <v>670</v>
      </c>
      <c r="G4310" s="10">
        <v>8</v>
      </c>
      <c r="H4310" s="10">
        <v>69619</v>
      </c>
      <c r="I4310" s="10">
        <v>556952</v>
      </c>
      <c r="J4310" t="s">
        <v>42</v>
      </c>
      <c r="K4310" s="11">
        <v>3145.8</v>
      </c>
      <c r="L4310" s="12">
        <v>177.05</v>
      </c>
    </row>
    <row r="4311" spans="1:12" x14ac:dyDescent="0.2">
      <c r="A4311" s="9">
        <v>46258</v>
      </c>
      <c r="B4311" t="s">
        <v>549</v>
      </c>
      <c r="C4311" t="s">
        <v>550</v>
      </c>
      <c r="D4311" t="s">
        <v>41</v>
      </c>
      <c r="E4311" t="s">
        <v>647</v>
      </c>
      <c r="F4311" t="s">
        <v>668</v>
      </c>
      <c r="G4311" s="10">
        <v>13</v>
      </c>
      <c r="H4311" s="10">
        <v>117510</v>
      </c>
      <c r="I4311" s="10">
        <v>1527630</v>
      </c>
      <c r="J4311" t="s">
        <v>42</v>
      </c>
      <c r="K4311" s="11">
        <v>3145.8</v>
      </c>
      <c r="L4311" s="12">
        <v>485.61</v>
      </c>
    </row>
    <row r="4312" spans="1:12" x14ac:dyDescent="0.2">
      <c r="A4312" s="9">
        <v>46258</v>
      </c>
      <c r="B4312" t="s">
        <v>549</v>
      </c>
      <c r="C4312" t="s">
        <v>550</v>
      </c>
      <c r="D4312" t="s">
        <v>41</v>
      </c>
      <c r="E4312" t="s">
        <v>647</v>
      </c>
      <c r="F4312" t="s">
        <v>668</v>
      </c>
      <c r="G4312" s="10">
        <v>4</v>
      </c>
      <c r="H4312" s="10">
        <v>125716</v>
      </c>
      <c r="I4312" s="10">
        <v>502864</v>
      </c>
      <c r="J4312" t="s">
        <v>42</v>
      </c>
      <c r="K4312" s="11">
        <v>3145.8</v>
      </c>
      <c r="L4312" s="12">
        <v>159.85</v>
      </c>
    </row>
    <row r="4313" spans="1:12" x14ac:dyDescent="0.2">
      <c r="A4313" s="9">
        <v>46258</v>
      </c>
      <c r="B4313" t="s">
        <v>552</v>
      </c>
      <c r="C4313" t="s">
        <v>553</v>
      </c>
      <c r="D4313" t="s">
        <v>41</v>
      </c>
      <c r="E4313" t="s">
        <v>647</v>
      </c>
      <c r="F4313" t="s">
        <v>667</v>
      </c>
      <c r="G4313" s="10">
        <v>7</v>
      </c>
      <c r="H4313" s="10">
        <v>35789</v>
      </c>
      <c r="I4313" s="10">
        <v>250523</v>
      </c>
      <c r="J4313" t="s">
        <v>42</v>
      </c>
      <c r="K4313" s="11">
        <v>3145.8</v>
      </c>
      <c r="L4313" s="12">
        <v>79.64</v>
      </c>
    </row>
    <row r="4314" spans="1:12" x14ac:dyDescent="0.2">
      <c r="A4314" s="9">
        <v>46258</v>
      </c>
      <c r="B4314" t="s">
        <v>555</v>
      </c>
      <c r="C4314" t="s">
        <v>556</v>
      </c>
      <c r="D4314" t="s">
        <v>41</v>
      </c>
      <c r="E4314" t="s">
        <v>649</v>
      </c>
      <c r="F4314" t="s">
        <v>659</v>
      </c>
      <c r="G4314" s="10">
        <v>11</v>
      </c>
      <c r="H4314" s="10">
        <v>42165</v>
      </c>
      <c r="I4314" s="10">
        <v>463815</v>
      </c>
      <c r="J4314" t="s">
        <v>42</v>
      </c>
      <c r="K4314" s="11">
        <v>3145.8</v>
      </c>
      <c r="L4314" s="12">
        <v>147.44</v>
      </c>
    </row>
    <row r="4315" spans="1:12" x14ac:dyDescent="0.2">
      <c r="A4315" s="9">
        <v>46258</v>
      </c>
      <c r="B4315" t="s">
        <v>555</v>
      </c>
      <c r="C4315" t="s">
        <v>556</v>
      </c>
      <c r="D4315" t="s">
        <v>41</v>
      </c>
      <c r="E4315" t="s">
        <v>660</v>
      </c>
      <c r="F4315" t="s">
        <v>670</v>
      </c>
      <c r="G4315" s="10">
        <v>4</v>
      </c>
      <c r="H4315" s="10">
        <v>70989</v>
      </c>
      <c r="I4315" s="10">
        <v>283956</v>
      </c>
      <c r="J4315" t="s">
        <v>42</v>
      </c>
      <c r="K4315" s="11">
        <v>3145.8</v>
      </c>
      <c r="L4315" s="12">
        <v>90.27</v>
      </c>
    </row>
    <row r="4316" spans="1:12" x14ac:dyDescent="0.2">
      <c r="A4316" s="9">
        <v>46258</v>
      </c>
      <c r="B4316" t="s">
        <v>558</v>
      </c>
      <c r="C4316" t="s">
        <v>559</v>
      </c>
      <c r="D4316" t="s">
        <v>75</v>
      </c>
      <c r="E4316" t="s">
        <v>649</v>
      </c>
      <c r="F4316" t="s">
        <v>659</v>
      </c>
      <c r="G4316" s="10">
        <v>5</v>
      </c>
      <c r="H4316" s="10">
        <v>44053</v>
      </c>
      <c r="I4316" s="10">
        <v>220265</v>
      </c>
      <c r="J4316" t="s">
        <v>42</v>
      </c>
      <c r="K4316" s="11">
        <v>3145.8</v>
      </c>
      <c r="L4316" s="12">
        <v>70.02</v>
      </c>
    </row>
    <row r="4317" spans="1:12" x14ac:dyDescent="0.2">
      <c r="A4317" s="9">
        <v>46258</v>
      </c>
      <c r="B4317" t="s">
        <v>561</v>
      </c>
      <c r="C4317" t="s">
        <v>562</v>
      </c>
      <c r="D4317" t="s">
        <v>46</v>
      </c>
      <c r="E4317" t="s">
        <v>651</v>
      </c>
      <c r="F4317" t="s">
        <v>652</v>
      </c>
      <c r="G4317" s="10">
        <v>8</v>
      </c>
      <c r="H4317" s="10">
        <v>9650</v>
      </c>
      <c r="I4317" s="10">
        <v>77200</v>
      </c>
      <c r="J4317" t="s">
        <v>37</v>
      </c>
      <c r="K4317" s="11">
        <v>648.20000000000005</v>
      </c>
      <c r="L4317" s="12">
        <v>119.1</v>
      </c>
    </row>
    <row r="4318" spans="1:12" x14ac:dyDescent="0.2">
      <c r="A4318" s="9">
        <v>46258</v>
      </c>
      <c r="B4318" t="s">
        <v>561</v>
      </c>
      <c r="C4318" t="s">
        <v>562</v>
      </c>
      <c r="D4318" t="s">
        <v>46</v>
      </c>
      <c r="E4318" t="s">
        <v>653</v>
      </c>
      <c r="F4318" t="s">
        <v>666</v>
      </c>
      <c r="G4318" s="10">
        <v>5</v>
      </c>
      <c r="H4318" s="10">
        <v>1509</v>
      </c>
      <c r="I4318" s="10">
        <v>7545</v>
      </c>
      <c r="J4318" t="s">
        <v>37</v>
      </c>
      <c r="K4318" s="11">
        <v>648.20000000000005</v>
      </c>
      <c r="L4318" s="12">
        <v>11.64</v>
      </c>
    </row>
    <row r="4319" spans="1:12" x14ac:dyDescent="0.2">
      <c r="A4319" s="9">
        <v>46258</v>
      </c>
      <c r="B4319" t="s">
        <v>564</v>
      </c>
      <c r="C4319" t="s">
        <v>565</v>
      </c>
      <c r="D4319" t="s">
        <v>41</v>
      </c>
      <c r="E4319" t="s">
        <v>655</v>
      </c>
      <c r="F4319" t="s">
        <v>662</v>
      </c>
      <c r="G4319" s="10">
        <v>1</v>
      </c>
      <c r="H4319" s="10">
        <v>5583</v>
      </c>
      <c r="I4319" s="10">
        <v>5583</v>
      </c>
      <c r="J4319" t="s">
        <v>42</v>
      </c>
      <c r="K4319" s="11">
        <v>3145.8</v>
      </c>
      <c r="L4319" s="12">
        <v>1.77</v>
      </c>
    </row>
    <row r="4320" spans="1:12" x14ac:dyDescent="0.2">
      <c r="A4320" s="9">
        <v>46258</v>
      </c>
      <c r="B4320" t="s">
        <v>567</v>
      </c>
      <c r="C4320" t="s">
        <v>568</v>
      </c>
      <c r="D4320" t="s">
        <v>41</v>
      </c>
      <c r="E4320" t="s">
        <v>660</v>
      </c>
      <c r="F4320" t="s">
        <v>661</v>
      </c>
      <c r="G4320" s="10">
        <v>24</v>
      </c>
      <c r="H4320" s="10">
        <v>20597</v>
      </c>
      <c r="I4320" s="10">
        <v>494328</v>
      </c>
      <c r="J4320" t="s">
        <v>42</v>
      </c>
      <c r="K4320" s="11">
        <v>3145.8</v>
      </c>
      <c r="L4320" s="12">
        <v>157.13999999999999</v>
      </c>
    </row>
    <row r="4321" spans="1:12" x14ac:dyDescent="0.2">
      <c r="A4321" s="9">
        <v>46258</v>
      </c>
      <c r="B4321" t="s">
        <v>570</v>
      </c>
      <c r="C4321" t="s">
        <v>571</v>
      </c>
      <c r="D4321" t="s">
        <v>68</v>
      </c>
      <c r="E4321" t="s">
        <v>649</v>
      </c>
      <c r="F4321" t="s">
        <v>663</v>
      </c>
      <c r="G4321" s="10">
        <v>10</v>
      </c>
      <c r="H4321" s="10">
        <v>1987</v>
      </c>
      <c r="I4321" s="10">
        <v>19870</v>
      </c>
      <c r="J4321" t="s">
        <v>51</v>
      </c>
      <c r="K4321" s="11">
        <v>648.20000000000005</v>
      </c>
      <c r="L4321" s="12">
        <v>30.65</v>
      </c>
    </row>
    <row r="4322" spans="1:12" x14ac:dyDescent="0.2">
      <c r="A4322" s="9">
        <v>46258</v>
      </c>
      <c r="B4322" t="s">
        <v>570</v>
      </c>
      <c r="C4322" t="s">
        <v>571</v>
      </c>
      <c r="D4322" t="s">
        <v>68</v>
      </c>
      <c r="E4322" t="s">
        <v>649</v>
      </c>
      <c r="F4322" t="s">
        <v>663</v>
      </c>
      <c r="G4322" s="10">
        <v>1</v>
      </c>
      <c r="H4322" s="10">
        <v>1994</v>
      </c>
      <c r="I4322" s="10">
        <v>1994</v>
      </c>
      <c r="J4322" t="s">
        <v>51</v>
      </c>
      <c r="K4322" s="11">
        <v>648.20000000000005</v>
      </c>
      <c r="L4322" s="12">
        <v>3.08</v>
      </c>
    </row>
    <row r="4323" spans="1:12" x14ac:dyDescent="0.2">
      <c r="A4323" s="9">
        <v>46258</v>
      </c>
      <c r="B4323" t="s">
        <v>570</v>
      </c>
      <c r="C4323" t="s">
        <v>571</v>
      </c>
      <c r="D4323" t="s">
        <v>68</v>
      </c>
      <c r="E4323" t="s">
        <v>660</v>
      </c>
      <c r="F4323" t="s">
        <v>669</v>
      </c>
      <c r="G4323" s="10">
        <v>6</v>
      </c>
      <c r="H4323" s="10">
        <v>2666</v>
      </c>
      <c r="I4323" s="10">
        <v>15996</v>
      </c>
      <c r="J4323" t="s">
        <v>51</v>
      </c>
      <c r="K4323" s="11">
        <v>648.20000000000005</v>
      </c>
      <c r="L4323" s="12">
        <v>24.68</v>
      </c>
    </row>
    <row r="4324" spans="1:12" x14ac:dyDescent="0.2">
      <c r="A4324" s="9">
        <v>46258</v>
      </c>
      <c r="B4324" t="s">
        <v>570</v>
      </c>
      <c r="C4324" t="s">
        <v>571</v>
      </c>
      <c r="D4324" t="s">
        <v>68</v>
      </c>
      <c r="E4324" t="s">
        <v>660</v>
      </c>
      <c r="F4324" t="s">
        <v>670</v>
      </c>
      <c r="G4324" s="10">
        <v>6</v>
      </c>
      <c r="H4324" s="10">
        <v>13969</v>
      </c>
      <c r="I4324" s="10">
        <v>83814</v>
      </c>
      <c r="J4324" t="s">
        <v>51</v>
      </c>
      <c r="K4324" s="11">
        <v>648.20000000000005</v>
      </c>
      <c r="L4324" s="12">
        <v>129.30000000000001</v>
      </c>
    </row>
    <row r="4325" spans="1:12" x14ac:dyDescent="0.2">
      <c r="A4325" s="9">
        <v>46258</v>
      </c>
      <c r="B4325" t="s">
        <v>570</v>
      </c>
      <c r="C4325" t="s">
        <v>571</v>
      </c>
      <c r="D4325" t="s">
        <v>68</v>
      </c>
      <c r="E4325" t="s">
        <v>647</v>
      </c>
      <c r="F4325" t="s">
        <v>668</v>
      </c>
      <c r="G4325" s="10">
        <v>14</v>
      </c>
      <c r="H4325" s="10">
        <v>25517</v>
      </c>
      <c r="I4325" s="10">
        <v>357238</v>
      </c>
      <c r="J4325" t="s">
        <v>51</v>
      </c>
      <c r="K4325" s="11">
        <v>648.20000000000005</v>
      </c>
      <c r="L4325" s="12">
        <v>551.12</v>
      </c>
    </row>
    <row r="4326" spans="1:12" x14ac:dyDescent="0.2">
      <c r="A4326" s="9">
        <v>46258</v>
      </c>
      <c r="B4326" t="s">
        <v>573</v>
      </c>
      <c r="C4326" t="s">
        <v>574</v>
      </c>
      <c r="D4326" t="s">
        <v>41</v>
      </c>
      <c r="E4326" t="s">
        <v>660</v>
      </c>
      <c r="F4326" t="s">
        <v>669</v>
      </c>
      <c r="G4326" s="10">
        <v>33</v>
      </c>
      <c r="H4326" s="10">
        <v>12704</v>
      </c>
      <c r="I4326" s="10">
        <v>419232</v>
      </c>
      <c r="J4326" t="s">
        <v>42</v>
      </c>
      <c r="K4326" s="11">
        <v>3145.8</v>
      </c>
      <c r="L4326" s="12">
        <v>133.27000000000001</v>
      </c>
    </row>
    <row r="4327" spans="1:12" x14ac:dyDescent="0.2">
      <c r="A4327" s="9">
        <v>46258</v>
      </c>
      <c r="B4327" t="s">
        <v>573</v>
      </c>
      <c r="C4327" t="s">
        <v>574</v>
      </c>
      <c r="D4327" t="s">
        <v>41</v>
      </c>
      <c r="E4327" t="s">
        <v>660</v>
      </c>
      <c r="F4327" t="s">
        <v>661</v>
      </c>
      <c r="G4327" s="10">
        <v>12</v>
      </c>
      <c r="H4327" s="10">
        <v>20831</v>
      </c>
      <c r="I4327" s="10">
        <v>249972</v>
      </c>
      <c r="J4327" t="s">
        <v>42</v>
      </c>
      <c r="K4327" s="11">
        <v>3145.8</v>
      </c>
      <c r="L4327" s="12">
        <v>79.459999999999994</v>
      </c>
    </row>
    <row r="4328" spans="1:12" x14ac:dyDescent="0.2">
      <c r="A4328" s="9">
        <v>46258</v>
      </c>
      <c r="B4328" t="s">
        <v>576</v>
      </c>
      <c r="C4328" t="s">
        <v>577</v>
      </c>
      <c r="D4328" t="s">
        <v>50</v>
      </c>
      <c r="E4328" t="s">
        <v>647</v>
      </c>
      <c r="F4328" t="s">
        <v>648</v>
      </c>
      <c r="G4328" s="10">
        <v>2</v>
      </c>
      <c r="H4328" s="10">
        <v>15749</v>
      </c>
      <c r="I4328" s="10">
        <v>31498</v>
      </c>
      <c r="J4328" t="s">
        <v>51</v>
      </c>
      <c r="K4328" s="11">
        <v>648.20000000000005</v>
      </c>
      <c r="L4328" s="12">
        <v>48.59</v>
      </c>
    </row>
    <row r="4329" spans="1:12" x14ac:dyDescent="0.2">
      <c r="A4329" s="9">
        <v>46258</v>
      </c>
      <c r="B4329" t="s">
        <v>579</v>
      </c>
      <c r="C4329" t="s">
        <v>580</v>
      </c>
      <c r="D4329" t="s">
        <v>75</v>
      </c>
      <c r="E4329" t="s">
        <v>651</v>
      </c>
      <c r="F4329" t="s">
        <v>652</v>
      </c>
      <c r="G4329" s="10">
        <v>12</v>
      </c>
      <c r="H4329" s="10">
        <v>44774</v>
      </c>
      <c r="I4329" s="10">
        <v>537288</v>
      </c>
      <c r="J4329" t="s">
        <v>42</v>
      </c>
      <c r="K4329" s="11">
        <v>3145.8</v>
      </c>
      <c r="L4329" s="12">
        <v>170.8</v>
      </c>
    </row>
    <row r="4330" spans="1:12" x14ac:dyDescent="0.2">
      <c r="A4330" s="9">
        <v>46258</v>
      </c>
      <c r="B4330" t="s">
        <v>582</v>
      </c>
      <c r="C4330" t="s">
        <v>583</v>
      </c>
      <c r="D4330" t="s">
        <v>36</v>
      </c>
      <c r="E4330" t="s">
        <v>647</v>
      </c>
      <c r="F4330" t="s">
        <v>668</v>
      </c>
      <c r="G4330" s="10">
        <v>27</v>
      </c>
      <c r="H4330" s="10">
        <v>25689</v>
      </c>
      <c r="I4330" s="10">
        <v>693603</v>
      </c>
      <c r="J4330" t="s">
        <v>37</v>
      </c>
      <c r="K4330" s="11">
        <v>648.20000000000005</v>
      </c>
      <c r="L4330" s="12">
        <v>1070.04</v>
      </c>
    </row>
    <row r="4331" spans="1:12" x14ac:dyDescent="0.2">
      <c r="A4331" s="9">
        <v>46258</v>
      </c>
      <c r="B4331" t="s">
        <v>582</v>
      </c>
      <c r="C4331" t="s">
        <v>583</v>
      </c>
      <c r="D4331" t="s">
        <v>36</v>
      </c>
      <c r="E4331" t="s">
        <v>647</v>
      </c>
      <c r="F4331" t="s">
        <v>648</v>
      </c>
      <c r="G4331" s="10">
        <v>8</v>
      </c>
      <c r="H4331" s="10">
        <v>16255</v>
      </c>
      <c r="I4331" s="10">
        <v>130040</v>
      </c>
      <c r="J4331" t="s">
        <v>37</v>
      </c>
      <c r="K4331" s="11">
        <v>648.20000000000005</v>
      </c>
      <c r="L4331" s="12">
        <v>200.62</v>
      </c>
    </row>
    <row r="4332" spans="1:12" x14ac:dyDescent="0.2">
      <c r="A4332" s="9">
        <v>46258</v>
      </c>
      <c r="B4332" t="s">
        <v>590</v>
      </c>
      <c r="C4332" t="s">
        <v>591</v>
      </c>
      <c r="D4332" t="s">
        <v>41</v>
      </c>
      <c r="E4332" t="s">
        <v>651</v>
      </c>
      <c r="F4332" t="s">
        <v>664</v>
      </c>
      <c r="G4332" s="10">
        <v>13</v>
      </c>
      <c r="H4332" s="10">
        <v>57508</v>
      </c>
      <c r="I4332" s="10">
        <v>747604</v>
      </c>
      <c r="J4332" t="s">
        <v>42</v>
      </c>
      <c r="K4332" s="11">
        <v>3145.8</v>
      </c>
      <c r="L4332" s="12">
        <v>237.65</v>
      </c>
    </row>
    <row r="4333" spans="1:12" x14ac:dyDescent="0.2">
      <c r="A4333" s="9">
        <v>46258</v>
      </c>
      <c r="B4333" t="s">
        <v>593</v>
      </c>
      <c r="C4333" t="s">
        <v>594</v>
      </c>
      <c r="D4333" t="s">
        <v>50</v>
      </c>
      <c r="E4333" t="s">
        <v>653</v>
      </c>
      <c r="F4333" t="s">
        <v>666</v>
      </c>
      <c r="G4333" s="10">
        <v>2</v>
      </c>
      <c r="H4333" s="10">
        <v>1449</v>
      </c>
      <c r="I4333" s="10">
        <v>2898</v>
      </c>
      <c r="J4333" t="s">
        <v>51</v>
      </c>
      <c r="K4333" s="11">
        <v>648.20000000000005</v>
      </c>
      <c r="L4333" s="12">
        <v>4.47</v>
      </c>
    </row>
    <row r="4334" spans="1:12" x14ac:dyDescent="0.2">
      <c r="A4334" s="9">
        <v>46258</v>
      </c>
      <c r="B4334" t="s">
        <v>593</v>
      </c>
      <c r="C4334" t="s">
        <v>594</v>
      </c>
      <c r="D4334" t="s">
        <v>50</v>
      </c>
      <c r="E4334" t="s">
        <v>660</v>
      </c>
      <c r="F4334" t="s">
        <v>669</v>
      </c>
      <c r="G4334" s="10">
        <v>4</v>
      </c>
      <c r="H4334" s="10">
        <v>2674</v>
      </c>
      <c r="I4334" s="10">
        <v>10696</v>
      </c>
      <c r="J4334" t="s">
        <v>51</v>
      </c>
      <c r="K4334" s="11">
        <v>648.20000000000005</v>
      </c>
      <c r="L4334" s="12">
        <v>16.5</v>
      </c>
    </row>
    <row r="4335" spans="1:12" x14ac:dyDescent="0.2">
      <c r="A4335" s="9">
        <v>46258</v>
      </c>
      <c r="B4335" t="s">
        <v>599</v>
      </c>
      <c r="C4335" t="s">
        <v>600</v>
      </c>
      <c r="D4335" t="s">
        <v>75</v>
      </c>
      <c r="E4335" t="s">
        <v>649</v>
      </c>
      <c r="F4335" t="s">
        <v>663</v>
      </c>
      <c r="G4335" s="10">
        <v>5</v>
      </c>
      <c r="H4335" s="10">
        <v>9670</v>
      </c>
      <c r="I4335" s="10">
        <v>48350</v>
      </c>
      <c r="J4335" t="s">
        <v>42</v>
      </c>
      <c r="K4335" s="11">
        <v>3145.8</v>
      </c>
      <c r="L4335" s="12">
        <v>15.37</v>
      </c>
    </row>
    <row r="4336" spans="1:12" x14ac:dyDescent="0.2">
      <c r="A4336" s="9">
        <v>46258</v>
      </c>
      <c r="B4336" t="s">
        <v>599</v>
      </c>
      <c r="C4336" t="s">
        <v>600</v>
      </c>
      <c r="D4336" t="s">
        <v>75</v>
      </c>
      <c r="E4336" t="s">
        <v>655</v>
      </c>
      <c r="F4336" t="s">
        <v>656</v>
      </c>
      <c r="G4336" s="10">
        <v>27</v>
      </c>
      <c r="H4336" s="10">
        <v>2859</v>
      </c>
      <c r="I4336" s="10">
        <v>77193</v>
      </c>
      <c r="J4336" t="s">
        <v>42</v>
      </c>
      <c r="K4336" s="11">
        <v>3145.8</v>
      </c>
      <c r="L4336" s="12">
        <v>24.54</v>
      </c>
    </row>
    <row r="4337" spans="1:12" x14ac:dyDescent="0.2">
      <c r="A4337" s="9">
        <v>46258</v>
      </c>
      <c r="B4337" t="s">
        <v>605</v>
      </c>
      <c r="C4337" t="s">
        <v>606</v>
      </c>
      <c r="D4337" t="s">
        <v>68</v>
      </c>
      <c r="E4337" t="s">
        <v>651</v>
      </c>
      <c r="F4337" t="s">
        <v>652</v>
      </c>
      <c r="G4337" s="10">
        <v>10</v>
      </c>
      <c r="H4337" s="10">
        <v>9404</v>
      </c>
      <c r="I4337" s="10">
        <v>94040</v>
      </c>
      <c r="J4337" t="s">
        <v>51</v>
      </c>
      <c r="K4337" s="11">
        <v>648.20000000000005</v>
      </c>
      <c r="L4337" s="12">
        <v>145.08000000000001</v>
      </c>
    </row>
    <row r="4338" spans="1:12" x14ac:dyDescent="0.2">
      <c r="A4338" s="9">
        <v>46258</v>
      </c>
      <c r="B4338" t="s">
        <v>611</v>
      </c>
      <c r="C4338" t="s">
        <v>612</v>
      </c>
      <c r="D4338" t="s">
        <v>41</v>
      </c>
      <c r="E4338" t="s">
        <v>655</v>
      </c>
      <c r="F4338" t="s">
        <v>656</v>
      </c>
      <c r="G4338" s="10">
        <v>6</v>
      </c>
      <c r="H4338" s="10">
        <v>2744</v>
      </c>
      <c r="I4338" s="10">
        <v>16464</v>
      </c>
      <c r="J4338" t="s">
        <v>42</v>
      </c>
      <c r="K4338" s="11">
        <v>3145.8</v>
      </c>
      <c r="L4338" s="12">
        <v>5.23</v>
      </c>
    </row>
    <row r="4339" spans="1:12" x14ac:dyDescent="0.2">
      <c r="A4339" s="9">
        <v>46258</v>
      </c>
      <c r="B4339" t="s">
        <v>614</v>
      </c>
      <c r="C4339" t="s">
        <v>615</v>
      </c>
      <c r="D4339" t="s">
        <v>68</v>
      </c>
      <c r="E4339" t="s">
        <v>660</v>
      </c>
      <c r="F4339" t="s">
        <v>661</v>
      </c>
      <c r="G4339" s="10">
        <v>3</v>
      </c>
      <c r="H4339" s="10">
        <v>4139</v>
      </c>
      <c r="I4339" s="10">
        <v>12417</v>
      </c>
      <c r="J4339" t="s">
        <v>51</v>
      </c>
      <c r="K4339" s="11">
        <v>648.20000000000005</v>
      </c>
      <c r="L4339" s="12">
        <v>19.16</v>
      </c>
    </row>
    <row r="4340" spans="1:12" x14ac:dyDescent="0.2">
      <c r="A4340" s="9">
        <v>46258</v>
      </c>
      <c r="B4340" t="s">
        <v>617</v>
      </c>
      <c r="C4340" t="s">
        <v>618</v>
      </c>
      <c r="D4340" t="s">
        <v>75</v>
      </c>
      <c r="E4340" t="s">
        <v>647</v>
      </c>
      <c r="F4340" t="s">
        <v>667</v>
      </c>
      <c r="G4340" s="10">
        <v>8</v>
      </c>
      <c r="H4340" s="10">
        <v>34179</v>
      </c>
      <c r="I4340" s="10">
        <v>273432</v>
      </c>
      <c r="J4340" t="s">
        <v>42</v>
      </c>
      <c r="K4340" s="11">
        <v>3145.8</v>
      </c>
      <c r="L4340" s="12">
        <v>86.92</v>
      </c>
    </row>
    <row r="4341" spans="1:12" x14ac:dyDescent="0.2">
      <c r="A4341" s="9">
        <v>46258</v>
      </c>
      <c r="B4341" t="s">
        <v>617</v>
      </c>
      <c r="C4341" t="s">
        <v>618</v>
      </c>
      <c r="D4341" t="s">
        <v>75</v>
      </c>
      <c r="E4341" t="s">
        <v>655</v>
      </c>
      <c r="F4341" t="s">
        <v>656</v>
      </c>
      <c r="G4341" s="10">
        <v>5</v>
      </c>
      <c r="H4341" s="10">
        <v>2747</v>
      </c>
      <c r="I4341" s="10">
        <v>13735</v>
      </c>
      <c r="J4341" t="s">
        <v>42</v>
      </c>
      <c r="K4341" s="11">
        <v>3145.8</v>
      </c>
      <c r="L4341" s="12">
        <v>4.37</v>
      </c>
    </row>
    <row r="4342" spans="1:12" x14ac:dyDescent="0.2">
      <c r="A4342" s="9">
        <v>46258</v>
      </c>
      <c r="B4342" t="s">
        <v>617</v>
      </c>
      <c r="C4342" t="s">
        <v>618</v>
      </c>
      <c r="D4342" t="s">
        <v>75</v>
      </c>
      <c r="E4342" t="s">
        <v>651</v>
      </c>
      <c r="F4342" t="s">
        <v>657</v>
      </c>
      <c r="G4342" s="10">
        <v>2</v>
      </c>
      <c r="H4342" s="10">
        <v>31107</v>
      </c>
      <c r="I4342" s="10">
        <v>62214</v>
      </c>
      <c r="J4342" t="s">
        <v>42</v>
      </c>
      <c r="K4342" s="11">
        <v>3145.8</v>
      </c>
      <c r="L4342" s="12">
        <v>19.78</v>
      </c>
    </row>
    <row r="4343" spans="1:12" x14ac:dyDescent="0.2">
      <c r="A4343" s="9">
        <v>46258</v>
      </c>
      <c r="B4343" t="s">
        <v>620</v>
      </c>
      <c r="C4343" t="s">
        <v>621</v>
      </c>
      <c r="D4343" t="s">
        <v>50</v>
      </c>
      <c r="E4343" t="s">
        <v>660</v>
      </c>
      <c r="F4343" t="s">
        <v>661</v>
      </c>
      <c r="G4343" s="10">
        <v>2</v>
      </c>
      <c r="H4343" s="10">
        <v>4125</v>
      </c>
      <c r="I4343" s="10">
        <v>8250</v>
      </c>
      <c r="J4343" t="s">
        <v>51</v>
      </c>
      <c r="K4343" s="11">
        <v>648.20000000000005</v>
      </c>
      <c r="L4343" s="12">
        <v>12.73</v>
      </c>
    </row>
    <row r="4344" spans="1:12" x14ac:dyDescent="0.2">
      <c r="A4344" s="9">
        <v>46258</v>
      </c>
      <c r="B4344" t="s">
        <v>620</v>
      </c>
      <c r="C4344" t="s">
        <v>621</v>
      </c>
      <c r="D4344" t="s">
        <v>50</v>
      </c>
      <c r="E4344" t="s">
        <v>655</v>
      </c>
      <c r="F4344" t="s">
        <v>656</v>
      </c>
      <c r="G4344" s="10">
        <v>7</v>
      </c>
      <c r="H4344" s="10">
        <v>564</v>
      </c>
      <c r="I4344" s="10">
        <v>3948</v>
      </c>
      <c r="J4344" t="s">
        <v>51</v>
      </c>
      <c r="K4344" s="11">
        <v>648.20000000000005</v>
      </c>
      <c r="L4344" s="12">
        <v>6.09</v>
      </c>
    </row>
    <row r="4345" spans="1:12" x14ac:dyDescent="0.2">
      <c r="A4345" s="9">
        <v>46258</v>
      </c>
      <c r="B4345" t="s">
        <v>623</v>
      </c>
      <c r="C4345" t="s">
        <v>624</v>
      </c>
      <c r="D4345" t="s">
        <v>68</v>
      </c>
      <c r="E4345" t="s">
        <v>660</v>
      </c>
      <c r="F4345" t="s">
        <v>669</v>
      </c>
      <c r="G4345" s="10">
        <v>62</v>
      </c>
      <c r="H4345" s="10">
        <v>2558</v>
      </c>
      <c r="I4345" s="10">
        <v>158596</v>
      </c>
      <c r="J4345" t="s">
        <v>51</v>
      </c>
      <c r="K4345" s="11">
        <v>648.20000000000005</v>
      </c>
      <c r="L4345" s="12">
        <v>244.67</v>
      </c>
    </row>
    <row r="4346" spans="1:12" x14ac:dyDescent="0.2">
      <c r="A4346" s="9">
        <v>46258</v>
      </c>
      <c r="B4346" t="s">
        <v>623</v>
      </c>
      <c r="C4346" t="s">
        <v>624</v>
      </c>
      <c r="D4346" t="s">
        <v>68</v>
      </c>
      <c r="E4346" t="s">
        <v>660</v>
      </c>
      <c r="F4346" t="s">
        <v>669</v>
      </c>
      <c r="G4346" s="10">
        <v>283</v>
      </c>
      <c r="H4346" s="10">
        <v>2572</v>
      </c>
      <c r="I4346" s="10">
        <v>727876</v>
      </c>
      <c r="J4346" t="s">
        <v>51</v>
      </c>
      <c r="K4346" s="11">
        <v>648.20000000000005</v>
      </c>
      <c r="L4346" s="12">
        <v>1122.92</v>
      </c>
    </row>
    <row r="4347" spans="1:12" x14ac:dyDescent="0.2">
      <c r="A4347" s="9">
        <v>46258</v>
      </c>
      <c r="B4347" t="s">
        <v>632</v>
      </c>
      <c r="C4347" t="s">
        <v>633</v>
      </c>
      <c r="D4347" t="s">
        <v>68</v>
      </c>
      <c r="E4347" t="s">
        <v>651</v>
      </c>
      <c r="F4347" t="s">
        <v>664</v>
      </c>
      <c r="G4347" s="10">
        <v>3</v>
      </c>
      <c r="H4347" s="10">
        <v>11797</v>
      </c>
      <c r="I4347" s="10">
        <v>35391</v>
      </c>
      <c r="J4347" t="s">
        <v>51</v>
      </c>
      <c r="K4347" s="11">
        <v>648.20000000000005</v>
      </c>
      <c r="L4347" s="12">
        <v>54.6</v>
      </c>
    </row>
    <row r="4348" spans="1:12" x14ac:dyDescent="0.2">
      <c r="A4348" s="9">
        <v>46258</v>
      </c>
      <c r="B4348" t="s">
        <v>635</v>
      </c>
      <c r="C4348" t="s">
        <v>636</v>
      </c>
      <c r="D4348" t="s">
        <v>41</v>
      </c>
      <c r="E4348" t="s">
        <v>651</v>
      </c>
      <c r="F4348" t="s">
        <v>652</v>
      </c>
      <c r="G4348" s="10">
        <v>20</v>
      </c>
      <c r="H4348" s="10">
        <v>45817</v>
      </c>
      <c r="I4348" s="10">
        <v>916340</v>
      </c>
      <c r="J4348" t="s">
        <v>42</v>
      </c>
      <c r="K4348" s="11">
        <v>3145.8</v>
      </c>
      <c r="L4348" s="12">
        <v>291.29000000000002</v>
      </c>
    </row>
    <row r="4349" spans="1:12" x14ac:dyDescent="0.2">
      <c r="A4349" s="9">
        <v>46258</v>
      </c>
      <c r="B4349" t="s">
        <v>635</v>
      </c>
      <c r="C4349" t="s">
        <v>636</v>
      </c>
      <c r="D4349" t="s">
        <v>41</v>
      </c>
      <c r="E4349" t="s">
        <v>655</v>
      </c>
      <c r="F4349" t="s">
        <v>662</v>
      </c>
      <c r="G4349" s="10">
        <v>5</v>
      </c>
      <c r="H4349" s="10">
        <v>5512</v>
      </c>
      <c r="I4349" s="10">
        <v>27560</v>
      </c>
      <c r="J4349" t="s">
        <v>42</v>
      </c>
      <c r="K4349" s="11">
        <v>3145.8</v>
      </c>
      <c r="L4349" s="12">
        <v>8.76</v>
      </c>
    </row>
    <row r="4350" spans="1:12" x14ac:dyDescent="0.2">
      <c r="A4350" s="9">
        <v>46258</v>
      </c>
      <c r="B4350" t="s">
        <v>635</v>
      </c>
      <c r="C4350" t="s">
        <v>636</v>
      </c>
      <c r="D4350" t="s">
        <v>41</v>
      </c>
      <c r="E4350" t="s">
        <v>660</v>
      </c>
      <c r="F4350" t="s">
        <v>670</v>
      </c>
      <c r="G4350" s="10">
        <v>14</v>
      </c>
      <c r="H4350" s="10">
        <v>68061</v>
      </c>
      <c r="I4350" s="10">
        <v>952854</v>
      </c>
      <c r="J4350" t="s">
        <v>42</v>
      </c>
      <c r="K4350" s="11">
        <v>3145.8</v>
      </c>
      <c r="L4350" s="12">
        <v>302.89999999999998</v>
      </c>
    </row>
    <row r="4351" spans="1:12" x14ac:dyDescent="0.2">
      <c r="A4351" s="9">
        <v>46258</v>
      </c>
      <c r="B4351" t="s">
        <v>635</v>
      </c>
      <c r="C4351" t="s">
        <v>636</v>
      </c>
      <c r="D4351" t="s">
        <v>41</v>
      </c>
      <c r="E4351" t="s">
        <v>647</v>
      </c>
      <c r="F4351" t="s">
        <v>648</v>
      </c>
      <c r="G4351" s="10">
        <v>1</v>
      </c>
      <c r="H4351" s="10">
        <v>79609</v>
      </c>
      <c r="I4351" s="10">
        <v>79609</v>
      </c>
      <c r="J4351" t="s">
        <v>42</v>
      </c>
      <c r="K4351" s="11">
        <v>3145.8</v>
      </c>
      <c r="L4351" s="12">
        <v>25.31</v>
      </c>
    </row>
    <row r="4352" spans="1:12" x14ac:dyDescent="0.2">
      <c r="A4352" s="9">
        <v>46259</v>
      </c>
      <c r="B4352" t="s">
        <v>34</v>
      </c>
      <c r="C4352" t="s">
        <v>35</v>
      </c>
      <c r="D4352" t="s">
        <v>36</v>
      </c>
      <c r="E4352" t="s">
        <v>651</v>
      </c>
      <c r="F4352" t="s">
        <v>652</v>
      </c>
      <c r="G4352" s="10">
        <v>29</v>
      </c>
      <c r="H4352" s="10">
        <v>9844</v>
      </c>
      <c r="I4352" s="10">
        <v>285476</v>
      </c>
      <c r="J4352" t="s">
        <v>37</v>
      </c>
      <c r="K4352" s="11">
        <v>648.20000000000005</v>
      </c>
      <c r="L4352" s="12">
        <v>440.41</v>
      </c>
    </row>
    <row r="4353" spans="1:12" x14ac:dyDescent="0.2">
      <c r="A4353" s="9">
        <v>46259</v>
      </c>
      <c r="B4353" t="s">
        <v>34</v>
      </c>
      <c r="C4353" t="s">
        <v>35</v>
      </c>
      <c r="D4353" t="s">
        <v>36</v>
      </c>
      <c r="E4353" t="s">
        <v>655</v>
      </c>
      <c r="F4353" t="s">
        <v>665</v>
      </c>
      <c r="G4353" s="10">
        <v>22</v>
      </c>
      <c r="H4353" s="10">
        <v>706</v>
      </c>
      <c r="I4353" s="10">
        <v>15532</v>
      </c>
      <c r="J4353" t="s">
        <v>37</v>
      </c>
      <c r="K4353" s="11">
        <v>648.20000000000005</v>
      </c>
      <c r="L4353" s="12">
        <v>23.96</v>
      </c>
    </row>
    <row r="4354" spans="1:12" x14ac:dyDescent="0.2">
      <c r="A4354" s="9">
        <v>46259</v>
      </c>
      <c r="B4354" t="s">
        <v>44</v>
      </c>
      <c r="C4354" t="s">
        <v>45</v>
      </c>
      <c r="D4354" t="s">
        <v>46</v>
      </c>
      <c r="E4354" t="s">
        <v>651</v>
      </c>
      <c r="F4354" t="s">
        <v>652</v>
      </c>
      <c r="G4354" s="10">
        <v>27</v>
      </c>
      <c r="H4354" s="10">
        <v>9816</v>
      </c>
      <c r="I4354" s="10">
        <v>265032</v>
      </c>
      <c r="J4354" t="s">
        <v>37</v>
      </c>
      <c r="K4354" s="11">
        <v>648.20000000000005</v>
      </c>
      <c r="L4354" s="12">
        <v>408.87</v>
      </c>
    </row>
    <row r="4355" spans="1:12" x14ac:dyDescent="0.2">
      <c r="A4355" s="9">
        <v>46259</v>
      </c>
      <c r="B4355" t="s">
        <v>44</v>
      </c>
      <c r="C4355" t="s">
        <v>45</v>
      </c>
      <c r="D4355" t="s">
        <v>46</v>
      </c>
      <c r="E4355" t="s">
        <v>651</v>
      </c>
      <c r="F4355" t="s">
        <v>652</v>
      </c>
      <c r="G4355" s="10">
        <v>34</v>
      </c>
      <c r="H4355" s="10">
        <v>9295</v>
      </c>
      <c r="I4355" s="10">
        <v>316030</v>
      </c>
      <c r="J4355" t="s">
        <v>37</v>
      </c>
      <c r="K4355" s="11">
        <v>648.20000000000005</v>
      </c>
      <c r="L4355" s="12">
        <v>487.55</v>
      </c>
    </row>
    <row r="4356" spans="1:12" x14ac:dyDescent="0.2">
      <c r="A4356" s="9">
        <v>46259</v>
      </c>
      <c r="B4356" t="s">
        <v>44</v>
      </c>
      <c r="C4356" t="s">
        <v>45</v>
      </c>
      <c r="D4356" t="s">
        <v>46</v>
      </c>
      <c r="E4356" t="s">
        <v>649</v>
      </c>
      <c r="F4356" t="s">
        <v>663</v>
      </c>
      <c r="G4356" s="10">
        <v>17</v>
      </c>
      <c r="H4356" s="10">
        <v>1955</v>
      </c>
      <c r="I4356" s="10">
        <v>33235</v>
      </c>
      <c r="J4356" t="s">
        <v>37</v>
      </c>
      <c r="K4356" s="11">
        <v>648.20000000000005</v>
      </c>
      <c r="L4356" s="12">
        <v>51.27</v>
      </c>
    </row>
    <row r="4357" spans="1:12" x14ac:dyDescent="0.2">
      <c r="A4357" s="9">
        <v>46259</v>
      </c>
      <c r="B4357" t="s">
        <v>44</v>
      </c>
      <c r="C4357" t="s">
        <v>45</v>
      </c>
      <c r="D4357" t="s">
        <v>46</v>
      </c>
      <c r="E4357" t="s">
        <v>660</v>
      </c>
      <c r="F4357" t="s">
        <v>670</v>
      </c>
      <c r="G4357" s="10">
        <v>3</v>
      </c>
      <c r="H4357" s="10">
        <v>14898</v>
      </c>
      <c r="I4357" s="10">
        <v>44694</v>
      </c>
      <c r="J4357" t="s">
        <v>37</v>
      </c>
      <c r="K4357" s="11">
        <v>648.20000000000005</v>
      </c>
      <c r="L4357" s="12">
        <v>68.95</v>
      </c>
    </row>
    <row r="4358" spans="1:12" x14ac:dyDescent="0.2">
      <c r="A4358" s="9">
        <v>46259</v>
      </c>
      <c r="B4358" t="s">
        <v>44</v>
      </c>
      <c r="C4358" t="s">
        <v>45</v>
      </c>
      <c r="D4358" t="s">
        <v>46</v>
      </c>
      <c r="E4358" t="s">
        <v>651</v>
      </c>
      <c r="F4358" t="s">
        <v>657</v>
      </c>
      <c r="G4358" s="10">
        <v>6</v>
      </c>
      <c r="H4358" s="10">
        <v>6247</v>
      </c>
      <c r="I4358" s="10">
        <v>37482</v>
      </c>
      <c r="J4358" t="s">
        <v>37</v>
      </c>
      <c r="K4358" s="11">
        <v>648.20000000000005</v>
      </c>
      <c r="L4358" s="12">
        <v>57.82</v>
      </c>
    </row>
    <row r="4359" spans="1:12" x14ac:dyDescent="0.2">
      <c r="A4359" s="9">
        <v>46259</v>
      </c>
      <c r="B4359" t="s">
        <v>48</v>
      </c>
      <c r="C4359" t="s">
        <v>49</v>
      </c>
      <c r="D4359" t="s">
        <v>50</v>
      </c>
      <c r="E4359" t="s">
        <v>660</v>
      </c>
      <c r="F4359" t="s">
        <v>669</v>
      </c>
      <c r="G4359" s="10">
        <v>4</v>
      </c>
      <c r="H4359" s="10">
        <v>2526</v>
      </c>
      <c r="I4359" s="10">
        <v>10104</v>
      </c>
      <c r="J4359" t="s">
        <v>51</v>
      </c>
      <c r="K4359" s="11">
        <v>648.20000000000005</v>
      </c>
      <c r="L4359" s="12">
        <v>15.59</v>
      </c>
    </row>
    <row r="4360" spans="1:12" x14ac:dyDescent="0.2">
      <c r="A4360" s="9">
        <v>46259</v>
      </c>
      <c r="B4360" t="s">
        <v>56</v>
      </c>
      <c r="C4360" t="s">
        <v>57</v>
      </c>
      <c r="D4360" t="s">
        <v>46</v>
      </c>
      <c r="E4360" t="s">
        <v>651</v>
      </c>
      <c r="F4360" t="s">
        <v>657</v>
      </c>
      <c r="G4360" s="10">
        <v>3</v>
      </c>
      <c r="H4360" s="10">
        <v>6163</v>
      </c>
      <c r="I4360" s="10">
        <v>18489</v>
      </c>
      <c r="J4360" t="s">
        <v>37</v>
      </c>
      <c r="K4360" s="11">
        <v>648.20000000000005</v>
      </c>
      <c r="L4360" s="12">
        <v>28.52</v>
      </c>
    </row>
    <row r="4361" spans="1:12" x14ac:dyDescent="0.2">
      <c r="A4361" s="9">
        <v>46259</v>
      </c>
      <c r="B4361" t="s">
        <v>63</v>
      </c>
      <c r="C4361" t="s">
        <v>64</v>
      </c>
      <c r="D4361" t="s">
        <v>50</v>
      </c>
      <c r="E4361" t="s">
        <v>660</v>
      </c>
      <c r="F4361" t="s">
        <v>670</v>
      </c>
      <c r="G4361" s="10">
        <v>8</v>
      </c>
      <c r="H4361" s="10">
        <v>14537</v>
      </c>
      <c r="I4361" s="10">
        <v>116296</v>
      </c>
      <c r="J4361" t="s">
        <v>51</v>
      </c>
      <c r="K4361" s="11">
        <v>648.20000000000005</v>
      </c>
      <c r="L4361" s="12">
        <v>179.41</v>
      </c>
    </row>
    <row r="4362" spans="1:12" x14ac:dyDescent="0.2">
      <c r="A4362" s="9">
        <v>46259</v>
      </c>
      <c r="B4362" t="s">
        <v>73</v>
      </c>
      <c r="C4362" t="s">
        <v>74</v>
      </c>
      <c r="D4362" t="s">
        <v>75</v>
      </c>
      <c r="E4362" t="s">
        <v>660</v>
      </c>
      <c r="F4362" t="s">
        <v>661</v>
      </c>
      <c r="G4362" s="10">
        <v>18</v>
      </c>
      <c r="H4362" s="10">
        <v>20369</v>
      </c>
      <c r="I4362" s="10">
        <v>366642</v>
      </c>
      <c r="J4362" t="s">
        <v>42</v>
      </c>
      <c r="K4362" s="11">
        <v>3145.8</v>
      </c>
      <c r="L4362" s="12">
        <v>116.55</v>
      </c>
    </row>
    <row r="4363" spans="1:12" x14ac:dyDescent="0.2">
      <c r="A4363" s="9">
        <v>46259</v>
      </c>
      <c r="B4363" t="s">
        <v>73</v>
      </c>
      <c r="C4363" t="s">
        <v>74</v>
      </c>
      <c r="D4363" t="s">
        <v>75</v>
      </c>
      <c r="E4363" t="s">
        <v>647</v>
      </c>
      <c r="F4363" t="s">
        <v>668</v>
      </c>
      <c r="G4363" s="10">
        <v>94</v>
      </c>
      <c r="H4363" s="10">
        <v>123677</v>
      </c>
      <c r="I4363" s="10">
        <v>11625638</v>
      </c>
      <c r="J4363" t="s">
        <v>42</v>
      </c>
      <c r="K4363" s="11">
        <v>3145.8</v>
      </c>
      <c r="L4363" s="12">
        <v>3695.61</v>
      </c>
    </row>
    <row r="4364" spans="1:12" x14ac:dyDescent="0.2">
      <c r="A4364" s="9">
        <v>46259</v>
      </c>
      <c r="B4364" t="s">
        <v>73</v>
      </c>
      <c r="C4364" t="s">
        <v>74</v>
      </c>
      <c r="D4364" t="s">
        <v>75</v>
      </c>
      <c r="E4364" t="s">
        <v>647</v>
      </c>
      <c r="F4364" t="s">
        <v>667</v>
      </c>
      <c r="G4364" s="10">
        <v>17</v>
      </c>
      <c r="H4364" s="10">
        <v>34742</v>
      </c>
      <c r="I4364" s="10">
        <v>590614</v>
      </c>
      <c r="J4364" t="s">
        <v>42</v>
      </c>
      <c r="K4364" s="11">
        <v>3145.8</v>
      </c>
      <c r="L4364" s="12">
        <v>187.75</v>
      </c>
    </row>
    <row r="4365" spans="1:12" x14ac:dyDescent="0.2">
      <c r="A4365" s="9">
        <v>46259</v>
      </c>
      <c r="B4365" t="s">
        <v>77</v>
      </c>
      <c r="C4365" t="s">
        <v>78</v>
      </c>
      <c r="D4365" t="s">
        <v>50</v>
      </c>
      <c r="E4365" t="s">
        <v>660</v>
      </c>
      <c r="F4365" t="s">
        <v>670</v>
      </c>
      <c r="G4365" s="10">
        <v>13</v>
      </c>
      <c r="H4365" s="10">
        <v>14337</v>
      </c>
      <c r="I4365" s="10">
        <v>186381</v>
      </c>
      <c r="J4365" t="s">
        <v>51</v>
      </c>
      <c r="K4365" s="11">
        <v>648.20000000000005</v>
      </c>
      <c r="L4365" s="12">
        <v>287.54000000000002</v>
      </c>
    </row>
    <row r="4366" spans="1:12" x14ac:dyDescent="0.2">
      <c r="A4366" s="9">
        <v>46259</v>
      </c>
      <c r="B4366" t="s">
        <v>80</v>
      </c>
      <c r="C4366" t="s">
        <v>81</v>
      </c>
      <c r="D4366" t="s">
        <v>46</v>
      </c>
      <c r="E4366" t="s">
        <v>649</v>
      </c>
      <c r="F4366" t="s">
        <v>663</v>
      </c>
      <c r="G4366" s="10">
        <v>3</v>
      </c>
      <c r="H4366" s="10">
        <v>2065</v>
      </c>
      <c r="I4366" s="10">
        <v>6195</v>
      </c>
      <c r="J4366" t="s">
        <v>37</v>
      </c>
      <c r="K4366" s="11">
        <v>648.20000000000005</v>
      </c>
      <c r="L4366" s="12">
        <v>9.56</v>
      </c>
    </row>
    <row r="4367" spans="1:12" x14ac:dyDescent="0.2">
      <c r="A4367" s="9">
        <v>46259</v>
      </c>
      <c r="B4367" t="s">
        <v>83</v>
      </c>
      <c r="C4367" t="s">
        <v>84</v>
      </c>
      <c r="D4367" t="s">
        <v>41</v>
      </c>
      <c r="E4367" t="s">
        <v>649</v>
      </c>
      <c r="F4367" t="s">
        <v>659</v>
      </c>
      <c r="G4367" s="10">
        <v>8</v>
      </c>
      <c r="H4367" s="10">
        <v>42450</v>
      </c>
      <c r="I4367" s="10">
        <v>339600</v>
      </c>
      <c r="J4367" t="s">
        <v>42</v>
      </c>
      <c r="K4367" s="11">
        <v>3145.8</v>
      </c>
      <c r="L4367" s="12">
        <v>107.95</v>
      </c>
    </row>
    <row r="4368" spans="1:12" x14ac:dyDescent="0.2">
      <c r="A4368" s="9">
        <v>46259</v>
      </c>
      <c r="B4368" t="s">
        <v>96</v>
      </c>
      <c r="C4368" t="s">
        <v>97</v>
      </c>
      <c r="D4368" t="s">
        <v>41</v>
      </c>
      <c r="E4368" t="s">
        <v>660</v>
      </c>
      <c r="F4368" t="s">
        <v>669</v>
      </c>
      <c r="G4368" s="10">
        <v>6</v>
      </c>
      <c r="H4368" s="10">
        <v>12149</v>
      </c>
      <c r="I4368" s="10">
        <v>72894</v>
      </c>
      <c r="J4368" t="s">
        <v>42</v>
      </c>
      <c r="K4368" s="11">
        <v>3145.8</v>
      </c>
      <c r="L4368" s="12">
        <v>23.17</v>
      </c>
    </row>
    <row r="4369" spans="1:12" x14ac:dyDescent="0.2">
      <c r="A4369" s="9">
        <v>46259</v>
      </c>
      <c r="B4369" t="s">
        <v>96</v>
      </c>
      <c r="C4369" t="s">
        <v>97</v>
      </c>
      <c r="D4369" t="s">
        <v>41</v>
      </c>
      <c r="E4369" t="s">
        <v>647</v>
      </c>
      <c r="F4369" t="s">
        <v>648</v>
      </c>
      <c r="G4369" s="10">
        <v>8</v>
      </c>
      <c r="H4369" s="10">
        <v>79784</v>
      </c>
      <c r="I4369" s="10">
        <v>638272</v>
      </c>
      <c r="J4369" t="s">
        <v>42</v>
      </c>
      <c r="K4369" s="11">
        <v>3145.8</v>
      </c>
      <c r="L4369" s="12">
        <v>202.9</v>
      </c>
    </row>
    <row r="4370" spans="1:12" x14ac:dyDescent="0.2">
      <c r="A4370" s="9">
        <v>46259</v>
      </c>
      <c r="B4370" t="s">
        <v>99</v>
      </c>
      <c r="C4370" t="s">
        <v>100</v>
      </c>
      <c r="D4370" t="s">
        <v>75</v>
      </c>
      <c r="E4370" t="s">
        <v>647</v>
      </c>
      <c r="F4370" t="s">
        <v>648</v>
      </c>
      <c r="G4370" s="10">
        <v>10</v>
      </c>
      <c r="H4370" s="10">
        <v>80820</v>
      </c>
      <c r="I4370" s="10">
        <v>808200</v>
      </c>
      <c r="J4370" t="s">
        <v>42</v>
      </c>
      <c r="K4370" s="11">
        <v>3145.8</v>
      </c>
      <c r="L4370" s="12">
        <v>256.91000000000003</v>
      </c>
    </row>
    <row r="4371" spans="1:12" x14ac:dyDescent="0.2">
      <c r="A4371" s="9">
        <v>46259</v>
      </c>
      <c r="B4371" t="s">
        <v>102</v>
      </c>
      <c r="C4371" t="s">
        <v>103</v>
      </c>
      <c r="D4371" t="s">
        <v>41</v>
      </c>
      <c r="E4371" t="s">
        <v>653</v>
      </c>
      <c r="F4371" t="s">
        <v>654</v>
      </c>
      <c r="G4371" s="10">
        <v>1</v>
      </c>
      <c r="H4371" s="10">
        <v>28522</v>
      </c>
      <c r="I4371" s="10">
        <v>28522</v>
      </c>
      <c r="J4371" t="s">
        <v>42</v>
      </c>
      <c r="K4371" s="11">
        <v>3145.8</v>
      </c>
      <c r="L4371" s="12">
        <v>9.07</v>
      </c>
    </row>
    <row r="4372" spans="1:12" x14ac:dyDescent="0.2">
      <c r="A4372" s="9">
        <v>46259</v>
      </c>
      <c r="B4372" t="s">
        <v>111</v>
      </c>
      <c r="C4372" t="s">
        <v>112</v>
      </c>
      <c r="D4372" t="s">
        <v>41</v>
      </c>
      <c r="E4372" t="s">
        <v>660</v>
      </c>
      <c r="F4372" t="s">
        <v>661</v>
      </c>
      <c r="G4372" s="10">
        <v>24</v>
      </c>
      <c r="H4372" s="10">
        <v>20548</v>
      </c>
      <c r="I4372" s="10">
        <v>493152</v>
      </c>
      <c r="J4372" t="s">
        <v>42</v>
      </c>
      <c r="K4372" s="11">
        <v>3145.8</v>
      </c>
      <c r="L4372" s="12">
        <v>156.77000000000001</v>
      </c>
    </row>
    <row r="4373" spans="1:12" x14ac:dyDescent="0.2">
      <c r="A4373" s="9">
        <v>46259</v>
      </c>
      <c r="B4373" t="s">
        <v>115</v>
      </c>
      <c r="C4373" t="s">
        <v>116</v>
      </c>
      <c r="D4373" t="s">
        <v>41</v>
      </c>
      <c r="E4373" t="s">
        <v>655</v>
      </c>
      <c r="F4373" t="s">
        <v>665</v>
      </c>
      <c r="G4373" s="10">
        <v>22</v>
      </c>
      <c r="H4373" s="10">
        <v>3394</v>
      </c>
      <c r="I4373" s="10">
        <v>74668</v>
      </c>
      <c r="J4373" t="s">
        <v>42</v>
      </c>
      <c r="K4373" s="11">
        <v>3145.8</v>
      </c>
      <c r="L4373" s="12">
        <v>23.74</v>
      </c>
    </row>
    <row r="4374" spans="1:12" x14ac:dyDescent="0.2">
      <c r="A4374" s="9">
        <v>46259</v>
      </c>
      <c r="B4374" t="s">
        <v>118</v>
      </c>
      <c r="C4374" t="s">
        <v>119</v>
      </c>
      <c r="D4374" t="s">
        <v>36</v>
      </c>
      <c r="E4374" t="s">
        <v>647</v>
      </c>
      <c r="F4374" t="s">
        <v>668</v>
      </c>
      <c r="G4374" s="10">
        <v>15</v>
      </c>
      <c r="H4374" s="10">
        <v>24407</v>
      </c>
      <c r="I4374" s="10">
        <v>366105</v>
      </c>
      <c r="J4374" t="s">
        <v>37</v>
      </c>
      <c r="K4374" s="11">
        <v>648.20000000000005</v>
      </c>
      <c r="L4374" s="12">
        <v>564.79999999999995</v>
      </c>
    </row>
    <row r="4375" spans="1:12" x14ac:dyDescent="0.2">
      <c r="A4375" s="9">
        <v>46259</v>
      </c>
      <c r="B4375" t="s">
        <v>118</v>
      </c>
      <c r="C4375" t="s">
        <v>119</v>
      </c>
      <c r="D4375" t="s">
        <v>36</v>
      </c>
      <c r="E4375" t="s">
        <v>647</v>
      </c>
      <c r="F4375" t="s">
        <v>648</v>
      </c>
      <c r="G4375" s="10">
        <v>46</v>
      </c>
      <c r="H4375" s="10">
        <v>16299</v>
      </c>
      <c r="I4375" s="10">
        <v>749754</v>
      </c>
      <c r="J4375" t="s">
        <v>37</v>
      </c>
      <c r="K4375" s="11">
        <v>648.20000000000005</v>
      </c>
      <c r="L4375" s="12">
        <v>1156.67</v>
      </c>
    </row>
    <row r="4376" spans="1:12" x14ac:dyDescent="0.2">
      <c r="A4376" s="9">
        <v>46259</v>
      </c>
      <c r="B4376" t="s">
        <v>121</v>
      </c>
      <c r="C4376" t="s">
        <v>122</v>
      </c>
      <c r="D4376" t="s">
        <v>75</v>
      </c>
      <c r="E4376" t="s">
        <v>647</v>
      </c>
      <c r="F4376" t="s">
        <v>668</v>
      </c>
      <c r="G4376" s="10">
        <v>23</v>
      </c>
      <c r="H4376" s="10">
        <v>121233</v>
      </c>
      <c r="I4376" s="10">
        <v>2788359</v>
      </c>
      <c r="J4376" t="s">
        <v>42</v>
      </c>
      <c r="K4376" s="11">
        <v>3145.8</v>
      </c>
      <c r="L4376" s="12">
        <v>886.38</v>
      </c>
    </row>
    <row r="4377" spans="1:12" x14ac:dyDescent="0.2">
      <c r="A4377" s="9">
        <v>46259</v>
      </c>
      <c r="B4377" t="s">
        <v>124</v>
      </c>
      <c r="C4377" t="s">
        <v>125</v>
      </c>
      <c r="D4377" t="s">
        <v>75</v>
      </c>
      <c r="E4377" t="s">
        <v>647</v>
      </c>
      <c r="F4377" t="s">
        <v>648</v>
      </c>
      <c r="G4377" s="10">
        <v>3</v>
      </c>
      <c r="H4377" s="10">
        <v>76765</v>
      </c>
      <c r="I4377" s="10">
        <v>230295</v>
      </c>
      <c r="J4377" t="s">
        <v>42</v>
      </c>
      <c r="K4377" s="11">
        <v>3145.8</v>
      </c>
      <c r="L4377" s="12">
        <v>73.209999999999994</v>
      </c>
    </row>
    <row r="4378" spans="1:12" x14ac:dyDescent="0.2">
      <c r="A4378" s="9">
        <v>46259</v>
      </c>
      <c r="B4378" t="s">
        <v>124</v>
      </c>
      <c r="C4378" t="s">
        <v>125</v>
      </c>
      <c r="D4378" t="s">
        <v>75</v>
      </c>
      <c r="E4378" t="s">
        <v>647</v>
      </c>
      <c r="F4378" t="s">
        <v>648</v>
      </c>
      <c r="G4378" s="10">
        <v>2</v>
      </c>
      <c r="H4378" s="10">
        <v>78683</v>
      </c>
      <c r="I4378" s="10">
        <v>157366</v>
      </c>
      <c r="J4378" t="s">
        <v>42</v>
      </c>
      <c r="K4378" s="11">
        <v>3145.8</v>
      </c>
      <c r="L4378" s="12">
        <v>50.02</v>
      </c>
    </row>
    <row r="4379" spans="1:12" x14ac:dyDescent="0.2">
      <c r="A4379" s="9">
        <v>46259</v>
      </c>
      <c r="B4379" t="s">
        <v>127</v>
      </c>
      <c r="C4379" t="s">
        <v>128</v>
      </c>
      <c r="D4379" t="s">
        <v>41</v>
      </c>
      <c r="E4379" t="s">
        <v>653</v>
      </c>
      <c r="F4379" t="s">
        <v>658</v>
      </c>
      <c r="G4379" s="10">
        <v>5</v>
      </c>
      <c r="H4379" s="10">
        <v>13165</v>
      </c>
      <c r="I4379" s="10">
        <v>65825</v>
      </c>
      <c r="J4379" t="s">
        <v>42</v>
      </c>
      <c r="K4379" s="11">
        <v>3145.8</v>
      </c>
      <c r="L4379" s="12">
        <v>20.92</v>
      </c>
    </row>
    <row r="4380" spans="1:12" x14ac:dyDescent="0.2">
      <c r="A4380" s="9">
        <v>46259</v>
      </c>
      <c r="B4380" t="s">
        <v>130</v>
      </c>
      <c r="C4380" t="s">
        <v>131</v>
      </c>
      <c r="D4380" t="s">
        <v>46</v>
      </c>
      <c r="E4380" t="s">
        <v>660</v>
      </c>
      <c r="F4380" t="s">
        <v>670</v>
      </c>
      <c r="G4380" s="10">
        <v>6</v>
      </c>
      <c r="H4380" s="10">
        <v>14834</v>
      </c>
      <c r="I4380" s="10">
        <v>89004</v>
      </c>
      <c r="J4380" t="s">
        <v>37</v>
      </c>
      <c r="K4380" s="11">
        <v>648.20000000000005</v>
      </c>
      <c r="L4380" s="12">
        <v>137.31</v>
      </c>
    </row>
    <row r="4381" spans="1:12" x14ac:dyDescent="0.2">
      <c r="A4381" s="9">
        <v>46259</v>
      </c>
      <c r="B4381" t="s">
        <v>130</v>
      </c>
      <c r="C4381" t="s">
        <v>131</v>
      </c>
      <c r="D4381" t="s">
        <v>46</v>
      </c>
      <c r="E4381" t="s">
        <v>660</v>
      </c>
      <c r="F4381" t="s">
        <v>661</v>
      </c>
      <c r="G4381" s="10">
        <v>9</v>
      </c>
      <c r="H4381" s="10">
        <v>4078</v>
      </c>
      <c r="I4381" s="10">
        <v>36702</v>
      </c>
      <c r="J4381" t="s">
        <v>37</v>
      </c>
      <c r="K4381" s="11">
        <v>648.20000000000005</v>
      </c>
      <c r="L4381" s="12">
        <v>56.62</v>
      </c>
    </row>
    <row r="4382" spans="1:12" x14ac:dyDescent="0.2">
      <c r="A4382" s="9">
        <v>46259</v>
      </c>
      <c r="B4382" t="s">
        <v>130</v>
      </c>
      <c r="C4382" t="s">
        <v>131</v>
      </c>
      <c r="D4382" t="s">
        <v>46</v>
      </c>
      <c r="E4382" t="s">
        <v>647</v>
      </c>
      <c r="F4382" t="s">
        <v>648</v>
      </c>
      <c r="G4382" s="10">
        <v>9</v>
      </c>
      <c r="H4382" s="10">
        <v>16131</v>
      </c>
      <c r="I4382" s="10">
        <v>145179</v>
      </c>
      <c r="J4382" t="s">
        <v>37</v>
      </c>
      <c r="K4382" s="11">
        <v>648.20000000000005</v>
      </c>
      <c r="L4382" s="12">
        <v>223.97</v>
      </c>
    </row>
    <row r="4383" spans="1:12" x14ac:dyDescent="0.2">
      <c r="A4383" s="9">
        <v>46259</v>
      </c>
      <c r="B4383" t="s">
        <v>142</v>
      </c>
      <c r="C4383" t="s">
        <v>143</v>
      </c>
      <c r="D4383" t="s">
        <v>75</v>
      </c>
      <c r="E4383" t="s">
        <v>653</v>
      </c>
      <c r="F4383" t="s">
        <v>658</v>
      </c>
      <c r="G4383" s="10">
        <v>26</v>
      </c>
      <c r="H4383" s="10">
        <v>12805</v>
      </c>
      <c r="I4383" s="10">
        <v>332930</v>
      </c>
      <c r="J4383" t="s">
        <v>42</v>
      </c>
      <c r="K4383" s="11">
        <v>3145.8</v>
      </c>
      <c r="L4383" s="12">
        <v>105.83</v>
      </c>
    </row>
    <row r="4384" spans="1:12" x14ac:dyDescent="0.2">
      <c r="A4384" s="9">
        <v>46259</v>
      </c>
      <c r="B4384" t="s">
        <v>142</v>
      </c>
      <c r="C4384" t="s">
        <v>143</v>
      </c>
      <c r="D4384" t="s">
        <v>75</v>
      </c>
      <c r="E4384" t="s">
        <v>649</v>
      </c>
      <c r="F4384" t="s">
        <v>659</v>
      </c>
      <c r="G4384" s="10">
        <v>75</v>
      </c>
      <c r="H4384" s="10">
        <v>44601</v>
      </c>
      <c r="I4384" s="10">
        <v>3345075</v>
      </c>
      <c r="J4384" t="s">
        <v>42</v>
      </c>
      <c r="K4384" s="11">
        <v>3145.8</v>
      </c>
      <c r="L4384" s="12">
        <v>1063.3499999999999</v>
      </c>
    </row>
    <row r="4385" spans="1:12" x14ac:dyDescent="0.2">
      <c r="A4385" s="9">
        <v>46259</v>
      </c>
      <c r="B4385" t="s">
        <v>142</v>
      </c>
      <c r="C4385" t="s">
        <v>143</v>
      </c>
      <c r="D4385" t="s">
        <v>75</v>
      </c>
      <c r="E4385" t="s">
        <v>660</v>
      </c>
      <c r="F4385" t="s">
        <v>669</v>
      </c>
      <c r="G4385" s="10">
        <v>27</v>
      </c>
      <c r="H4385" s="10">
        <v>12777</v>
      </c>
      <c r="I4385" s="10">
        <v>344979</v>
      </c>
      <c r="J4385" t="s">
        <v>42</v>
      </c>
      <c r="K4385" s="11">
        <v>3145.8</v>
      </c>
      <c r="L4385" s="12">
        <v>109.66</v>
      </c>
    </row>
    <row r="4386" spans="1:12" x14ac:dyDescent="0.2">
      <c r="A4386" s="9">
        <v>46259</v>
      </c>
      <c r="B4386" t="s">
        <v>155</v>
      </c>
      <c r="C4386" t="s">
        <v>156</v>
      </c>
      <c r="D4386" t="s">
        <v>46</v>
      </c>
      <c r="E4386" t="s">
        <v>655</v>
      </c>
      <c r="F4386" t="s">
        <v>662</v>
      </c>
      <c r="G4386" s="10">
        <v>7</v>
      </c>
      <c r="H4386" s="10">
        <v>1127</v>
      </c>
      <c r="I4386" s="10">
        <v>7889</v>
      </c>
      <c r="J4386" t="s">
        <v>37</v>
      </c>
      <c r="K4386" s="11">
        <v>648.20000000000005</v>
      </c>
      <c r="L4386" s="12">
        <v>12.17</v>
      </c>
    </row>
    <row r="4387" spans="1:12" x14ac:dyDescent="0.2">
      <c r="A4387" s="9">
        <v>46259</v>
      </c>
      <c r="B4387" t="s">
        <v>155</v>
      </c>
      <c r="C4387" t="s">
        <v>156</v>
      </c>
      <c r="D4387" t="s">
        <v>46</v>
      </c>
      <c r="E4387" t="s">
        <v>660</v>
      </c>
      <c r="F4387" t="s">
        <v>670</v>
      </c>
      <c r="G4387" s="10">
        <v>4</v>
      </c>
      <c r="H4387" s="10">
        <v>14979</v>
      </c>
      <c r="I4387" s="10">
        <v>59916</v>
      </c>
      <c r="J4387" t="s">
        <v>37</v>
      </c>
      <c r="K4387" s="11">
        <v>648.20000000000005</v>
      </c>
      <c r="L4387" s="12">
        <v>92.43</v>
      </c>
    </row>
    <row r="4388" spans="1:12" x14ac:dyDescent="0.2">
      <c r="A4388" s="9">
        <v>46259</v>
      </c>
      <c r="B4388" t="s">
        <v>161</v>
      </c>
      <c r="C4388" t="s">
        <v>67</v>
      </c>
      <c r="D4388" t="s">
        <v>41</v>
      </c>
      <c r="E4388" t="s">
        <v>655</v>
      </c>
      <c r="F4388" t="s">
        <v>665</v>
      </c>
      <c r="G4388" s="10">
        <v>6</v>
      </c>
      <c r="H4388" s="10">
        <v>3404</v>
      </c>
      <c r="I4388" s="10">
        <v>20424</v>
      </c>
      <c r="J4388" t="s">
        <v>42</v>
      </c>
      <c r="K4388" s="11">
        <v>3145.8</v>
      </c>
      <c r="L4388" s="12">
        <v>6.49</v>
      </c>
    </row>
    <row r="4389" spans="1:12" x14ac:dyDescent="0.2">
      <c r="A4389" s="9">
        <v>46259</v>
      </c>
      <c r="B4389" t="s">
        <v>169</v>
      </c>
      <c r="C4389" t="s">
        <v>170</v>
      </c>
      <c r="D4389" t="s">
        <v>41</v>
      </c>
      <c r="E4389" t="s">
        <v>660</v>
      </c>
      <c r="F4389" t="s">
        <v>661</v>
      </c>
      <c r="G4389" s="10">
        <v>7</v>
      </c>
      <c r="H4389" s="10">
        <v>19792</v>
      </c>
      <c r="I4389" s="10">
        <v>138544</v>
      </c>
      <c r="J4389" t="s">
        <v>42</v>
      </c>
      <c r="K4389" s="11">
        <v>3145.8</v>
      </c>
      <c r="L4389" s="12">
        <v>44.04</v>
      </c>
    </row>
    <row r="4390" spans="1:12" x14ac:dyDescent="0.2">
      <c r="A4390" s="9">
        <v>46259</v>
      </c>
      <c r="B4390" t="s">
        <v>181</v>
      </c>
      <c r="C4390" t="s">
        <v>182</v>
      </c>
      <c r="D4390" t="s">
        <v>41</v>
      </c>
      <c r="E4390" t="s">
        <v>651</v>
      </c>
      <c r="F4390" t="s">
        <v>664</v>
      </c>
      <c r="G4390" s="10">
        <v>9</v>
      </c>
      <c r="H4390" s="10">
        <v>58344</v>
      </c>
      <c r="I4390" s="10">
        <v>525096</v>
      </c>
      <c r="J4390" t="s">
        <v>42</v>
      </c>
      <c r="K4390" s="11">
        <v>3145.8</v>
      </c>
      <c r="L4390" s="12">
        <v>166.92</v>
      </c>
    </row>
    <row r="4391" spans="1:12" x14ac:dyDescent="0.2">
      <c r="A4391" s="9">
        <v>46259</v>
      </c>
      <c r="B4391" t="s">
        <v>190</v>
      </c>
      <c r="C4391" t="s">
        <v>191</v>
      </c>
      <c r="D4391" t="s">
        <v>68</v>
      </c>
      <c r="E4391" t="s">
        <v>660</v>
      </c>
      <c r="F4391" t="s">
        <v>670</v>
      </c>
      <c r="G4391" s="10">
        <v>11</v>
      </c>
      <c r="H4391" s="10">
        <v>14503</v>
      </c>
      <c r="I4391" s="10">
        <v>159533</v>
      </c>
      <c r="J4391" t="s">
        <v>51</v>
      </c>
      <c r="K4391" s="11">
        <v>648.20000000000005</v>
      </c>
      <c r="L4391" s="12">
        <v>246.12</v>
      </c>
    </row>
    <row r="4392" spans="1:12" x14ac:dyDescent="0.2">
      <c r="A4392" s="9">
        <v>46259</v>
      </c>
      <c r="B4392" t="s">
        <v>193</v>
      </c>
      <c r="C4392" t="s">
        <v>194</v>
      </c>
      <c r="D4392" t="s">
        <v>68</v>
      </c>
      <c r="E4392" t="s">
        <v>649</v>
      </c>
      <c r="F4392" t="s">
        <v>663</v>
      </c>
      <c r="G4392" s="10">
        <v>14</v>
      </c>
      <c r="H4392" s="10">
        <v>2099</v>
      </c>
      <c r="I4392" s="10">
        <v>29386</v>
      </c>
      <c r="J4392" t="s">
        <v>51</v>
      </c>
      <c r="K4392" s="11">
        <v>648.20000000000005</v>
      </c>
      <c r="L4392" s="12">
        <v>45.33</v>
      </c>
    </row>
    <row r="4393" spans="1:12" x14ac:dyDescent="0.2">
      <c r="A4393" s="9">
        <v>46259</v>
      </c>
      <c r="B4393" t="s">
        <v>196</v>
      </c>
      <c r="C4393" t="s">
        <v>197</v>
      </c>
      <c r="D4393" t="s">
        <v>46</v>
      </c>
      <c r="E4393" t="s">
        <v>653</v>
      </c>
      <c r="F4393" t="s">
        <v>654</v>
      </c>
      <c r="G4393" s="10">
        <v>3</v>
      </c>
      <c r="H4393" s="10">
        <v>5581</v>
      </c>
      <c r="I4393" s="10">
        <v>16743</v>
      </c>
      <c r="J4393" t="s">
        <v>37</v>
      </c>
      <c r="K4393" s="11">
        <v>648.20000000000005</v>
      </c>
      <c r="L4393" s="12">
        <v>25.83</v>
      </c>
    </row>
    <row r="4394" spans="1:12" x14ac:dyDescent="0.2">
      <c r="A4394" s="9">
        <v>46259</v>
      </c>
      <c r="B4394" t="s">
        <v>199</v>
      </c>
      <c r="C4394" t="s">
        <v>200</v>
      </c>
      <c r="D4394" t="s">
        <v>46</v>
      </c>
      <c r="E4394" t="s">
        <v>647</v>
      </c>
      <c r="F4394" t="s">
        <v>667</v>
      </c>
      <c r="G4394" s="10">
        <v>3</v>
      </c>
      <c r="H4394" s="10">
        <v>7311</v>
      </c>
      <c r="I4394" s="10">
        <v>21933</v>
      </c>
      <c r="J4394" t="s">
        <v>37</v>
      </c>
      <c r="K4394" s="11">
        <v>648.20000000000005</v>
      </c>
      <c r="L4394" s="12">
        <v>33.840000000000003</v>
      </c>
    </row>
    <row r="4395" spans="1:12" x14ac:dyDescent="0.2">
      <c r="A4395" s="9">
        <v>46259</v>
      </c>
      <c r="B4395" t="s">
        <v>199</v>
      </c>
      <c r="C4395" t="s">
        <v>200</v>
      </c>
      <c r="D4395" t="s">
        <v>46</v>
      </c>
      <c r="E4395" t="s">
        <v>651</v>
      </c>
      <c r="F4395" t="s">
        <v>657</v>
      </c>
      <c r="G4395" s="10">
        <v>23</v>
      </c>
      <c r="H4395" s="10">
        <v>6366</v>
      </c>
      <c r="I4395" s="10">
        <v>146418</v>
      </c>
      <c r="J4395" t="s">
        <v>37</v>
      </c>
      <c r="K4395" s="11">
        <v>648.20000000000005</v>
      </c>
      <c r="L4395" s="12">
        <v>225.88</v>
      </c>
    </row>
    <row r="4396" spans="1:12" x14ac:dyDescent="0.2">
      <c r="A4396" s="9">
        <v>46259</v>
      </c>
      <c r="B4396" t="s">
        <v>202</v>
      </c>
      <c r="C4396" t="s">
        <v>203</v>
      </c>
      <c r="D4396" t="s">
        <v>68</v>
      </c>
      <c r="E4396" t="s">
        <v>660</v>
      </c>
      <c r="F4396" t="s">
        <v>661</v>
      </c>
      <c r="G4396" s="10">
        <v>7</v>
      </c>
      <c r="H4396" s="10">
        <v>4332</v>
      </c>
      <c r="I4396" s="10">
        <v>30324</v>
      </c>
      <c r="J4396" t="s">
        <v>51</v>
      </c>
      <c r="K4396" s="11">
        <v>648.20000000000005</v>
      </c>
      <c r="L4396" s="12">
        <v>46.78</v>
      </c>
    </row>
    <row r="4397" spans="1:12" x14ac:dyDescent="0.2">
      <c r="A4397" s="9">
        <v>46259</v>
      </c>
      <c r="B4397" t="s">
        <v>202</v>
      </c>
      <c r="C4397" t="s">
        <v>203</v>
      </c>
      <c r="D4397" t="s">
        <v>68</v>
      </c>
      <c r="E4397" t="s">
        <v>647</v>
      </c>
      <c r="F4397" t="s">
        <v>668</v>
      </c>
      <c r="G4397" s="10">
        <v>6</v>
      </c>
      <c r="H4397" s="10">
        <v>24943</v>
      </c>
      <c r="I4397" s="10">
        <v>149658</v>
      </c>
      <c r="J4397" t="s">
        <v>51</v>
      </c>
      <c r="K4397" s="11">
        <v>648.20000000000005</v>
      </c>
      <c r="L4397" s="12">
        <v>230.88</v>
      </c>
    </row>
    <row r="4398" spans="1:12" x14ac:dyDescent="0.2">
      <c r="A4398" s="9">
        <v>46259</v>
      </c>
      <c r="B4398" t="s">
        <v>211</v>
      </c>
      <c r="C4398" t="s">
        <v>212</v>
      </c>
      <c r="D4398" t="s">
        <v>46</v>
      </c>
      <c r="E4398" t="s">
        <v>647</v>
      </c>
      <c r="F4398" t="s">
        <v>648</v>
      </c>
      <c r="G4398" s="10">
        <v>50</v>
      </c>
      <c r="H4398" s="10">
        <v>15781</v>
      </c>
      <c r="I4398" s="10">
        <v>789050</v>
      </c>
      <c r="J4398" t="s">
        <v>37</v>
      </c>
      <c r="K4398" s="11">
        <v>648.20000000000005</v>
      </c>
      <c r="L4398" s="12">
        <v>1217.29</v>
      </c>
    </row>
    <row r="4399" spans="1:12" x14ac:dyDescent="0.2">
      <c r="A4399" s="9">
        <v>46259</v>
      </c>
      <c r="B4399" t="s">
        <v>211</v>
      </c>
      <c r="C4399" t="s">
        <v>212</v>
      </c>
      <c r="D4399" t="s">
        <v>46</v>
      </c>
      <c r="E4399" t="s">
        <v>647</v>
      </c>
      <c r="F4399" t="s">
        <v>667</v>
      </c>
      <c r="G4399" s="10">
        <v>9</v>
      </c>
      <c r="H4399" s="10">
        <v>7109</v>
      </c>
      <c r="I4399" s="10">
        <v>63981</v>
      </c>
      <c r="J4399" t="s">
        <v>37</v>
      </c>
      <c r="K4399" s="11">
        <v>648.20000000000005</v>
      </c>
      <c r="L4399" s="12">
        <v>98.71</v>
      </c>
    </row>
    <row r="4400" spans="1:12" x14ac:dyDescent="0.2">
      <c r="A4400" s="9">
        <v>46259</v>
      </c>
      <c r="B4400" t="s">
        <v>220</v>
      </c>
      <c r="C4400" t="s">
        <v>221</v>
      </c>
      <c r="D4400" t="s">
        <v>46</v>
      </c>
      <c r="E4400" t="s">
        <v>655</v>
      </c>
      <c r="F4400" t="s">
        <v>662</v>
      </c>
      <c r="G4400" s="10">
        <v>17</v>
      </c>
      <c r="H4400" s="10">
        <v>1107</v>
      </c>
      <c r="I4400" s="10">
        <v>18819</v>
      </c>
      <c r="J4400" t="s">
        <v>37</v>
      </c>
      <c r="K4400" s="11">
        <v>648.20000000000005</v>
      </c>
      <c r="L4400" s="12">
        <v>29.03</v>
      </c>
    </row>
    <row r="4401" spans="1:12" x14ac:dyDescent="0.2">
      <c r="A4401" s="9">
        <v>46259</v>
      </c>
      <c r="B4401" t="s">
        <v>220</v>
      </c>
      <c r="C4401" t="s">
        <v>221</v>
      </c>
      <c r="D4401" t="s">
        <v>46</v>
      </c>
      <c r="E4401" t="s">
        <v>647</v>
      </c>
      <c r="F4401" t="s">
        <v>667</v>
      </c>
      <c r="G4401" s="10">
        <v>53</v>
      </c>
      <c r="H4401" s="10">
        <v>7592</v>
      </c>
      <c r="I4401" s="10">
        <v>402376</v>
      </c>
      <c r="J4401" t="s">
        <v>37</v>
      </c>
      <c r="K4401" s="11">
        <v>648.20000000000005</v>
      </c>
      <c r="L4401" s="12">
        <v>620.76</v>
      </c>
    </row>
    <row r="4402" spans="1:12" x14ac:dyDescent="0.2">
      <c r="A4402" s="9">
        <v>46259</v>
      </c>
      <c r="B4402" t="s">
        <v>223</v>
      </c>
      <c r="C4402" t="s">
        <v>224</v>
      </c>
      <c r="D4402" t="s">
        <v>36</v>
      </c>
      <c r="E4402" t="s">
        <v>660</v>
      </c>
      <c r="F4402" t="s">
        <v>669</v>
      </c>
      <c r="G4402" s="10">
        <v>50</v>
      </c>
      <c r="H4402" s="10">
        <v>2505</v>
      </c>
      <c r="I4402" s="10">
        <v>125250</v>
      </c>
      <c r="J4402" t="s">
        <v>37</v>
      </c>
      <c r="K4402" s="11">
        <v>648.20000000000005</v>
      </c>
      <c r="L4402" s="12">
        <v>193.23</v>
      </c>
    </row>
    <row r="4403" spans="1:12" x14ac:dyDescent="0.2">
      <c r="A4403" s="9">
        <v>46259</v>
      </c>
      <c r="B4403" t="s">
        <v>226</v>
      </c>
      <c r="C4403" t="s">
        <v>227</v>
      </c>
      <c r="D4403" t="s">
        <v>41</v>
      </c>
      <c r="E4403" t="s">
        <v>649</v>
      </c>
      <c r="F4403" t="s">
        <v>659</v>
      </c>
      <c r="G4403" s="10">
        <v>23</v>
      </c>
      <c r="H4403" s="10">
        <v>41941</v>
      </c>
      <c r="I4403" s="10">
        <v>964643</v>
      </c>
      <c r="J4403" t="s">
        <v>42</v>
      </c>
      <c r="K4403" s="11">
        <v>3145.8</v>
      </c>
      <c r="L4403" s="12">
        <v>306.64</v>
      </c>
    </row>
    <row r="4404" spans="1:12" x14ac:dyDescent="0.2">
      <c r="A4404" s="9">
        <v>46259</v>
      </c>
      <c r="B4404" t="s">
        <v>226</v>
      </c>
      <c r="C4404" t="s">
        <v>227</v>
      </c>
      <c r="D4404" t="s">
        <v>41</v>
      </c>
      <c r="E4404" t="s">
        <v>655</v>
      </c>
      <c r="F4404" t="s">
        <v>665</v>
      </c>
      <c r="G4404" s="10">
        <v>44</v>
      </c>
      <c r="H4404" s="10">
        <v>3398</v>
      </c>
      <c r="I4404" s="10">
        <v>149512</v>
      </c>
      <c r="J4404" t="s">
        <v>42</v>
      </c>
      <c r="K4404" s="11">
        <v>3145.8</v>
      </c>
      <c r="L4404" s="12">
        <v>47.53</v>
      </c>
    </row>
    <row r="4405" spans="1:12" x14ac:dyDescent="0.2">
      <c r="A4405" s="9">
        <v>46259</v>
      </c>
      <c r="B4405" t="s">
        <v>229</v>
      </c>
      <c r="C4405" t="s">
        <v>230</v>
      </c>
      <c r="D4405" t="s">
        <v>36</v>
      </c>
      <c r="E4405" t="s">
        <v>649</v>
      </c>
      <c r="F4405" t="s">
        <v>663</v>
      </c>
      <c r="G4405" s="10">
        <v>12</v>
      </c>
      <c r="H4405" s="10">
        <v>2037</v>
      </c>
      <c r="I4405" s="10">
        <v>24444</v>
      </c>
      <c r="J4405" t="s">
        <v>37</v>
      </c>
      <c r="K4405" s="11">
        <v>648.20000000000005</v>
      </c>
      <c r="L4405" s="12">
        <v>37.71</v>
      </c>
    </row>
    <row r="4406" spans="1:12" x14ac:dyDescent="0.2">
      <c r="A4406" s="9">
        <v>46259</v>
      </c>
      <c r="B4406" t="s">
        <v>232</v>
      </c>
      <c r="C4406" t="s">
        <v>233</v>
      </c>
      <c r="D4406" t="s">
        <v>46</v>
      </c>
      <c r="E4406" t="s">
        <v>647</v>
      </c>
      <c r="F4406" t="s">
        <v>667</v>
      </c>
      <c r="G4406" s="10">
        <v>6</v>
      </c>
      <c r="H4406" s="10">
        <v>7198</v>
      </c>
      <c r="I4406" s="10">
        <v>43188</v>
      </c>
      <c r="J4406" t="s">
        <v>37</v>
      </c>
      <c r="K4406" s="11">
        <v>648.20000000000005</v>
      </c>
      <c r="L4406" s="12">
        <v>66.63</v>
      </c>
    </row>
    <row r="4407" spans="1:12" x14ac:dyDescent="0.2">
      <c r="A4407" s="9">
        <v>46259</v>
      </c>
      <c r="B4407" t="s">
        <v>235</v>
      </c>
      <c r="C4407" t="s">
        <v>236</v>
      </c>
      <c r="D4407" t="s">
        <v>50</v>
      </c>
      <c r="E4407" t="s">
        <v>660</v>
      </c>
      <c r="F4407" t="s">
        <v>670</v>
      </c>
      <c r="G4407" s="10">
        <v>27</v>
      </c>
      <c r="H4407" s="10">
        <v>14859</v>
      </c>
      <c r="I4407" s="10">
        <v>401193</v>
      </c>
      <c r="J4407" t="s">
        <v>51</v>
      </c>
      <c r="K4407" s="11">
        <v>648.20000000000005</v>
      </c>
      <c r="L4407" s="12">
        <v>618.92999999999995</v>
      </c>
    </row>
    <row r="4408" spans="1:12" x14ac:dyDescent="0.2">
      <c r="A4408" s="9">
        <v>46259</v>
      </c>
      <c r="B4408" t="s">
        <v>235</v>
      </c>
      <c r="C4408" t="s">
        <v>236</v>
      </c>
      <c r="D4408" t="s">
        <v>50</v>
      </c>
      <c r="E4408" t="s">
        <v>660</v>
      </c>
      <c r="F4408" t="s">
        <v>670</v>
      </c>
      <c r="G4408" s="10">
        <v>33</v>
      </c>
      <c r="H4408" s="10">
        <v>14956</v>
      </c>
      <c r="I4408" s="10">
        <v>493548</v>
      </c>
      <c r="J4408" t="s">
        <v>51</v>
      </c>
      <c r="K4408" s="11">
        <v>648.20000000000005</v>
      </c>
      <c r="L4408" s="12">
        <v>761.41</v>
      </c>
    </row>
    <row r="4409" spans="1:12" x14ac:dyDescent="0.2">
      <c r="A4409" s="9">
        <v>46259</v>
      </c>
      <c r="B4409" t="s">
        <v>235</v>
      </c>
      <c r="C4409" t="s">
        <v>236</v>
      </c>
      <c r="D4409" t="s">
        <v>50</v>
      </c>
      <c r="E4409" t="s">
        <v>660</v>
      </c>
      <c r="F4409" t="s">
        <v>661</v>
      </c>
      <c r="G4409" s="10">
        <v>65</v>
      </c>
      <c r="H4409" s="10">
        <v>4272</v>
      </c>
      <c r="I4409" s="10">
        <v>277680</v>
      </c>
      <c r="J4409" t="s">
        <v>51</v>
      </c>
      <c r="K4409" s="11">
        <v>648.20000000000005</v>
      </c>
      <c r="L4409" s="12">
        <v>428.39</v>
      </c>
    </row>
    <row r="4410" spans="1:12" x14ac:dyDescent="0.2">
      <c r="A4410" s="9">
        <v>46259</v>
      </c>
      <c r="B4410" t="s">
        <v>235</v>
      </c>
      <c r="C4410" t="s">
        <v>236</v>
      </c>
      <c r="D4410" t="s">
        <v>50</v>
      </c>
      <c r="E4410" t="s">
        <v>651</v>
      </c>
      <c r="F4410" t="s">
        <v>657</v>
      </c>
      <c r="G4410" s="10">
        <v>24</v>
      </c>
      <c r="H4410" s="10">
        <v>6534</v>
      </c>
      <c r="I4410" s="10">
        <v>156816</v>
      </c>
      <c r="J4410" t="s">
        <v>51</v>
      </c>
      <c r="K4410" s="11">
        <v>648.20000000000005</v>
      </c>
      <c r="L4410" s="12">
        <v>241.93</v>
      </c>
    </row>
    <row r="4411" spans="1:12" x14ac:dyDescent="0.2">
      <c r="A4411" s="9">
        <v>46259</v>
      </c>
      <c r="B4411" t="s">
        <v>235</v>
      </c>
      <c r="C4411" t="s">
        <v>236</v>
      </c>
      <c r="D4411" t="s">
        <v>50</v>
      </c>
      <c r="E4411" t="s">
        <v>651</v>
      </c>
      <c r="F4411" t="s">
        <v>664</v>
      </c>
      <c r="G4411" s="10">
        <v>16</v>
      </c>
      <c r="H4411" s="10">
        <v>11714</v>
      </c>
      <c r="I4411" s="10">
        <v>187424</v>
      </c>
      <c r="J4411" t="s">
        <v>51</v>
      </c>
      <c r="K4411" s="11">
        <v>648.20000000000005</v>
      </c>
      <c r="L4411" s="12">
        <v>289.14999999999998</v>
      </c>
    </row>
    <row r="4412" spans="1:12" x14ac:dyDescent="0.2">
      <c r="A4412" s="9">
        <v>46259</v>
      </c>
      <c r="B4412" t="s">
        <v>238</v>
      </c>
      <c r="C4412" t="s">
        <v>239</v>
      </c>
      <c r="D4412" t="s">
        <v>68</v>
      </c>
      <c r="E4412" t="s">
        <v>655</v>
      </c>
      <c r="F4412" t="s">
        <v>665</v>
      </c>
      <c r="G4412" s="10">
        <v>8</v>
      </c>
      <c r="H4412" s="10">
        <v>692</v>
      </c>
      <c r="I4412" s="10">
        <v>5536</v>
      </c>
      <c r="J4412" t="s">
        <v>51</v>
      </c>
      <c r="K4412" s="11">
        <v>648.20000000000005</v>
      </c>
      <c r="L4412" s="12">
        <v>8.5399999999999991</v>
      </c>
    </row>
    <row r="4413" spans="1:12" x14ac:dyDescent="0.2">
      <c r="A4413" s="9">
        <v>46259</v>
      </c>
      <c r="B4413" t="s">
        <v>241</v>
      </c>
      <c r="C4413" t="s">
        <v>242</v>
      </c>
      <c r="D4413" t="s">
        <v>46</v>
      </c>
      <c r="E4413" t="s">
        <v>649</v>
      </c>
      <c r="F4413" t="s">
        <v>650</v>
      </c>
      <c r="G4413" s="10">
        <v>4</v>
      </c>
      <c r="H4413" s="10">
        <v>18630</v>
      </c>
      <c r="I4413" s="10">
        <v>74520</v>
      </c>
      <c r="J4413" t="s">
        <v>37</v>
      </c>
      <c r="K4413" s="11">
        <v>648.20000000000005</v>
      </c>
      <c r="L4413" s="12">
        <v>114.96</v>
      </c>
    </row>
    <row r="4414" spans="1:12" x14ac:dyDescent="0.2">
      <c r="A4414" s="9">
        <v>46259</v>
      </c>
      <c r="B4414" t="s">
        <v>244</v>
      </c>
      <c r="C4414" t="s">
        <v>245</v>
      </c>
      <c r="D4414" t="s">
        <v>75</v>
      </c>
      <c r="E4414" t="s">
        <v>651</v>
      </c>
      <c r="F4414" t="s">
        <v>652</v>
      </c>
      <c r="G4414" s="10">
        <v>4</v>
      </c>
      <c r="H4414" s="10">
        <v>45976</v>
      </c>
      <c r="I4414" s="10">
        <v>183904</v>
      </c>
      <c r="J4414" t="s">
        <v>42</v>
      </c>
      <c r="K4414" s="11">
        <v>3145.8</v>
      </c>
      <c r="L4414" s="12">
        <v>58.46</v>
      </c>
    </row>
    <row r="4415" spans="1:12" x14ac:dyDescent="0.2">
      <c r="A4415" s="9">
        <v>46259</v>
      </c>
      <c r="B4415" t="s">
        <v>244</v>
      </c>
      <c r="C4415" t="s">
        <v>245</v>
      </c>
      <c r="D4415" t="s">
        <v>75</v>
      </c>
      <c r="E4415" t="s">
        <v>651</v>
      </c>
      <c r="F4415" t="s">
        <v>652</v>
      </c>
      <c r="G4415" s="10">
        <v>10</v>
      </c>
      <c r="H4415" s="10">
        <v>46594</v>
      </c>
      <c r="I4415" s="10">
        <v>465940</v>
      </c>
      <c r="J4415" t="s">
        <v>42</v>
      </c>
      <c r="K4415" s="11">
        <v>3145.8</v>
      </c>
      <c r="L4415" s="12">
        <v>148.11000000000001</v>
      </c>
    </row>
    <row r="4416" spans="1:12" x14ac:dyDescent="0.2">
      <c r="A4416" s="9">
        <v>46259</v>
      </c>
      <c r="B4416" t="s">
        <v>244</v>
      </c>
      <c r="C4416" t="s">
        <v>245</v>
      </c>
      <c r="D4416" t="s">
        <v>75</v>
      </c>
      <c r="E4416" t="s">
        <v>660</v>
      </c>
      <c r="F4416" t="s">
        <v>661</v>
      </c>
      <c r="G4416" s="10">
        <v>14</v>
      </c>
      <c r="H4416" s="10">
        <v>20343</v>
      </c>
      <c r="I4416" s="10">
        <v>284802</v>
      </c>
      <c r="J4416" t="s">
        <v>42</v>
      </c>
      <c r="K4416" s="11">
        <v>3145.8</v>
      </c>
      <c r="L4416" s="12">
        <v>90.53</v>
      </c>
    </row>
    <row r="4417" spans="1:12" x14ac:dyDescent="0.2">
      <c r="A4417" s="9">
        <v>46259</v>
      </c>
      <c r="B4417" t="s">
        <v>247</v>
      </c>
      <c r="C4417" t="s">
        <v>248</v>
      </c>
      <c r="D4417" t="s">
        <v>75</v>
      </c>
      <c r="E4417" t="s">
        <v>653</v>
      </c>
      <c r="F4417" t="s">
        <v>666</v>
      </c>
      <c r="G4417" s="10">
        <v>17</v>
      </c>
      <c r="H4417" s="10">
        <v>7360</v>
      </c>
      <c r="I4417" s="10">
        <v>125120</v>
      </c>
      <c r="J4417" t="s">
        <v>42</v>
      </c>
      <c r="K4417" s="11">
        <v>3145.8</v>
      </c>
      <c r="L4417" s="12">
        <v>39.770000000000003</v>
      </c>
    </row>
    <row r="4418" spans="1:12" x14ac:dyDescent="0.2">
      <c r="A4418" s="9">
        <v>46259</v>
      </c>
      <c r="B4418" t="s">
        <v>256</v>
      </c>
      <c r="C4418" t="s">
        <v>182</v>
      </c>
      <c r="D4418" t="s">
        <v>50</v>
      </c>
      <c r="E4418" t="s">
        <v>649</v>
      </c>
      <c r="F4418" t="s">
        <v>659</v>
      </c>
      <c r="G4418" s="10">
        <v>18</v>
      </c>
      <c r="H4418" s="10">
        <v>9158</v>
      </c>
      <c r="I4418" s="10">
        <v>164844</v>
      </c>
      <c r="J4418" t="s">
        <v>51</v>
      </c>
      <c r="K4418" s="11">
        <v>648.20000000000005</v>
      </c>
      <c r="L4418" s="12">
        <v>254.31</v>
      </c>
    </row>
    <row r="4419" spans="1:12" x14ac:dyDescent="0.2">
      <c r="A4419" s="9">
        <v>46259</v>
      </c>
      <c r="B4419" t="s">
        <v>258</v>
      </c>
      <c r="C4419" t="s">
        <v>259</v>
      </c>
      <c r="D4419" t="s">
        <v>50</v>
      </c>
      <c r="E4419" t="s">
        <v>647</v>
      </c>
      <c r="F4419" t="s">
        <v>648</v>
      </c>
      <c r="G4419" s="10">
        <v>15</v>
      </c>
      <c r="H4419" s="10">
        <v>16330</v>
      </c>
      <c r="I4419" s="10">
        <v>244950</v>
      </c>
      <c r="J4419" t="s">
        <v>51</v>
      </c>
      <c r="K4419" s="11">
        <v>648.20000000000005</v>
      </c>
      <c r="L4419" s="12">
        <v>377.89</v>
      </c>
    </row>
    <row r="4420" spans="1:12" x14ac:dyDescent="0.2">
      <c r="A4420" s="9">
        <v>46259</v>
      </c>
      <c r="B4420" t="s">
        <v>264</v>
      </c>
      <c r="C4420" t="s">
        <v>265</v>
      </c>
      <c r="D4420" t="s">
        <v>41</v>
      </c>
      <c r="E4420" t="s">
        <v>649</v>
      </c>
      <c r="F4420" t="s">
        <v>659</v>
      </c>
      <c r="G4420" s="10">
        <v>5</v>
      </c>
      <c r="H4420" s="10">
        <v>42163</v>
      </c>
      <c r="I4420" s="10">
        <v>210815</v>
      </c>
      <c r="J4420" t="s">
        <v>42</v>
      </c>
      <c r="K4420" s="11">
        <v>3145.8</v>
      </c>
      <c r="L4420" s="12">
        <v>67.010000000000005</v>
      </c>
    </row>
    <row r="4421" spans="1:12" x14ac:dyDescent="0.2">
      <c r="A4421" s="9">
        <v>46259</v>
      </c>
      <c r="B4421" t="s">
        <v>264</v>
      </c>
      <c r="C4421" t="s">
        <v>265</v>
      </c>
      <c r="D4421" t="s">
        <v>41</v>
      </c>
      <c r="E4421" t="s">
        <v>660</v>
      </c>
      <c r="F4421" t="s">
        <v>670</v>
      </c>
      <c r="G4421" s="10">
        <v>2</v>
      </c>
      <c r="H4421" s="10">
        <v>71814</v>
      </c>
      <c r="I4421" s="10">
        <v>143628</v>
      </c>
      <c r="J4421" t="s">
        <v>42</v>
      </c>
      <c r="K4421" s="11">
        <v>3145.8</v>
      </c>
      <c r="L4421" s="12">
        <v>45.66</v>
      </c>
    </row>
    <row r="4422" spans="1:12" x14ac:dyDescent="0.2">
      <c r="A4422" s="9">
        <v>46259</v>
      </c>
      <c r="B4422" t="s">
        <v>264</v>
      </c>
      <c r="C4422" t="s">
        <v>265</v>
      </c>
      <c r="D4422" t="s">
        <v>41</v>
      </c>
      <c r="E4422" t="s">
        <v>647</v>
      </c>
      <c r="F4422" t="s">
        <v>667</v>
      </c>
      <c r="G4422" s="10">
        <v>7</v>
      </c>
      <c r="H4422" s="10">
        <v>36078</v>
      </c>
      <c r="I4422" s="10">
        <v>252546</v>
      </c>
      <c r="J4422" t="s">
        <v>42</v>
      </c>
      <c r="K4422" s="11">
        <v>3145.8</v>
      </c>
      <c r="L4422" s="12">
        <v>80.28</v>
      </c>
    </row>
    <row r="4423" spans="1:12" x14ac:dyDescent="0.2">
      <c r="A4423" s="9">
        <v>46259</v>
      </c>
      <c r="B4423" t="s">
        <v>267</v>
      </c>
      <c r="C4423" t="s">
        <v>268</v>
      </c>
      <c r="D4423" t="s">
        <v>46</v>
      </c>
      <c r="E4423" t="s">
        <v>660</v>
      </c>
      <c r="F4423" t="s">
        <v>661</v>
      </c>
      <c r="G4423" s="10">
        <v>51</v>
      </c>
      <c r="H4423" s="10">
        <v>4299</v>
      </c>
      <c r="I4423" s="10">
        <v>219249</v>
      </c>
      <c r="J4423" t="s">
        <v>37</v>
      </c>
      <c r="K4423" s="11">
        <v>648.20000000000005</v>
      </c>
      <c r="L4423" s="12">
        <v>338.24</v>
      </c>
    </row>
    <row r="4424" spans="1:12" x14ac:dyDescent="0.2">
      <c r="A4424" s="9">
        <v>46259</v>
      </c>
      <c r="B4424" t="s">
        <v>270</v>
      </c>
      <c r="C4424" t="s">
        <v>271</v>
      </c>
      <c r="D4424" t="s">
        <v>75</v>
      </c>
      <c r="E4424" t="s">
        <v>660</v>
      </c>
      <c r="F4424" t="s">
        <v>669</v>
      </c>
      <c r="G4424" s="10">
        <v>12</v>
      </c>
      <c r="H4424" s="10">
        <v>12692</v>
      </c>
      <c r="I4424" s="10">
        <v>152304</v>
      </c>
      <c r="J4424" t="s">
        <v>42</v>
      </c>
      <c r="K4424" s="11">
        <v>3145.8</v>
      </c>
      <c r="L4424" s="12">
        <v>48.42</v>
      </c>
    </row>
    <row r="4425" spans="1:12" x14ac:dyDescent="0.2">
      <c r="A4425" s="9">
        <v>46259</v>
      </c>
      <c r="B4425" t="s">
        <v>273</v>
      </c>
      <c r="C4425" t="s">
        <v>274</v>
      </c>
      <c r="D4425" t="s">
        <v>41</v>
      </c>
      <c r="E4425" t="s">
        <v>647</v>
      </c>
      <c r="F4425" t="s">
        <v>648</v>
      </c>
      <c r="G4425" s="10">
        <v>13</v>
      </c>
      <c r="H4425" s="10">
        <v>80843</v>
      </c>
      <c r="I4425" s="10">
        <v>1050959</v>
      </c>
      <c r="J4425" t="s">
        <v>42</v>
      </c>
      <c r="K4425" s="11">
        <v>3145.8</v>
      </c>
      <c r="L4425" s="12">
        <v>334.08</v>
      </c>
    </row>
    <row r="4426" spans="1:12" x14ac:dyDescent="0.2">
      <c r="A4426" s="9">
        <v>46259</v>
      </c>
      <c r="B4426" t="s">
        <v>279</v>
      </c>
      <c r="C4426" t="s">
        <v>280</v>
      </c>
      <c r="D4426" t="s">
        <v>68</v>
      </c>
      <c r="E4426" t="s">
        <v>651</v>
      </c>
      <c r="F4426" t="s">
        <v>657</v>
      </c>
      <c r="G4426" s="10">
        <v>15</v>
      </c>
      <c r="H4426" s="10">
        <v>6209</v>
      </c>
      <c r="I4426" s="10">
        <v>93135</v>
      </c>
      <c r="J4426" t="s">
        <v>51</v>
      </c>
      <c r="K4426" s="11">
        <v>648.20000000000005</v>
      </c>
      <c r="L4426" s="12">
        <v>143.68</v>
      </c>
    </row>
    <row r="4427" spans="1:12" x14ac:dyDescent="0.2">
      <c r="A4427" s="9">
        <v>46259</v>
      </c>
      <c r="B4427" t="s">
        <v>282</v>
      </c>
      <c r="C4427" t="s">
        <v>283</v>
      </c>
      <c r="D4427" t="s">
        <v>41</v>
      </c>
      <c r="E4427" t="s">
        <v>653</v>
      </c>
      <c r="F4427" t="s">
        <v>666</v>
      </c>
      <c r="G4427" s="10">
        <v>2</v>
      </c>
      <c r="H4427" s="10">
        <v>7379</v>
      </c>
      <c r="I4427" s="10">
        <v>14758</v>
      </c>
      <c r="J4427" t="s">
        <v>42</v>
      </c>
      <c r="K4427" s="11">
        <v>3145.8</v>
      </c>
      <c r="L4427" s="12">
        <v>4.6900000000000004</v>
      </c>
    </row>
    <row r="4428" spans="1:12" x14ac:dyDescent="0.2">
      <c r="A4428" s="9">
        <v>46259</v>
      </c>
      <c r="B4428" t="s">
        <v>282</v>
      </c>
      <c r="C4428" t="s">
        <v>283</v>
      </c>
      <c r="D4428" t="s">
        <v>41</v>
      </c>
      <c r="E4428" t="s">
        <v>651</v>
      </c>
      <c r="F4428" t="s">
        <v>664</v>
      </c>
      <c r="G4428" s="10">
        <v>3</v>
      </c>
      <c r="H4428" s="10">
        <v>57143</v>
      </c>
      <c r="I4428" s="10">
        <v>171429</v>
      </c>
      <c r="J4428" t="s">
        <v>42</v>
      </c>
      <c r="K4428" s="11">
        <v>3145.8</v>
      </c>
      <c r="L4428" s="12">
        <v>54.49</v>
      </c>
    </row>
    <row r="4429" spans="1:12" x14ac:dyDescent="0.2">
      <c r="A4429" s="9">
        <v>46259</v>
      </c>
      <c r="B4429" t="s">
        <v>288</v>
      </c>
      <c r="C4429" t="s">
        <v>289</v>
      </c>
      <c r="D4429" t="s">
        <v>41</v>
      </c>
      <c r="E4429" t="s">
        <v>649</v>
      </c>
      <c r="F4429" t="s">
        <v>659</v>
      </c>
      <c r="G4429" s="10">
        <v>65</v>
      </c>
      <c r="H4429" s="10">
        <v>44136</v>
      </c>
      <c r="I4429" s="10">
        <v>2868840</v>
      </c>
      <c r="J4429" t="s">
        <v>42</v>
      </c>
      <c r="K4429" s="11">
        <v>3145.8</v>
      </c>
      <c r="L4429" s="12">
        <v>911.96</v>
      </c>
    </row>
    <row r="4430" spans="1:12" x14ac:dyDescent="0.2">
      <c r="A4430" s="9">
        <v>46259</v>
      </c>
      <c r="B4430" t="s">
        <v>288</v>
      </c>
      <c r="C4430" t="s">
        <v>289</v>
      </c>
      <c r="D4430" t="s">
        <v>41</v>
      </c>
      <c r="E4430" t="s">
        <v>660</v>
      </c>
      <c r="F4430" t="s">
        <v>669</v>
      </c>
      <c r="G4430" s="10">
        <v>36</v>
      </c>
      <c r="H4430" s="10">
        <v>12493</v>
      </c>
      <c r="I4430" s="10">
        <v>449748</v>
      </c>
      <c r="J4430" t="s">
        <v>42</v>
      </c>
      <c r="K4430" s="11">
        <v>3145.8</v>
      </c>
      <c r="L4430" s="12">
        <v>142.97</v>
      </c>
    </row>
    <row r="4431" spans="1:12" x14ac:dyDescent="0.2">
      <c r="A4431" s="9">
        <v>46259</v>
      </c>
      <c r="B4431" t="s">
        <v>288</v>
      </c>
      <c r="C4431" t="s">
        <v>289</v>
      </c>
      <c r="D4431" t="s">
        <v>41</v>
      </c>
      <c r="E4431" t="s">
        <v>647</v>
      </c>
      <c r="F4431" t="s">
        <v>668</v>
      </c>
      <c r="G4431" s="10">
        <v>14</v>
      </c>
      <c r="H4431" s="10">
        <v>124310</v>
      </c>
      <c r="I4431" s="10">
        <v>1740340</v>
      </c>
      <c r="J4431" t="s">
        <v>42</v>
      </c>
      <c r="K4431" s="11">
        <v>3145.8</v>
      </c>
      <c r="L4431" s="12">
        <v>553.23</v>
      </c>
    </row>
    <row r="4432" spans="1:12" x14ac:dyDescent="0.2">
      <c r="A4432" s="9">
        <v>46259</v>
      </c>
      <c r="B4432" t="s">
        <v>291</v>
      </c>
      <c r="C4432" t="s">
        <v>292</v>
      </c>
      <c r="D4432" t="s">
        <v>68</v>
      </c>
      <c r="E4432" t="s">
        <v>651</v>
      </c>
      <c r="F4432" t="s">
        <v>652</v>
      </c>
      <c r="G4432" s="10">
        <v>19</v>
      </c>
      <c r="H4432" s="10">
        <v>9456</v>
      </c>
      <c r="I4432" s="10">
        <v>179664</v>
      </c>
      <c r="J4432" t="s">
        <v>51</v>
      </c>
      <c r="K4432" s="11">
        <v>648.20000000000005</v>
      </c>
      <c r="L4432" s="12">
        <v>277.17</v>
      </c>
    </row>
    <row r="4433" spans="1:12" x14ac:dyDescent="0.2">
      <c r="A4433" s="9">
        <v>46259</v>
      </c>
      <c r="B4433" t="s">
        <v>291</v>
      </c>
      <c r="C4433" t="s">
        <v>292</v>
      </c>
      <c r="D4433" t="s">
        <v>68</v>
      </c>
      <c r="E4433" t="s">
        <v>660</v>
      </c>
      <c r="F4433" t="s">
        <v>669</v>
      </c>
      <c r="G4433" s="10">
        <v>21</v>
      </c>
      <c r="H4433" s="10">
        <v>2587</v>
      </c>
      <c r="I4433" s="10">
        <v>54327</v>
      </c>
      <c r="J4433" t="s">
        <v>51</v>
      </c>
      <c r="K4433" s="11">
        <v>648.20000000000005</v>
      </c>
      <c r="L4433" s="12">
        <v>83.81</v>
      </c>
    </row>
    <row r="4434" spans="1:12" x14ac:dyDescent="0.2">
      <c r="A4434" s="9">
        <v>46259</v>
      </c>
      <c r="B4434" t="s">
        <v>291</v>
      </c>
      <c r="C4434" t="s">
        <v>292</v>
      </c>
      <c r="D4434" t="s">
        <v>68</v>
      </c>
      <c r="E4434" t="s">
        <v>647</v>
      </c>
      <c r="F4434" t="s">
        <v>648</v>
      </c>
      <c r="G4434" s="10">
        <v>3</v>
      </c>
      <c r="H4434" s="10">
        <v>16651</v>
      </c>
      <c r="I4434" s="10">
        <v>49953</v>
      </c>
      <c r="J4434" t="s">
        <v>51</v>
      </c>
      <c r="K4434" s="11">
        <v>648.20000000000005</v>
      </c>
      <c r="L4434" s="12">
        <v>77.06</v>
      </c>
    </row>
    <row r="4435" spans="1:12" x14ac:dyDescent="0.2">
      <c r="A4435" s="9">
        <v>46259</v>
      </c>
      <c r="B4435" t="s">
        <v>294</v>
      </c>
      <c r="C4435" t="s">
        <v>295</v>
      </c>
      <c r="D4435" t="s">
        <v>41</v>
      </c>
      <c r="E4435" t="s">
        <v>660</v>
      </c>
      <c r="F4435" t="s">
        <v>670</v>
      </c>
      <c r="G4435" s="10">
        <v>27</v>
      </c>
      <c r="H4435" s="10">
        <v>67753</v>
      </c>
      <c r="I4435" s="10">
        <v>1829331</v>
      </c>
      <c r="J4435" t="s">
        <v>42</v>
      </c>
      <c r="K4435" s="11">
        <v>3145.8</v>
      </c>
      <c r="L4435" s="12">
        <v>581.52</v>
      </c>
    </row>
    <row r="4436" spans="1:12" x14ac:dyDescent="0.2">
      <c r="A4436" s="9">
        <v>46259</v>
      </c>
      <c r="B4436" t="s">
        <v>297</v>
      </c>
      <c r="C4436" t="s">
        <v>298</v>
      </c>
      <c r="D4436" t="s">
        <v>36</v>
      </c>
      <c r="E4436" t="s">
        <v>653</v>
      </c>
      <c r="F4436" t="s">
        <v>654</v>
      </c>
      <c r="G4436" s="10">
        <v>23</v>
      </c>
      <c r="H4436" s="10">
        <v>5615</v>
      </c>
      <c r="I4436" s="10">
        <v>129145</v>
      </c>
      <c r="J4436" t="s">
        <v>37</v>
      </c>
      <c r="K4436" s="11">
        <v>648.20000000000005</v>
      </c>
      <c r="L4436" s="12">
        <v>199.24</v>
      </c>
    </row>
    <row r="4437" spans="1:12" x14ac:dyDescent="0.2">
      <c r="A4437" s="9">
        <v>46259</v>
      </c>
      <c r="B4437" t="s">
        <v>297</v>
      </c>
      <c r="C4437" t="s">
        <v>298</v>
      </c>
      <c r="D4437" t="s">
        <v>36</v>
      </c>
      <c r="E4437" t="s">
        <v>647</v>
      </c>
      <c r="F4437" t="s">
        <v>648</v>
      </c>
      <c r="G4437" s="10">
        <v>14</v>
      </c>
      <c r="H4437" s="10">
        <v>16126</v>
      </c>
      <c r="I4437" s="10">
        <v>225764</v>
      </c>
      <c r="J4437" t="s">
        <v>37</v>
      </c>
      <c r="K4437" s="11">
        <v>648.20000000000005</v>
      </c>
      <c r="L4437" s="12">
        <v>348.29</v>
      </c>
    </row>
    <row r="4438" spans="1:12" x14ac:dyDescent="0.2">
      <c r="A4438" s="9">
        <v>46259</v>
      </c>
      <c r="B4438" t="s">
        <v>300</v>
      </c>
      <c r="C4438" t="s">
        <v>301</v>
      </c>
      <c r="D4438" t="s">
        <v>41</v>
      </c>
      <c r="E4438" t="s">
        <v>660</v>
      </c>
      <c r="F4438" t="s">
        <v>670</v>
      </c>
      <c r="G4438" s="10">
        <v>19</v>
      </c>
      <c r="H4438" s="10">
        <v>71918</v>
      </c>
      <c r="I4438" s="10">
        <v>1366442</v>
      </c>
      <c r="J4438" t="s">
        <v>42</v>
      </c>
      <c r="K4438" s="11">
        <v>3145.8</v>
      </c>
      <c r="L4438" s="12">
        <v>434.37</v>
      </c>
    </row>
    <row r="4439" spans="1:12" x14ac:dyDescent="0.2">
      <c r="A4439" s="9">
        <v>46259</v>
      </c>
      <c r="B4439" t="s">
        <v>300</v>
      </c>
      <c r="C4439" t="s">
        <v>301</v>
      </c>
      <c r="D4439" t="s">
        <v>41</v>
      </c>
      <c r="E4439" t="s">
        <v>651</v>
      </c>
      <c r="F4439" t="s">
        <v>657</v>
      </c>
      <c r="G4439" s="10">
        <v>8</v>
      </c>
      <c r="H4439" s="10">
        <v>32155</v>
      </c>
      <c r="I4439" s="10">
        <v>257240</v>
      </c>
      <c r="J4439" t="s">
        <v>42</v>
      </c>
      <c r="K4439" s="11">
        <v>3145.8</v>
      </c>
      <c r="L4439" s="12">
        <v>81.77</v>
      </c>
    </row>
    <row r="4440" spans="1:12" x14ac:dyDescent="0.2">
      <c r="A4440" s="9">
        <v>46259</v>
      </c>
      <c r="B4440" t="s">
        <v>306</v>
      </c>
      <c r="C4440" t="s">
        <v>307</v>
      </c>
      <c r="D4440" t="s">
        <v>36</v>
      </c>
      <c r="E4440" t="s">
        <v>647</v>
      </c>
      <c r="F4440" t="s">
        <v>648</v>
      </c>
      <c r="G4440" s="10">
        <v>12</v>
      </c>
      <c r="H4440" s="10">
        <v>16818</v>
      </c>
      <c r="I4440" s="10">
        <v>201816</v>
      </c>
      <c r="J4440" t="s">
        <v>37</v>
      </c>
      <c r="K4440" s="11">
        <v>648.20000000000005</v>
      </c>
      <c r="L4440" s="12">
        <v>311.35000000000002</v>
      </c>
    </row>
    <row r="4441" spans="1:12" x14ac:dyDescent="0.2">
      <c r="A4441" s="9">
        <v>46259</v>
      </c>
      <c r="B4441" t="s">
        <v>309</v>
      </c>
      <c r="C4441" t="s">
        <v>310</v>
      </c>
      <c r="D4441" t="s">
        <v>41</v>
      </c>
      <c r="E4441" t="s">
        <v>649</v>
      </c>
      <c r="F4441" t="s">
        <v>650</v>
      </c>
      <c r="G4441" s="10">
        <v>5</v>
      </c>
      <c r="H4441" s="10">
        <v>90827</v>
      </c>
      <c r="I4441" s="10">
        <v>454135</v>
      </c>
      <c r="J4441" t="s">
        <v>42</v>
      </c>
      <c r="K4441" s="11">
        <v>3145.8</v>
      </c>
      <c r="L4441" s="12">
        <v>144.36000000000001</v>
      </c>
    </row>
    <row r="4442" spans="1:12" x14ac:dyDescent="0.2">
      <c r="A4442" s="9">
        <v>46259</v>
      </c>
      <c r="B4442" t="s">
        <v>312</v>
      </c>
      <c r="C4442" t="s">
        <v>313</v>
      </c>
      <c r="D4442" t="s">
        <v>41</v>
      </c>
      <c r="E4442" t="s">
        <v>653</v>
      </c>
      <c r="F4442" t="s">
        <v>666</v>
      </c>
      <c r="G4442" s="10">
        <v>37</v>
      </c>
      <c r="H4442" s="10">
        <v>7389</v>
      </c>
      <c r="I4442" s="10">
        <v>273393</v>
      </c>
      <c r="J4442" t="s">
        <v>42</v>
      </c>
      <c r="K4442" s="11">
        <v>3145.8</v>
      </c>
      <c r="L4442" s="12">
        <v>86.91</v>
      </c>
    </row>
    <row r="4443" spans="1:12" x14ac:dyDescent="0.2">
      <c r="A4443" s="9">
        <v>46259</v>
      </c>
      <c r="B4443" t="s">
        <v>312</v>
      </c>
      <c r="C4443" t="s">
        <v>313</v>
      </c>
      <c r="D4443" t="s">
        <v>41</v>
      </c>
      <c r="E4443" t="s">
        <v>649</v>
      </c>
      <c r="F4443" t="s">
        <v>659</v>
      </c>
      <c r="G4443" s="10">
        <v>6</v>
      </c>
      <c r="H4443" s="10">
        <v>43422</v>
      </c>
      <c r="I4443" s="10">
        <v>260532</v>
      </c>
      <c r="J4443" t="s">
        <v>42</v>
      </c>
      <c r="K4443" s="11">
        <v>3145.8</v>
      </c>
      <c r="L4443" s="12">
        <v>82.82</v>
      </c>
    </row>
    <row r="4444" spans="1:12" x14ac:dyDescent="0.2">
      <c r="A4444" s="9">
        <v>46259</v>
      </c>
      <c r="B4444" t="s">
        <v>312</v>
      </c>
      <c r="C4444" t="s">
        <v>313</v>
      </c>
      <c r="D4444" t="s">
        <v>41</v>
      </c>
      <c r="E4444" t="s">
        <v>655</v>
      </c>
      <c r="F4444" t="s">
        <v>656</v>
      </c>
      <c r="G4444" s="10">
        <v>2</v>
      </c>
      <c r="H4444" s="10">
        <v>2851</v>
      </c>
      <c r="I4444" s="10">
        <v>5702</v>
      </c>
      <c r="J4444" t="s">
        <v>42</v>
      </c>
      <c r="K4444" s="11">
        <v>3145.8</v>
      </c>
      <c r="L4444" s="12">
        <v>1.81</v>
      </c>
    </row>
    <row r="4445" spans="1:12" x14ac:dyDescent="0.2">
      <c r="A4445" s="9">
        <v>46259</v>
      </c>
      <c r="B4445" t="s">
        <v>315</v>
      </c>
      <c r="C4445" t="s">
        <v>316</v>
      </c>
      <c r="D4445" t="s">
        <v>46</v>
      </c>
      <c r="E4445" t="s">
        <v>660</v>
      </c>
      <c r="F4445" t="s">
        <v>669</v>
      </c>
      <c r="G4445" s="10">
        <v>8</v>
      </c>
      <c r="H4445" s="10">
        <v>2536</v>
      </c>
      <c r="I4445" s="10">
        <v>20288</v>
      </c>
      <c r="J4445" t="s">
        <v>37</v>
      </c>
      <c r="K4445" s="11">
        <v>648.20000000000005</v>
      </c>
      <c r="L4445" s="12">
        <v>31.3</v>
      </c>
    </row>
    <row r="4446" spans="1:12" x14ac:dyDescent="0.2">
      <c r="A4446" s="9">
        <v>46259</v>
      </c>
      <c r="B4446" t="s">
        <v>315</v>
      </c>
      <c r="C4446" t="s">
        <v>316</v>
      </c>
      <c r="D4446" t="s">
        <v>46</v>
      </c>
      <c r="E4446" t="s">
        <v>660</v>
      </c>
      <c r="F4446" t="s">
        <v>670</v>
      </c>
      <c r="G4446" s="10">
        <v>18</v>
      </c>
      <c r="H4446" s="10">
        <v>14292</v>
      </c>
      <c r="I4446" s="10">
        <v>257256</v>
      </c>
      <c r="J4446" t="s">
        <v>37</v>
      </c>
      <c r="K4446" s="11">
        <v>648.20000000000005</v>
      </c>
      <c r="L4446" s="12">
        <v>396.88</v>
      </c>
    </row>
    <row r="4447" spans="1:12" x14ac:dyDescent="0.2">
      <c r="A4447" s="9">
        <v>46259</v>
      </c>
      <c r="B4447" t="s">
        <v>315</v>
      </c>
      <c r="C4447" t="s">
        <v>316</v>
      </c>
      <c r="D4447" t="s">
        <v>46</v>
      </c>
      <c r="E4447" t="s">
        <v>647</v>
      </c>
      <c r="F4447" t="s">
        <v>667</v>
      </c>
      <c r="G4447" s="10">
        <v>1</v>
      </c>
      <c r="H4447" s="10">
        <v>7268</v>
      </c>
      <c r="I4447" s="10">
        <v>7268</v>
      </c>
      <c r="J4447" t="s">
        <v>37</v>
      </c>
      <c r="K4447" s="11">
        <v>648.20000000000005</v>
      </c>
      <c r="L4447" s="12">
        <v>11.21</v>
      </c>
    </row>
    <row r="4448" spans="1:12" x14ac:dyDescent="0.2">
      <c r="A4448" s="9">
        <v>46259</v>
      </c>
      <c r="B4448" t="s">
        <v>333</v>
      </c>
      <c r="C4448" t="s">
        <v>334</v>
      </c>
      <c r="D4448" t="s">
        <v>68</v>
      </c>
      <c r="E4448" t="s">
        <v>651</v>
      </c>
      <c r="F4448" t="s">
        <v>652</v>
      </c>
      <c r="G4448" s="10">
        <v>21</v>
      </c>
      <c r="H4448" s="10">
        <v>9248</v>
      </c>
      <c r="I4448" s="10">
        <v>194208</v>
      </c>
      <c r="J4448" t="s">
        <v>51</v>
      </c>
      <c r="K4448" s="11">
        <v>648.20000000000005</v>
      </c>
      <c r="L4448" s="12">
        <v>299.61</v>
      </c>
    </row>
    <row r="4449" spans="1:12" x14ac:dyDescent="0.2">
      <c r="A4449" s="9">
        <v>46259</v>
      </c>
      <c r="B4449" t="s">
        <v>342</v>
      </c>
      <c r="C4449" t="s">
        <v>343</v>
      </c>
      <c r="D4449" t="s">
        <v>41</v>
      </c>
      <c r="E4449" t="s">
        <v>651</v>
      </c>
      <c r="F4449" t="s">
        <v>652</v>
      </c>
      <c r="G4449" s="10">
        <v>29</v>
      </c>
      <c r="H4449" s="10">
        <v>46683</v>
      </c>
      <c r="I4449" s="10">
        <v>1353807</v>
      </c>
      <c r="J4449" t="s">
        <v>42</v>
      </c>
      <c r="K4449" s="11">
        <v>3145.8</v>
      </c>
      <c r="L4449" s="12">
        <v>430.35</v>
      </c>
    </row>
    <row r="4450" spans="1:12" x14ac:dyDescent="0.2">
      <c r="A4450" s="9">
        <v>46259</v>
      </c>
      <c r="B4450" t="s">
        <v>342</v>
      </c>
      <c r="C4450" t="s">
        <v>343</v>
      </c>
      <c r="D4450" t="s">
        <v>41</v>
      </c>
      <c r="E4450" t="s">
        <v>660</v>
      </c>
      <c r="F4450" t="s">
        <v>661</v>
      </c>
      <c r="G4450" s="10">
        <v>12</v>
      </c>
      <c r="H4450" s="10">
        <v>19766</v>
      </c>
      <c r="I4450" s="10">
        <v>237192</v>
      </c>
      <c r="J4450" t="s">
        <v>42</v>
      </c>
      <c r="K4450" s="11">
        <v>3145.8</v>
      </c>
      <c r="L4450" s="12">
        <v>75.400000000000006</v>
      </c>
    </row>
    <row r="4451" spans="1:12" x14ac:dyDescent="0.2">
      <c r="A4451" s="9">
        <v>46259</v>
      </c>
      <c r="B4451" t="s">
        <v>342</v>
      </c>
      <c r="C4451" t="s">
        <v>343</v>
      </c>
      <c r="D4451" t="s">
        <v>41</v>
      </c>
      <c r="E4451" t="s">
        <v>647</v>
      </c>
      <c r="F4451" t="s">
        <v>667</v>
      </c>
      <c r="G4451" s="10">
        <v>35</v>
      </c>
      <c r="H4451" s="10">
        <v>34313</v>
      </c>
      <c r="I4451" s="10">
        <v>1200955</v>
      </c>
      <c r="J4451" t="s">
        <v>42</v>
      </c>
      <c r="K4451" s="11">
        <v>3145.8</v>
      </c>
      <c r="L4451" s="12">
        <v>381.76</v>
      </c>
    </row>
    <row r="4452" spans="1:12" x14ac:dyDescent="0.2">
      <c r="A4452" s="9">
        <v>46259</v>
      </c>
      <c r="B4452" t="s">
        <v>342</v>
      </c>
      <c r="C4452" t="s">
        <v>343</v>
      </c>
      <c r="D4452" t="s">
        <v>41</v>
      </c>
      <c r="E4452" t="s">
        <v>655</v>
      </c>
      <c r="F4452" t="s">
        <v>656</v>
      </c>
      <c r="G4452" s="10">
        <v>53</v>
      </c>
      <c r="H4452" s="10">
        <v>2753</v>
      </c>
      <c r="I4452" s="10">
        <v>145909</v>
      </c>
      <c r="J4452" t="s">
        <v>42</v>
      </c>
      <c r="K4452" s="11">
        <v>3145.8</v>
      </c>
      <c r="L4452" s="12">
        <v>46.38</v>
      </c>
    </row>
    <row r="4453" spans="1:12" x14ac:dyDescent="0.2">
      <c r="A4453" s="9">
        <v>46259</v>
      </c>
      <c r="B4453" t="s">
        <v>345</v>
      </c>
      <c r="C4453" t="s">
        <v>346</v>
      </c>
      <c r="D4453" t="s">
        <v>68</v>
      </c>
      <c r="E4453" t="s">
        <v>655</v>
      </c>
      <c r="F4453" t="s">
        <v>665</v>
      </c>
      <c r="G4453" s="10">
        <v>4</v>
      </c>
      <c r="H4453" s="10">
        <v>682</v>
      </c>
      <c r="I4453" s="10">
        <v>2728</v>
      </c>
      <c r="J4453" t="s">
        <v>51</v>
      </c>
      <c r="K4453" s="11">
        <v>648.20000000000005</v>
      </c>
      <c r="L4453" s="12">
        <v>4.21</v>
      </c>
    </row>
    <row r="4454" spans="1:12" x14ac:dyDescent="0.2">
      <c r="A4454" s="9">
        <v>46259</v>
      </c>
      <c r="B4454" t="s">
        <v>348</v>
      </c>
      <c r="C4454" t="s">
        <v>349</v>
      </c>
      <c r="D4454" t="s">
        <v>36</v>
      </c>
      <c r="E4454" t="s">
        <v>660</v>
      </c>
      <c r="F4454" t="s">
        <v>670</v>
      </c>
      <c r="G4454" s="10">
        <v>6</v>
      </c>
      <c r="H4454" s="10">
        <v>13967</v>
      </c>
      <c r="I4454" s="10">
        <v>83802</v>
      </c>
      <c r="J4454" t="s">
        <v>37</v>
      </c>
      <c r="K4454" s="11">
        <v>648.20000000000005</v>
      </c>
      <c r="L4454" s="12">
        <v>129.28</v>
      </c>
    </row>
    <row r="4455" spans="1:12" x14ac:dyDescent="0.2">
      <c r="A4455" s="9">
        <v>46259</v>
      </c>
      <c r="B4455" t="s">
        <v>348</v>
      </c>
      <c r="C4455" t="s">
        <v>349</v>
      </c>
      <c r="D4455" t="s">
        <v>36</v>
      </c>
      <c r="E4455" t="s">
        <v>655</v>
      </c>
      <c r="F4455" t="s">
        <v>656</v>
      </c>
      <c r="G4455" s="10">
        <v>9</v>
      </c>
      <c r="H4455" s="10">
        <v>599</v>
      </c>
      <c r="I4455" s="10">
        <v>5391</v>
      </c>
      <c r="J4455" t="s">
        <v>37</v>
      </c>
      <c r="K4455" s="11">
        <v>648.20000000000005</v>
      </c>
      <c r="L4455" s="12">
        <v>8.32</v>
      </c>
    </row>
    <row r="4456" spans="1:12" x14ac:dyDescent="0.2">
      <c r="A4456" s="9">
        <v>46259</v>
      </c>
      <c r="B4456" t="s">
        <v>354</v>
      </c>
      <c r="C4456" t="s">
        <v>355</v>
      </c>
      <c r="D4456" t="s">
        <v>68</v>
      </c>
      <c r="E4456" t="s">
        <v>651</v>
      </c>
      <c r="F4456" t="s">
        <v>664</v>
      </c>
      <c r="G4456" s="10">
        <v>30</v>
      </c>
      <c r="H4456" s="10">
        <v>11637</v>
      </c>
      <c r="I4456" s="10">
        <v>349110</v>
      </c>
      <c r="J4456" t="s">
        <v>51</v>
      </c>
      <c r="K4456" s="11">
        <v>648.20000000000005</v>
      </c>
      <c r="L4456" s="12">
        <v>538.58000000000004</v>
      </c>
    </row>
    <row r="4457" spans="1:12" x14ac:dyDescent="0.2">
      <c r="A4457" s="9">
        <v>46259</v>
      </c>
      <c r="B4457" t="s">
        <v>357</v>
      </c>
      <c r="C4457" t="s">
        <v>358</v>
      </c>
      <c r="D4457" t="s">
        <v>36</v>
      </c>
      <c r="E4457" t="s">
        <v>649</v>
      </c>
      <c r="F4457" t="s">
        <v>650</v>
      </c>
      <c r="G4457" s="10">
        <v>50</v>
      </c>
      <c r="H4457" s="10">
        <v>19347</v>
      </c>
      <c r="I4457" s="10">
        <v>967350</v>
      </c>
      <c r="J4457" t="s">
        <v>37</v>
      </c>
      <c r="K4457" s="11">
        <v>648.20000000000005</v>
      </c>
      <c r="L4457" s="12">
        <v>1492.36</v>
      </c>
    </row>
    <row r="4458" spans="1:12" x14ac:dyDescent="0.2">
      <c r="A4458" s="9">
        <v>46259</v>
      </c>
      <c r="B4458" t="s">
        <v>357</v>
      </c>
      <c r="C4458" t="s">
        <v>358</v>
      </c>
      <c r="D4458" t="s">
        <v>36</v>
      </c>
      <c r="E4458" t="s">
        <v>649</v>
      </c>
      <c r="F4458" t="s">
        <v>663</v>
      </c>
      <c r="G4458" s="10">
        <v>21</v>
      </c>
      <c r="H4458" s="10">
        <v>1967</v>
      </c>
      <c r="I4458" s="10">
        <v>41307</v>
      </c>
      <c r="J4458" t="s">
        <v>37</v>
      </c>
      <c r="K4458" s="11">
        <v>648.20000000000005</v>
      </c>
      <c r="L4458" s="12">
        <v>63.73</v>
      </c>
    </row>
    <row r="4459" spans="1:12" x14ac:dyDescent="0.2">
      <c r="A4459" s="9">
        <v>46259</v>
      </c>
      <c r="B4459" t="s">
        <v>363</v>
      </c>
      <c r="C4459" t="s">
        <v>364</v>
      </c>
      <c r="D4459" t="s">
        <v>46</v>
      </c>
      <c r="E4459" t="s">
        <v>653</v>
      </c>
      <c r="F4459" t="s">
        <v>658</v>
      </c>
      <c r="G4459" s="10">
        <v>140</v>
      </c>
      <c r="H4459" s="10">
        <v>2744</v>
      </c>
      <c r="I4459" s="10">
        <v>384160</v>
      </c>
      <c r="J4459" t="s">
        <v>37</v>
      </c>
      <c r="K4459" s="11">
        <v>648.20000000000005</v>
      </c>
      <c r="L4459" s="12">
        <v>592.66</v>
      </c>
    </row>
    <row r="4460" spans="1:12" x14ac:dyDescent="0.2">
      <c r="A4460" s="9">
        <v>46259</v>
      </c>
      <c r="B4460" t="s">
        <v>363</v>
      </c>
      <c r="C4460" t="s">
        <v>364</v>
      </c>
      <c r="D4460" t="s">
        <v>46</v>
      </c>
      <c r="E4460" t="s">
        <v>649</v>
      </c>
      <c r="F4460" t="s">
        <v>663</v>
      </c>
      <c r="G4460" s="10">
        <v>15</v>
      </c>
      <c r="H4460" s="10">
        <v>2074</v>
      </c>
      <c r="I4460" s="10">
        <v>31110</v>
      </c>
      <c r="J4460" t="s">
        <v>37</v>
      </c>
      <c r="K4460" s="11">
        <v>648.20000000000005</v>
      </c>
      <c r="L4460" s="12">
        <v>47.99</v>
      </c>
    </row>
    <row r="4461" spans="1:12" x14ac:dyDescent="0.2">
      <c r="A4461" s="9">
        <v>46259</v>
      </c>
      <c r="B4461" t="s">
        <v>363</v>
      </c>
      <c r="C4461" t="s">
        <v>364</v>
      </c>
      <c r="D4461" t="s">
        <v>46</v>
      </c>
      <c r="E4461" t="s">
        <v>647</v>
      </c>
      <c r="F4461" t="s">
        <v>668</v>
      </c>
      <c r="G4461" s="10">
        <v>32</v>
      </c>
      <c r="H4461" s="10">
        <v>25154</v>
      </c>
      <c r="I4461" s="10">
        <v>804928</v>
      </c>
      <c r="J4461" t="s">
        <v>37</v>
      </c>
      <c r="K4461" s="11">
        <v>648.20000000000005</v>
      </c>
      <c r="L4461" s="12">
        <v>1241.79</v>
      </c>
    </row>
    <row r="4462" spans="1:12" x14ac:dyDescent="0.2">
      <c r="A4462" s="9">
        <v>46259</v>
      </c>
      <c r="B4462" t="s">
        <v>363</v>
      </c>
      <c r="C4462" t="s">
        <v>364</v>
      </c>
      <c r="D4462" t="s">
        <v>46</v>
      </c>
      <c r="E4462" t="s">
        <v>647</v>
      </c>
      <c r="F4462" t="s">
        <v>668</v>
      </c>
      <c r="G4462" s="10">
        <v>60</v>
      </c>
      <c r="H4462" s="10">
        <v>24540</v>
      </c>
      <c r="I4462" s="10">
        <v>1472400</v>
      </c>
      <c r="J4462" t="s">
        <v>37</v>
      </c>
      <c r="K4462" s="11">
        <v>648.20000000000005</v>
      </c>
      <c r="L4462" s="12">
        <v>2271.52</v>
      </c>
    </row>
    <row r="4463" spans="1:12" x14ac:dyDescent="0.2">
      <c r="A4463" s="9">
        <v>46259</v>
      </c>
      <c r="B4463" t="s">
        <v>363</v>
      </c>
      <c r="C4463" t="s">
        <v>364</v>
      </c>
      <c r="D4463" t="s">
        <v>46</v>
      </c>
      <c r="E4463" t="s">
        <v>647</v>
      </c>
      <c r="F4463" t="s">
        <v>648</v>
      </c>
      <c r="G4463" s="10">
        <v>81</v>
      </c>
      <c r="H4463" s="10">
        <v>15703</v>
      </c>
      <c r="I4463" s="10">
        <v>1271943</v>
      </c>
      <c r="J4463" t="s">
        <v>37</v>
      </c>
      <c r="K4463" s="11">
        <v>648.20000000000005</v>
      </c>
      <c r="L4463" s="12">
        <v>1962.27</v>
      </c>
    </row>
    <row r="4464" spans="1:12" x14ac:dyDescent="0.2">
      <c r="A4464" s="9">
        <v>46259</v>
      </c>
      <c r="B4464" t="s">
        <v>369</v>
      </c>
      <c r="C4464" t="s">
        <v>370</v>
      </c>
      <c r="D4464" t="s">
        <v>36</v>
      </c>
      <c r="E4464" t="s">
        <v>653</v>
      </c>
      <c r="F4464" t="s">
        <v>658</v>
      </c>
      <c r="G4464" s="10">
        <v>25</v>
      </c>
      <c r="H4464" s="10">
        <v>2725</v>
      </c>
      <c r="I4464" s="10">
        <v>68125</v>
      </c>
      <c r="J4464" t="s">
        <v>37</v>
      </c>
      <c r="K4464" s="11">
        <v>648.20000000000005</v>
      </c>
      <c r="L4464" s="12">
        <v>105.1</v>
      </c>
    </row>
    <row r="4465" spans="1:12" x14ac:dyDescent="0.2">
      <c r="A4465" s="9">
        <v>46259</v>
      </c>
      <c r="B4465" t="s">
        <v>369</v>
      </c>
      <c r="C4465" t="s">
        <v>370</v>
      </c>
      <c r="D4465" t="s">
        <v>36</v>
      </c>
      <c r="E4465" t="s">
        <v>647</v>
      </c>
      <c r="F4465" t="s">
        <v>648</v>
      </c>
      <c r="G4465" s="10">
        <v>7</v>
      </c>
      <c r="H4465" s="10">
        <v>16688</v>
      </c>
      <c r="I4465" s="10">
        <v>116816</v>
      </c>
      <c r="J4465" t="s">
        <v>37</v>
      </c>
      <c r="K4465" s="11">
        <v>648.20000000000005</v>
      </c>
      <c r="L4465" s="12">
        <v>180.22</v>
      </c>
    </row>
    <row r="4466" spans="1:12" x14ac:dyDescent="0.2">
      <c r="A4466" s="9">
        <v>46259</v>
      </c>
      <c r="B4466" t="s">
        <v>372</v>
      </c>
      <c r="C4466" t="s">
        <v>373</v>
      </c>
      <c r="D4466" t="s">
        <v>75</v>
      </c>
      <c r="E4466" t="s">
        <v>649</v>
      </c>
      <c r="F4466" t="s">
        <v>650</v>
      </c>
      <c r="G4466" s="10">
        <v>39</v>
      </c>
      <c r="H4466" s="10">
        <v>94431</v>
      </c>
      <c r="I4466" s="10">
        <v>3682809</v>
      </c>
      <c r="J4466" t="s">
        <v>42</v>
      </c>
      <c r="K4466" s="11">
        <v>3145.8</v>
      </c>
      <c r="L4466" s="12">
        <v>1170.71</v>
      </c>
    </row>
    <row r="4467" spans="1:12" x14ac:dyDescent="0.2">
      <c r="A4467" s="9">
        <v>46259</v>
      </c>
      <c r="B4467" t="s">
        <v>375</v>
      </c>
      <c r="C4467" t="s">
        <v>376</v>
      </c>
      <c r="D4467" t="s">
        <v>36</v>
      </c>
      <c r="E4467" t="s">
        <v>649</v>
      </c>
      <c r="F4467" t="s">
        <v>659</v>
      </c>
      <c r="G4467" s="10">
        <v>38</v>
      </c>
      <c r="H4467" s="10">
        <v>9039</v>
      </c>
      <c r="I4467" s="10">
        <v>343482</v>
      </c>
      <c r="J4467" t="s">
        <v>37</v>
      </c>
      <c r="K4467" s="11">
        <v>648.20000000000005</v>
      </c>
      <c r="L4467" s="12">
        <v>529.9</v>
      </c>
    </row>
    <row r="4468" spans="1:12" x14ac:dyDescent="0.2">
      <c r="A4468" s="9">
        <v>46259</v>
      </c>
      <c r="B4468" t="s">
        <v>375</v>
      </c>
      <c r="C4468" t="s">
        <v>376</v>
      </c>
      <c r="D4468" t="s">
        <v>36</v>
      </c>
      <c r="E4468" t="s">
        <v>647</v>
      </c>
      <c r="F4468" t="s">
        <v>648</v>
      </c>
      <c r="G4468" s="10">
        <v>8</v>
      </c>
      <c r="H4468" s="10">
        <v>16405</v>
      </c>
      <c r="I4468" s="10">
        <v>131240</v>
      </c>
      <c r="J4468" t="s">
        <v>37</v>
      </c>
      <c r="K4468" s="11">
        <v>648.20000000000005</v>
      </c>
      <c r="L4468" s="12">
        <v>202.47</v>
      </c>
    </row>
    <row r="4469" spans="1:12" x14ac:dyDescent="0.2">
      <c r="A4469" s="9">
        <v>46259</v>
      </c>
      <c r="B4469" t="s">
        <v>375</v>
      </c>
      <c r="C4469" t="s">
        <v>376</v>
      </c>
      <c r="D4469" t="s">
        <v>36</v>
      </c>
      <c r="E4469" t="s">
        <v>647</v>
      </c>
      <c r="F4469" t="s">
        <v>667</v>
      </c>
      <c r="G4469" s="10">
        <v>10</v>
      </c>
      <c r="H4469" s="10">
        <v>7213</v>
      </c>
      <c r="I4469" s="10">
        <v>72130</v>
      </c>
      <c r="J4469" t="s">
        <v>37</v>
      </c>
      <c r="K4469" s="11">
        <v>648.20000000000005</v>
      </c>
      <c r="L4469" s="12">
        <v>111.28</v>
      </c>
    </row>
    <row r="4470" spans="1:12" x14ac:dyDescent="0.2">
      <c r="A4470" s="9">
        <v>46259</v>
      </c>
      <c r="B4470" t="s">
        <v>375</v>
      </c>
      <c r="C4470" t="s">
        <v>376</v>
      </c>
      <c r="D4470" t="s">
        <v>36</v>
      </c>
      <c r="E4470" t="s">
        <v>647</v>
      </c>
      <c r="F4470" t="s">
        <v>667</v>
      </c>
      <c r="G4470" s="10">
        <v>5</v>
      </c>
      <c r="H4470" s="10">
        <v>7299</v>
      </c>
      <c r="I4470" s="10">
        <v>36495</v>
      </c>
      <c r="J4470" t="s">
        <v>37</v>
      </c>
      <c r="K4470" s="11">
        <v>648.20000000000005</v>
      </c>
      <c r="L4470" s="12">
        <v>56.3</v>
      </c>
    </row>
    <row r="4471" spans="1:12" x14ac:dyDescent="0.2">
      <c r="A4471" s="9">
        <v>46259</v>
      </c>
      <c r="B4471" t="s">
        <v>378</v>
      </c>
      <c r="C4471" t="s">
        <v>379</v>
      </c>
      <c r="D4471" t="s">
        <v>50</v>
      </c>
      <c r="E4471" t="s">
        <v>655</v>
      </c>
      <c r="F4471" t="s">
        <v>662</v>
      </c>
      <c r="G4471" s="10">
        <v>4</v>
      </c>
      <c r="H4471" s="10">
        <v>1120</v>
      </c>
      <c r="I4471" s="10">
        <v>4480</v>
      </c>
      <c r="J4471" t="s">
        <v>51</v>
      </c>
      <c r="K4471" s="11">
        <v>648.20000000000005</v>
      </c>
      <c r="L4471" s="12">
        <v>6.91</v>
      </c>
    </row>
    <row r="4472" spans="1:12" x14ac:dyDescent="0.2">
      <c r="A4472" s="9">
        <v>46259</v>
      </c>
      <c r="B4472" t="s">
        <v>378</v>
      </c>
      <c r="C4472" t="s">
        <v>379</v>
      </c>
      <c r="D4472" t="s">
        <v>50</v>
      </c>
      <c r="E4472" t="s">
        <v>647</v>
      </c>
      <c r="F4472" t="s">
        <v>668</v>
      </c>
      <c r="G4472" s="10">
        <v>3</v>
      </c>
      <c r="H4472" s="10">
        <v>25877</v>
      </c>
      <c r="I4472" s="10">
        <v>77631</v>
      </c>
      <c r="J4472" t="s">
        <v>51</v>
      </c>
      <c r="K4472" s="11">
        <v>648.20000000000005</v>
      </c>
      <c r="L4472" s="12">
        <v>119.76</v>
      </c>
    </row>
    <row r="4473" spans="1:12" x14ac:dyDescent="0.2">
      <c r="A4473" s="9">
        <v>46259</v>
      </c>
      <c r="B4473" t="s">
        <v>381</v>
      </c>
      <c r="C4473" t="s">
        <v>382</v>
      </c>
      <c r="D4473" t="s">
        <v>36</v>
      </c>
      <c r="E4473" t="s">
        <v>649</v>
      </c>
      <c r="F4473" t="s">
        <v>663</v>
      </c>
      <c r="G4473" s="10">
        <v>1</v>
      </c>
      <c r="H4473" s="10">
        <v>2057</v>
      </c>
      <c r="I4473" s="10">
        <v>2057</v>
      </c>
      <c r="J4473" t="s">
        <v>37</v>
      </c>
      <c r="K4473" s="11">
        <v>648.20000000000005</v>
      </c>
      <c r="L4473" s="12">
        <v>3.17</v>
      </c>
    </row>
    <row r="4474" spans="1:12" x14ac:dyDescent="0.2">
      <c r="A4474" s="9">
        <v>46259</v>
      </c>
      <c r="B4474" t="s">
        <v>381</v>
      </c>
      <c r="C4474" t="s">
        <v>382</v>
      </c>
      <c r="D4474" t="s">
        <v>36</v>
      </c>
      <c r="E4474" t="s">
        <v>647</v>
      </c>
      <c r="F4474" t="s">
        <v>668</v>
      </c>
      <c r="G4474" s="10">
        <v>18</v>
      </c>
      <c r="H4474" s="10">
        <v>25527</v>
      </c>
      <c r="I4474" s="10">
        <v>459486</v>
      </c>
      <c r="J4474" t="s">
        <v>37</v>
      </c>
      <c r="K4474" s="11">
        <v>648.20000000000005</v>
      </c>
      <c r="L4474" s="12">
        <v>708.86</v>
      </c>
    </row>
    <row r="4475" spans="1:12" x14ac:dyDescent="0.2">
      <c r="A4475" s="9">
        <v>46259</v>
      </c>
      <c r="B4475" t="s">
        <v>384</v>
      </c>
      <c r="C4475" t="s">
        <v>385</v>
      </c>
      <c r="D4475" t="s">
        <v>46</v>
      </c>
      <c r="E4475" t="s">
        <v>649</v>
      </c>
      <c r="F4475" t="s">
        <v>650</v>
      </c>
      <c r="G4475" s="10">
        <v>4</v>
      </c>
      <c r="H4475" s="10">
        <v>19776</v>
      </c>
      <c r="I4475" s="10">
        <v>79104</v>
      </c>
      <c r="J4475" t="s">
        <v>37</v>
      </c>
      <c r="K4475" s="11">
        <v>648.20000000000005</v>
      </c>
      <c r="L4475" s="12">
        <v>122.04</v>
      </c>
    </row>
    <row r="4476" spans="1:12" x14ac:dyDescent="0.2">
      <c r="A4476" s="9">
        <v>46259</v>
      </c>
      <c r="B4476" t="s">
        <v>390</v>
      </c>
      <c r="C4476" t="s">
        <v>391</v>
      </c>
      <c r="D4476" t="s">
        <v>46</v>
      </c>
      <c r="E4476" t="s">
        <v>660</v>
      </c>
      <c r="F4476" t="s">
        <v>669</v>
      </c>
      <c r="G4476" s="10">
        <v>11</v>
      </c>
      <c r="H4476" s="10">
        <v>2610</v>
      </c>
      <c r="I4476" s="10">
        <v>28710</v>
      </c>
      <c r="J4476" t="s">
        <v>37</v>
      </c>
      <c r="K4476" s="11">
        <v>648.20000000000005</v>
      </c>
      <c r="L4476" s="12">
        <v>44.29</v>
      </c>
    </row>
    <row r="4477" spans="1:12" x14ac:dyDescent="0.2">
      <c r="A4477" s="9">
        <v>46259</v>
      </c>
      <c r="B4477" t="s">
        <v>393</v>
      </c>
      <c r="C4477" t="s">
        <v>307</v>
      </c>
      <c r="D4477" t="s">
        <v>68</v>
      </c>
      <c r="E4477" t="s">
        <v>649</v>
      </c>
      <c r="F4477" t="s">
        <v>650</v>
      </c>
      <c r="G4477" s="10">
        <v>183</v>
      </c>
      <c r="H4477" s="10">
        <v>19274</v>
      </c>
      <c r="I4477" s="10">
        <v>3527142</v>
      </c>
      <c r="J4477" t="s">
        <v>51</v>
      </c>
      <c r="K4477" s="11">
        <v>648.20000000000005</v>
      </c>
      <c r="L4477" s="12">
        <v>5441.44</v>
      </c>
    </row>
    <row r="4478" spans="1:12" x14ac:dyDescent="0.2">
      <c r="A4478" s="9">
        <v>46259</v>
      </c>
      <c r="B4478" t="s">
        <v>393</v>
      </c>
      <c r="C4478" t="s">
        <v>307</v>
      </c>
      <c r="D4478" t="s">
        <v>68</v>
      </c>
      <c r="E4478" t="s">
        <v>660</v>
      </c>
      <c r="F4478" t="s">
        <v>669</v>
      </c>
      <c r="G4478" s="10">
        <v>17</v>
      </c>
      <c r="H4478" s="10">
        <v>2642</v>
      </c>
      <c r="I4478" s="10">
        <v>44914</v>
      </c>
      <c r="J4478" t="s">
        <v>51</v>
      </c>
      <c r="K4478" s="11">
        <v>648.20000000000005</v>
      </c>
      <c r="L4478" s="12">
        <v>69.290000000000006</v>
      </c>
    </row>
    <row r="4479" spans="1:12" x14ac:dyDescent="0.2">
      <c r="A4479" s="9">
        <v>46259</v>
      </c>
      <c r="B4479" t="s">
        <v>393</v>
      </c>
      <c r="C4479" t="s">
        <v>307</v>
      </c>
      <c r="D4479" t="s">
        <v>68</v>
      </c>
      <c r="E4479" t="s">
        <v>647</v>
      </c>
      <c r="F4479" t="s">
        <v>648</v>
      </c>
      <c r="G4479" s="10">
        <v>341</v>
      </c>
      <c r="H4479" s="10">
        <v>16685</v>
      </c>
      <c r="I4479" s="10">
        <v>5689585</v>
      </c>
      <c r="J4479" t="s">
        <v>51</v>
      </c>
      <c r="K4479" s="11">
        <v>648.20000000000005</v>
      </c>
      <c r="L4479" s="12">
        <v>8777.51</v>
      </c>
    </row>
    <row r="4480" spans="1:12" x14ac:dyDescent="0.2">
      <c r="A4480" s="9">
        <v>46259</v>
      </c>
      <c r="B4480" t="s">
        <v>395</v>
      </c>
      <c r="C4480" t="s">
        <v>396</v>
      </c>
      <c r="D4480" t="s">
        <v>46</v>
      </c>
      <c r="E4480" t="s">
        <v>655</v>
      </c>
      <c r="F4480" t="s">
        <v>662</v>
      </c>
      <c r="G4480" s="10">
        <v>18</v>
      </c>
      <c r="H4480" s="10">
        <v>1085</v>
      </c>
      <c r="I4480" s="10">
        <v>19530</v>
      </c>
      <c r="J4480" t="s">
        <v>37</v>
      </c>
      <c r="K4480" s="11">
        <v>648.20000000000005</v>
      </c>
      <c r="L4480" s="12">
        <v>30.13</v>
      </c>
    </row>
    <row r="4481" spans="1:12" x14ac:dyDescent="0.2">
      <c r="A4481" s="9">
        <v>46259</v>
      </c>
      <c r="B4481" t="s">
        <v>395</v>
      </c>
      <c r="C4481" t="s">
        <v>396</v>
      </c>
      <c r="D4481" t="s">
        <v>46</v>
      </c>
      <c r="E4481" t="s">
        <v>647</v>
      </c>
      <c r="F4481" t="s">
        <v>667</v>
      </c>
      <c r="G4481" s="10">
        <v>8</v>
      </c>
      <c r="H4481" s="10">
        <v>7273</v>
      </c>
      <c r="I4481" s="10">
        <v>58184</v>
      </c>
      <c r="J4481" t="s">
        <v>37</v>
      </c>
      <c r="K4481" s="11">
        <v>648.20000000000005</v>
      </c>
      <c r="L4481" s="12">
        <v>89.76</v>
      </c>
    </row>
    <row r="4482" spans="1:12" x14ac:dyDescent="0.2">
      <c r="A4482" s="9">
        <v>46259</v>
      </c>
      <c r="B4482" t="s">
        <v>398</v>
      </c>
      <c r="C4482" t="s">
        <v>399</v>
      </c>
      <c r="D4482" t="s">
        <v>46</v>
      </c>
      <c r="E4482" t="s">
        <v>653</v>
      </c>
      <c r="F4482" t="s">
        <v>654</v>
      </c>
      <c r="G4482" s="10">
        <v>46</v>
      </c>
      <c r="H4482" s="10">
        <v>5620</v>
      </c>
      <c r="I4482" s="10">
        <v>258520</v>
      </c>
      <c r="J4482" t="s">
        <v>37</v>
      </c>
      <c r="K4482" s="11">
        <v>648.20000000000005</v>
      </c>
      <c r="L4482" s="12">
        <v>398.83</v>
      </c>
    </row>
    <row r="4483" spans="1:12" x14ac:dyDescent="0.2">
      <c r="A4483" s="9">
        <v>46259</v>
      </c>
      <c r="B4483" t="s">
        <v>407</v>
      </c>
      <c r="C4483" t="s">
        <v>408</v>
      </c>
      <c r="D4483" t="s">
        <v>75</v>
      </c>
      <c r="E4483" t="s">
        <v>647</v>
      </c>
      <c r="F4483" t="s">
        <v>648</v>
      </c>
      <c r="G4483" s="10">
        <v>3</v>
      </c>
      <c r="H4483" s="10">
        <v>78722</v>
      </c>
      <c r="I4483" s="10">
        <v>236166</v>
      </c>
      <c r="J4483" t="s">
        <v>42</v>
      </c>
      <c r="K4483" s="11">
        <v>3145.8</v>
      </c>
      <c r="L4483" s="12">
        <v>75.069999999999993</v>
      </c>
    </row>
    <row r="4484" spans="1:12" x14ac:dyDescent="0.2">
      <c r="A4484" s="9">
        <v>46259</v>
      </c>
      <c r="B4484" t="s">
        <v>413</v>
      </c>
      <c r="C4484" t="s">
        <v>414</v>
      </c>
      <c r="D4484" t="s">
        <v>41</v>
      </c>
      <c r="E4484" t="s">
        <v>649</v>
      </c>
      <c r="F4484" t="s">
        <v>663</v>
      </c>
      <c r="G4484" s="10">
        <v>19</v>
      </c>
      <c r="H4484" s="10">
        <v>9603</v>
      </c>
      <c r="I4484" s="10">
        <v>182457</v>
      </c>
      <c r="J4484" t="s">
        <v>42</v>
      </c>
      <c r="K4484" s="11">
        <v>3145.8</v>
      </c>
      <c r="L4484" s="12">
        <v>58</v>
      </c>
    </row>
    <row r="4485" spans="1:12" x14ac:dyDescent="0.2">
      <c r="A4485" s="9">
        <v>46259</v>
      </c>
      <c r="B4485" t="s">
        <v>413</v>
      </c>
      <c r="C4485" t="s">
        <v>414</v>
      </c>
      <c r="D4485" t="s">
        <v>41</v>
      </c>
      <c r="E4485" t="s">
        <v>651</v>
      </c>
      <c r="F4485" t="s">
        <v>657</v>
      </c>
      <c r="G4485" s="10">
        <v>28</v>
      </c>
      <c r="H4485" s="10">
        <v>30644</v>
      </c>
      <c r="I4485" s="10">
        <v>858032</v>
      </c>
      <c r="J4485" t="s">
        <v>42</v>
      </c>
      <c r="K4485" s="11">
        <v>3145.8</v>
      </c>
      <c r="L4485" s="12">
        <v>272.75</v>
      </c>
    </row>
    <row r="4486" spans="1:12" x14ac:dyDescent="0.2">
      <c r="A4486" s="9">
        <v>46259</v>
      </c>
      <c r="B4486" t="s">
        <v>416</v>
      </c>
      <c r="C4486" t="s">
        <v>417</v>
      </c>
      <c r="D4486" t="s">
        <v>36</v>
      </c>
      <c r="E4486" t="s">
        <v>647</v>
      </c>
      <c r="F4486" t="s">
        <v>648</v>
      </c>
      <c r="G4486" s="10">
        <v>14</v>
      </c>
      <c r="H4486" s="10">
        <v>16578</v>
      </c>
      <c r="I4486" s="10">
        <v>232092</v>
      </c>
      <c r="J4486" t="s">
        <v>37</v>
      </c>
      <c r="K4486" s="11">
        <v>648.20000000000005</v>
      </c>
      <c r="L4486" s="12">
        <v>358.06</v>
      </c>
    </row>
    <row r="4487" spans="1:12" x14ac:dyDescent="0.2">
      <c r="A4487" s="9">
        <v>46259</v>
      </c>
      <c r="B4487" t="s">
        <v>416</v>
      </c>
      <c r="C4487" t="s">
        <v>417</v>
      </c>
      <c r="D4487" t="s">
        <v>36</v>
      </c>
      <c r="E4487" t="s">
        <v>655</v>
      </c>
      <c r="F4487" t="s">
        <v>665</v>
      </c>
      <c r="G4487" s="10">
        <v>11</v>
      </c>
      <c r="H4487" s="10">
        <v>677</v>
      </c>
      <c r="I4487" s="10">
        <v>7447</v>
      </c>
      <c r="J4487" t="s">
        <v>37</v>
      </c>
      <c r="K4487" s="11">
        <v>648.20000000000005</v>
      </c>
      <c r="L4487" s="12">
        <v>11.49</v>
      </c>
    </row>
    <row r="4488" spans="1:12" x14ac:dyDescent="0.2">
      <c r="A4488" s="9">
        <v>46259</v>
      </c>
      <c r="B4488" t="s">
        <v>419</v>
      </c>
      <c r="C4488" t="s">
        <v>420</v>
      </c>
      <c r="D4488" t="s">
        <v>46</v>
      </c>
      <c r="E4488" t="s">
        <v>651</v>
      </c>
      <c r="F4488" t="s">
        <v>652</v>
      </c>
      <c r="G4488" s="10">
        <v>2</v>
      </c>
      <c r="H4488" s="10">
        <v>9212</v>
      </c>
      <c r="I4488" s="10">
        <v>18424</v>
      </c>
      <c r="J4488" t="s">
        <v>37</v>
      </c>
      <c r="K4488" s="11">
        <v>648.20000000000005</v>
      </c>
      <c r="L4488" s="12">
        <v>28.42</v>
      </c>
    </row>
    <row r="4489" spans="1:12" x14ac:dyDescent="0.2">
      <c r="A4489" s="9">
        <v>46259</v>
      </c>
      <c r="B4489" t="s">
        <v>419</v>
      </c>
      <c r="C4489" t="s">
        <v>420</v>
      </c>
      <c r="D4489" t="s">
        <v>46</v>
      </c>
      <c r="E4489" t="s">
        <v>649</v>
      </c>
      <c r="F4489" t="s">
        <v>663</v>
      </c>
      <c r="G4489" s="10">
        <v>4</v>
      </c>
      <c r="H4489" s="10">
        <v>2028</v>
      </c>
      <c r="I4489" s="10">
        <v>8112</v>
      </c>
      <c r="J4489" t="s">
        <v>37</v>
      </c>
      <c r="K4489" s="11">
        <v>648.20000000000005</v>
      </c>
      <c r="L4489" s="12">
        <v>12.51</v>
      </c>
    </row>
    <row r="4490" spans="1:12" x14ac:dyDescent="0.2">
      <c r="A4490" s="9">
        <v>46259</v>
      </c>
      <c r="B4490" t="s">
        <v>419</v>
      </c>
      <c r="C4490" t="s">
        <v>420</v>
      </c>
      <c r="D4490" t="s">
        <v>46</v>
      </c>
      <c r="E4490" t="s">
        <v>651</v>
      </c>
      <c r="F4490" t="s">
        <v>657</v>
      </c>
      <c r="G4490" s="10">
        <v>6</v>
      </c>
      <c r="H4490" s="10">
        <v>6398</v>
      </c>
      <c r="I4490" s="10">
        <v>38388</v>
      </c>
      <c r="J4490" t="s">
        <v>37</v>
      </c>
      <c r="K4490" s="11">
        <v>648.20000000000005</v>
      </c>
      <c r="L4490" s="12">
        <v>59.22</v>
      </c>
    </row>
    <row r="4491" spans="1:12" x14ac:dyDescent="0.2">
      <c r="A4491" s="9">
        <v>46259</v>
      </c>
      <c r="B4491" t="s">
        <v>422</v>
      </c>
      <c r="C4491" t="s">
        <v>423</v>
      </c>
      <c r="D4491" t="s">
        <v>68</v>
      </c>
      <c r="E4491" t="s">
        <v>660</v>
      </c>
      <c r="F4491" t="s">
        <v>661</v>
      </c>
      <c r="G4491" s="10">
        <v>11</v>
      </c>
      <c r="H4491" s="10">
        <v>4038</v>
      </c>
      <c r="I4491" s="10">
        <v>44418</v>
      </c>
      <c r="J4491" t="s">
        <v>51</v>
      </c>
      <c r="K4491" s="11">
        <v>648.20000000000005</v>
      </c>
      <c r="L4491" s="12">
        <v>68.53</v>
      </c>
    </row>
    <row r="4492" spans="1:12" x14ac:dyDescent="0.2">
      <c r="A4492" s="9">
        <v>46259</v>
      </c>
      <c r="B4492" t="s">
        <v>422</v>
      </c>
      <c r="C4492" t="s">
        <v>423</v>
      </c>
      <c r="D4492" t="s">
        <v>68</v>
      </c>
      <c r="E4492" t="s">
        <v>647</v>
      </c>
      <c r="F4492" t="s">
        <v>648</v>
      </c>
      <c r="G4492" s="10">
        <v>5</v>
      </c>
      <c r="H4492" s="10">
        <v>15851</v>
      </c>
      <c r="I4492" s="10">
        <v>79255</v>
      </c>
      <c r="J4492" t="s">
        <v>51</v>
      </c>
      <c r="K4492" s="11">
        <v>648.20000000000005</v>
      </c>
      <c r="L4492" s="12">
        <v>122.27</v>
      </c>
    </row>
    <row r="4493" spans="1:12" x14ac:dyDescent="0.2">
      <c r="A4493" s="9">
        <v>46259</v>
      </c>
      <c r="B4493" t="s">
        <v>425</v>
      </c>
      <c r="C4493" t="s">
        <v>426</v>
      </c>
      <c r="D4493" t="s">
        <v>50</v>
      </c>
      <c r="E4493" t="s">
        <v>653</v>
      </c>
      <c r="F4493" t="s">
        <v>666</v>
      </c>
      <c r="G4493" s="10">
        <v>8</v>
      </c>
      <c r="H4493" s="10">
        <v>1477</v>
      </c>
      <c r="I4493" s="10">
        <v>11816</v>
      </c>
      <c r="J4493" t="s">
        <v>51</v>
      </c>
      <c r="K4493" s="11">
        <v>648.20000000000005</v>
      </c>
      <c r="L4493" s="12">
        <v>18.23</v>
      </c>
    </row>
    <row r="4494" spans="1:12" x14ac:dyDescent="0.2">
      <c r="A4494" s="9">
        <v>46259</v>
      </c>
      <c r="B4494" t="s">
        <v>431</v>
      </c>
      <c r="C4494" t="s">
        <v>432</v>
      </c>
      <c r="D4494" t="s">
        <v>36</v>
      </c>
      <c r="E4494" t="s">
        <v>653</v>
      </c>
      <c r="F4494" t="s">
        <v>654</v>
      </c>
      <c r="G4494" s="10">
        <v>4</v>
      </c>
      <c r="H4494" s="10">
        <v>5647</v>
      </c>
      <c r="I4494" s="10">
        <v>22588</v>
      </c>
      <c r="J4494" t="s">
        <v>37</v>
      </c>
      <c r="K4494" s="11">
        <v>648.20000000000005</v>
      </c>
      <c r="L4494" s="12">
        <v>34.85</v>
      </c>
    </row>
    <row r="4495" spans="1:12" x14ac:dyDescent="0.2">
      <c r="A4495" s="9">
        <v>46259</v>
      </c>
      <c r="B4495" t="s">
        <v>439</v>
      </c>
      <c r="C4495" t="s">
        <v>440</v>
      </c>
      <c r="D4495" t="s">
        <v>50</v>
      </c>
      <c r="E4495" t="s">
        <v>649</v>
      </c>
      <c r="F4495" t="s">
        <v>659</v>
      </c>
      <c r="G4495" s="10">
        <v>28</v>
      </c>
      <c r="H4495" s="10">
        <v>9051</v>
      </c>
      <c r="I4495" s="10">
        <v>253428</v>
      </c>
      <c r="J4495" t="s">
        <v>51</v>
      </c>
      <c r="K4495" s="11">
        <v>648.20000000000005</v>
      </c>
      <c r="L4495" s="12">
        <v>390.97</v>
      </c>
    </row>
    <row r="4496" spans="1:12" x14ac:dyDescent="0.2">
      <c r="A4496" s="9">
        <v>46259</v>
      </c>
      <c r="B4496" t="s">
        <v>442</v>
      </c>
      <c r="C4496" t="s">
        <v>443</v>
      </c>
      <c r="D4496" t="s">
        <v>41</v>
      </c>
      <c r="E4496" t="s">
        <v>655</v>
      </c>
      <c r="F4496" t="s">
        <v>656</v>
      </c>
      <c r="G4496" s="10">
        <v>4</v>
      </c>
      <c r="H4496" s="10">
        <v>2794</v>
      </c>
      <c r="I4496" s="10">
        <v>11176</v>
      </c>
      <c r="J4496" t="s">
        <v>42</v>
      </c>
      <c r="K4496" s="11">
        <v>3145.8</v>
      </c>
      <c r="L4496" s="12">
        <v>3.55</v>
      </c>
    </row>
    <row r="4497" spans="1:12" x14ac:dyDescent="0.2">
      <c r="A4497" s="9">
        <v>46259</v>
      </c>
      <c r="B4497" t="s">
        <v>451</v>
      </c>
      <c r="C4497" t="s">
        <v>452</v>
      </c>
      <c r="D4497" t="s">
        <v>68</v>
      </c>
      <c r="E4497" t="s">
        <v>649</v>
      </c>
      <c r="F4497" t="s">
        <v>663</v>
      </c>
      <c r="G4497" s="10">
        <v>2</v>
      </c>
      <c r="H4497" s="10">
        <v>2102</v>
      </c>
      <c r="I4497" s="10">
        <v>4204</v>
      </c>
      <c r="J4497" t="s">
        <v>51</v>
      </c>
      <c r="K4497" s="11">
        <v>648.20000000000005</v>
      </c>
      <c r="L4497" s="12">
        <v>6.49</v>
      </c>
    </row>
    <row r="4498" spans="1:12" x14ac:dyDescent="0.2">
      <c r="A4498" s="9">
        <v>46259</v>
      </c>
      <c r="B4498" t="s">
        <v>454</v>
      </c>
      <c r="C4498" t="s">
        <v>455</v>
      </c>
      <c r="D4498" t="s">
        <v>41</v>
      </c>
      <c r="E4498" t="s">
        <v>660</v>
      </c>
      <c r="F4498" t="s">
        <v>669</v>
      </c>
      <c r="G4498" s="10">
        <v>5</v>
      </c>
      <c r="H4498" s="10">
        <v>12079</v>
      </c>
      <c r="I4498" s="10">
        <v>60395</v>
      </c>
      <c r="J4498" t="s">
        <v>42</v>
      </c>
      <c r="K4498" s="11">
        <v>3145.8</v>
      </c>
      <c r="L4498" s="12">
        <v>19.2</v>
      </c>
    </row>
    <row r="4499" spans="1:12" x14ac:dyDescent="0.2">
      <c r="A4499" s="9">
        <v>46259</v>
      </c>
      <c r="B4499" t="s">
        <v>454</v>
      </c>
      <c r="C4499" t="s">
        <v>455</v>
      </c>
      <c r="D4499" t="s">
        <v>41</v>
      </c>
      <c r="E4499" t="s">
        <v>651</v>
      </c>
      <c r="F4499" t="s">
        <v>664</v>
      </c>
      <c r="G4499" s="10">
        <v>4</v>
      </c>
      <c r="H4499" s="10">
        <v>59640</v>
      </c>
      <c r="I4499" s="10">
        <v>238560</v>
      </c>
      <c r="J4499" t="s">
        <v>42</v>
      </c>
      <c r="K4499" s="11">
        <v>3145.8</v>
      </c>
      <c r="L4499" s="12">
        <v>75.83</v>
      </c>
    </row>
    <row r="4500" spans="1:12" x14ac:dyDescent="0.2">
      <c r="A4500" s="9">
        <v>46259</v>
      </c>
      <c r="B4500" t="s">
        <v>457</v>
      </c>
      <c r="C4500" t="s">
        <v>458</v>
      </c>
      <c r="D4500" t="s">
        <v>46</v>
      </c>
      <c r="E4500" t="s">
        <v>655</v>
      </c>
      <c r="F4500" t="s">
        <v>662</v>
      </c>
      <c r="G4500" s="10">
        <v>32</v>
      </c>
      <c r="H4500" s="10">
        <v>1131</v>
      </c>
      <c r="I4500" s="10">
        <v>36192</v>
      </c>
      <c r="J4500" t="s">
        <v>37</v>
      </c>
      <c r="K4500" s="11">
        <v>648.20000000000005</v>
      </c>
      <c r="L4500" s="12">
        <v>55.83</v>
      </c>
    </row>
    <row r="4501" spans="1:12" x14ac:dyDescent="0.2">
      <c r="A4501" s="9">
        <v>46259</v>
      </c>
      <c r="B4501" t="s">
        <v>457</v>
      </c>
      <c r="C4501" t="s">
        <v>458</v>
      </c>
      <c r="D4501" t="s">
        <v>46</v>
      </c>
      <c r="E4501" t="s">
        <v>655</v>
      </c>
      <c r="F4501" t="s">
        <v>662</v>
      </c>
      <c r="G4501" s="10">
        <v>47</v>
      </c>
      <c r="H4501" s="10">
        <v>1103</v>
      </c>
      <c r="I4501" s="10">
        <v>51841</v>
      </c>
      <c r="J4501" t="s">
        <v>37</v>
      </c>
      <c r="K4501" s="11">
        <v>648.20000000000005</v>
      </c>
      <c r="L4501" s="12">
        <v>79.98</v>
      </c>
    </row>
    <row r="4502" spans="1:12" x14ac:dyDescent="0.2">
      <c r="A4502" s="9">
        <v>46259</v>
      </c>
      <c r="B4502" t="s">
        <v>457</v>
      </c>
      <c r="C4502" t="s">
        <v>458</v>
      </c>
      <c r="D4502" t="s">
        <v>46</v>
      </c>
      <c r="E4502" t="s">
        <v>647</v>
      </c>
      <c r="F4502" t="s">
        <v>648</v>
      </c>
      <c r="G4502" s="10">
        <v>6</v>
      </c>
      <c r="H4502" s="10">
        <v>15865</v>
      </c>
      <c r="I4502" s="10">
        <v>95190</v>
      </c>
      <c r="J4502" t="s">
        <v>37</v>
      </c>
      <c r="K4502" s="11">
        <v>648.20000000000005</v>
      </c>
      <c r="L4502" s="12">
        <v>146.85</v>
      </c>
    </row>
    <row r="4503" spans="1:12" x14ac:dyDescent="0.2">
      <c r="A4503" s="9">
        <v>46259</v>
      </c>
      <c r="B4503" t="s">
        <v>460</v>
      </c>
      <c r="C4503" t="s">
        <v>461</v>
      </c>
      <c r="D4503" t="s">
        <v>75</v>
      </c>
      <c r="E4503" t="s">
        <v>649</v>
      </c>
      <c r="F4503" t="s">
        <v>663</v>
      </c>
      <c r="G4503" s="10">
        <v>10</v>
      </c>
      <c r="H4503" s="10">
        <v>9555</v>
      </c>
      <c r="I4503" s="10">
        <v>95550</v>
      </c>
      <c r="J4503" t="s">
        <v>42</v>
      </c>
      <c r="K4503" s="11">
        <v>3145.8</v>
      </c>
      <c r="L4503" s="12">
        <v>30.37</v>
      </c>
    </row>
    <row r="4504" spans="1:12" x14ac:dyDescent="0.2">
      <c r="A4504" s="9">
        <v>46259</v>
      </c>
      <c r="B4504" t="s">
        <v>460</v>
      </c>
      <c r="C4504" t="s">
        <v>461</v>
      </c>
      <c r="D4504" t="s">
        <v>75</v>
      </c>
      <c r="E4504" t="s">
        <v>651</v>
      </c>
      <c r="F4504" t="s">
        <v>664</v>
      </c>
      <c r="G4504" s="10">
        <v>45</v>
      </c>
      <c r="H4504" s="10">
        <v>58039</v>
      </c>
      <c r="I4504" s="10">
        <v>2611755</v>
      </c>
      <c r="J4504" t="s">
        <v>42</v>
      </c>
      <c r="K4504" s="11">
        <v>3145.8</v>
      </c>
      <c r="L4504" s="12">
        <v>830.24</v>
      </c>
    </row>
    <row r="4505" spans="1:12" x14ac:dyDescent="0.2">
      <c r="A4505" s="9">
        <v>46259</v>
      </c>
      <c r="B4505" t="s">
        <v>469</v>
      </c>
      <c r="C4505" t="s">
        <v>470</v>
      </c>
      <c r="D4505" t="s">
        <v>41</v>
      </c>
      <c r="E4505" t="s">
        <v>649</v>
      </c>
      <c r="F4505" t="s">
        <v>659</v>
      </c>
      <c r="G4505" s="10">
        <v>17</v>
      </c>
      <c r="H4505" s="10">
        <v>44761</v>
      </c>
      <c r="I4505" s="10">
        <v>760937</v>
      </c>
      <c r="J4505" t="s">
        <v>42</v>
      </c>
      <c r="K4505" s="11">
        <v>3145.8</v>
      </c>
      <c r="L4505" s="12">
        <v>241.89</v>
      </c>
    </row>
    <row r="4506" spans="1:12" x14ac:dyDescent="0.2">
      <c r="A4506" s="9">
        <v>46259</v>
      </c>
      <c r="B4506" t="s">
        <v>469</v>
      </c>
      <c r="C4506" t="s">
        <v>470</v>
      </c>
      <c r="D4506" t="s">
        <v>41</v>
      </c>
      <c r="E4506" t="s">
        <v>660</v>
      </c>
      <c r="F4506" t="s">
        <v>670</v>
      </c>
      <c r="G4506" s="10">
        <v>2</v>
      </c>
      <c r="H4506" s="10">
        <v>69215</v>
      </c>
      <c r="I4506" s="10">
        <v>138430</v>
      </c>
      <c r="J4506" t="s">
        <v>42</v>
      </c>
      <c r="K4506" s="11">
        <v>3145.8</v>
      </c>
      <c r="L4506" s="12">
        <v>44</v>
      </c>
    </row>
    <row r="4507" spans="1:12" x14ac:dyDescent="0.2">
      <c r="A4507" s="9">
        <v>46259</v>
      </c>
      <c r="B4507" t="s">
        <v>475</v>
      </c>
      <c r="C4507" t="s">
        <v>476</v>
      </c>
      <c r="D4507" t="s">
        <v>75</v>
      </c>
      <c r="E4507" t="s">
        <v>647</v>
      </c>
      <c r="F4507" t="s">
        <v>648</v>
      </c>
      <c r="G4507" s="10">
        <v>30</v>
      </c>
      <c r="H4507" s="10">
        <v>76036</v>
      </c>
      <c r="I4507" s="10">
        <v>2281080</v>
      </c>
      <c r="J4507" t="s">
        <v>42</v>
      </c>
      <c r="K4507" s="11">
        <v>3145.8</v>
      </c>
      <c r="L4507" s="12">
        <v>725.12</v>
      </c>
    </row>
    <row r="4508" spans="1:12" x14ac:dyDescent="0.2">
      <c r="A4508" s="9">
        <v>46259</v>
      </c>
      <c r="B4508" t="s">
        <v>475</v>
      </c>
      <c r="C4508" t="s">
        <v>476</v>
      </c>
      <c r="D4508" t="s">
        <v>75</v>
      </c>
      <c r="E4508" t="s">
        <v>647</v>
      </c>
      <c r="F4508" t="s">
        <v>667</v>
      </c>
      <c r="G4508" s="10">
        <v>16</v>
      </c>
      <c r="H4508" s="10">
        <v>36780</v>
      </c>
      <c r="I4508" s="10">
        <v>588480</v>
      </c>
      <c r="J4508" t="s">
        <v>42</v>
      </c>
      <c r="K4508" s="11">
        <v>3145.8</v>
      </c>
      <c r="L4508" s="12">
        <v>187.07</v>
      </c>
    </row>
    <row r="4509" spans="1:12" x14ac:dyDescent="0.2">
      <c r="A4509" s="9">
        <v>46259</v>
      </c>
      <c r="B4509" t="s">
        <v>478</v>
      </c>
      <c r="C4509" t="s">
        <v>479</v>
      </c>
      <c r="D4509" t="s">
        <v>75</v>
      </c>
      <c r="E4509" t="s">
        <v>653</v>
      </c>
      <c r="F4509" t="s">
        <v>658</v>
      </c>
      <c r="G4509" s="10">
        <v>3</v>
      </c>
      <c r="H4509" s="10">
        <v>13455</v>
      </c>
      <c r="I4509" s="10">
        <v>40365</v>
      </c>
      <c r="J4509" t="s">
        <v>42</v>
      </c>
      <c r="K4509" s="11">
        <v>3145.8</v>
      </c>
      <c r="L4509" s="12">
        <v>12.83</v>
      </c>
    </row>
    <row r="4510" spans="1:12" x14ac:dyDescent="0.2">
      <c r="A4510" s="9">
        <v>46259</v>
      </c>
      <c r="B4510" t="s">
        <v>481</v>
      </c>
      <c r="C4510" t="s">
        <v>78</v>
      </c>
      <c r="D4510" t="s">
        <v>41</v>
      </c>
      <c r="E4510" t="s">
        <v>660</v>
      </c>
      <c r="F4510" t="s">
        <v>669</v>
      </c>
      <c r="G4510" s="10">
        <v>34</v>
      </c>
      <c r="H4510" s="10">
        <v>13020</v>
      </c>
      <c r="I4510" s="10">
        <v>442680</v>
      </c>
      <c r="J4510" t="s">
        <v>42</v>
      </c>
      <c r="K4510" s="11">
        <v>3145.8</v>
      </c>
      <c r="L4510" s="12">
        <v>140.72</v>
      </c>
    </row>
    <row r="4511" spans="1:12" x14ac:dyDescent="0.2">
      <c r="A4511" s="9">
        <v>46259</v>
      </c>
      <c r="B4511" t="s">
        <v>481</v>
      </c>
      <c r="C4511" t="s">
        <v>78</v>
      </c>
      <c r="D4511" t="s">
        <v>41</v>
      </c>
      <c r="E4511" t="s">
        <v>647</v>
      </c>
      <c r="F4511" t="s">
        <v>648</v>
      </c>
      <c r="G4511" s="10">
        <v>15</v>
      </c>
      <c r="H4511" s="10">
        <v>76080</v>
      </c>
      <c r="I4511" s="10">
        <v>1141200</v>
      </c>
      <c r="J4511" t="s">
        <v>42</v>
      </c>
      <c r="K4511" s="11">
        <v>3145.8</v>
      </c>
      <c r="L4511" s="12">
        <v>362.77</v>
      </c>
    </row>
    <row r="4512" spans="1:12" x14ac:dyDescent="0.2">
      <c r="A4512" s="9">
        <v>46259</v>
      </c>
      <c r="B4512" t="s">
        <v>483</v>
      </c>
      <c r="C4512" t="s">
        <v>340</v>
      </c>
      <c r="D4512" t="s">
        <v>46</v>
      </c>
      <c r="E4512" t="s">
        <v>653</v>
      </c>
      <c r="F4512" t="s">
        <v>654</v>
      </c>
      <c r="G4512" s="10">
        <v>7</v>
      </c>
      <c r="H4512" s="10">
        <v>5577</v>
      </c>
      <c r="I4512" s="10">
        <v>39039</v>
      </c>
      <c r="J4512" t="s">
        <v>37</v>
      </c>
      <c r="K4512" s="11">
        <v>648.20000000000005</v>
      </c>
      <c r="L4512" s="12">
        <v>60.23</v>
      </c>
    </row>
    <row r="4513" spans="1:12" x14ac:dyDescent="0.2">
      <c r="A4513" s="9">
        <v>46259</v>
      </c>
      <c r="B4513" t="s">
        <v>485</v>
      </c>
      <c r="C4513" t="s">
        <v>486</v>
      </c>
      <c r="D4513" t="s">
        <v>41</v>
      </c>
      <c r="E4513" t="s">
        <v>660</v>
      </c>
      <c r="F4513" t="s">
        <v>669</v>
      </c>
      <c r="G4513" s="10">
        <v>3</v>
      </c>
      <c r="H4513" s="10">
        <v>12401</v>
      </c>
      <c r="I4513" s="10">
        <v>37203</v>
      </c>
      <c r="J4513" t="s">
        <v>42</v>
      </c>
      <c r="K4513" s="11">
        <v>3145.8</v>
      </c>
      <c r="L4513" s="12">
        <v>11.83</v>
      </c>
    </row>
    <row r="4514" spans="1:12" x14ac:dyDescent="0.2">
      <c r="A4514" s="9">
        <v>46259</v>
      </c>
      <c r="B4514" t="s">
        <v>496</v>
      </c>
      <c r="C4514" t="s">
        <v>497</v>
      </c>
      <c r="D4514" t="s">
        <v>41</v>
      </c>
      <c r="E4514" t="s">
        <v>660</v>
      </c>
      <c r="F4514" t="s">
        <v>670</v>
      </c>
      <c r="G4514" s="10">
        <v>34</v>
      </c>
      <c r="H4514" s="10">
        <v>71616</v>
      </c>
      <c r="I4514" s="10">
        <v>2434944</v>
      </c>
      <c r="J4514" t="s">
        <v>42</v>
      </c>
      <c r="K4514" s="11">
        <v>3145.8</v>
      </c>
      <c r="L4514" s="12">
        <v>774.03</v>
      </c>
    </row>
    <row r="4515" spans="1:12" x14ac:dyDescent="0.2">
      <c r="A4515" s="9">
        <v>46259</v>
      </c>
      <c r="B4515" t="s">
        <v>499</v>
      </c>
      <c r="C4515" t="s">
        <v>500</v>
      </c>
      <c r="D4515" t="s">
        <v>41</v>
      </c>
      <c r="E4515" t="s">
        <v>649</v>
      </c>
      <c r="F4515" t="s">
        <v>659</v>
      </c>
      <c r="G4515" s="10">
        <v>11</v>
      </c>
      <c r="H4515" s="10">
        <v>44140</v>
      </c>
      <c r="I4515" s="10">
        <v>485540</v>
      </c>
      <c r="J4515" t="s">
        <v>42</v>
      </c>
      <c r="K4515" s="11">
        <v>3145.8</v>
      </c>
      <c r="L4515" s="12">
        <v>154.35</v>
      </c>
    </row>
    <row r="4516" spans="1:12" x14ac:dyDescent="0.2">
      <c r="A4516" s="9">
        <v>46259</v>
      </c>
      <c r="B4516" t="s">
        <v>505</v>
      </c>
      <c r="C4516" t="s">
        <v>506</v>
      </c>
      <c r="D4516" t="s">
        <v>36</v>
      </c>
      <c r="E4516" t="s">
        <v>649</v>
      </c>
      <c r="F4516" t="s">
        <v>663</v>
      </c>
      <c r="G4516" s="10">
        <v>5</v>
      </c>
      <c r="H4516" s="10">
        <v>1955</v>
      </c>
      <c r="I4516" s="10">
        <v>9775</v>
      </c>
      <c r="J4516" t="s">
        <v>37</v>
      </c>
      <c r="K4516" s="11">
        <v>648.20000000000005</v>
      </c>
      <c r="L4516" s="12">
        <v>15.08</v>
      </c>
    </row>
    <row r="4517" spans="1:12" x14ac:dyDescent="0.2">
      <c r="A4517" s="9">
        <v>46259</v>
      </c>
      <c r="B4517" t="s">
        <v>505</v>
      </c>
      <c r="C4517" t="s">
        <v>506</v>
      </c>
      <c r="D4517" t="s">
        <v>36</v>
      </c>
      <c r="E4517" t="s">
        <v>655</v>
      </c>
      <c r="F4517" t="s">
        <v>665</v>
      </c>
      <c r="G4517" s="10">
        <v>23</v>
      </c>
      <c r="H4517" s="10">
        <v>683</v>
      </c>
      <c r="I4517" s="10">
        <v>15709</v>
      </c>
      <c r="J4517" t="s">
        <v>37</v>
      </c>
      <c r="K4517" s="11">
        <v>648.20000000000005</v>
      </c>
      <c r="L4517" s="12">
        <v>24.23</v>
      </c>
    </row>
    <row r="4518" spans="1:12" x14ac:dyDescent="0.2">
      <c r="A4518" s="9">
        <v>46259</v>
      </c>
      <c r="B4518" t="s">
        <v>525</v>
      </c>
      <c r="C4518" t="s">
        <v>526</v>
      </c>
      <c r="D4518" t="s">
        <v>46</v>
      </c>
      <c r="E4518" t="s">
        <v>660</v>
      </c>
      <c r="F4518" t="s">
        <v>661</v>
      </c>
      <c r="G4518" s="10">
        <v>4</v>
      </c>
      <c r="H4518" s="10">
        <v>4283</v>
      </c>
      <c r="I4518" s="10">
        <v>17132</v>
      </c>
      <c r="J4518" t="s">
        <v>37</v>
      </c>
      <c r="K4518" s="11">
        <v>648.20000000000005</v>
      </c>
      <c r="L4518" s="12">
        <v>26.43</v>
      </c>
    </row>
    <row r="4519" spans="1:12" x14ac:dyDescent="0.2">
      <c r="A4519" s="9">
        <v>46259</v>
      </c>
      <c r="B4519" t="s">
        <v>528</v>
      </c>
      <c r="C4519" t="s">
        <v>529</v>
      </c>
      <c r="D4519" t="s">
        <v>46</v>
      </c>
      <c r="E4519" t="s">
        <v>653</v>
      </c>
      <c r="F4519" t="s">
        <v>666</v>
      </c>
      <c r="G4519" s="10">
        <v>118</v>
      </c>
      <c r="H4519" s="10">
        <v>1458</v>
      </c>
      <c r="I4519" s="10">
        <v>172044</v>
      </c>
      <c r="J4519" t="s">
        <v>37</v>
      </c>
      <c r="K4519" s="11">
        <v>648.20000000000005</v>
      </c>
      <c r="L4519" s="12">
        <v>265.42</v>
      </c>
    </row>
    <row r="4520" spans="1:12" x14ac:dyDescent="0.2">
      <c r="A4520" s="9">
        <v>46259</v>
      </c>
      <c r="B4520" t="s">
        <v>528</v>
      </c>
      <c r="C4520" t="s">
        <v>529</v>
      </c>
      <c r="D4520" t="s">
        <v>46</v>
      </c>
      <c r="E4520" t="s">
        <v>649</v>
      </c>
      <c r="F4520" t="s">
        <v>650</v>
      </c>
      <c r="G4520" s="10">
        <v>68</v>
      </c>
      <c r="H4520" s="10">
        <v>19781</v>
      </c>
      <c r="I4520" s="10">
        <v>1345108</v>
      </c>
      <c r="J4520" t="s">
        <v>37</v>
      </c>
      <c r="K4520" s="11">
        <v>648.20000000000005</v>
      </c>
      <c r="L4520" s="12">
        <v>2075.14</v>
      </c>
    </row>
    <row r="4521" spans="1:12" x14ac:dyDescent="0.2">
      <c r="A4521" s="9">
        <v>46259</v>
      </c>
      <c r="B4521" t="s">
        <v>528</v>
      </c>
      <c r="C4521" t="s">
        <v>529</v>
      </c>
      <c r="D4521" t="s">
        <v>46</v>
      </c>
      <c r="E4521" t="s">
        <v>655</v>
      </c>
      <c r="F4521" t="s">
        <v>662</v>
      </c>
      <c r="G4521" s="10">
        <v>257</v>
      </c>
      <c r="H4521" s="10">
        <v>1134</v>
      </c>
      <c r="I4521" s="10">
        <v>291438</v>
      </c>
      <c r="J4521" t="s">
        <v>37</v>
      </c>
      <c r="K4521" s="11">
        <v>648.20000000000005</v>
      </c>
      <c r="L4521" s="12">
        <v>449.61</v>
      </c>
    </row>
    <row r="4522" spans="1:12" x14ac:dyDescent="0.2">
      <c r="A4522" s="9">
        <v>46259</v>
      </c>
      <c r="B4522" t="s">
        <v>528</v>
      </c>
      <c r="C4522" t="s">
        <v>529</v>
      </c>
      <c r="D4522" t="s">
        <v>46</v>
      </c>
      <c r="E4522" t="s">
        <v>647</v>
      </c>
      <c r="F4522" t="s">
        <v>667</v>
      </c>
      <c r="G4522" s="10">
        <v>190</v>
      </c>
      <c r="H4522" s="10">
        <v>7612</v>
      </c>
      <c r="I4522" s="10">
        <v>1446280</v>
      </c>
      <c r="J4522" t="s">
        <v>37</v>
      </c>
      <c r="K4522" s="11">
        <v>648.20000000000005</v>
      </c>
      <c r="L4522" s="12">
        <v>2231.2199999999998</v>
      </c>
    </row>
    <row r="4523" spans="1:12" x14ac:dyDescent="0.2">
      <c r="A4523" s="9">
        <v>46259</v>
      </c>
      <c r="B4523" t="s">
        <v>534</v>
      </c>
      <c r="C4523" t="s">
        <v>535</v>
      </c>
      <c r="D4523" t="s">
        <v>36</v>
      </c>
      <c r="E4523" t="s">
        <v>653</v>
      </c>
      <c r="F4523" t="s">
        <v>654</v>
      </c>
      <c r="G4523" s="10">
        <v>3</v>
      </c>
      <c r="H4523" s="10">
        <v>5707</v>
      </c>
      <c r="I4523" s="10">
        <v>17121</v>
      </c>
      <c r="J4523" t="s">
        <v>37</v>
      </c>
      <c r="K4523" s="11">
        <v>648.20000000000005</v>
      </c>
      <c r="L4523" s="12">
        <v>26.41</v>
      </c>
    </row>
    <row r="4524" spans="1:12" x14ac:dyDescent="0.2">
      <c r="A4524" s="9">
        <v>46259</v>
      </c>
      <c r="B4524" t="s">
        <v>534</v>
      </c>
      <c r="C4524" t="s">
        <v>535</v>
      </c>
      <c r="D4524" t="s">
        <v>36</v>
      </c>
      <c r="E4524" t="s">
        <v>651</v>
      </c>
      <c r="F4524" t="s">
        <v>664</v>
      </c>
      <c r="G4524" s="10">
        <v>13</v>
      </c>
      <c r="H4524" s="10">
        <v>11551</v>
      </c>
      <c r="I4524" s="10">
        <v>150163</v>
      </c>
      <c r="J4524" t="s">
        <v>37</v>
      </c>
      <c r="K4524" s="11">
        <v>648.20000000000005</v>
      </c>
      <c r="L4524" s="12">
        <v>231.66</v>
      </c>
    </row>
    <row r="4525" spans="1:12" x14ac:dyDescent="0.2">
      <c r="A4525" s="9">
        <v>46259</v>
      </c>
      <c r="B4525" t="s">
        <v>537</v>
      </c>
      <c r="C4525" t="s">
        <v>538</v>
      </c>
      <c r="D4525" t="s">
        <v>68</v>
      </c>
      <c r="E4525" t="s">
        <v>649</v>
      </c>
      <c r="F4525" t="s">
        <v>650</v>
      </c>
      <c r="G4525" s="10">
        <v>74</v>
      </c>
      <c r="H4525" s="10">
        <v>19864</v>
      </c>
      <c r="I4525" s="10">
        <v>1469936</v>
      </c>
      <c r="J4525" t="s">
        <v>51</v>
      </c>
      <c r="K4525" s="11">
        <v>648.20000000000005</v>
      </c>
      <c r="L4525" s="12">
        <v>2267.7199999999998</v>
      </c>
    </row>
    <row r="4526" spans="1:12" x14ac:dyDescent="0.2">
      <c r="A4526" s="9">
        <v>46259</v>
      </c>
      <c r="B4526" t="s">
        <v>537</v>
      </c>
      <c r="C4526" t="s">
        <v>538</v>
      </c>
      <c r="D4526" t="s">
        <v>68</v>
      </c>
      <c r="E4526" t="s">
        <v>649</v>
      </c>
      <c r="F4526" t="s">
        <v>659</v>
      </c>
      <c r="G4526" s="10">
        <v>54</v>
      </c>
      <c r="H4526" s="10">
        <v>8983</v>
      </c>
      <c r="I4526" s="10">
        <v>485082</v>
      </c>
      <c r="J4526" t="s">
        <v>51</v>
      </c>
      <c r="K4526" s="11">
        <v>648.20000000000005</v>
      </c>
      <c r="L4526" s="12">
        <v>748.35</v>
      </c>
    </row>
    <row r="4527" spans="1:12" x14ac:dyDescent="0.2">
      <c r="A4527" s="9">
        <v>46259</v>
      </c>
      <c r="B4527" t="s">
        <v>537</v>
      </c>
      <c r="C4527" t="s">
        <v>538</v>
      </c>
      <c r="D4527" t="s">
        <v>68</v>
      </c>
      <c r="E4527" t="s">
        <v>653</v>
      </c>
      <c r="F4527" t="s">
        <v>654</v>
      </c>
      <c r="G4527" s="10">
        <v>18</v>
      </c>
      <c r="H4527" s="10">
        <v>5920</v>
      </c>
      <c r="I4527" s="10">
        <v>106560</v>
      </c>
      <c r="J4527" t="s">
        <v>51</v>
      </c>
      <c r="K4527" s="11">
        <v>648.20000000000005</v>
      </c>
      <c r="L4527" s="12">
        <v>164.39</v>
      </c>
    </row>
    <row r="4528" spans="1:12" x14ac:dyDescent="0.2">
      <c r="A4528" s="9">
        <v>46259</v>
      </c>
      <c r="B4528" t="s">
        <v>540</v>
      </c>
      <c r="C4528" t="s">
        <v>541</v>
      </c>
      <c r="D4528" t="s">
        <v>41</v>
      </c>
      <c r="E4528" t="s">
        <v>649</v>
      </c>
      <c r="F4528" t="s">
        <v>663</v>
      </c>
      <c r="G4528" s="10">
        <v>18</v>
      </c>
      <c r="H4528" s="10">
        <v>10199</v>
      </c>
      <c r="I4528" s="10">
        <v>183582</v>
      </c>
      <c r="J4528" t="s">
        <v>42</v>
      </c>
      <c r="K4528" s="11">
        <v>3145.8</v>
      </c>
      <c r="L4528" s="12">
        <v>58.36</v>
      </c>
    </row>
    <row r="4529" spans="1:12" x14ac:dyDescent="0.2">
      <c r="A4529" s="9">
        <v>46259</v>
      </c>
      <c r="B4529" t="s">
        <v>540</v>
      </c>
      <c r="C4529" t="s">
        <v>541</v>
      </c>
      <c r="D4529" t="s">
        <v>41</v>
      </c>
      <c r="E4529" t="s">
        <v>660</v>
      </c>
      <c r="F4529" t="s">
        <v>661</v>
      </c>
      <c r="G4529" s="10">
        <v>9</v>
      </c>
      <c r="H4529" s="10">
        <v>19869</v>
      </c>
      <c r="I4529" s="10">
        <v>178821</v>
      </c>
      <c r="J4529" t="s">
        <v>42</v>
      </c>
      <c r="K4529" s="11">
        <v>3145.8</v>
      </c>
      <c r="L4529" s="12">
        <v>56.84</v>
      </c>
    </row>
    <row r="4530" spans="1:12" x14ac:dyDescent="0.2">
      <c r="A4530" s="9">
        <v>46259</v>
      </c>
      <c r="B4530" t="s">
        <v>543</v>
      </c>
      <c r="C4530" t="s">
        <v>544</v>
      </c>
      <c r="D4530" t="s">
        <v>68</v>
      </c>
      <c r="E4530" t="s">
        <v>653</v>
      </c>
      <c r="F4530" t="s">
        <v>666</v>
      </c>
      <c r="G4530" s="10">
        <v>12</v>
      </c>
      <c r="H4530" s="10">
        <v>1530</v>
      </c>
      <c r="I4530" s="10">
        <v>18360</v>
      </c>
      <c r="J4530" t="s">
        <v>51</v>
      </c>
      <c r="K4530" s="11">
        <v>648.20000000000005</v>
      </c>
      <c r="L4530" s="12">
        <v>28.32</v>
      </c>
    </row>
    <row r="4531" spans="1:12" x14ac:dyDescent="0.2">
      <c r="A4531" s="9">
        <v>46259</v>
      </c>
      <c r="B4531" t="s">
        <v>543</v>
      </c>
      <c r="C4531" t="s">
        <v>544</v>
      </c>
      <c r="D4531" t="s">
        <v>68</v>
      </c>
      <c r="E4531" t="s">
        <v>653</v>
      </c>
      <c r="F4531" t="s">
        <v>666</v>
      </c>
      <c r="G4531" s="10">
        <v>16</v>
      </c>
      <c r="H4531" s="10">
        <v>1508</v>
      </c>
      <c r="I4531" s="10">
        <v>24128</v>
      </c>
      <c r="J4531" t="s">
        <v>51</v>
      </c>
      <c r="K4531" s="11">
        <v>648.20000000000005</v>
      </c>
      <c r="L4531" s="12">
        <v>37.22</v>
      </c>
    </row>
    <row r="4532" spans="1:12" x14ac:dyDescent="0.2">
      <c r="A4532" s="9">
        <v>46259</v>
      </c>
      <c r="B4532" t="s">
        <v>543</v>
      </c>
      <c r="C4532" t="s">
        <v>544</v>
      </c>
      <c r="D4532" t="s">
        <v>68</v>
      </c>
      <c r="E4532" t="s">
        <v>655</v>
      </c>
      <c r="F4532" t="s">
        <v>662</v>
      </c>
      <c r="G4532" s="10">
        <v>6</v>
      </c>
      <c r="H4532" s="10">
        <v>1168</v>
      </c>
      <c r="I4532" s="10">
        <v>7008</v>
      </c>
      <c r="J4532" t="s">
        <v>51</v>
      </c>
      <c r="K4532" s="11">
        <v>648.20000000000005</v>
      </c>
      <c r="L4532" s="12">
        <v>10.81</v>
      </c>
    </row>
    <row r="4533" spans="1:12" x14ac:dyDescent="0.2">
      <c r="A4533" s="9">
        <v>46259</v>
      </c>
      <c r="B4533" t="s">
        <v>543</v>
      </c>
      <c r="C4533" t="s">
        <v>544</v>
      </c>
      <c r="D4533" t="s">
        <v>68</v>
      </c>
      <c r="E4533" t="s">
        <v>653</v>
      </c>
      <c r="F4533" t="s">
        <v>654</v>
      </c>
      <c r="G4533" s="10">
        <v>20</v>
      </c>
      <c r="H4533" s="10">
        <v>5528</v>
      </c>
      <c r="I4533" s="10">
        <v>110560</v>
      </c>
      <c r="J4533" t="s">
        <v>51</v>
      </c>
      <c r="K4533" s="11">
        <v>648.20000000000005</v>
      </c>
      <c r="L4533" s="12">
        <v>170.56</v>
      </c>
    </row>
    <row r="4534" spans="1:12" x14ac:dyDescent="0.2">
      <c r="A4534" s="9">
        <v>46259</v>
      </c>
      <c r="B4534" t="s">
        <v>546</v>
      </c>
      <c r="C4534" t="s">
        <v>547</v>
      </c>
      <c r="D4534" t="s">
        <v>41</v>
      </c>
      <c r="E4534" t="s">
        <v>653</v>
      </c>
      <c r="F4534" t="s">
        <v>654</v>
      </c>
      <c r="G4534" s="10">
        <v>19</v>
      </c>
      <c r="H4534" s="10">
        <v>28035</v>
      </c>
      <c r="I4534" s="10">
        <v>532665</v>
      </c>
      <c r="J4534" t="s">
        <v>42</v>
      </c>
      <c r="K4534" s="11">
        <v>3145.8</v>
      </c>
      <c r="L4534" s="12">
        <v>169.33</v>
      </c>
    </row>
    <row r="4535" spans="1:12" x14ac:dyDescent="0.2">
      <c r="A4535" s="9">
        <v>46259</v>
      </c>
      <c r="B4535" t="s">
        <v>549</v>
      </c>
      <c r="C4535" t="s">
        <v>550</v>
      </c>
      <c r="D4535" t="s">
        <v>41</v>
      </c>
      <c r="E4535" t="s">
        <v>647</v>
      </c>
      <c r="F4535" t="s">
        <v>648</v>
      </c>
      <c r="G4535" s="10">
        <v>14</v>
      </c>
      <c r="H4535" s="10">
        <v>77212</v>
      </c>
      <c r="I4535" s="10">
        <v>1080968</v>
      </c>
      <c r="J4535" t="s">
        <v>42</v>
      </c>
      <c r="K4535" s="11">
        <v>3145.8</v>
      </c>
      <c r="L4535" s="12">
        <v>343.62</v>
      </c>
    </row>
    <row r="4536" spans="1:12" x14ac:dyDescent="0.2">
      <c r="A4536" s="9">
        <v>46259</v>
      </c>
      <c r="B4536" t="s">
        <v>552</v>
      </c>
      <c r="C4536" t="s">
        <v>553</v>
      </c>
      <c r="D4536" t="s">
        <v>41</v>
      </c>
      <c r="E4536" t="s">
        <v>649</v>
      </c>
      <c r="F4536" t="s">
        <v>650</v>
      </c>
      <c r="G4536" s="10">
        <v>15</v>
      </c>
      <c r="H4536" s="10">
        <v>95355</v>
      </c>
      <c r="I4536" s="10">
        <v>1430325</v>
      </c>
      <c r="J4536" t="s">
        <v>42</v>
      </c>
      <c r="K4536" s="11">
        <v>3145.8</v>
      </c>
      <c r="L4536" s="12">
        <v>454.68</v>
      </c>
    </row>
    <row r="4537" spans="1:12" x14ac:dyDescent="0.2">
      <c r="A4537" s="9">
        <v>46259</v>
      </c>
      <c r="B4537" t="s">
        <v>558</v>
      </c>
      <c r="C4537" t="s">
        <v>559</v>
      </c>
      <c r="D4537" t="s">
        <v>75</v>
      </c>
      <c r="E4537" t="s">
        <v>649</v>
      </c>
      <c r="F4537" t="s">
        <v>663</v>
      </c>
      <c r="G4537" s="10">
        <v>3</v>
      </c>
      <c r="H4537" s="10">
        <v>9536</v>
      </c>
      <c r="I4537" s="10">
        <v>28608</v>
      </c>
      <c r="J4537" t="s">
        <v>42</v>
      </c>
      <c r="K4537" s="11">
        <v>3145.8</v>
      </c>
      <c r="L4537" s="12">
        <v>9.09</v>
      </c>
    </row>
    <row r="4538" spans="1:12" x14ac:dyDescent="0.2">
      <c r="A4538" s="9">
        <v>46259</v>
      </c>
      <c r="B4538" t="s">
        <v>558</v>
      </c>
      <c r="C4538" t="s">
        <v>559</v>
      </c>
      <c r="D4538" t="s">
        <v>75</v>
      </c>
      <c r="E4538" t="s">
        <v>649</v>
      </c>
      <c r="F4538" t="s">
        <v>659</v>
      </c>
      <c r="G4538" s="10">
        <v>1</v>
      </c>
      <c r="H4538" s="10">
        <v>42003</v>
      </c>
      <c r="I4538" s="10">
        <v>42003</v>
      </c>
      <c r="J4538" t="s">
        <v>42</v>
      </c>
      <c r="K4538" s="11">
        <v>3145.8</v>
      </c>
      <c r="L4538" s="12">
        <v>13.35</v>
      </c>
    </row>
    <row r="4539" spans="1:12" x14ac:dyDescent="0.2">
      <c r="A4539" s="9">
        <v>46259</v>
      </c>
      <c r="B4539" t="s">
        <v>558</v>
      </c>
      <c r="C4539" t="s">
        <v>559</v>
      </c>
      <c r="D4539" t="s">
        <v>75</v>
      </c>
      <c r="E4539" t="s">
        <v>660</v>
      </c>
      <c r="F4539" t="s">
        <v>669</v>
      </c>
      <c r="G4539" s="10">
        <v>8</v>
      </c>
      <c r="H4539" s="10">
        <v>12146</v>
      </c>
      <c r="I4539" s="10">
        <v>97168</v>
      </c>
      <c r="J4539" t="s">
        <v>42</v>
      </c>
      <c r="K4539" s="11">
        <v>3145.8</v>
      </c>
      <c r="L4539" s="12">
        <v>30.89</v>
      </c>
    </row>
    <row r="4540" spans="1:12" x14ac:dyDescent="0.2">
      <c r="A4540" s="9">
        <v>46259</v>
      </c>
      <c r="B4540" t="s">
        <v>561</v>
      </c>
      <c r="C4540" t="s">
        <v>562</v>
      </c>
      <c r="D4540" t="s">
        <v>46</v>
      </c>
      <c r="E4540" t="s">
        <v>651</v>
      </c>
      <c r="F4540" t="s">
        <v>652</v>
      </c>
      <c r="G4540" s="10">
        <v>24</v>
      </c>
      <c r="H4540" s="10">
        <v>9608</v>
      </c>
      <c r="I4540" s="10">
        <v>230592</v>
      </c>
      <c r="J4540" t="s">
        <v>37</v>
      </c>
      <c r="K4540" s="11">
        <v>648.20000000000005</v>
      </c>
      <c r="L4540" s="12">
        <v>355.74</v>
      </c>
    </row>
    <row r="4541" spans="1:12" x14ac:dyDescent="0.2">
      <c r="A4541" s="9">
        <v>46259</v>
      </c>
      <c r="B4541" t="s">
        <v>567</v>
      </c>
      <c r="C4541" t="s">
        <v>568</v>
      </c>
      <c r="D4541" t="s">
        <v>41</v>
      </c>
      <c r="E4541" t="s">
        <v>649</v>
      </c>
      <c r="F4541" t="s">
        <v>663</v>
      </c>
      <c r="G4541" s="10">
        <v>88</v>
      </c>
      <c r="H4541" s="10">
        <v>9496</v>
      </c>
      <c r="I4541" s="10">
        <v>835648</v>
      </c>
      <c r="J4541" t="s">
        <v>42</v>
      </c>
      <c r="K4541" s="11">
        <v>3145.8</v>
      </c>
      <c r="L4541" s="12">
        <v>265.64</v>
      </c>
    </row>
    <row r="4542" spans="1:12" x14ac:dyDescent="0.2">
      <c r="A4542" s="9">
        <v>46259</v>
      </c>
      <c r="B4542" t="s">
        <v>567</v>
      </c>
      <c r="C4542" t="s">
        <v>568</v>
      </c>
      <c r="D4542" t="s">
        <v>41</v>
      </c>
      <c r="E4542" t="s">
        <v>651</v>
      </c>
      <c r="F4542" t="s">
        <v>657</v>
      </c>
      <c r="G4542" s="10">
        <v>54</v>
      </c>
      <c r="H4542" s="10">
        <v>31590</v>
      </c>
      <c r="I4542" s="10">
        <v>1705860</v>
      </c>
      <c r="J4542" t="s">
        <v>42</v>
      </c>
      <c r="K4542" s="11">
        <v>3145.8</v>
      </c>
      <c r="L4542" s="12">
        <v>542.27</v>
      </c>
    </row>
    <row r="4543" spans="1:12" x14ac:dyDescent="0.2">
      <c r="A4543" s="9">
        <v>46259</v>
      </c>
      <c r="B4543" t="s">
        <v>570</v>
      </c>
      <c r="C4543" t="s">
        <v>571</v>
      </c>
      <c r="D4543" t="s">
        <v>68</v>
      </c>
      <c r="E4543" t="s">
        <v>655</v>
      </c>
      <c r="F4543" t="s">
        <v>662</v>
      </c>
      <c r="G4543" s="10">
        <v>24</v>
      </c>
      <c r="H4543" s="10">
        <v>1117</v>
      </c>
      <c r="I4543" s="10">
        <v>26808</v>
      </c>
      <c r="J4543" t="s">
        <v>51</v>
      </c>
      <c r="K4543" s="11">
        <v>648.20000000000005</v>
      </c>
      <c r="L4543" s="12">
        <v>41.36</v>
      </c>
    </row>
    <row r="4544" spans="1:12" x14ac:dyDescent="0.2">
      <c r="A4544" s="9">
        <v>46259</v>
      </c>
      <c r="B4544" t="s">
        <v>576</v>
      </c>
      <c r="C4544" t="s">
        <v>577</v>
      </c>
      <c r="D4544" t="s">
        <v>50</v>
      </c>
      <c r="E4544" t="s">
        <v>660</v>
      </c>
      <c r="F4544" t="s">
        <v>661</v>
      </c>
      <c r="G4544" s="10">
        <v>12</v>
      </c>
      <c r="H4544" s="10">
        <v>4349</v>
      </c>
      <c r="I4544" s="10">
        <v>52188</v>
      </c>
      <c r="J4544" t="s">
        <v>51</v>
      </c>
      <c r="K4544" s="11">
        <v>648.20000000000005</v>
      </c>
      <c r="L4544" s="12">
        <v>80.510000000000005</v>
      </c>
    </row>
    <row r="4545" spans="1:12" x14ac:dyDescent="0.2">
      <c r="A4545" s="9">
        <v>46259</v>
      </c>
      <c r="B4545" t="s">
        <v>585</v>
      </c>
      <c r="C4545" t="s">
        <v>586</v>
      </c>
      <c r="D4545" t="s">
        <v>50</v>
      </c>
      <c r="E4545" t="s">
        <v>653</v>
      </c>
      <c r="F4545" t="s">
        <v>658</v>
      </c>
      <c r="G4545" s="10">
        <v>2</v>
      </c>
      <c r="H4545" s="10">
        <v>2613</v>
      </c>
      <c r="I4545" s="10">
        <v>5226</v>
      </c>
      <c r="J4545" t="s">
        <v>51</v>
      </c>
      <c r="K4545" s="11">
        <v>648.20000000000005</v>
      </c>
      <c r="L4545" s="12">
        <v>8.06</v>
      </c>
    </row>
    <row r="4546" spans="1:12" x14ac:dyDescent="0.2">
      <c r="A4546" s="9">
        <v>46259</v>
      </c>
      <c r="B4546" t="s">
        <v>585</v>
      </c>
      <c r="C4546" t="s">
        <v>586</v>
      </c>
      <c r="D4546" t="s">
        <v>50</v>
      </c>
      <c r="E4546" t="s">
        <v>655</v>
      </c>
      <c r="F4546" t="s">
        <v>662</v>
      </c>
      <c r="G4546" s="10">
        <v>4</v>
      </c>
      <c r="H4546" s="10">
        <v>1129</v>
      </c>
      <c r="I4546" s="10">
        <v>4516</v>
      </c>
      <c r="J4546" t="s">
        <v>51</v>
      </c>
      <c r="K4546" s="11">
        <v>648.20000000000005</v>
      </c>
      <c r="L4546" s="12">
        <v>6.97</v>
      </c>
    </row>
    <row r="4547" spans="1:12" x14ac:dyDescent="0.2">
      <c r="A4547" s="9">
        <v>46259</v>
      </c>
      <c r="B4547" t="s">
        <v>590</v>
      </c>
      <c r="C4547" t="s">
        <v>591</v>
      </c>
      <c r="D4547" t="s">
        <v>41</v>
      </c>
      <c r="E4547" t="s">
        <v>653</v>
      </c>
      <c r="F4547" t="s">
        <v>666</v>
      </c>
      <c r="G4547" s="10">
        <v>5</v>
      </c>
      <c r="H4547" s="10">
        <v>7041</v>
      </c>
      <c r="I4547" s="10">
        <v>35205</v>
      </c>
      <c r="J4547" t="s">
        <v>42</v>
      </c>
      <c r="K4547" s="11">
        <v>3145.8</v>
      </c>
      <c r="L4547" s="12">
        <v>11.19</v>
      </c>
    </row>
    <row r="4548" spans="1:12" x14ac:dyDescent="0.2">
      <c r="A4548" s="9">
        <v>46259</v>
      </c>
      <c r="B4548" t="s">
        <v>590</v>
      </c>
      <c r="C4548" t="s">
        <v>591</v>
      </c>
      <c r="D4548" t="s">
        <v>41</v>
      </c>
      <c r="E4548" t="s">
        <v>660</v>
      </c>
      <c r="F4548" t="s">
        <v>661</v>
      </c>
      <c r="G4548" s="10">
        <v>24</v>
      </c>
      <c r="H4548" s="10">
        <v>20385</v>
      </c>
      <c r="I4548" s="10">
        <v>489240</v>
      </c>
      <c r="J4548" t="s">
        <v>42</v>
      </c>
      <c r="K4548" s="11">
        <v>3145.8</v>
      </c>
      <c r="L4548" s="12">
        <v>155.52000000000001</v>
      </c>
    </row>
    <row r="4549" spans="1:12" x14ac:dyDescent="0.2">
      <c r="A4549" s="9">
        <v>46259</v>
      </c>
      <c r="B4549" t="s">
        <v>596</v>
      </c>
      <c r="C4549" t="s">
        <v>597</v>
      </c>
      <c r="D4549" t="s">
        <v>50</v>
      </c>
      <c r="E4549" t="s">
        <v>649</v>
      </c>
      <c r="F4549" t="s">
        <v>659</v>
      </c>
      <c r="G4549" s="10">
        <v>5</v>
      </c>
      <c r="H4549" s="10">
        <v>9018</v>
      </c>
      <c r="I4549" s="10">
        <v>45090</v>
      </c>
      <c r="J4549" t="s">
        <v>51</v>
      </c>
      <c r="K4549" s="11">
        <v>648.20000000000005</v>
      </c>
      <c r="L4549" s="12">
        <v>69.56</v>
      </c>
    </row>
    <row r="4550" spans="1:12" x14ac:dyDescent="0.2">
      <c r="A4550" s="9">
        <v>46259</v>
      </c>
      <c r="B4550" t="s">
        <v>599</v>
      </c>
      <c r="C4550" t="s">
        <v>600</v>
      </c>
      <c r="D4550" t="s">
        <v>75</v>
      </c>
      <c r="E4550" t="s">
        <v>655</v>
      </c>
      <c r="F4550" t="s">
        <v>656</v>
      </c>
      <c r="G4550" s="10">
        <v>39</v>
      </c>
      <c r="H4550" s="10">
        <v>2750</v>
      </c>
      <c r="I4550" s="10">
        <v>107250</v>
      </c>
      <c r="J4550" t="s">
        <v>42</v>
      </c>
      <c r="K4550" s="11">
        <v>3145.8</v>
      </c>
      <c r="L4550" s="12">
        <v>34.090000000000003</v>
      </c>
    </row>
    <row r="4551" spans="1:12" x14ac:dyDescent="0.2">
      <c r="A4551" s="9">
        <v>46259</v>
      </c>
      <c r="B4551" t="s">
        <v>605</v>
      </c>
      <c r="C4551" t="s">
        <v>606</v>
      </c>
      <c r="D4551" t="s">
        <v>68</v>
      </c>
      <c r="E4551" t="s">
        <v>660</v>
      </c>
      <c r="F4551" t="s">
        <v>669</v>
      </c>
      <c r="G4551" s="10">
        <v>2</v>
      </c>
      <c r="H4551" s="10">
        <v>2495</v>
      </c>
      <c r="I4551" s="10">
        <v>4990</v>
      </c>
      <c r="J4551" t="s">
        <v>51</v>
      </c>
      <c r="K4551" s="11">
        <v>648.20000000000005</v>
      </c>
      <c r="L4551" s="12">
        <v>7.7</v>
      </c>
    </row>
    <row r="4552" spans="1:12" x14ac:dyDescent="0.2">
      <c r="A4552" s="9">
        <v>46259</v>
      </c>
      <c r="B4552" t="s">
        <v>605</v>
      </c>
      <c r="C4552" t="s">
        <v>606</v>
      </c>
      <c r="D4552" t="s">
        <v>68</v>
      </c>
      <c r="E4552" t="s">
        <v>660</v>
      </c>
      <c r="F4552" t="s">
        <v>661</v>
      </c>
      <c r="G4552" s="10">
        <v>7</v>
      </c>
      <c r="H4552" s="10">
        <v>4114</v>
      </c>
      <c r="I4552" s="10">
        <v>28798</v>
      </c>
      <c r="J4552" t="s">
        <v>51</v>
      </c>
      <c r="K4552" s="11">
        <v>648.20000000000005</v>
      </c>
      <c r="L4552" s="12">
        <v>44.43</v>
      </c>
    </row>
    <row r="4553" spans="1:12" x14ac:dyDescent="0.2">
      <c r="A4553" s="9">
        <v>46259</v>
      </c>
      <c r="B4553" t="s">
        <v>605</v>
      </c>
      <c r="C4553" t="s">
        <v>606</v>
      </c>
      <c r="D4553" t="s">
        <v>68</v>
      </c>
      <c r="E4553" t="s">
        <v>647</v>
      </c>
      <c r="F4553" t="s">
        <v>648</v>
      </c>
      <c r="G4553" s="10">
        <v>9</v>
      </c>
      <c r="H4553" s="10">
        <v>15755</v>
      </c>
      <c r="I4553" s="10">
        <v>141795</v>
      </c>
      <c r="J4553" t="s">
        <v>51</v>
      </c>
      <c r="K4553" s="11">
        <v>648.20000000000005</v>
      </c>
      <c r="L4553" s="12">
        <v>218.75</v>
      </c>
    </row>
    <row r="4554" spans="1:12" x14ac:dyDescent="0.2">
      <c r="A4554" s="9">
        <v>46259</v>
      </c>
      <c r="B4554" t="s">
        <v>611</v>
      </c>
      <c r="C4554" t="s">
        <v>612</v>
      </c>
      <c r="D4554" t="s">
        <v>41</v>
      </c>
      <c r="E4554" t="s">
        <v>660</v>
      </c>
      <c r="F4554" t="s">
        <v>670</v>
      </c>
      <c r="G4554" s="10">
        <v>3</v>
      </c>
      <c r="H4554" s="10">
        <v>70686</v>
      </c>
      <c r="I4554" s="10">
        <v>212058</v>
      </c>
      <c r="J4554" t="s">
        <v>42</v>
      </c>
      <c r="K4554" s="11">
        <v>3145.8</v>
      </c>
      <c r="L4554" s="12">
        <v>67.41</v>
      </c>
    </row>
    <row r="4555" spans="1:12" x14ac:dyDescent="0.2">
      <c r="A4555" s="9">
        <v>46259</v>
      </c>
      <c r="B4555" t="s">
        <v>611</v>
      </c>
      <c r="C4555" t="s">
        <v>612</v>
      </c>
      <c r="D4555" t="s">
        <v>41</v>
      </c>
      <c r="E4555" t="s">
        <v>660</v>
      </c>
      <c r="F4555" t="s">
        <v>670</v>
      </c>
      <c r="G4555" s="10">
        <v>6</v>
      </c>
      <c r="H4555" s="10">
        <v>70297</v>
      </c>
      <c r="I4555" s="10">
        <v>421782</v>
      </c>
      <c r="J4555" t="s">
        <v>42</v>
      </c>
      <c r="K4555" s="11">
        <v>3145.8</v>
      </c>
      <c r="L4555" s="12">
        <v>134.08000000000001</v>
      </c>
    </row>
    <row r="4556" spans="1:12" x14ac:dyDescent="0.2">
      <c r="A4556" s="9">
        <v>46259</v>
      </c>
      <c r="B4556" t="s">
        <v>620</v>
      </c>
      <c r="C4556" t="s">
        <v>621</v>
      </c>
      <c r="D4556" t="s">
        <v>50</v>
      </c>
      <c r="E4556" t="s">
        <v>660</v>
      </c>
      <c r="F4556" t="s">
        <v>661</v>
      </c>
      <c r="G4556" s="10">
        <v>5</v>
      </c>
      <c r="H4556" s="10">
        <v>4313</v>
      </c>
      <c r="I4556" s="10">
        <v>21565</v>
      </c>
      <c r="J4556" t="s">
        <v>51</v>
      </c>
      <c r="K4556" s="11">
        <v>648.20000000000005</v>
      </c>
      <c r="L4556" s="12">
        <v>33.270000000000003</v>
      </c>
    </row>
    <row r="4557" spans="1:12" x14ac:dyDescent="0.2">
      <c r="A4557" s="9">
        <v>46259</v>
      </c>
      <c r="B4557" t="s">
        <v>629</v>
      </c>
      <c r="C4557" t="s">
        <v>630</v>
      </c>
      <c r="D4557" t="s">
        <v>46</v>
      </c>
      <c r="E4557" t="s">
        <v>649</v>
      </c>
      <c r="F4557" t="s">
        <v>659</v>
      </c>
      <c r="G4557" s="10">
        <v>5</v>
      </c>
      <c r="H4557" s="10">
        <v>9244</v>
      </c>
      <c r="I4557" s="10">
        <v>46220</v>
      </c>
      <c r="J4557" t="s">
        <v>37</v>
      </c>
      <c r="K4557" s="11">
        <v>648.20000000000005</v>
      </c>
      <c r="L4557" s="12">
        <v>71.31</v>
      </c>
    </row>
    <row r="4558" spans="1:12" x14ac:dyDescent="0.2">
      <c r="A4558" s="9">
        <v>46259</v>
      </c>
      <c r="B4558" t="s">
        <v>629</v>
      </c>
      <c r="C4558" t="s">
        <v>630</v>
      </c>
      <c r="D4558" t="s">
        <v>46</v>
      </c>
      <c r="E4558" t="s">
        <v>655</v>
      </c>
      <c r="F4558" t="s">
        <v>662</v>
      </c>
      <c r="G4558" s="10">
        <v>16</v>
      </c>
      <c r="H4558" s="10">
        <v>1089</v>
      </c>
      <c r="I4558" s="10">
        <v>17424</v>
      </c>
      <c r="J4558" t="s">
        <v>37</v>
      </c>
      <c r="K4558" s="11">
        <v>648.20000000000005</v>
      </c>
      <c r="L4558" s="12">
        <v>26.88</v>
      </c>
    </row>
    <row r="4559" spans="1:12" x14ac:dyDescent="0.2">
      <c r="A4559" s="9">
        <v>46259</v>
      </c>
      <c r="B4559" t="s">
        <v>632</v>
      </c>
      <c r="C4559" t="s">
        <v>633</v>
      </c>
      <c r="D4559" t="s">
        <v>68</v>
      </c>
      <c r="E4559" t="s">
        <v>653</v>
      </c>
      <c r="F4559" t="s">
        <v>666</v>
      </c>
      <c r="G4559" s="10">
        <v>8</v>
      </c>
      <c r="H4559" s="10">
        <v>1531</v>
      </c>
      <c r="I4559" s="10">
        <v>12248</v>
      </c>
      <c r="J4559" t="s">
        <v>51</v>
      </c>
      <c r="K4559" s="11">
        <v>648.20000000000005</v>
      </c>
      <c r="L4559" s="12">
        <v>18.899999999999999</v>
      </c>
    </row>
    <row r="4560" spans="1:12" x14ac:dyDescent="0.2">
      <c r="A4560" s="9">
        <v>46259</v>
      </c>
      <c r="B4560" t="s">
        <v>632</v>
      </c>
      <c r="C4560" t="s">
        <v>633</v>
      </c>
      <c r="D4560" t="s">
        <v>68</v>
      </c>
      <c r="E4560" t="s">
        <v>649</v>
      </c>
      <c r="F4560" t="s">
        <v>650</v>
      </c>
      <c r="G4560" s="10">
        <v>2</v>
      </c>
      <c r="H4560" s="10">
        <v>19541</v>
      </c>
      <c r="I4560" s="10">
        <v>39082</v>
      </c>
      <c r="J4560" t="s">
        <v>51</v>
      </c>
      <c r="K4560" s="11">
        <v>648.20000000000005</v>
      </c>
      <c r="L4560" s="12">
        <v>60.29</v>
      </c>
    </row>
    <row r="4561" spans="1:12" x14ac:dyDescent="0.2">
      <c r="A4561" s="9">
        <v>46259</v>
      </c>
      <c r="B4561" t="s">
        <v>632</v>
      </c>
      <c r="C4561" t="s">
        <v>633</v>
      </c>
      <c r="D4561" t="s">
        <v>68</v>
      </c>
      <c r="E4561" t="s">
        <v>649</v>
      </c>
      <c r="F4561" t="s">
        <v>663</v>
      </c>
      <c r="G4561" s="10">
        <v>21</v>
      </c>
      <c r="H4561" s="10">
        <v>1980</v>
      </c>
      <c r="I4561" s="10">
        <v>41580</v>
      </c>
      <c r="J4561" t="s">
        <v>51</v>
      </c>
      <c r="K4561" s="11">
        <v>648.20000000000005</v>
      </c>
      <c r="L4561" s="12">
        <v>64.150000000000006</v>
      </c>
    </row>
    <row r="4562" spans="1:12" x14ac:dyDescent="0.2">
      <c r="A4562" s="9">
        <v>46259</v>
      </c>
      <c r="B4562" t="s">
        <v>632</v>
      </c>
      <c r="C4562" t="s">
        <v>633</v>
      </c>
      <c r="D4562" t="s">
        <v>68</v>
      </c>
      <c r="E4562" t="s">
        <v>660</v>
      </c>
      <c r="F4562" t="s">
        <v>661</v>
      </c>
      <c r="G4562" s="10">
        <v>7</v>
      </c>
      <c r="H4562" s="10">
        <v>4259</v>
      </c>
      <c r="I4562" s="10">
        <v>29813</v>
      </c>
      <c r="J4562" t="s">
        <v>51</v>
      </c>
      <c r="K4562" s="11">
        <v>648.20000000000005</v>
      </c>
      <c r="L4562" s="12">
        <v>45.99</v>
      </c>
    </row>
    <row r="4563" spans="1:12" x14ac:dyDescent="0.2">
      <c r="A4563" s="9">
        <v>46260</v>
      </c>
      <c r="B4563" t="s">
        <v>34</v>
      </c>
      <c r="C4563" t="s">
        <v>35</v>
      </c>
      <c r="D4563" t="s">
        <v>36</v>
      </c>
      <c r="E4563" t="s">
        <v>660</v>
      </c>
      <c r="F4563" t="s">
        <v>661</v>
      </c>
      <c r="G4563" s="10">
        <v>47</v>
      </c>
      <c r="H4563" s="10">
        <v>4082</v>
      </c>
      <c r="I4563" s="10">
        <v>191854</v>
      </c>
      <c r="J4563" t="s">
        <v>37</v>
      </c>
      <c r="K4563" s="11">
        <v>648.20000000000005</v>
      </c>
      <c r="L4563" s="12">
        <v>295.98</v>
      </c>
    </row>
    <row r="4564" spans="1:12" x14ac:dyDescent="0.2">
      <c r="A4564" s="9">
        <v>46260</v>
      </c>
      <c r="B4564" t="s">
        <v>60</v>
      </c>
      <c r="C4564" t="s">
        <v>61</v>
      </c>
      <c r="D4564" t="s">
        <v>41</v>
      </c>
      <c r="E4564" t="s">
        <v>647</v>
      </c>
      <c r="F4564" t="s">
        <v>648</v>
      </c>
      <c r="G4564" s="10">
        <v>9</v>
      </c>
      <c r="H4564" s="10">
        <v>76996</v>
      </c>
      <c r="I4564" s="10">
        <v>692964</v>
      </c>
      <c r="J4564" t="s">
        <v>42</v>
      </c>
      <c r="K4564" s="11">
        <v>3145.8</v>
      </c>
      <c r="L4564" s="12">
        <v>220.28</v>
      </c>
    </row>
    <row r="4565" spans="1:12" x14ac:dyDescent="0.2">
      <c r="A4565" s="9">
        <v>46260</v>
      </c>
      <c r="B4565" t="s">
        <v>66</v>
      </c>
      <c r="C4565" t="s">
        <v>67</v>
      </c>
      <c r="D4565" t="s">
        <v>68</v>
      </c>
      <c r="E4565" t="s">
        <v>653</v>
      </c>
      <c r="F4565" t="s">
        <v>654</v>
      </c>
      <c r="G4565" s="10">
        <v>79</v>
      </c>
      <c r="H4565" s="10">
        <v>5506</v>
      </c>
      <c r="I4565" s="10">
        <v>434974</v>
      </c>
      <c r="J4565" t="s">
        <v>51</v>
      </c>
      <c r="K4565" s="11">
        <v>648.20000000000005</v>
      </c>
      <c r="L4565" s="12">
        <v>671.05</v>
      </c>
    </row>
    <row r="4566" spans="1:12" x14ac:dyDescent="0.2">
      <c r="A4566" s="9">
        <v>46260</v>
      </c>
      <c r="B4566" t="s">
        <v>73</v>
      </c>
      <c r="C4566" t="s">
        <v>74</v>
      </c>
      <c r="D4566" t="s">
        <v>75</v>
      </c>
      <c r="E4566" t="s">
        <v>649</v>
      </c>
      <c r="F4566" t="s">
        <v>663</v>
      </c>
      <c r="G4566" s="10">
        <v>34</v>
      </c>
      <c r="H4566" s="10">
        <v>10078</v>
      </c>
      <c r="I4566" s="10">
        <v>342652</v>
      </c>
      <c r="J4566" t="s">
        <v>42</v>
      </c>
      <c r="K4566" s="11">
        <v>3145.8</v>
      </c>
      <c r="L4566" s="12">
        <v>108.92</v>
      </c>
    </row>
    <row r="4567" spans="1:12" x14ac:dyDescent="0.2">
      <c r="A4567" s="9">
        <v>46260</v>
      </c>
      <c r="B4567" t="s">
        <v>73</v>
      </c>
      <c r="C4567" t="s">
        <v>74</v>
      </c>
      <c r="D4567" t="s">
        <v>75</v>
      </c>
      <c r="E4567" t="s">
        <v>660</v>
      </c>
      <c r="F4567" t="s">
        <v>661</v>
      </c>
      <c r="G4567" s="10">
        <v>20</v>
      </c>
      <c r="H4567" s="10">
        <v>20194</v>
      </c>
      <c r="I4567" s="10">
        <v>403880</v>
      </c>
      <c r="J4567" t="s">
        <v>42</v>
      </c>
      <c r="K4567" s="11">
        <v>3145.8</v>
      </c>
      <c r="L4567" s="12">
        <v>128.38999999999999</v>
      </c>
    </row>
    <row r="4568" spans="1:12" x14ac:dyDescent="0.2">
      <c r="A4568" s="9">
        <v>46260</v>
      </c>
      <c r="B4568" t="s">
        <v>83</v>
      </c>
      <c r="C4568" t="s">
        <v>84</v>
      </c>
      <c r="D4568" t="s">
        <v>41</v>
      </c>
      <c r="E4568" t="s">
        <v>647</v>
      </c>
      <c r="F4568" t="s">
        <v>648</v>
      </c>
      <c r="G4568" s="10">
        <v>5</v>
      </c>
      <c r="H4568" s="10">
        <v>78849</v>
      </c>
      <c r="I4568" s="10">
        <v>394245</v>
      </c>
      <c r="J4568" t="s">
        <v>42</v>
      </c>
      <c r="K4568" s="11">
        <v>3145.8</v>
      </c>
      <c r="L4568" s="12">
        <v>125.32</v>
      </c>
    </row>
    <row r="4569" spans="1:12" x14ac:dyDescent="0.2">
      <c r="A4569" s="9">
        <v>46260</v>
      </c>
      <c r="B4569" t="s">
        <v>86</v>
      </c>
      <c r="C4569" t="s">
        <v>87</v>
      </c>
      <c r="D4569" t="s">
        <v>50</v>
      </c>
      <c r="E4569" t="s">
        <v>653</v>
      </c>
      <c r="F4569" t="s">
        <v>666</v>
      </c>
      <c r="G4569" s="10">
        <v>6</v>
      </c>
      <c r="H4569" s="10">
        <v>1529</v>
      </c>
      <c r="I4569" s="10">
        <v>9174</v>
      </c>
      <c r="J4569" t="s">
        <v>51</v>
      </c>
      <c r="K4569" s="11">
        <v>648.20000000000005</v>
      </c>
      <c r="L4569" s="12">
        <v>14.15</v>
      </c>
    </row>
    <row r="4570" spans="1:12" x14ac:dyDescent="0.2">
      <c r="A4570" s="9">
        <v>46260</v>
      </c>
      <c r="B4570" t="s">
        <v>86</v>
      </c>
      <c r="C4570" t="s">
        <v>87</v>
      </c>
      <c r="D4570" t="s">
        <v>50</v>
      </c>
      <c r="E4570" t="s">
        <v>660</v>
      </c>
      <c r="F4570" t="s">
        <v>670</v>
      </c>
      <c r="G4570" s="10">
        <v>7</v>
      </c>
      <c r="H4570" s="10">
        <v>14006</v>
      </c>
      <c r="I4570" s="10">
        <v>98042</v>
      </c>
      <c r="J4570" t="s">
        <v>51</v>
      </c>
      <c r="K4570" s="11">
        <v>648.20000000000005</v>
      </c>
      <c r="L4570" s="12">
        <v>151.25</v>
      </c>
    </row>
    <row r="4571" spans="1:12" x14ac:dyDescent="0.2">
      <c r="A4571" s="9">
        <v>46260</v>
      </c>
      <c r="B4571" t="s">
        <v>86</v>
      </c>
      <c r="C4571" t="s">
        <v>87</v>
      </c>
      <c r="D4571" t="s">
        <v>50</v>
      </c>
      <c r="E4571" t="s">
        <v>647</v>
      </c>
      <c r="F4571" t="s">
        <v>668</v>
      </c>
      <c r="G4571" s="10">
        <v>26</v>
      </c>
      <c r="H4571" s="10">
        <v>25648</v>
      </c>
      <c r="I4571" s="10">
        <v>666848</v>
      </c>
      <c r="J4571" t="s">
        <v>51</v>
      </c>
      <c r="K4571" s="11">
        <v>648.20000000000005</v>
      </c>
      <c r="L4571" s="12">
        <v>1028.77</v>
      </c>
    </row>
    <row r="4572" spans="1:12" x14ac:dyDescent="0.2">
      <c r="A4572" s="9">
        <v>46260</v>
      </c>
      <c r="B4572" t="s">
        <v>86</v>
      </c>
      <c r="C4572" t="s">
        <v>87</v>
      </c>
      <c r="D4572" t="s">
        <v>50</v>
      </c>
      <c r="E4572" t="s">
        <v>651</v>
      </c>
      <c r="F4572" t="s">
        <v>664</v>
      </c>
      <c r="G4572" s="10">
        <v>16</v>
      </c>
      <c r="H4572" s="10">
        <v>11779</v>
      </c>
      <c r="I4572" s="10">
        <v>188464</v>
      </c>
      <c r="J4572" t="s">
        <v>51</v>
      </c>
      <c r="K4572" s="11">
        <v>648.20000000000005</v>
      </c>
      <c r="L4572" s="12">
        <v>290.75</v>
      </c>
    </row>
    <row r="4573" spans="1:12" x14ac:dyDescent="0.2">
      <c r="A4573" s="9">
        <v>46260</v>
      </c>
      <c r="B4573" t="s">
        <v>99</v>
      </c>
      <c r="C4573" t="s">
        <v>100</v>
      </c>
      <c r="D4573" t="s">
        <v>75</v>
      </c>
      <c r="E4573" t="s">
        <v>649</v>
      </c>
      <c r="F4573" t="s">
        <v>663</v>
      </c>
      <c r="G4573" s="10">
        <v>6</v>
      </c>
      <c r="H4573" s="10">
        <v>9509</v>
      </c>
      <c r="I4573" s="10">
        <v>57054</v>
      </c>
      <c r="J4573" t="s">
        <v>42</v>
      </c>
      <c r="K4573" s="11">
        <v>3145.8</v>
      </c>
      <c r="L4573" s="12">
        <v>18.14</v>
      </c>
    </row>
    <row r="4574" spans="1:12" x14ac:dyDescent="0.2">
      <c r="A4574" s="9">
        <v>46260</v>
      </c>
      <c r="B4574" t="s">
        <v>102</v>
      </c>
      <c r="C4574" t="s">
        <v>103</v>
      </c>
      <c r="D4574" t="s">
        <v>41</v>
      </c>
      <c r="E4574" t="s">
        <v>647</v>
      </c>
      <c r="F4574" t="s">
        <v>667</v>
      </c>
      <c r="G4574" s="10">
        <v>8</v>
      </c>
      <c r="H4574" s="10">
        <v>35915</v>
      </c>
      <c r="I4574" s="10">
        <v>287320</v>
      </c>
      <c r="J4574" t="s">
        <v>42</v>
      </c>
      <c r="K4574" s="11">
        <v>3145.8</v>
      </c>
      <c r="L4574" s="12">
        <v>91.33</v>
      </c>
    </row>
    <row r="4575" spans="1:12" x14ac:dyDescent="0.2">
      <c r="A4575" s="9">
        <v>46260</v>
      </c>
      <c r="B4575" t="s">
        <v>108</v>
      </c>
      <c r="C4575" t="s">
        <v>109</v>
      </c>
      <c r="D4575" t="s">
        <v>36</v>
      </c>
      <c r="E4575" t="s">
        <v>647</v>
      </c>
      <c r="F4575" t="s">
        <v>667</v>
      </c>
      <c r="G4575" s="10">
        <v>9</v>
      </c>
      <c r="H4575" s="10">
        <v>7246</v>
      </c>
      <c r="I4575" s="10">
        <v>65214</v>
      </c>
      <c r="J4575" t="s">
        <v>37</v>
      </c>
      <c r="K4575" s="11">
        <v>648.20000000000005</v>
      </c>
      <c r="L4575" s="12">
        <v>100.61</v>
      </c>
    </row>
    <row r="4576" spans="1:12" x14ac:dyDescent="0.2">
      <c r="A4576" s="9">
        <v>46260</v>
      </c>
      <c r="B4576" t="s">
        <v>115</v>
      </c>
      <c r="C4576" t="s">
        <v>116</v>
      </c>
      <c r="D4576" t="s">
        <v>41</v>
      </c>
      <c r="E4576" t="s">
        <v>647</v>
      </c>
      <c r="F4576" t="s">
        <v>667</v>
      </c>
      <c r="G4576" s="10">
        <v>86</v>
      </c>
      <c r="H4576" s="10">
        <v>35241</v>
      </c>
      <c r="I4576" s="10">
        <v>3030726</v>
      </c>
      <c r="J4576" t="s">
        <v>42</v>
      </c>
      <c r="K4576" s="11">
        <v>3145.8</v>
      </c>
      <c r="L4576" s="12">
        <v>963.42</v>
      </c>
    </row>
    <row r="4577" spans="1:12" x14ac:dyDescent="0.2">
      <c r="A4577" s="9">
        <v>46260</v>
      </c>
      <c r="B4577" t="s">
        <v>121</v>
      </c>
      <c r="C4577" t="s">
        <v>122</v>
      </c>
      <c r="D4577" t="s">
        <v>75</v>
      </c>
      <c r="E4577" t="s">
        <v>649</v>
      </c>
      <c r="F4577" t="s">
        <v>659</v>
      </c>
      <c r="G4577" s="10">
        <v>13</v>
      </c>
      <c r="H4577" s="10">
        <v>41530</v>
      </c>
      <c r="I4577" s="10">
        <v>539890</v>
      </c>
      <c r="J4577" t="s">
        <v>42</v>
      </c>
      <c r="K4577" s="11">
        <v>3145.8</v>
      </c>
      <c r="L4577" s="12">
        <v>171.62</v>
      </c>
    </row>
    <row r="4578" spans="1:12" x14ac:dyDescent="0.2">
      <c r="A4578" s="9">
        <v>46260</v>
      </c>
      <c r="B4578" t="s">
        <v>124</v>
      </c>
      <c r="C4578" t="s">
        <v>125</v>
      </c>
      <c r="D4578" t="s">
        <v>75</v>
      </c>
      <c r="E4578" t="s">
        <v>647</v>
      </c>
      <c r="F4578" t="s">
        <v>668</v>
      </c>
      <c r="G4578" s="10">
        <v>14</v>
      </c>
      <c r="H4578" s="10">
        <v>118202</v>
      </c>
      <c r="I4578" s="10">
        <v>1654828</v>
      </c>
      <c r="J4578" t="s">
        <v>42</v>
      </c>
      <c r="K4578" s="11">
        <v>3145.8</v>
      </c>
      <c r="L4578" s="12">
        <v>526.04</v>
      </c>
    </row>
    <row r="4579" spans="1:12" x14ac:dyDescent="0.2">
      <c r="A4579" s="9">
        <v>46260</v>
      </c>
      <c r="B4579" t="s">
        <v>136</v>
      </c>
      <c r="C4579" t="s">
        <v>137</v>
      </c>
      <c r="D4579" t="s">
        <v>41</v>
      </c>
      <c r="E4579" t="s">
        <v>647</v>
      </c>
      <c r="F4579" t="s">
        <v>648</v>
      </c>
      <c r="G4579" s="10">
        <v>35</v>
      </c>
      <c r="H4579" s="10">
        <v>79340</v>
      </c>
      <c r="I4579" s="10">
        <v>2776900</v>
      </c>
      <c r="J4579" t="s">
        <v>42</v>
      </c>
      <c r="K4579" s="11">
        <v>3145.8</v>
      </c>
      <c r="L4579" s="12">
        <v>882.73</v>
      </c>
    </row>
    <row r="4580" spans="1:12" x14ac:dyDescent="0.2">
      <c r="A4580" s="9">
        <v>46260</v>
      </c>
      <c r="B4580" t="s">
        <v>136</v>
      </c>
      <c r="C4580" t="s">
        <v>137</v>
      </c>
      <c r="D4580" t="s">
        <v>41</v>
      </c>
      <c r="E4580" t="s">
        <v>655</v>
      </c>
      <c r="F4580" t="s">
        <v>665</v>
      </c>
      <c r="G4580" s="10">
        <v>11</v>
      </c>
      <c r="H4580" s="10">
        <v>3405</v>
      </c>
      <c r="I4580" s="10">
        <v>37455</v>
      </c>
      <c r="J4580" t="s">
        <v>42</v>
      </c>
      <c r="K4580" s="11">
        <v>3145.8</v>
      </c>
      <c r="L4580" s="12">
        <v>11.91</v>
      </c>
    </row>
    <row r="4581" spans="1:12" x14ac:dyDescent="0.2">
      <c r="A4581" s="9">
        <v>46260</v>
      </c>
      <c r="B4581" t="s">
        <v>142</v>
      </c>
      <c r="C4581" t="s">
        <v>143</v>
      </c>
      <c r="D4581" t="s">
        <v>75</v>
      </c>
      <c r="E4581" t="s">
        <v>649</v>
      </c>
      <c r="F4581" t="s">
        <v>659</v>
      </c>
      <c r="G4581" s="10">
        <v>25</v>
      </c>
      <c r="H4581" s="10">
        <v>43166</v>
      </c>
      <c r="I4581" s="10">
        <v>1079150</v>
      </c>
      <c r="J4581" t="s">
        <v>42</v>
      </c>
      <c r="K4581" s="11">
        <v>3145.8</v>
      </c>
      <c r="L4581" s="12">
        <v>343.04</v>
      </c>
    </row>
    <row r="4582" spans="1:12" x14ac:dyDescent="0.2">
      <c r="A4582" s="9">
        <v>46260</v>
      </c>
      <c r="B4582" t="s">
        <v>145</v>
      </c>
      <c r="C4582" t="s">
        <v>146</v>
      </c>
      <c r="D4582" t="s">
        <v>68</v>
      </c>
      <c r="E4582" t="s">
        <v>655</v>
      </c>
      <c r="F4582" t="s">
        <v>662</v>
      </c>
      <c r="G4582" s="10">
        <v>4</v>
      </c>
      <c r="H4582" s="10">
        <v>1157</v>
      </c>
      <c r="I4582" s="10">
        <v>4628</v>
      </c>
      <c r="J4582" t="s">
        <v>51</v>
      </c>
      <c r="K4582" s="11">
        <v>648.20000000000005</v>
      </c>
      <c r="L4582" s="12">
        <v>7.14</v>
      </c>
    </row>
    <row r="4583" spans="1:12" x14ac:dyDescent="0.2">
      <c r="A4583" s="9">
        <v>46260</v>
      </c>
      <c r="B4583" t="s">
        <v>145</v>
      </c>
      <c r="C4583" t="s">
        <v>146</v>
      </c>
      <c r="D4583" t="s">
        <v>68</v>
      </c>
      <c r="E4583" t="s">
        <v>651</v>
      </c>
      <c r="F4583" t="s">
        <v>664</v>
      </c>
      <c r="G4583" s="10">
        <v>13</v>
      </c>
      <c r="H4583" s="10">
        <v>11646</v>
      </c>
      <c r="I4583" s="10">
        <v>151398</v>
      </c>
      <c r="J4583" t="s">
        <v>51</v>
      </c>
      <c r="K4583" s="11">
        <v>648.20000000000005</v>
      </c>
      <c r="L4583" s="12">
        <v>233.57</v>
      </c>
    </row>
    <row r="4584" spans="1:12" x14ac:dyDescent="0.2">
      <c r="A4584" s="9">
        <v>46260</v>
      </c>
      <c r="B4584" t="s">
        <v>149</v>
      </c>
      <c r="C4584" t="s">
        <v>150</v>
      </c>
      <c r="D4584" t="s">
        <v>50</v>
      </c>
      <c r="E4584" t="s">
        <v>653</v>
      </c>
      <c r="F4584" t="s">
        <v>658</v>
      </c>
      <c r="G4584" s="10">
        <v>2</v>
      </c>
      <c r="H4584" s="10">
        <v>2651</v>
      </c>
      <c r="I4584" s="10">
        <v>5302</v>
      </c>
      <c r="J4584" t="s">
        <v>51</v>
      </c>
      <c r="K4584" s="11">
        <v>648.20000000000005</v>
      </c>
      <c r="L4584" s="12">
        <v>8.18</v>
      </c>
    </row>
    <row r="4585" spans="1:12" x14ac:dyDescent="0.2">
      <c r="A4585" s="9">
        <v>46260</v>
      </c>
      <c r="B4585" t="s">
        <v>149</v>
      </c>
      <c r="C4585" t="s">
        <v>150</v>
      </c>
      <c r="D4585" t="s">
        <v>50</v>
      </c>
      <c r="E4585" t="s">
        <v>660</v>
      </c>
      <c r="F4585" t="s">
        <v>661</v>
      </c>
      <c r="G4585" s="10">
        <v>6</v>
      </c>
      <c r="H4585" s="10">
        <v>4216</v>
      </c>
      <c r="I4585" s="10">
        <v>25296</v>
      </c>
      <c r="J4585" t="s">
        <v>51</v>
      </c>
      <c r="K4585" s="11">
        <v>648.20000000000005</v>
      </c>
      <c r="L4585" s="12">
        <v>39.020000000000003</v>
      </c>
    </row>
    <row r="4586" spans="1:12" x14ac:dyDescent="0.2">
      <c r="A4586" s="9">
        <v>46260</v>
      </c>
      <c r="B4586" t="s">
        <v>155</v>
      </c>
      <c r="C4586" t="s">
        <v>156</v>
      </c>
      <c r="D4586" t="s">
        <v>46</v>
      </c>
      <c r="E4586" t="s">
        <v>660</v>
      </c>
      <c r="F4586" t="s">
        <v>670</v>
      </c>
      <c r="G4586" s="10">
        <v>11</v>
      </c>
      <c r="H4586" s="10">
        <v>14879</v>
      </c>
      <c r="I4586" s="10">
        <v>163669</v>
      </c>
      <c r="J4586" t="s">
        <v>37</v>
      </c>
      <c r="K4586" s="11">
        <v>648.20000000000005</v>
      </c>
      <c r="L4586" s="12">
        <v>252.5</v>
      </c>
    </row>
    <row r="4587" spans="1:12" x14ac:dyDescent="0.2">
      <c r="A4587" s="9">
        <v>46260</v>
      </c>
      <c r="B4587" t="s">
        <v>163</v>
      </c>
      <c r="C4587" t="s">
        <v>164</v>
      </c>
      <c r="D4587" t="s">
        <v>41</v>
      </c>
      <c r="E4587" t="s">
        <v>660</v>
      </c>
      <c r="F4587" t="s">
        <v>670</v>
      </c>
      <c r="G4587" s="10">
        <v>5</v>
      </c>
      <c r="H4587" s="10">
        <v>69568</v>
      </c>
      <c r="I4587" s="10">
        <v>347840</v>
      </c>
      <c r="J4587" t="s">
        <v>42</v>
      </c>
      <c r="K4587" s="11">
        <v>3145.8</v>
      </c>
      <c r="L4587" s="12">
        <v>110.57</v>
      </c>
    </row>
    <row r="4588" spans="1:12" x14ac:dyDescent="0.2">
      <c r="A4588" s="9">
        <v>46260</v>
      </c>
      <c r="B4588" t="s">
        <v>169</v>
      </c>
      <c r="C4588" t="s">
        <v>170</v>
      </c>
      <c r="D4588" t="s">
        <v>41</v>
      </c>
      <c r="E4588" t="s">
        <v>649</v>
      </c>
      <c r="F4588" t="s">
        <v>663</v>
      </c>
      <c r="G4588" s="10">
        <v>50</v>
      </c>
      <c r="H4588" s="10">
        <v>10033</v>
      </c>
      <c r="I4588" s="10">
        <v>501650</v>
      </c>
      <c r="J4588" t="s">
        <v>42</v>
      </c>
      <c r="K4588" s="11">
        <v>3145.8</v>
      </c>
      <c r="L4588" s="12">
        <v>159.47</v>
      </c>
    </row>
    <row r="4589" spans="1:12" x14ac:dyDescent="0.2">
      <c r="A4589" s="9">
        <v>46260</v>
      </c>
      <c r="B4589" t="s">
        <v>169</v>
      </c>
      <c r="C4589" t="s">
        <v>170</v>
      </c>
      <c r="D4589" t="s">
        <v>41</v>
      </c>
      <c r="E4589" t="s">
        <v>660</v>
      </c>
      <c r="F4589" t="s">
        <v>670</v>
      </c>
      <c r="G4589" s="10">
        <v>33</v>
      </c>
      <c r="H4589" s="10">
        <v>70424</v>
      </c>
      <c r="I4589" s="10">
        <v>2323992</v>
      </c>
      <c r="J4589" t="s">
        <v>42</v>
      </c>
      <c r="K4589" s="11">
        <v>3145.8</v>
      </c>
      <c r="L4589" s="12">
        <v>738.76</v>
      </c>
    </row>
    <row r="4590" spans="1:12" x14ac:dyDescent="0.2">
      <c r="A4590" s="9">
        <v>46260</v>
      </c>
      <c r="B4590" t="s">
        <v>178</v>
      </c>
      <c r="C4590" t="s">
        <v>179</v>
      </c>
      <c r="D4590" t="s">
        <v>50</v>
      </c>
      <c r="E4590" t="s">
        <v>655</v>
      </c>
      <c r="F4590" t="s">
        <v>665</v>
      </c>
      <c r="G4590" s="10">
        <v>7</v>
      </c>
      <c r="H4590" s="10">
        <v>665</v>
      </c>
      <c r="I4590" s="10">
        <v>4655</v>
      </c>
      <c r="J4590" t="s">
        <v>51</v>
      </c>
      <c r="K4590" s="11">
        <v>648.20000000000005</v>
      </c>
      <c r="L4590" s="12">
        <v>7.18</v>
      </c>
    </row>
    <row r="4591" spans="1:12" x14ac:dyDescent="0.2">
      <c r="A4591" s="9">
        <v>46260</v>
      </c>
      <c r="B4591" t="s">
        <v>193</v>
      </c>
      <c r="C4591" t="s">
        <v>194</v>
      </c>
      <c r="D4591" t="s">
        <v>68</v>
      </c>
      <c r="E4591" t="s">
        <v>647</v>
      </c>
      <c r="F4591" t="s">
        <v>667</v>
      </c>
      <c r="G4591" s="10">
        <v>8</v>
      </c>
      <c r="H4591" s="10">
        <v>7578</v>
      </c>
      <c r="I4591" s="10">
        <v>60624</v>
      </c>
      <c r="J4591" t="s">
        <v>51</v>
      </c>
      <c r="K4591" s="11">
        <v>648.20000000000005</v>
      </c>
      <c r="L4591" s="12">
        <v>93.53</v>
      </c>
    </row>
    <row r="4592" spans="1:12" x14ac:dyDescent="0.2">
      <c r="A4592" s="9">
        <v>46260</v>
      </c>
      <c r="B4592" t="s">
        <v>196</v>
      </c>
      <c r="C4592" t="s">
        <v>197</v>
      </c>
      <c r="D4592" t="s">
        <v>46</v>
      </c>
      <c r="E4592" t="s">
        <v>649</v>
      </c>
      <c r="F4592" t="s">
        <v>659</v>
      </c>
      <c r="G4592" s="10">
        <v>63</v>
      </c>
      <c r="H4592" s="10">
        <v>8965</v>
      </c>
      <c r="I4592" s="10">
        <v>564795</v>
      </c>
      <c r="J4592" t="s">
        <v>37</v>
      </c>
      <c r="K4592" s="11">
        <v>648.20000000000005</v>
      </c>
      <c r="L4592" s="12">
        <v>871.33</v>
      </c>
    </row>
    <row r="4593" spans="1:12" x14ac:dyDescent="0.2">
      <c r="A4593" s="9">
        <v>46260</v>
      </c>
      <c r="B4593" t="s">
        <v>199</v>
      </c>
      <c r="C4593" t="s">
        <v>200</v>
      </c>
      <c r="D4593" t="s">
        <v>46</v>
      </c>
      <c r="E4593" t="s">
        <v>649</v>
      </c>
      <c r="F4593" t="s">
        <v>663</v>
      </c>
      <c r="G4593" s="10">
        <v>81</v>
      </c>
      <c r="H4593" s="10">
        <v>2107</v>
      </c>
      <c r="I4593" s="10">
        <v>170667</v>
      </c>
      <c r="J4593" t="s">
        <v>37</v>
      </c>
      <c r="K4593" s="11">
        <v>648.20000000000005</v>
      </c>
      <c r="L4593" s="12">
        <v>263.29000000000002</v>
      </c>
    </row>
    <row r="4594" spans="1:12" x14ac:dyDescent="0.2">
      <c r="A4594" s="9">
        <v>46260</v>
      </c>
      <c r="B4594" t="s">
        <v>199</v>
      </c>
      <c r="C4594" t="s">
        <v>200</v>
      </c>
      <c r="D4594" t="s">
        <v>46</v>
      </c>
      <c r="E4594" t="s">
        <v>649</v>
      </c>
      <c r="F4594" t="s">
        <v>663</v>
      </c>
      <c r="G4594" s="10">
        <v>63</v>
      </c>
      <c r="H4594" s="10">
        <v>2054</v>
      </c>
      <c r="I4594" s="10">
        <v>129402</v>
      </c>
      <c r="J4594" t="s">
        <v>37</v>
      </c>
      <c r="K4594" s="11">
        <v>648.20000000000005</v>
      </c>
      <c r="L4594" s="12">
        <v>199.63</v>
      </c>
    </row>
    <row r="4595" spans="1:12" x14ac:dyDescent="0.2">
      <c r="A4595" s="9">
        <v>46260</v>
      </c>
      <c r="B4595" t="s">
        <v>199</v>
      </c>
      <c r="C4595" t="s">
        <v>200</v>
      </c>
      <c r="D4595" t="s">
        <v>46</v>
      </c>
      <c r="E4595" t="s">
        <v>649</v>
      </c>
      <c r="F4595" t="s">
        <v>659</v>
      </c>
      <c r="G4595" s="10">
        <v>50</v>
      </c>
      <c r="H4595" s="10">
        <v>9198</v>
      </c>
      <c r="I4595" s="10">
        <v>459900</v>
      </c>
      <c r="J4595" t="s">
        <v>37</v>
      </c>
      <c r="K4595" s="11">
        <v>648.20000000000005</v>
      </c>
      <c r="L4595" s="12">
        <v>709.5</v>
      </c>
    </row>
    <row r="4596" spans="1:12" x14ac:dyDescent="0.2">
      <c r="A4596" s="9">
        <v>46260</v>
      </c>
      <c r="B4596" t="s">
        <v>199</v>
      </c>
      <c r="C4596" t="s">
        <v>200</v>
      </c>
      <c r="D4596" t="s">
        <v>46</v>
      </c>
      <c r="E4596" t="s">
        <v>647</v>
      </c>
      <c r="F4596" t="s">
        <v>648</v>
      </c>
      <c r="G4596" s="10">
        <v>11</v>
      </c>
      <c r="H4596" s="10">
        <v>15886</v>
      </c>
      <c r="I4596" s="10">
        <v>174746</v>
      </c>
      <c r="J4596" t="s">
        <v>37</v>
      </c>
      <c r="K4596" s="11">
        <v>648.20000000000005</v>
      </c>
      <c r="L4596" s="12">
        <v>269.58999999999997</v>
      </c>
    </row>
    <row r="4597" spans="1:12" x14ac:dyDescent="0.2">
      <c r="A4597" s="9">
        <v>46260</v>
      </c>
      <c r="B4597" t="s">
        <v>202</v>
      </c>
      <c r="C4597" t="s">
        <v>203</v>
      </c>
      <c r="D4597" t="s">
        <v>68</v>
      </c>
      <c r="E4597" t="s">
        <v>647</v>
      </c>
      <c r="F4597" t="s">
        <v>668</v>
      </c>
      <c r="G4597" s="10">
        <v>3</v>
      </c>
      <c r="H4597" s="10">
        <v>25681</v>
      </c>
      <c r="I4597" s="10">
        <v>77043</v>
      </c>
      <c r="J4597" t="s">
        <v>51</v>
      </c>
      <c r="K4597" s="11">
        <v>648.20000000000005</v>
      </c>
      <c r="L4597" s="12">
        <v>118.86</v>
      </c>
    </row>
    <row r="4598" spans="1:12" x14ac:dyDescent="0.2">
      <c r="A4598" s="9">
        <v>46260</v>
      </c>
      <c r="B4598" t="s">
        <v>202</v>
      </c>
      <c r="C4598" t="s">
        <v>203</v>
      </c>
      <c r="D4598" t="s">
        <v>68</v>
      </c>
      <c r="E4598" t="s">
        <v>655</v>
      </c>
      <c r="F4598" t="s">
        <v>665</v>
      </c>
      <c r="G4598" s="10">
        <v>19</v>
      </c>
      <c r="H4598" s="10">
        <v>703</v>
      </c>
      <c r="I4598" s="10">
        <v>13357</v>
      </c>
      <c r="J4598" t="s">
        <v>51</v>
      </c>
      <c r="K4598" s="11">
        <v>648.20000000000005</v>
      </c>
      <c r="L4598" s="12">
        <v>20.61</v>
      </c>
    </row>
    <row r="4599" spans="1:12" x14ac:dyDescent="0.2">
      <c r="A4599" s="9">
        <v>46260</v>
      </c>
      <c r="B4599" t="s">
        <v>205</v>
      </c>
      <c r="C4599" t="s">
        <v>206</v>
      </c>
      <c r="D4599" t="s">
        <v>50</v>
      </c>
      <c r="E4599" t="s">
        <v>647</v>
      </c>
      <c r="F4599" t="s">
        <v>648</v>
      </c>
      <c r="G4599" s="10">
        <v>4</v>
      </c>
      <c r="H4599" s="10">
        <v>15893</v>
      </c>
      <c r="I4599" s="10">
        <v>63572</v>
      </c>
      <c r="J4599" t="s">
        <v>51</v>
      </c>
      <c r="K4599" s="11">
        <v>648.20000000000005</v>
      </c>
      <c r="L4599" s="12">
        <v>98.07</v>
      </c>
    </row>
    <row r="4600" spans="1:12" x14ac:dyDescent="0.2">
      <c r="A4600" s="9">
        <v>46260</v>
      </c>
      <c r="B4600" t="s">
        <v>205</v>
      </c>
      <c r="C4600" t="s">
        <v>206</v>
      </c>
      <c r="D4600" t="s">
        <v>50</v>
      </c>
      <c r="E4600" t="s">
        <v>647</v>
      </c>
      <c r="F4600" t="s">
        <v>667</v>
      </c>
      <c r="G4600" s="10">
        <v>2</v>
      </c>
      <c r="H4600" s="10">
        <v>7358</v>
      </c>
      <c r="I4600" s="10">
        <v>14716</v>
      </c>
      <c r="J4600" t="s">
        <v>51</v>
      </c>
      <c r="K4600" s="11">
        <v>648.20000000000005</v>
      </c>
      <c r="L4600" s="12">
        <v>22.7</v>
      </c>
    </row>
    <row r="4601" spans="1:12" x14ac:dyDescent="0.2">
      <c r="A4601" s="9">
        <v>46260</v>
      </c>
      <c r="B4601" t="s">
        <v>211</v>
      </c>
      <c r="C4601" t="s">
        <v>212</v>
      </c>
      <c r="D4601" t="s">
        <v>46</v>
      </c>
      <c r="E4601" t="s">
        <v>653</v>
      </c>
      <c r="F4601" t="s">
        <v>654</v>
      </c>
      <c r="G4601" s="10">
        <v>4</v>
      </c>
      <c r="H4601" s="10">
        <v>5564</v>
      </c>
      <c r="I4601" s="10">
        <v>22256</v>
      </c>
      <c r="J4601" t="s">
        <v>37</v>
      </c>
      <c r="K4601" s="11">
        <v>648.20000000000005</v>
      </c>
      <c r="L4601" s="12">
        <v>34.340000000000003</v>
      </c>
    </row>
    <row r="4602" spans="1:12" x14ac:dyDescent="0.2">
      <c r="A4602" s="9">
        <v>46260</v>
      </c>
      <c r="B4602" t="s">
        <v>214</v>
      </c>
      <c r="C4602" t="s">
        <v>215</v>
      </c>
      <c r="D4602" t="s">
        <v>46</v>
      </c>
      <c r="E4602" t="s">
        <v>660</v>
      </c>
      <c r="F4602" t="s">
        <v>669</v>
      </c>
      <c r="G4602" s="10">
        <v>6</v>
      </c>
      <c r="H4602" s="10">
        <v>2591</v>
      </c>
      <c r="I4602" s="10">
        <v>15546</v>
      </c>
      <c r="J4602" t="s">
        <v>37</v>
      </c>
      <c r="K4602" s="11">
        <v>648.20000000000005</v>
      </c>
      <c r="L4602" s="12">
        <v>23.98</v>
      </c>
    </row>
    <row r="4603" spans="1:12" x14ac:dyDescent="0.2">
      <c r="A4603" s="9">
        <v>46260</v>
      </c>
      <c r="B4603" t="s">
        <v>214</v>
      </c>
      <c r="C4603" t="s">
        <v>215</v>
      </c>
      <c r="D4603" t="s">
        <v>46</v>
      </c>
      <c r="E4603" t="s">
        <v>655</v>
      </c>
      <c r="F4603" t="s">
        <v>656</v>
      </c>
      <c r="G4603" s="10">
        <v>14</v>
      </c>
      <c r="H4603" s="10">
        <v>568</v>
      </c>
      <c r="I4603" s="10">
        <v>7952</v>
      </c>
      <c r="J4603" t="s">
        <v>37</v>
      </c>
      <c r="K4603" s="11">
        <v>648.20000000000005</v>
      </c>
      <c r="L4603" s="12">
        <v>12.27</v>
      </c>
    </row>
    <row r="4604" spans="1:12" x14ac:dyDescent="0.2">
      <c r="A4604" s="9">
        <v>46260</v>
      </c>
      <c r="B4604" t="s">
        <v>220</v>
      </c>
      <c r="C4604" t="s">
        <v>221</v>
      </c>
      <c r="D4604" t="s">
        <v>46</v>
      </c>
      <c r="E4604" t="s">
        <v>653</v>
      </c>
      <c r="F4604" t="s">
        <v>654</v>
      </c>
      <c r="G4604" s="10">
        <v>11</v>
      </c>
      <c r="H4604" s="10">
        <v>5821</v>
      </c>
      <c r="I4604" s="10">
        <v>64031</v>
      </c>
      <c r="J4604" t="s">
        <v>37</v>
      </c>
      <c r="K4604" s="11">
        <v>648.20000000000005</v>
      </c>
      <c r="L4604" s="12">
        <v>98.78</v>
      </c>
    </row>
    <row r="4605" spans="1:12" x14ac:dyDescent="0.2">
      <c r="A4605" s="9">
        <v>46260</v>
      </c>
      <c r="B4605" t="s">
        <v>229</v>
      </c>
      <c r="C4605" t="s">
        <v>230</v>
      </c>
      <c r="D4605" t="s">
        <v>36</v>
      </c>
      <c r="E4605" t="s">
        <v>649</v>
      </c>
      <c r="F4605" t="s">
        <v>650</v>
      </c>
      <c r="G4605" s="10">
        <v>11</v>
      </c>
      <c r="H4605" s="10">
        <v>18534</v>
      </c>
      <c r="I4605" s="10">
        <v>203874</v>
      </c>
      <c r="J4605" t="s">
        <v>37</v>
      </c>
      <c r="K4605" s="11">
        <v>648.20000000000005</v>
      </c>
      <c r="L4605" s="12">
        <v>314.52</v>
      </c>
    </row>
    <row r="4606" spans="1:12" x14ac:dyDescent="0.2">
      <c r="A4606" s="9">
        <v>46260</v>
      </c>
      <c r="B4606" t="s">
        <v>235</v>
      </c>
      <c r="C4606" t="s">
        <v>236</v>
      </c>
      <c r="D4606" t="s">
        <v>50</v>
      </c>
      <c r="E4606" t="s">
        <v>653</v>
      </c>
      <c r="F4606" t="s">
        <v>658</v>
      </c>
      <c r="G4606" s="10">
        <v>40</v>
      </c>
      <c r="H4606" s="10">
        <v>2637</v>
      </c>
      <c r="I4606" s="10">
        <v>105480</v>
      </c>
      <c r="J4606" t="s">
        <v>51</v>
      </c>
      <c r="K4606" s="11">
        <v>648.20000000000005</v>
      </c>
      <c r="L4606" s="12">
        <v>162.72999999999999</v>
      </c>
    </row>
    <row r="4607" spans="1:12" x14ac:dyDescent="0.2">
      <c r="A4607" s="9">
        <v>46260</v>
      </c>
      <c r="B4607" t="s">
        <v>235</v>
      </c>
      <c r="C4607" t="s">
        <v>236</v>
      </c>
      <c r="D4607" t="s">
        <v>50</v>
      </c>
      <c r="E4607" t="s">
        <v>660</v>
      </c>
      <c r="F4607" t="s">
        <v>669</v>
      </c>
      <c r="G4607" s="10">
        <v>3</v>
      </c>
      <c r="H4607" s="10">
        <v>2517</v>
      </c>
      <c r="I4607" s="10">
        <v>7551</v>
      </c>
      <c r="J4607" t="s">
        <v>51</v>
      </c>
      <c r="K4607" s="11">
        <v>648.20000000000005</v>
      </c>
      <c r="L4607" s="12">
        <v>11.65</v>
      </c>
    </row>
    <row r="4608" spans="1:12" x14ac:dyDescent="0.2">
      <c r="A4608" s="9">
        <v>46260</v>
      </c>
      <c r="B4608" t="s">
        <v>235</v>
      </c>
      <c r="C4608" t="s">
        <v>236</v>
      </c>
      <c r="D4608" t="s">
        <v>50</v>
      </c>
      <c r="E4608" t="s">
        <v>647</v>
      </c>
      <c r="F4608" t="s">
        <v>668</v>
      </c>
      <c r="G4608" s="10">
        <v>10</v>
      </c>
      <c r="H4608" s="10">
        <v>25801</v>
      </c>
      <c r="I4608" s="10">
        <v>258010</v>
      </c>
      <c r="J4608" t="s">
        <v>51</v>
      </c>
      <c r="K4608" s="11">
        <v>648.20000000000005</v>
      </c>
      <c r="L4608" s="12">
        <v>398.04</v>
      </c>
    </row>
    <row r="4609" spans="1:12" x14ac:dyDescent="0.2">
      <c r="A4609" s="9">
        <v>46260</v>
      </c>
      <c r="B4609" t="s">
        <v>238</v>
      </c>
      <c r="C4609" t="s">
        <v>239</v>
      </c>
      <c r="D4609" t="s">
        <v>68</v>
      </c>
      <c r="E4609" t="s">
        <v>647</v>
      </c>
      <c r="F4609" t="s">
        <v>648</v>
      </c>
      <c r="G4609" s="10">
        <v>2</v>
      </c>
      <c r="H4609" s="10">
        <v>16409</v>
      </c>
      <c r="I4609" s="10">
        <v>32818</v>
      </c>
      <c r="J4609" t="s">
        <v>51</v>
      </c>
      <c r="K4609" s="11">
        <v>648.20000000000005</v>
      </c>
      <c r="L4609" s="12">
        <v>50.63</v>
      </c>
    </row>
    <row r="4610" spans="1:12" x14ac:dyDescent="0.2">
      <c r="A4610" s="9">
        <v>46260</v>
      </c>
      <c r="B4610" t="s">
        <v>244</v>
      </c>
      <c r="C4610" t="s">
        <v>245</v>
      </c>
      <c r="D4610" t="s">
        <v>75</v>
      </c>
      <c r="E4610" t="s">
        <v>647</v>
      </c>
      <c r="F4610" t="s">
        <v>648</v>
      </c>
      <c r="G4610" s="10">
        <v>11</v>
      </c>
      <c r="H4610" s="10">
        <v>80267</v>
      </c>
      <c r="I4610" s="10">
        <v>882937</v>
      </c>
      <c r="J4610" t="s">
        <v>42</v>
      </c>
      <c r="K4610" s="11">
        <v>3145.8</v>
      </c>
      <c r="L4610" s="12">
        <v>280.67</v>
      </c>
    </row>
    <row r="4611" spans="1:12" x14ac:dyDescent="0.2">
      <c r="A4611" s="9">
        <v>46260</v>
      </c>
      <c r="B4611" t="s">
        <v>244</v>
      </c>
      <c r="C4611" t="s">
        <v>245</v>
      </c>
      <c r="D4611" t="s">
        <v>75</v>
      </c>
      <c r="E4611" t="s">
        <v>651</v>
      </c>
      <c r="F4611" t="s">
        <v>657</v>
      </c>
      <c r="G4611" s="10">
        <v>35</v>
      </c>
      <c r="H4611" s="10">
        <v>30289</v>
      </c>
      <c r="I4611" s="10">
        <v>1060115</v>
      </c>
      <c r="J4611" t="s">
        <v>42</v>
      </c>
      <c r="K4611" s="11">
        <v>3145.8</v>
      </c>
      <c r="L4611" s="12">
        <v>336.99</v>
      </c>
    </row>
    <row r="4612" spans="1:12" x14ac:dyDescent="0.2">
      <c r="A4612" s="9">
        <v>46260</v>
      </c>
      <c r="B4612" t="s">
        <v>247</v>
      </c>
      <c r="C4612" t="s">
        <v>248</v>
      </c>
      <c r="D4612" t="s">
        <v>75</v>
      </c>
      <c r="E4612" t="s">
        <v>651</v>
      </c>
      <c r="F4612" t="s">
        <v>652</v>
      </c>
      <c r="G4612" s="10">
        <v>5</v>
      </c>
      <c r="H4612" s="10">
        <v>45704</v>
      </c>
      <c r="I4612" s="10">
        <v>228520</v>
      </c>
      <c r="J4612" t="s">
        <v>42</v>
      </c>
      <c r="K4612" s="11">
        <v>3145.8</v>
      </c>
      <c r="L4612" s="12">
        <v>72.64</v>
      </c>
    </row>
    <row r="4613" spans="1:12" x14ac:dyDescent="0.2">
      <c r="A4613" s="9">
        <v>46260</v>
      </c>
      <c r="B4613" t="s">
        <v>253</v>
      </c>
      <c r="C4613" t="s">
        <v>254</v>
      </c>
      <c r="D4613" t="s">
        <v>50</v>
      </c>
      <c r="E4613" t="s">
        <v>660</v>
      </c>
      <c r="F4613" t="s">
        <v>661</v>
      </c>
      <c r="G4613" s="10">
        <v>76</v>
      </c>
      <c r="H4613" s="10">
        <v>4161</v>
      </c>
      <c r="I4613" s="10">
        <v>316236</v>
      </c>
      <c r="J4613" t="s">
        <v>51</v>
      </c>
      <c r="K4613" s="11">
        <v>648.20000000000005</v>
      </c>
      <c r="L4613" s="12">
        <v>487.87</v>
      </c>
    </row>
    <row r="4614" spans="1:12" x14ac:dyDescent="0.2">
      <c r="A4614" s="9">
        <v>46260</v>
      </c>
      <c r="B4614" t="s">
        <v>253</v>
      </c>
      <c r="C4614" t="s">
        <v>254</v>
      </c>
      <c r="D4614" t="s">
        <v>50</v>
      </c>
      <c r="E4614" t="s">
        <v>647</v>
      </c>
      <c r="F4614" t="s">
        <v>667</v>
      </c>
      <c r="G4614" s="10">
        <v>3</v>
      </c>
      <c r="H4614" s="10">
        <v>7504</v>
      </c>
      <c r="I4614" s="10">
        <v>22512</v>
      </c>
      <c r="J4614" t="s">
        <v>51</v>
      </c>
      <c r="K4614" s="11">
        <v>648.20000000000005</v>
      </c>
      <c r="L4614" s="12">
        <v>34.729999999999997</v>
      </c>
    </row>
    <row r="4615" spans="1:12" x14ac:dyDescent="0.2">
      <c r="A4615" s="9">
        <v>46260</v>
      </c>
      <c r="B4615" t="s">
        <v>258</v>
      </c>
      <c r="C4615" t="s">
        <v>259</v>
      </c>
      <c r="D4615" t="s">
        <v>50</v>
      </c>
      <c r="E4615" t="s">
        <v>647</v>
      </c>
      <c r="F4615" t="s">
        <v>667</v>
      </c>
      <c r="G4615" s="10">
        <v>4</v>
      </c>
      <c r="H4615" s="10">
        <v>7043</v>
      </c>
      <c r="I4615" s="10">
        <v>28172</v>
      </c>
      <c r="J4615" t="s">
        <v>51</v>
      </c>
      <c r="K4615" s="11">
        <v>648.20000000000005</v>
      </c>
      <c r="L4615" s="12">
        <v>43.46</v>
      </c>
    </row>
    <row r="4616" spans="1:12" x14ac:dyDescent="0.2">
      <c r="A4616" s="9">
        <v>46260</v>
      </c>
      <c r="B4616" t="s">
        <v>261</v>
      </c>
      <c r="C4616" t="s">
        <v>262</v>
      </c>
      <c r="D4616" t="s">
        <v>41</v>
      </c>
      <c r="E4616" t="s">
        <v>649</v>
      </c>
      <c r="F4616" t="s">
        <v>659</v>
      </c>
      <c r="G4616" s="10">
        <v>6</v>
      </c>
      <c r="H4616" s="10">
        <v>42661</v>
      </c>
      <c r="I4616" s="10">
        <v>255966</v>
      </c>
      <c r="J4616" t="s">
        <v>42</v>
      </c>
      <c r="K4616" s="11">
        <v>3145.8</v>
      </c>
      <c r="L4616" s="12">
        <v>81.37</v>
      </c>
    </row>
    <row r="4617" spans="1:12" x14ac:dyDescent="0.2">
      <c r="A4617" s="9">
        <v>46260</v>
      </c>
      <c r="B4617" t="s">
        <v>264</v>
      </c>
      <c r="C4617" t="s">
        <v>265</v>
      </c>
      <c r="D4617" t="s">
        <v>41</v>
      </c>
      <c r="E4617" t="s">
        <v>647</v>
      </c>
      <c r="F4617" t="s">
        <v>667</v>
      </c>
      <c r="G4617" s="10">
        <v>6</v>
      </c>
      <c r="H4617" s="10">
        <v>36606</v>
      </c>
      <c r="I4617" s="10">
        <v>219636</v>
      </c>
      <c r="J4617" t="s">
        <v>42</v>
      </c>
      <c r="K4617" s="11">
        <v>3145.8</v>
      </c>
      <c r="L4617" s="12">
        <v>69.819999999999993</v>
      </c>
    </row>
    <row r="4618" spans="1:12" x14ac:dyDescent="0.2">
      <c r="A4618" s="9">
        <v>46260</v>
      </c>
      <c r="B4618" t="s">
        <v>264</v>
      </c>
      <c r="C4618" t="s">
        <v>265</v>
      </c>
      <c r="D4618" t="s">
        <v>41</v>
      </c>
      <c r="E4618" t="s">
        <v>647</v>
      </c>
      <c r="F4618" t="s">
        <v>667</v>
      </c>
      <c r="G4618" s="10">
        <v>2</v>
      </c>
      <c r="H4618" s="10">
        <v>34562</v>
      </c>
      <c r="I4618" s="10">
        <v>69124</v>
      </c>
      <c r="J4618" t="s">
        <v>42</v>
      </c>
      <c r="K4618" s="11">
        <v>3145.8</v>
      </c>
      <c r="L4618" s="12">
        <v>21.97</v>
      </c>
    </row>
    <row r="4619" spans="1:12" x14ac:dyDescent="0.2">
      <c r="A4619" s="9">
        <v>46260</v>
      </c>
      <c r="B4619" t="s">
        <v>267</v>
      </c>
      <c r="C4619" t="s">
        <v>268</v>
      </c>
      <c r="D4619" t="s">
        <v>46</v>
      </c>
      <c r="E4619" t="s">
        <v>653</v>
      </c>
      <c r="F4619" t="s">
        <v>666</v>
      </c>
      <c r="G4619" s="10">
        <v>32</v>
      </c>
      <c r="H4619" s="10">
        <v>1531</v>
      </c>
      <c r="I4619" s="10">
        <v>48992</v>
      </c>
      <c r="J4619" t="s">
        <v>37</v>
      </c>
      <c r="K4619" s="11">
        <v>648.20000000000005</v>
      </c>
      <c r="L4619" s="12">
        <v>75.58</v>
      </c>
    </row>
    <row r="4620" spans="1:12" x14ac:dyDescent="0.2">
      <c r="A4620" s="9">
        <v>46260</v>
      </c>
      <c r="B4620" t="s">
        <v>267</v>
      </c>
      <c r="C4620" t="s">
        <v>268</v>
      </c>
      <c r="D4620" t="s">
        <v>46</v>
      </c>
      <c r="E4620" t="s">
        <v>660</v>
      </c>
      <c r="F4620" t="s">
        <v>669</v>
      </c>
      <c r="G4620" s="10">
        <v>6</v>
      </c>
      <c r="H4620" s="10">
        <v>2530</v>
      </c>
      <c r="I4620" s="10">
        <v>15180</v>
      </c>
      <c r="J4620" t="s">
        <v>37</v>
      </c>
      <c r="K4620" s="11">
        <v>648.20000000000005</v>
      </c>
      <c r="L4620" s="12">
        <v>23.42</v>
      </c>
    </row>
    <row r="4621" spans="1:12" x14ac:dyDescent="0.2">
      <c r="A4621" s="9">
        <v>46260</v>
      </c>
      <c r="B4621" t="s">
        <v>267</v>
      </c>
      <c r="C4621" t="s">
        <v>268</v>
      </c>
      <c r="D4621" t="s">
        <v>46</v>
      </c>
      <c r="E4621" t="s">
        <v>647</v>
      </c>
      <c r="F4621" t="s">
        <v>668</v>
      </c>
      <c r="G4621" s="10">
        <v>47</v>
      </c>
      <c r="H4621" s="10">
        <v>24888</v>
      </c>
      <c r="I4621" s="10">
        <v>1169736</v>
      </c>
      <c r="J4621" t="s">
        <v>37</v>
      </c>
      <c r="K4621" s="11">
        <v>648.20000000000005</v>
      </c>
      <c r="L4621" s="12">
        <v>1804.59</v>
      </c>
    </row>
    <row r="4622" spans="1:12" x14ac:dyDescent="0.2">
      <c r="A4622" s="9">
        <v>46260</v>
      </c>
      <c r="B4622" t="s">
        <v>267</v>
      </c>
      <c r="C4622" t="s">
        <v>268</v>
      </c>
      <c r="D4622" t="s">
        <v>46</v>
      </c>
      <c r="E4622" t="s">
        <v>647</v>
      </c>
      <c r="F4622" t="s">
        <v>668</v>
      </c>
      <c r="G4622" s="10">
        <v>109</v>
      </c>
      <c r="H4622" s="10">
        <v>24802</v>
      </c>
      <c r="I4622" s="10">
        <v>2703418</v>
      </c>
      <c r="J4622" t="s">
        <v>37</v>
      </c>
      <c r="K4622" s="11">
        <v>648.20000000000005</v>
      </c>
      <c r="L4622" s="12">
        <v>4170.6499999999996</v>
      </c>
    </row>
    <row r="4623" spans="1:12" x14ac:dyDescent="0.2">
      <c r="A4623" s="9">
        <v>46260</v>
      </c>
      <c r="B4623" t="s">
        <v>267</v>
      </c>
      <c r="C4623" t="s">
        <v>268</v>
      </c>
      <c r="D4623" t="s">
        <v>46</v>
      </c>
      <c r="E4623" t="s">
        <v>647</v>
      </c>
      <c r="F4623" t="s">
        <v>668</v>
      </c>
      <c r="G4623" s="10">
        <v>27</v>
      </c>
      <c r="H4623" s="10">
        <v>24828</v>
      </c>
      <c r="I4623" s="10">
        <v>670356</v>
      </c>
      <c r="J4623" t="s">
        <v>37</v>
      </c>
      <c r="K4623" s="11">
        <v>648.20000000000005</v>
      </c>
      <c r="L4623" s="12">
        <v>1034.18</v>
      </c>
    </row>
    <row r="4624" spans="1:12" x14ac:dyDescent="0.2">
      <c r="A4624" s="9">
        <v>46260</v>
      </c>
      <c r="B4624" t="s">
        <v>267</v>
      </c>
      <c r="C4624" t="s">
        <v>268</v>
      </c>
      <c r="D4624" t="s">
        <v>46</v>
      </c>
      <c r="E4624" t="s">
        <v>647</v>
      </c>
      <c r="F4624" t="s">
        <v>667</v>
      </c>
      <c r="G4624" s="10">
        <v>32</v>
      </c>
      <c r="H4624" s="10">
        <v>7165</v>
      </c>
      <c r="I4624" s="10">
        <v>229280</v>
      </c>
      <c r="J4624" t="s">
        <v>37</v>
      </c>
      <c r="K4624" s="11">
        <v>648.20000000000005</v>
      </c>
      <c r="L4624" s="12">
        <v>353.72</v>
      </c>
    </row>
    <row r="4625" spans="1:12" x14ac:dyDescent="0.2">
      <c r="A4625" s="9">
        <v>46260</v>
      </c>
      <c r="B4625" t="s">
        <v>270</v>
      </c>
      <c r="C4625" t="s">
        <v>271</v>
      </c>
      <c r="D4625" t="s">
        <v>75</v>
      </c>
      <c r="E4625" t="s">
        <v>655</v>
      </c>
      <c r="F4625" t="s">
        <v>662</v>
      </c>
      <c r="G4625" s="10">
        <v>53</v>
      </c>
      <c r="H4625" s="10">
        <v>5534</v>
      </c>
      <c r="I4625" s="10">
        <v>293302</v>
      </c>
      <c r="J4625" t="s">
        <v>42</v>
      </c>
      <c r="K4625" s="11">
        <v>3145.8</v>
      </c>
      <c r="L4625" s="12">
        <v>93.24</v>
      </c>
    </row>
    <row r="4626" spans="1:12" x14ac:dyDescent="0.2">
      <c r="A4626" s="9">
        <v>46260</v>
      </c>
      <c r="B4626" t="s">
        <v>279</v>
      </c>
      <c r="C4626" t="s">
        <v>280</v>
      </c>
      <c r="D4626" t="s">
        <v>68</v>
      </c>
      <c r="E4626" t="s">
        <v>655</v>
      </c>
      <c r="F4626" t="s">
        <v>662</v>
      </c>
      <c r="G4626" s="10">
        <v>46</v>
      </c>
      <c r="H4626" s="10">
        <v>1100</v>
      </c>
      <c r="I4626" s="10">
        <v>50600</v>
      </c>
      <c r="J4626" t="s">
        <v>51</v>
      </c>
      <c r="K4626" s="11">
        <v>648.20000000000005</v>
      </c>
      <c r="L4626" s="12">
        <v>78.06</v>
      </c>
    </row>
    <row r="4627" spans="1:12" x14ac:dyDescent="0.2">
      <c r="A4627" s="9">
        <v>46260</v>
      </c>
      <c r="B4627" t="s">
        <v>279</v>
      </c>
      <c r="C4627" t="s">
        <v>280</v>
      </c>
      <c r="D4627" t="s">
        <v>68</v>
      </c>
      <c r="E4627" t="s">
        <v>647</v>
      </c>
      <c r="F4627" t="s">
        <v>667</v>
      </c>
      <c r="G4627" s="10">
        <v>4</v>
      </c>
      <c r="H4627" s="10">
        <v>7234</v>
      </c>
      <c r="I4627" s="10">
        <v>28936</v>
      </c>
      <c r="J4627" t="s">
        <v>51</v>
      </c>
      <c r="K4627" s="11">
        <v>648.20000000000005</v>
      </c>
      <c r="L4627" s="12">
        <v>44.64</v>
      </c>
    </row>
    <row r="4628" spans="1:12" x14ac:dyDescent="0.2">
      <c r="A4628" s="9">
        <v>46260</v>
      </c>
      <c r="B4628" t="s">
        <v>282</v>
      </c>
      <c r="C4628" t="s">
        <v>283</v>
      </c>
      <c r="D4628" t="s">
        <v>41</v>
      </c>
      <c r="E4628" t="s">
        <v>651</v>
      </c>
      <c r="F4628" t="s">
        <v>652</v>
      </c>
      <c r="G4628" s="10">
        <v>6</v>
      </c>
      <c r="H4628" s="10">
        <v>46052</v>
      </c>
      <c r="I4628" s="10">
        <v>276312</v>
      </c>
      <c r="J4628" t="s">
        <v>42</v>
      </c>
      <c r="K4628" s="11">
        <v>3145.8</v>
      </c>
      <c r="L4628" s="12">
        <v>87.84</v>
      </c>
    </row>
    <row r="4629" spans="1:12" x14ac:dyDescent="0.2">
      <c r="A4629" s="9">
        <v>46260</v>
      </c>
      <c r="B4629" t="s">
        <v>282</v>
      </c>
      <c r="C4629" t="s">
        <v>283</v>
      </c>
      <c r="D4629" t="s">
        <v>41</v>
      </c>
      <c r="E4629" t="s">
        <v>649</v>
      </c>
      <c r="F4629" t="s">
        <v>663</v>
      </c>
      <c r="G4629" s="10">
        <v>24</v>
      </c>
      <c r="H4629" s="10">
        <v>9812</v>
      </c>
      <c r="I4629" s="10">
        <v>235488</v>
      </c>
      <c r="J4629" t="s">
        <v>42</v>
      </c>
      <c r="K4629" s="11">
        <v>3145.8</v>
      </c>
      <c r="L4629" s="12">
        <v>74.86</v>
      </c>
    </row>
    <row r="4630" spans="1:12" x14ac:dyDescent="0.2">
      <c r="A4630" s="9">
        <v>46260</v>
      </c>
      <c r="B4630" t="s">
        <v>282</v>
      </c>
      <c r="C4630" t="s">
        <v>283</v>
      </c>
      <c r="D4630" t="s">
        <v>41</v>
      </c>
      <c r="E4630" t="s">
        <v>651</v>
      </c>
      <c r="F4630" t="s">
        <v>664</v>
      </c>
      <c r="G4630" s="10">
        <v>2</v>
      </c>
      <c r="H4630" s="10">
        <v>56503</v>
      </c>
      <c r="I4630" s="10">
        <v>113006</v>
      </c>
      <c r="J4630" t="s">
        <v>42</v>
      </c>
      <c r="K4630" s="11">
        <v>3145.8</v>
      </c>
      <c r="L4630" s="12">
        <v>35.92</v>
      </c>
    </row>
    <row r="4631" spans="1:12" x14ac:dyDescent="0.2">
      <c r="A4631" s="9">
        <v>46260</v>
      </c>
      <c r="B4631" t="s">
        <v>285</v>
      </c>
      <c r="C4631" t="s">
        <v>286</v>
      </c>
      <c r="D4631" t="s">
        <v>68</v>
      </c>
      <c r="E4631" t="s">
        <v>660</v>
      </c>
      <c r="F4631" t="s">
        <v>661</v>
      </c>
      <c r="G4631" s="10">
        <v>12</v>
      </c>
      <c r="H4631" s="10">
        <v>4254</v>
      </c>
      <c r="I4631" s="10">
        <v>51048</v>
      </c>
      <c r="J4631" t="s">
        <v>51</v>
      </c>
      <c r="K4631" s="11">
        <v>648.20000000000005</v>
      </c>
      <c r="L4631" s="12">
        <v>78.75</v>
      </c>
    </row>
    <row r="4632" spans="1:12" x14ac:dyDescent="0.2">
      <c r="A4632" s="9">
        <v>46260</v>
      </c>
      <c r="B4632" t="s">
        <v>294</v>
      </c>
      <c r="C4632" t="s">
        <v>295</v>
      </c>
      <c r="D4632" t="s">
        <v>41</v>
      </c>
      <c r="E4632" t="s">
        <v>653</v>
      </c>
      <c r="F4632" t="s">
        <v>666</v>
      </c>
      <c r="G4632" s="10">
        <v>4</v>
      </c>
      <c r="H4632" s="10">
        <v>7474</v>
      </c>
      <c r="I4632" s="10">
        <v>29896</v>
      </c>
      <c r="J4632" t="s">
        <v>42</v>
      </c>
      <c r="K4632" s="11">
        <v>3145.8</v>
      </c>
      <c r="L4632" s="12">
        <v>9.5</v>
      </c>
    </row>
    <row r="4633" spans="1:12" x14ac:dyDescent="0.2">
      <c r="A4633" s="9">
        <v>46260</v>
      </c>
      <c r="B4633" t="s">
        <v>297</v>
      </c>
      <c r="C4633" t="s">
        <v>298</v>
      </c>
      <c r="D4633" t="s">
        <v>36</v>
      </c>
      <c r="E4633" t="s">
        <v>653</v>
      </c>
      <c r="F4633" t="s">
        <v>666</v>
      </c>
      <c r="G4633" s="10">
        <v>32</v>
      </c>
      <c r="H4633" s="10">
        <v>1510</v>
      </c>
      <c r="I4633" s="10">
        <v>48320</v>
      </c>
      <c r="J4633" t="s">
        <v>37</v>
      </c>
      <c r="K4633" s="11">
        <v>648.20000000000005</v>
      </c>
      <c r="L4633" s="12">
        <v>74.540000000000006</v>
      </c>
    </row>
    <row r="4634" spans="1:12" x14ac:dyDescent="0.2">
      <c r="A4634" s="9">
        <v>46260</v>
      </c>
      <c r="B4634" t="s">
        <v>297</v>
      </c>
      <c r="C4634" t="s">
        <v>298</v>
      </c>
      <c r="D4634" t="s">
        <v>36</v>
      </c>
      <c r="E4634" t="s">
        <v>647</v>
      </c>
      <c r="F4634" t="s">
        <v>648</v>
      </c>
      <c r="G4634" s="10">
        <v>11</v>
      </c>
      <c r="H4634" s="10">
        <v>16735</v>
      </c>
      <c r="I4634" s="10">
        <v>184085</v>
      </c>
      <c r="J4634" t="s">
        <v>37</v>
      </c>
      <c r="K4634" s="11">
        <v>648.20000000000005</v>
      </c>
      <c r="L4634" s="12">
        <v>283.99</v>
      </c>
    </row>
    <row r="4635" spans="1:12" x14ac:dyDescent="0.2">
      <c r="A4635" s="9">
        <v>46260</v>
      </c>
      <c r="B4635" t="s">
        <v>300</v>
      </c>
      <c r="C4635" t="s">
        <v>301</v>
      </c>
      <c r="D4635" t="s">
        <v>41</v>
      </c>
      <c r="E4635" t="s">
        <v>660</v>
      </c>
      <c r="F4635" t="s">
        <v>669</v>
      </c>
      <c r="G4635" s="10">
        <v>21</v>
      </c>
      <c r="H4635" s="10">
        <v>12991</v>
      </c>
      <c r="I4635" s="10">
        <v>272811</v>
      </c>
      <c r="J4635" t="s">
        <v>42</v>
      </c>
      <c r="K4635" s="11">
        <v>3145.8</v>
      </c>
      <c r="L4635" s="12">
        <v>86.72</v>
      </c>
    </row>
    <row r="4636" spans="1:12" x14ac:dyDescent="0.2">
      <c r="A4636" s="9">
        <v>46260</v>
      </c>
      <c r="B4636" t="s">
        <v>300</v>
      </c>
      <c r="C4636" t="s">
        <v>301</v>
      </c>
      <c r="D4636" t="s">
        <v>41</v>
      </c>
      <c r="E4636" t="s">
        <v>655</v>
      </c>
      <c r="F4636" t="s">
        <v>665</v>
      </c>
      <c r="G4636" s="10">
        <v>20</v>
      </c>
      <c r="H4636" s="10">
        <v>3467</v>
      </c>
      <c r="I4636" s="10">
        <v>69340</v>
      </c>
      <c r="J4636" t="s">
        <v>42</v>
      </c>
      <c r="K4636" s="11">
        <v>3145.8</v>
      </c>
      <c r="L4636" s="12">
        <v>22.04</v>
      </c>
    </row>
    <row r="4637" spans="1:12" x14ac:dyDescent="0.2">
      <c r="A4637" s="9">
        <v>46260</v>
      </c>
      <c r="B4637" t="s">
        <v>303</v>
      </c>
      <c r="C4637" t="s">
        <v>304</v>
      </c>
      <c r="D4637" t="s">
        <v>36</v>
      </c>
      <c r="E4637" t="s">
        <v>649</v>
      </c>
      <c r="F4637" t="s">
        <v>659</v>
      </c>
      <c r="G4637" s="10">
        <v>4</v>
      </c>
      <c r="H4637" s="10">
        <v>8958</v>
      </c>
      <c r="I4637" s="10">
        <v>35832</v>
      </c>
      <c r="J4637" t="s">
        <v>37</v>
      </c>
      <c r="K4637" s="11">
        <v>648.20000000000005</v>
      </c>
      <c r="L4637" s="12">
        <v>55.28</v>
      </c>
    </row>
    <row r="4638" spans="1:12" x14ac:dyDescent="0.2">
      <c r="A4638" s="9">
        <v>46260</v>
      </c>
      <c r="B4638" t="s">
        <v>303</v>
      </c>
      <c r="C4638" t="s">
        <v>304</v>
      </c>
      <c r="D4638" t="s">
        <v>36</v>
      </c>
      <c r="E4638" t="s">
        <v>651</v>
      </c>
      <c r="F4638" t="s">
        <v>657</v>
      </c>
      <c r="G4638" s="10">
        <v>7</v>
      </c>
      <c r="H4638" s="10">
        <v>6230</v>
      </c>
      <c r="I4638" s="10">
        <v>43610</v>
      </c>
      <c r="J4638" t="s">
        <v>37</v>
      </c>
      <c r="K4638" s="11">
        <v>648.20000000000005</v>
      </c>
      <c r="L4638" s="12">
        <v>67.28</v>
      </c>
    </row>
    <row r="4639" spans="1:12" x14ac:dyDescent="0.2">
      <c r="A4639" s="9">
        <v>46260</v>
      </c>
      <c r="B4639" t="s">
        <v>306</v>
      </c>
      <c r="C4639" t="s">
        <v>307</v>
      </c>
      <c r="D4639" t="s">
        <v>36</v>
      </c>
      <c r="E4639" t="s">
        <v>660</v>
      </c>
      <c r="F4639" t="s">
        <v>670</v>
      </c>
      <c r="G4639" s="10">
        <v>5</v>
      </c>
      <c r="H4639" s="10">
        <v>14411</v>
      </c>
      <c r="I4639" s="10">
        <v>72055</v>
      </c>
      <c r="J4639" t="s">
        <v>37</v>
      </c>
      <c r="K4639" s="11">
        <v>648.20000000000005</v>
      </c>
      <c r="L4639" s="12">
        <v>111.16</v>
      </c>
    </row>
    <row r="4640" spans="1:12" x14ac:dyDescent="0.2">
      <c r="A4640" s="9">
        <v>46260</v>
      </c>
      <c r="B4640" t="s">
        <v>312</v>
      </c>
      <c r="C4640" t="s">
        <v>313</v>
      </c>
      <c r="D4640" t="s">
        <v>41</v>
      </c>
      <c r="E4640" t="s">
        <v>660</v>
      </c>
      <c r="F4640" t="s">
        <v>661</v>
      </c>
      <c r="G4640" s="10">
        <v>7</v>
      </c>
      <c r="H4640" s="10">
        <v>20888</v>
      </c>
      <c r="I4640" s="10">
        <v>146216</v>
      </c>
      <c r="J4640" t="s">
        <v>42</v>
      </c>
      <c r="K4640" s="11">
        <v>3145.8</v>
      </c>
      <c r="L4640" s="12">
        <v>46.48</v>
      </c>
    </row>
    <row r="4641" spans="1:12" x14ac:dyDescent="0.2">
      <c r="A4641" s="9">
        <v>46260</v>
      </c>
      <c r="B4641" t="s">
        <v>312</v>
      </c>
      <c r="C4641" t="s">
        <v>313</v>
      </c>
      <c r="D4641" t="s">
        <v>41</v>
      </c>
      <c r="E4641" t="s">
        <v>647</v>
      </c>
      <c r="F4641" t="s">
        <v>668</v>
      </c>
      <c r="G4641" s="10">
        <v>19</v>
      </c>
      <c r="H4641" s="10">
        <v>121341</v>
      </c>
      <c r="I4641" s="10">
        <v>2305479</v>
      </c>
      <c r="J4641" t="s">
        <v>42</v>
      </c>
      <c r="K4641" s="11">
        <v>3145.8</v>
      </c>
      <c r="L4641" s="12">
        <v>732.88</v>
      </c>
    </row>
    <row r="4642" spans="1:12" x14ac:dyDescent="0.2">
      <c r="A4642" s="9">
        <v>46260</v>
      </c>
      <c r="B4642" t="s">
        <v>315</v>
      </c>
      <c r="C4642" t="s">
        <v>316</v>
      </c>
      <c r="D4642" t="s">
        <v>46</v>
      </c>
      <c r="E4642" t="s">
        <v>660</v>
      </c>
      <c r="F4642" t="s">
        <v>669</v>
      </c>
      <c r="G4642" s="10">
        <v>15</v>
      </c>
      <c r="H4642" s="10">
        <v>2617</v>
      </c>
      <c r="I4642" s="10">
        <v>39255</v>
      </c>
      <c r="J4642" t="s">
        <v>37</v>
      </c>
      <c r="K4642" s="11">
        <v>648.20000000000005</v>
      </c>
      <c r="L4642" s="12">
        <v>60.56</v>
      </c>
    </row>
    <row r="4643" spans="1:12" x14ac:dyDescent="0.2">
      <c r="A4643" s="9">
        <v>46260</v>
      </c>
      <c r="B4643" t="s">
        <v>315</v>
      </c>
      <c r="C4643" t="s">
        <v>316</v>
      </c>
      <c r="D4643" t="s">
        <v>46</v>
      </c>
      <c r="E4643" t="s">
        <v>660</v>
      </c>
      <c r="F4643" t="s">
        <v>661</v>
      </c>
      <c r="G4643" s="10">
        <v>6</v>
      </c>
      <c r="H4643" s="10">
        <v>4277</v>
      </c>
      <c r="I4643" s="10">
        <v>25662</v>
      </c>
      <c r="J4643" t="s">
        <v>37</v>
      </c>
      <c r="K4643" s="11">
        <v>648.20000000000005</v>
      </c>
      <c r="L4643" s="12">
        <v>39.590000000000003</v>
      </c>
    </row>
    <row r="4644" spans="1:12" x14ac:dyDescent="0.2">
      <c r="A4644" s="9">
        <v>46260</v>
      </c>
      <c r="B4644" t="s">
        <v>315</v>
      </c>
      <c r="C4644" t="s">
        <v>316</v>
      </c>
      <c r="D4644" t="s">
        <v>46</v>
      </c>
      <c r="E4644" t="s">
        <v>655</v>
      </c>
      <c r="F4644" t="s">
        <v>665</v>
      </c>
      <c r="G4644" s="10">
        <v>23</v>
      </c>
      <c r="H4644" s="10">
        <v>711</v>
      </c>
      <c r="I4644" s="10">
        <v>16353</v>
      </c>
      <c r="J4644" t="s">
        <v>37</v>
      </c>
      <c r="K4644" s="11">
        <v>648.20000000000005</v>
      </c>
      <c r="L4644" s="12">
        <v>25.23</v>
      </c>
    </row>
    <row r="4645" spans="1:12" x14ac:dyDescent="0.2">
      <c r="A4645" s="9">
        <v>46260</v>
      </c>
      <c r="B4645" t="s">
        <v>324</v>
      </c>
      <c r="C4645" t="s">
        <v>325</v>
      </c>
      <c r="D4645" t="s">
        <v>46</v>
      </c>
      <c r="E4645" t="s">
        <v>655</v>
      </c>
      <c r="F4645" t="s">
        <v>665</v>
      </c>
      <c r="G4645" s="10">
        <v>3</v>
      </c>
      <c r="H4645" s="10">
        <v>666</v>
      </c>
      <c r="I4645" s="10">
        <v>1998</v>
      </c>
      <c r="J4645" t="s">
        <v>37</v>
      </c>
      <c r="K4645" s="11">
        <v>648.20000000000005</v>
      </c>
      <c r="L4645" s="12">
        <v>3.08</v>
      </c>
    </row>
    <row r="4646" spans="1:12" x14ac:dyDescent="0.2">
      <c r="A4646" s="9">
        <v>46260</v>
      </c>
      <c r="B4646" t="s">
        <v>330</v>
      </c>
      <c r="C4646" t="s">
        <v>331</v>
      </c>
      <c r="D4646" t="s">
        <v>68</v>
      </c>
      <c r="E4646" t="s">
        <v>651</v>
      </c>
      <c r="F4646" t="s">
        <v>652</v>
      </c>
      <c r="G4646" s="10">
        <v>16</v>
      </c>
      <c r="H4646" s="10">
        <v>9469</v>
      </c>
      <c r="I4646" s="10">
        <v>151504</v>
      </c>
      <c r="J4646" t="s">
        <v>51</v>
      </c>
      <c r="K4646" s="11">
        <v>648.20000000000005</v>
      </c>
      <c r="L4646" s="12">
        <v>233.73</v>
      </c>
    </row>
    <row r="4647" spans="1:12" x14ac:dyDescent="0.2">
      <c r="A4647" s="9">
        <v>46260</v>
      </c>
      <c r="B4647" t="s">
        <v>330</v>
      </c>
      <c r="C4647" t="s">
        <v>331</v>
      </c>
      <c r="D4647" t="s">
        <v>68</v>
      </c>
      <c r="E4647" t="s">
        <v>649</v>
      </c>
      <c r="F4647" t="s">
        <v>650</v>
      </c>
      <c r="G4647" s="10">
        <v>113</v>
      </c>
      <c r="H4647" s="10">
        <v>19405</v>
      </c>
      <c r="I4647" s="10">
        <v>2192765</v>
      </c>
      <c r="J4647" t="s">
        <v>51</v>
      </c>
      <c r="K4647" s="11">
        <v>648.20000000000005</v>
      </c>
      <c r="L4647" s="12">
        <v>3382.85</v>
      </c>
    </row>
    <row r="4648" spans="1:12" x14ac:dyDescent="0.2">
      <c r="A4648" s="9">
        <v>46260</v>
      </c>
      <c r="B4648" t="s">
        <v>330</v>
      </c>
      <c r="C4648" t="s">
        <v>331</v>
      </c>
      <c r="D4648" t="s">
        <v>68</v>
      </c>
      <c r="E4648" t="s">
        <v>647</v>
      </c>
      <c r="F4648" t="s">
        <v>668</v>
      </c>
      <c r="G4648" s="10">
        <v>42</v>
      </c>
      <c r="H4648" s="10">
        <v>24508</v>
      </c>
      <c r="I4648" s="10">
        <v>1029336</v>
      </c>
      <c r="J4648" t="s">
        <v>51</v>
      </c>
      <c r="K4648" s="11">
        <v>648.20000000000005</v>
      </c>
      <c r="L4648" s="12">
        <v>1587.99</v>
      </c>
    </row>
    <row r="4649" spans="1:12" x14ac:dyDescent="0.2">
      <c r="A4649" s="9">
        <v>46260</v>
      </c>
      <c r="B4649" t="s">
        <v>336</v>
      </c>
      <c r="C4649" t="s">
        <v>337</v>
      </c>
      <c r="D4649" t="s">
        <v>68</v>
      </c>
      <c r="E4649" t="s">
        <v>660</v>
      </c>
      <c r="F4649" t="s">
        <v>670</v>
      </c>
      <c r="G4649" s="10">
        <v>4</v>
      </c>
      <c r="H4649" s="10">
        <v>14740</v>
      </c>
      <c r="I4649" s="10">
        <v>58960</v>
      </c>
      <c r="J4649" t="s">
        <v>51</v>
      </c>
      <c r="K4649" s="11">
        <v>648.20000000000005</v>
      </c>
      <c r="L4649" s="12">
        <v>90.96</v>
      </c>
    </row>
    <row r="4650" spans="1:12" x14ac:dyDescent="0.2">
      <c r="A4650" s="9">
        <v>46260</v>
      </c>
      <c r="B4650" t="s">
        <v>342</v>
      </c>
      <c r="C4650" t="s">
        <v>343</v>
      </c>
      <c r="D4650" t="s">
        <v>41</v>
      </c>
      <c r="E4650" t="s">
        <v>660</v>
      </c>
      <c r="F4650" t="s">
        <v>669</v>
      </c>
      <c r="G4650" s="10">
        <v>21</v>
      </c>
      <c r="H4650" s="10">
        <v>12179</v>
      </c>
      <c r="I4650" s="10">
        <v>255759</v>
      </c>
      <c r="J4650" t="s">
        <v>42</v>
      </c>
      <c r="K4650" s="11">
        <v>3145.8</v>
      </c>
      <c r="L4650" s="12">
        <v>81.3</v>
      </c>
    </row>
    <row r="4651" spans="1:12" x14ac:dyDescent="0.2">
      <c r="A4651" s="9">
        <v>46260</v>
      </c>
      <c r="B4651" t="s">
        <v>345</v>
      </c>
      <c r="C4651" t="s">
        <v>346</v>
      </c>
      <c r="D4651" t="s">
        <v>68</v>
      </c>
      <c r="E4651" t="s">
        <v>660</v>
      </c>
      <c r="F4651" t="s">
        <v>670</v>
      </c>
      <c r="G4651" s="10">
        <v>18</v>
      </c>
      <c r="H4651" s="10">
        <v>14048</v>
      </c>
      <c r="I4651" s="10">
        <v>252864</v>
      </c>
      <c r="J4651" t="s">
        <v>51</v>
      </c>
      <c r="K4651" s="11">
        <v>648.20000000000005</v>
      </c>
      <c r="L4651" s="12">
        <v>390.1</v>
      </c>
    </row>
    <row r="4652" spans="1:12" x14ac:dyDescent="0.2">
      <c r="A4652" s="9">
        <v>46260</v>
      </c>
      <c r="B4652" t="s">
        <v>348</v>
      </c>
      <c r="C4652" t="s">
        <v>349</v>
      </c>
      <c r="D4652" t="s">
        <v>36</v>
      </c>
      <c r="E4652" t="s">
        <v>649</v>
      </c>
      <c r="F4652" t="s">
        <v>650</v>
      </c>
      <c r="G4652" s="10">
        <v>5</v>
      </c>
      <c r="H4652" s="10">
        <v>18725</v>
      </c>
      <c r="I4652" s="10">
        <v>93625</v>
      </c>
      <c r="J4652" t="s">
        <v>37</v>
      </c>
      <c r="K4652" s="11">
        <v>648.20000000000005</v>
      </c>
      <c r="L4652" s="12">
        <v>144.44</v>
      </c>
    </row>
    <row r="4653" spans="1:12" x14ac:dyDescent="0.2">
      <c r="A4653" s="9">
        <v>46260</v>
      </c>
      <c r="B4653" t="s">
        <v>348</v>
      </c>
      <c r="C4653" t="s">
        <v>349</v>
      </c>
      <c r="D4653" t="s">
        <v>36</v>
      </c>
      <c r="E4653" t="s">
        <v>655</v>
      </c>
      <c r="F4653" t="s">
        <v>662</v>
      </c>
      <c r="G4653" s="10">
        <v>47</v>
      </c>
      <c r="H4653" s="10">
        <v>1091</v>
      </c>
      <c r="I4653" s="10">
        <v>51277</v>
      </c>
      <c r="J4653" t="s">
        <v>37</v>
      </c>
      <c r="K4653" s="11">
        <v>648.20000000000005</v>
      </c>
      <c r="L4653" s="12">
        <v>79.11</v>
      </c>
    </row>
    <row r="4654" spans="1:12" x14ac:dyDescent="0.2">
      <c r="A4654" s="9">
        <v>46260</v>
      </c>
      <c r="B4654" t="s">
        <v>348</v>
      </c>
      <c r="C4654" t="s">
        <v>349</v>
      </c>
      <c r="D4654" t="s">
        <v>36</v>
      </c>
      <c r="E4654" t="s">
        <v>647</v>
      </c>
      <c r="F4654" t="s">
        <v>667</v>
      </c>
      <c r="G4654" s="10">
        <v>40</v>
      </c>
      <c r="H4654" s="10">
        <v>7263</v>
      </c>
      <c r="I4654" s="10">
        <v>290520</v>
      </c>
      <c r="J4654" t="s">
        <v>37</v>
      </c>
      <c r="K4654" s="11">
        <v>648.20000000000005</v>
      </c>
      <c r="L4654" s="12">
        <v>448.2</v>
      </c>
    </row>
    <row r="4655" spans="1:12" x14ac:dyDescent="0.2">
      <c r="A4655" s="9">
        <v>46260</v>
      </c>
      <c r="B4655" t="s">
        <v>348</v>
      </c>
      <c r="C4655" t="s">
        <v>349</v>
      </c>
      <c r="D4655" t="s">
        <v>36</v>
      </c>
      <c r="E4655" t="s">
        <v>651</v>
      </c>
      <c r="F4655" t="s">
        <v>664</v>
      </c>
      <c r="G4655" s="10">
        <v>6</v>
      </c>
      <c r="H4655" s="10">
        <v>11859</v>
      </c>
      <c r="I4655" s="10">
        <v>71154</v>
      </c>
      <c r="J4655" t="s">
        <v>37</v>
      </c>
      <c r="K4655" s="11">
        <v>648.20000000000005</v>
      </c>
      <c r="L4655" s="12">
        <v>109.77</v>
      </c>
    </row>
    <row r="4656" spans="1:12" x14ac:dyDescent="0.2">
      <c r="A4656" s="9">
        <v>46260</v>
      </c>
      <c r="B4656" t="s">
        <v>351</v>
      </c>
      <c r="C4656" t="s">
        <v>352</v>
      </c>
      <c r="D4656" t="s">
        <v>41</v>
      </c>
      <c r="E4656" t="s">
        <v>647</v>
      </c>
      <c r="F4656" t="s">
        <v>648</v>
      </c>
      <c r="G4656" s="10">
        <v>3</v>
      </c>
      <c r="H4656" s="10">
        <v>78547</v>
      </c>
      <c r="I4656" s="10">
        <v>235641</v>
      </c>
      <c r="J4656" t="s">
        <v>42</v>
      </c>
      <c r="K4656" s="11">
        <v>3145.8</v>
      </c>
      <c r="L4656" s="12">
        <v>74.91</v>
      </c>
    </row>
    <row r="4657" spans="1:12" x14ac:dyDescent="0.2">
      <c r="A4657" s="9">
        <v>46260</v>
      </c>
      <c r="B4657" t="s">
        <v>357</v>
      </c>
      <c r="C4657" t="s">
        <v>358</v>
      </c>
      <c r="D4657" t="s">
        <v>36</v>
      </c>
      <c r="E4657" t="s">
        <v>655</v>
      </c>
      <c r="F4657" t="s">
        <v>656</v>
      </c>
      <c r="G4657" s="10">
        <v>63</v>
      </c>
      <c r="H4657" s="10">
        <v>572</v>
      </c>
      <c r="I4657" s="10">
        <v>36036</v>
      </c>
      <c r="J4657" t="s">
        <v>37</v>
      </c>
      <c r="K4657" s="11">
        <v>648.20000000000005</v>
      </c>
      <c r="L4657" s="12">
        <v>55.59</v>
      </c>
    </row>
    <row r="4658" spans="1:12" x14ac:dyDescent="0.2">
      <c r="A4658" s="9">
        <v>46260</v>
      </c>
      <c r="B4658" t="s">
        <v>363</v>
      </c>
      <c r="C4658" t="s">
        <v>364</v>
      </c>
      <c r="D4658" t="s">
        <v>46</v>
      </c>
      <c r="E4658" t="s">
        <v>649</v>
      </c>
      <c r="F4658" t="s">
        <v>663</v>
      </c>
      <c r="G4658" s="10">
        <v>21</v>
      </c>
      <c r="H4658" s="10">
        <v>2089</v>
      </c>
      <c r="I4658" s="10">
        <v>43869</v>
      </c>
      <c r="J4658" t="s">
        <v>37</v>
      </c>
      <c r="K4658" s="11">
        <v>648.20000000000005</v>
      </c>
      <c r="L4658" s="12">
        <v>67.680000000000007</v>
      </c>
    </row>
    <row r="4659" spans="1:12" x14ac:dyDescent="0.2">
      <c r="A4659" s="9">
        <v>46260</v>
      </c>
      <c r="B4659" t="s">
        <v>363</v>
      </c>
      <c r="C4659" t="s">
        <v>364</v>
      </c>
      <c r="D4659" t="s">
        <v>46</v>
      </c>
      <c r="E4659" t="s">
        <v>647</v>
      </c>
      <c r="F4659" t="s">
        <v>668</v>
      </c>
      <c r="G4659" s="10">
        <v>51</v>
      </c>
      <c r="H4659" s="10">
        <v>25373</v>
      </c>
      <c r="I4659" s="10">
        <v>1294023</v>
      </c>
      <c r="J4659" t="s">
        <v>37</v>
      </c>
      <c r="K4659" s="11">
        <v>648.20000000000005</v>
      </c>
      <c r="L4659" s="12">
        <v>1996.33</v>
      </c>
    </row>
    <row r="4660" spans="1:12" x14ac:dyDescent="0.2">
      <c r="A4660" s="9">
        <v>46260</v>
      </c>
      <c r="B4660" t="s">
        <v>363</v>
      </c>
      <c r="C4660" t="s">
        <v>364</v>
      </c>
      <c r="D4660" t="s">
        <v>46</v>
      </c>
      <c r="E4660" t="s">
        <v>647</v>
      </c>
      <c r="F4660" t="s">
        <v>667</v>
      </c>
      <c r="G4660" s="10">
        <v>67</v>
      </c>
      <c r="H4660" s="10">
        <v>7595</v>
      </c>
      <c r="I4660" s="10">
        <v>508865</v>
      </c>
      <c r="J4660" t="s">
        <v>37</v>
      </c>
      <c r="K4660" s="11">
        <v>648.20000000000005</v>
      </c>
      <c r="L4660" s="12">
        <v>785.04</v>
      </c>
    </row>
    <row r="4661" spans="1:12" x14ac:dyDescent="0.2">
      <c r="A4661" s="9">
        <v>46260</v>
      </c>
      <c r="B4661" t="s">
        <v>366</v>
      </c>
      <c r="C4661" t="s">
        <v>367</v>
      </c>
      <c r="D4661" t="s">
        <v>41</v>
      </c>
      <c r="E4661" t="s">
        <v>653</v>
      </c>
      <c r="F4661" t="s">
        <v>654</v>
      </c>
      <c r="G4661" s="10">
        <v>4</v>
      </c>
      <c r="H4661" s="10">
        <v>28303</v>
      </c>
      <c r="I4661" s="10">
        <v>113212</v>
      </c>
      <c r="J4661" t="s">
        <v>42</v>
      </c>
      <c r="K4661" s="11">
        <v>3145.8</v>
      </c>
      <c r="L4661" s="12">
        <v>35.99</v>
      </c>
    </row>
    <row r="4662" spans="1:12" x14ac:dyDescent="0.2">
      <c r="A4662" s="9">
        <v>46260</v>
      </c>
      <c r="B4662" t="s">
        <v>369</v>
      </c>
      <c r="C4662" t="s">
        <v>370</v>
      </c>
      <c r="D4662" t="s">
        <v>36</v>
      </c>
      <c r="E4662" t="s">
        <v>651</v>
      </c>
      <c r="F4662" t="s">
        <v>664</v>
      </c>
      <c r="G4662" s="10">
        <v>9</v>
      </c>
      <c r="H4662" s="10">
        <v>11573</v>
      </c>
      <c r="I4662" s="10">
        <v>104157</v>
      </c>
      <c r="J4662" t="s">
        <v>37</v>
      </c>
      <c r="K4662" s="11">
        <v>648.20000000000005</v>
      </c>
      <c r="L4662" s="12">
        <v>160.69</v>
      </c>
    </row>
    <row r="4663" spans="1:12" x14ac:dyDescent="0.2">
      <c r="A4663" s="9">
        <v>46260</v>
      </c>
      <c r="B4663" t="s">
        <v>384</v>
      </c>
      <c r="C4663" t="s">
        <v>385</v>
      </c>
      <c r="D4663" t="s">
        <v>46</v>
      </c>
      <c r="E4663" t="s">
        <v>660</v>
      </c>
      <c r="F4663" t="s">
        <v>670</v>
      </c>
      <c r="G4663" s="10">
        <v>9</v>
      </c>
      <c r="H4663" s="10">
        <v>14517</v>
      </c>
      <c r="I4663" s="10">
        <v>130653</v>
      </c>
      <c r="J4663" t="s">
        <v>37</v>
      </c>
      <c r="K4663" s="11">
        <v>648.20000000000005</v>
      </c>
      <c r="L4663" s="12">
        <v>201.56</v>
      </c>
    </row>
    <row r="4664" spans="1:12" x14ac:dyDescent="0.2">
      <c r="A4664" s="9">
        <v>46260</v>
      </c>
      <c r="B4664" t="s">
        <v>384</v>
      </c>
      <c r="C4664" t="s">
        <v>385</v>
      </c>
      <c r="D4664" t="s">
        <v>46</v>
      </c>
      <c r="E4664" t="s">
        <v>647</v>
      </c>
      <c r="F4664" t="s">
        <v>667</v>
      </c>
      <c r="G4664" s="10">
        <v>4</v>
      </c>
      <c r="H4664" s="10">
        <v>7113</v>
      </c>
      <c r="I4664" s="10">
        <v>28452</v>
      </c>
      <c r="J4664" t="s">
        <v>37</v>
      </c>
      <c r="K4664" s="11">
        <v>648.20000000000005</v>
      </c>
      <c r="L4664" s="12">
        <v>43.89</v>
      </c>
    </row>
    <row r="4665" spans="1:12" x14ac:dyDescent="0.2">
      <c r="A4665" s="9">
        <v>46260</v>
      </c>
      <c r="B4665" t="s">
        <v>390</v>
      </c>
      <c r="C4665" t="s">
        <v>391</v>
      </c>
      <c r="D4665" t="s">
        <v>46</v>
      </c>
      <c r="E4665" t="s">
        <v>660</v>
      </c>
      <c r="F4665" t="s">
        <v>669</v>
      </c>
      <c r="G4665" s="10">
        <v>5</v>
      </c>
      <c r="H4665" s="10">
        <v>2612</v>
      </c>
      <c r="I4665" s="10">
        <v>13060</v>
      </c>
      <c r="J4665" t="s">
        <v>37</v>
      </c>
      <c r="K4665" s="11">
        <v>648.20000000000005</v>
      </c>
      <c r="L4665" s="12">
        <v>20.149999999999999</v>
      </c>
    </row>
    <row r="4666" spans="1:12" x14ac:dyDescent="0.2">
      <c r="A4666" s="9">
        <v>46260</v>
      </c>
      <c r="B4666" t="s">
        <v>393</v>
      </c>
      <c r="C4666" t="s">
        <v>307</v>
      </c>
      <c r="D4666" t="s">
        <v>68</v>
      </c>
      <c r="E4666" t="s">
        <v>647</v>
      </c>
      <c r="F4666" t="s">
        <v>668</v>
      </c>
      <c r="G4666" s="10">
        <v>43</v>
      </c>
      <c r="H4666" s="10">
        <v>24992</v>
      </c>
      <c r="I4666" s="10">
        <v>1074656</v>
      </c>
      <c r="J4666" t="s">
        <v>51</v>
      </c>
      <c r="K4666" s="11">
        <v>648.20000000000005</v>
      </c>
      <c r="L4666" s="12">
        <v>1657.91</v>
      </c>
    </row>
    <row r="4667" spans="1:12" x14ac:dyDescent="0.2">
      <c r="A4667" s="9">
        <v>46260</v>
      </c>
      <c r="B4667" t="s">
        <v>393</v>
      </c>
      <c r="C4667" t="s">
        <v>307</v>
      </c>
      <c r="D4667" t="s">
        <v>68</v>
      </c>
      <c r="E4667" t="s">
        <v>647</v>
      </c>
      <c r="F4667" t="s">
        <v>648</v>
      </c>
      <c r="G4667" s="10">
        <v>27</v>
      </c>
      <c r="H4667" s="10">
        <v>16058</v>
      </c>
      <c r="I4667" s="10">
        <v>433566</v>
      </c>
      <c r="J4667" t="s">
        <v>51</v>
      </c>
      <c r="K4667" s="11">
        <v>648.20000000000005</v>
      </c>
      <c r="L4667" s="12">
        <v>668.88</v>
      </c>
    </row>
    <row r="4668" spans="1:12" x14ac:dyDescent="0.2">
      <c r="A4668" s="9">
        <v>46260</v>
      </c>
      <c r="B4668" t="s">
        <v>393</v>
      </c>
      <c r="C4668" t="s">
        <v>307</v>
      </c>
      <c r="D4668" t="s">
        <v>68</v>
      </c>
      <c r="E4668" t="s">
        <v>647</v>
      </c>
      <c r="F4668" t="s">
        <v>667</v>
      </c>
      <c r="G4668" s="10">
        <v>167</v>
      </c>
      <c r="H4668" s="10">
        <v>7296</v>
      </c>
      <c r="I4668" s="10">
        <v>1218432</v>
      </c>
      <c r="J4668" t="s">
        <v>51</v>
      </c>
      <c r="K4668" s="11">
        <v>648.20000000000005</v>
      </c>
      <c r="L4668" s="12">
        <v>1879.72</v>
      </c>
    </row>
    <row r="4669" spans="1:12" x14ac:dyDescent="0.2">
      <c r="A4669" s="9">
        <v>46260</v>
      </c>
      <c r="B4669" t="s">
        <v>395</v>
      </c>
      <c r="C4669" t="s">
        <v>396</v>
      </c>
      <c r="D4669" t="s">
        <v>46</v>
      </c>
      <c r="E4669" t="s">
        <v>649</v>
      </c>
      <c r="F4669" t="s">
        <v>650</v>
      </c>
      <c r="G4669" s="10">
        <v>1</v>
      </c>
      <c r="H4669" s="10">
        <v>19119</v>
      </c>
      <c r="I4669" s="10">
        <v>19119</v>
      </c>
      <c r="J4669" t="s">
        <v>37</v>
      </c>
      <c r="K4669" s="11">
        <v>648.20000000000005</v>
      </c>
      <c r="L4669" s="12">
        <v>29.5</v>
      </c>
    </row>
    <row r="4670" spans="1:12" x14ac:dyDescent="0.2">
      <c r="A4670" s="9">
        <v>46260</v>
      </c>
      <c r="B4670" t="s">
        <v>395</v>
      </c>
      <c r="C4670" t="s">
        <v>396</v>
      </c>
      <c r="D4670" t="s">
        <v>46</v>
      </c>
      <c r="E4670" t="s">
        <v>651</v>
      </c>
      <c r="F4670" t="s">
        <v>657</v>
      </c>
      <c r="G4670" s="10">
        <v>2</v>
      </c>
      <c r="H4670" s="10">
        <v>6481</v>
      </c>
      <c r="I4670" s="10">
        <v>12962</v>
      </c>
      <c r="J4670" t="s">
        <v>37</v>
      </c>
      <c r="K4670" s="11">
        <v>648.20000000000005</v>
      </c>
      <c r="L4670" s="12">
        <v>20</v>
      </c>
    </row>
    <row r="4671" spans="1:12" x14ac:dyDescent="0.2">
      <c r="A4671" s="9">
        <v>46260</v>
      </c>
      <c r="B4671" t="s">
        <v>398</v>
      </c>
      <c r="C4671" t="s">
        <v>399</v>
      </c>
      <c r="D4671" t="s">
        <v>46</v>
      </c>
      <c r="E4671" t="s">
        <v>653</v>
      </c>
      <c r="F4671" t="s">
        <v>658</v>
      </c>
      <c r="G4671" s="10">
        <v>80</v>
      </c>
      <c r="H4671" s="10">
        <v>2672</v>
      </c>
      <c r="I4671" s="10">
        <v>213760</v>
      </c>
      <c r="J4671" t="s">
        <v>37</v>
      </c>
      <c r="K4671" s="11">
        <v>648.20000000000005</v>
      </c>
      <c r="L4671" s="12">
        <v>329.77</v>
      </c>
    </row>
    <row r="4672" spans="1:12" x14ac:dyDescent="0.2">
      <c r="A4672" s="9">
        <v>46260</v>
      </c>
      <c r="B4672" t="s">
        <v>401</v>
      </c>
      <c r="C4672" t="s">
        <v>402</v>
      </c>
      <c r="D4672" t="s">
        <v>36</v>
      </c>
      <c r="E4672" t="s">
        <v>653</v>
      </c>
      <c r="F4672" t="s">
        <v>666</v>
      </c>
      <c r="G4672" s="10">
        <v>8</v>
      </c>
      <c r="H4672" s="10">
        <v>1451</v>
      </c>
      <c r="I4672" s="10">
        <v>11608</v>
      </c>
      <c r="J4672" t="s">
        <v>37</v>
      </c>
      <c r="K4672" s="11">
        <v>648.20000000000005</v>
      </c>
      <c r="L4672" s="12">
        <v>17.91</v>
      </c>
    </row>
    <row r="4673" spans="1:12" x14ac:dyDescent="0.2">
      <c r="A4673" s="9">
        <v>46260</v>
      </c>
      <c r="B4673" t="s">
        <v>401</v>
      </c>
      <c r="C4673" t="s">
        <v>402</v>
      </c>
      <c r="D4673" t="s">
        <v>36</v>
      </c>
      <c r="E4673" t="s">
        <v>649</v>
      </c>
      <c r="F4673" t="s">
        <v>650</v>
      </c>
      <c r="G4673" s="10">
        <v>21</v>
      </c>
      <c r="H4673" s="10">
        <v>18804</v>
      </c>
      <c r="I4673" s="10">
        <v>394884</v>
      </c>
      <c r="J4673" t="s">
        <v>37</v>
      </c>
      <c r="K4673" s="11">
        <v>648.20000000000005</v>
      </c>
      <c r="L4673" s="12">
        <v>609.20000000000005</v>
      </c>
    </row>
    <row r="4674" spans="1:12" x14ac:dyDescent="0.2">
      <c r="A4674" s="9">
        <v>46260</v>
      </c>
      <c r="B4674" t="s">
        <v>401</v>
      </c>
      <c r="C4674" t="s">
        <v>402</v>
      </c>
      <c r="D4674" t="s">
        <v>36</v>
      </c>
      <c r="E4674" t="s">
        <v>649</v>
      </c>
      <c r="F4674" t="s">
        <v>650</v>
      </c>
      <c r="G4674" s="10">
        <v>3</v>
      </c>
      <c r="H4674" s="10">
        <v>19051</v>
      </c>
      <c r="I4674" s="10">
        <v>57153</v>
      </c>
      <c r="J4674" t="s">
        <v>37</v>
      </c>
      <c r="K4674" s="11">
        <v>648.20000000000005</v>
      </c>
      <c r="L4674" s="12">
        <v>88.17</v>
      </c>
    </row>
    <row r="4675" spans="1:12" x14ac:dyDescent="0.2">
      <c r="A4675" s="9">
        <v>46260</v>
      </c>
      <c r="B4675" t="s">
        <v>401</v>
      </c>
      <c r="C4675" t="s">
        <v>402</v>
      </c>
      <c r="D4675" t="s">
        <v>36</v>
      </c>
      <c r="E4675" t="s">
        <v>660</v>
      </c>
      <c r="F4675" t="s">
        <v>670</v>
      </c>
      <c r="G4675" s="10">
        <v>23</v>
      </c>
      <c r="H4675" s="10">
        <v>14560</v>
      </c>
      <c r="I4675" s="10">
        <v>334880</v>
      </c>
      <c r="J4675" t="s">
        <v>37</v>
      </c>
      <c r="K4675" s="11">
        <v>648.20000000000005</v>
      </c>
      <c r="L4675" s="12">
        <v>516.63</v>
      </c>
    </row>
    <row r="4676" spans="1:12" x14ac:dyDescent="0.2">
      <c r="A4676" s="9">
        <v>46260</v>
      </c>
      <c r="B4676" t="s">
        <v>401</v>
      </c>
      <c r="C4676" t="s">
        <v>402</v>
      </c>
      <c r="D4676" t="s">
        <v>36</v>
      </c>
      <c r="E4676" t="s">
        <v>660</v>
      </c>
      <c r="F4676" t="s">
        <v>661</v>
      </c>
      <c r="G4676" s="10">
        <v>6</v>
      </c>
      <c r="H4676" s="10">
        <v>4046</v>
      </c>
      <c r="I4676" s="10">
        <v>24276</v>
      </c>
      <c r="J4676" t="s">
        <v>37</v>
      </c>
      <c r="K4676" s="11">
        <v>648.20000000000005</v>
      </c>
      <c r="L4676" s="12">
        <v>37.450000000000003</v>
      </c>
    </row>
    <row r="4677" spans="1:12" x14ac:dyDescent="0.2">
      <c r="A4677" s="9">
        <v>46260</v>
      </c>
      <c r="B4677" t="s">
        <v>404</v>
      </c>
      <c r="C4677" t="s">
        <v>405</v>
      </c>
      <c r="D4677" t="s">
        <v>46</v>
      </c>
      <c r="E4677" t="s">
        <v>649</v>
      </c>
      <c r="F4677" t="s">
        <v>659</v>
      </c>
      <c r="G4677" s="10">
        <v>11</v>
      </c>
      <c r="H4677" s="10">
        <v>8806</v>
      </c>
      <c r="I4677" s="10">
        <v>96866</v>
      </c>
      <c r="J4677" t="s">
        <v>37</v>
      </c>
      <c r="K4677" s="11">
        <v>648.20000000000005</v>
      </c>
      <c r="L4677" s="12">
        <v>149.44</v>
      </c>
    </row>
    <row r="4678" spans="1:12" x14ac:dyDescent="0.2">
      <c r="A4678" s="9">
        <v>46260</v>
      </c>
      <c r="B4678" t="s">
        <v>404</v>
      </c>
      <c r="C4678" t="s">
        <v>405</v>
      </c>
      <c r="D4678" t="s">
        <v>46</v>
      </c>
      <c r="E4678" t="s">
        <v>660</v>
      </c>
      <c r="F4678" t="s">
        <v>661</v>
      </c>
      <c r="G4678" s="10">
        <v>40</v>
      </c>
      <c r="H4678" s="10">
        <v>4234</v>
      </c>
      <c r="I4678" s="10">
        <v>169360</v>
      </c>
      <c r="J4678" t="s">
        <v>37</v>
      </c>
      <c r="K4678" s="11">
        <v>648.20000000000005</v>
      </c>
      <c r="L4678" s="12">
        <v>261.27999999999997</v>
      </c>
    </row>
    <row r="4679" spans="1:12" x14ac:dyDescent="0.2">
      <c r="A4679" s="9">
        <v>46260</v>
      </c>
      <c r="B4679" t="s">
        <v>404</v>
      </c>
      <c r="C4679" t="s">
        <v>405</v>
      </c>
      <c r="D4679" t="s">
        <v>46</v>
      </c>
      <c r="E4679" t="s">
        <v>653</v>
      </c>
      <c r="F4679" t="s">
        <v>654</v>
      </c>
      <c r="G4679" s="10">
        <v>26</v>
      </c>
      <c r="H4679" s="10">
        <v>5650</v>
      </c>
      <c r="I4679" s="10">
        <v>146900</v>
      </c>
      <c r="J4679" t="s">
        <v>37</v>
      </c>
      <c r="K4679" s="11">
        <v>648.20000000000005</v>
      </c>
      <c r="L4679" s="12">
        <v>226.63</v>
      </c>
    </row>
    <row r="4680" spans="1:12" x14ac:dyDescent="0.2">
      <c r="A4680" s="9">
        <v>46260</v>
      </c>
      <c r="B4680" t="s">
        <v>404</v>
      </c>
      <c r="C4680" t="s">
        <v>405</v>
      </c>
      <c r="D4680" t="s">
        <v>46</v>
      </c>
      <c r="E4680" t="s">
        <v>647</v>
      </c>
      <c r="F4680" t="s">
        <v>648</v>
      </c>
      <c r="G4680" s="10">
        <v>5</v>
      </c>
      <c r="H4680" s="10">
        <v>15611</v>
      </c>
      <c r="I4680" s="10">
        <v>78055</v>
      </c>
      <c r="J4680" t="s">
        <v>37</v>
      </c>
      <c r="K4680" s="11">
        <v>648.20000000000005</v>
      </c>
      <c r="L4680" s="12">
        <v>120.42</v>
      </c>
    </row>
    <row r="4681" spans="1:12" x14ac:dyDescent="0.2">
      <c r="A4681" s="9">
        <v>46260</v>
      </c>
      <c r="B4681" t="s">
        <v>404</v>
      </c>
      <c r="C4681" t="s">
        <v>405</v>
      </c>
      <c r="D4681" t="s">
        <v>46</v>
      </c>
      <c r="E4681" t="s">
        <v>647</v>
      </c>
      <c r="F4681" t="s">
        <v>648</v>
      </c>
      <c r="G4681" s="10">
        <v>11</v>
      </c>
      <c r="H4681" s="10">
        <v>16704</v>
      </c>
      <c r="I4681" s="10">
        <v>183744</v>
      </c>
      <c r="J4681" t="s">
        <v>37</v>
      </c>
      <c r="K4681" s="11">
        <v>648.20000000000005</v>
      </c>
      <c r="L4681" s="12">
        <v>283.47000000000003</v>
      </c>
    </row>
    <row r="4682" spans="1:12" x14ac:dyDescent="0.2">
      <c r="A4682" s="9">
        <v>46260</v>
      </c>
      <c r="B4682" t="s">
        <v>407</v>
      </c>
      <c r="C4682" t="s">
        <v>408</v>
      </c>
      <c r="D4682" t="s">
        <v>75</v>
      </c>
      <c r="E4682" t="s">
        <v>651</v>
      </c>
      <c r="F4682" t="s">
        <v>657</v>
      </c>
      <c r="G4682" s="10">
        <v>7</v>
      </c>
      <c r="H4682" s="10">
        <v>30338</v>
      </c>
      <c r="I4682" s="10">
        <v>212366</v>
      </c>
      <c r="J4682" t="s">
        <v>42</v>
      </c>
      <c r="K4682" s="11">
        <v>3145.8</v>
      </c>
      <c r="L4682" s="12">
        <v>67.510000000000005</v>
      </c>
    </row>
    <row r="4683" spans="1:12" x14ac:dyDescent="0.2">
      <c r="A4683" s="9">
        <v>46260</v>
      </c>
      <c r="B4683" t="s">
        <v>413</v>
      </c>
      <c r="C4683" t="s">
        <v>414</v>
      </c>
      <c r="D4683" t="s">
        <v>41</v>
      </c>
      <c r="E4683" t="s">
        <v>649</v>
      </c>
      <c r="F4683" t="s">
        <v>663</v>
      </c>
      <c r="G4683" s="10">
        <v>5</v>
      </c>
      <c r="H4683" s="10">
        <v>9543</v>
      </c>
      <c r="I4683" s="10">
        <v>47715</v>
      </c>
      <c r="J4683" t="s">
        <v>42</v>
      </c>
      <c r="K4683" s="11">
        <v>3145.8</v>
      </c>
      <c r="L4683" s="12">
        <v>15.17</v>
      </c>
    </row>
    <row r="4684" spans="1:12" x14ac:dyDescent="0.2">
      <c r="A4684" s="9">
        <v>46260</v>
      </c>
      <c r="B4684" t="s">
        <v>416</v>
      </c>
      <c r="C4684" t="s">
        <v>417</v>
      </c>
      <c r="D4684" t="s">
        <v>36</v>
      </c>
      <c r="E4684" t="s">
        <v>647</v>
      </c>
      <c r="F4684" t="s">
        <v>667</v>
      </c>
      <c r="G4684" s="10">
        <v>4</v>
      </c>
      <c r="H4684" s="10">
        <v>7589</v>
      </c>
      <c r="I4684" s="10">
        <v>30356</v>
      </c>
      <c r="J4684" t="s">
        <v>37</v>
      </c>
      <c r="K4684" s="11">
        <v>648.20000000000005</v>
      </c>
      <c r="L4684" s="12">
        <v>46.83</v>
      </c>
    </row>
    <row r="4685" spans="1:12" x14ac:dyDescent="0.2">
      <c r="A4685" s="9">
        <v>46260</v>
      </c>
      <c r="B4685" t="s">
        <v>422</v>
      </c>
      <c r="C4685" t="s">
        <v>423</v>
      </c>
      <c r="D4685" t="s">
        <v>68</v>
      </c>
      <c r="E4685" t="s">
        <v>649</v>
      </c>
      <c r="F4685" t="s">
        <v>659</v>
      </c>
      <c r="G4685" s="10">
        <v>20</v>
      </c>
      <c r="H4685" s="10">
        <v>9252</v>
      </c>
      <c r="I4685" s="10">
        <v>185040</v>
      </c>
      <c r="J4685" t="s">
        <v>51</v>
      </c>
      <c r="K4685" s="11">
        <v>648.20000000000005</v>
      </c>
      <c r="L4685" s="12">
        <v>285.47000000000003</v>
      </c>
    </row>
    <row r="4686" spans="1:12" x14ac:dyDescent="0.2">
      <c r="A4686" s="9">
        <v>46260</v>
      </c>
      <c r="B4686" t="s">
        <v>422</v>
      </c>
      <c r="C4686" t="s">
        <v>423</v>
      </c>
      <c r="D4686" t="s">
        <v>68</v>
      </c>
      <c r="E4686" t="s">
        <v>660</v>
      </c>
      <c r="F4686" t="s">
        <v>669</v>
      </c>
      <c r="G4686" s="10">
        <v>17</v>
      </c>
      <c r="H4686" s="10">
        <v>2525</v>
      </c>
      <c r="I4686" s="10">
        <v>42925</v>
      </c>
      <c r="J4686" t="s">
        <v>51</v>
      </c>
      <c r="K4686" s="11">
        <v>648.20000000000005</v>
      </c>
      <c r="L4686" s="12">
        <v>66.22</v>
      </c>
    </row>
    <row r="4687" spans="1:12" x14ac:dyDescent="0.2">
      <c r="A4687" s="9">
        <v>46260</v>
      </c>
      <c r="B4687" t="s">
        <v>422</v>
      </c>
      <c r="C4687" t="s">
        <v>423</v>
      </c>
      <c r="D4687" t="s">
        <v>68</v>
      </c>
      <c r="E4687" t="s">
        <v>647</v>
      </c>
      <c r="F4687" t="s">
        <v>668</v>
      </c>
      <c r="G4687" s="10">
        <v>13</v>
      </c>
      <c r="H4687" s="10">
        <v>25002</v>
      </c>
      <c r="I4687" s="10">
        <v>325026</v>
      </c>
      <c r="J4687" t="s">
        <v>51</v>
      </c>
      <c r="K4687" s="11">
        <v>648.20000000000005</v>
      </c>
      <c r="L4687" s="12">
        <v>501.43</v>
      </c>
    </row>
    <row r="4688" spans="1:12" x14ac:dyDescent="0.2">
      <c r="A4688" s="9">
        <v>46260</v>
      </c>
      <c r="B4688" t="s">
        <v>431</v>
      </c>
      <c r="C4688" t="s">
        <v>432</v>
      </c>
      <c r="D4688" t="s">
        <v>36</v>
      </c>
      <c r="E4688" t="s">
        <v>647</v>
      </c>
      <c r="F4688" t="s">
        <v>667</v>
      </c>
      <c r="G4688" s="10">
        <v>1</v>
      </c>
      <c r="H4688" s="10">
        <v>7486</v>
      </c>
      <c r="I4688" s="10">
        <v>7486</v>
      </c>
      <c r="J4688" t="s">
        <v>37</v>
      </c>
      <c r="K4688" s="11">
        <v>648.20000000000005</v>
      </c>
      <c r="L4688" s="12">
        <v>11.55</v>
      </c>
    </row>
    <row r="4689" spans="1:12" x14ac:dyDescent="0.2">
      <c r="A4689" s="9">
        <v>46260</v>
      </c>
      <c r="B4689" t="s">
        <v>439</v>
      </c>
      <c r="C4689" t="s">
        <v>440</v>
      </c>
      <c r="D4689" t="s">
        <v>50</v>
      </c>
      <c r="E4689" t="s">
        <v>651</v>
      </c>
      <c r="F4689" t="s">
        <v>664</v>
      </c>
      <c r="G4689" s="10">
        <v>10</v>
      </c>
      <c r="H4689" s="10">
        <v>11608</v>
      </c>
      <c r="I4689" s="10">
        <v>116080</v>
      </c>
      <c r="J4689" t="s">
        <v>51</v>
      </c>
      <c r="K4689" s="11">
        <v>648.20000000000005</v>
      </c>
      <c r="L4689" s="12">
        <v>179.08</v>
      </c>
    </row>
    <row r="4690" spans="1:12" x14ac:dyDescent="0.2">
      <c r="A4690" s="9">
        <v>46260</v>
      </c>
      <c r="B4690" t="s">
        <v>445</v>
      </c>
      <c r="C4690" t="s">
        <v>446</v>
      </c>
      <c r="D4690" t="s">
        <v>68</v>
      </c>
      <c r="E4690" t="s">
        <v>649</v>
      </c>
      <c r="F4690" t="s">
        <v>650</v>
      </c>
      <c r="G4690" s="10">
        <v>4</v>
      </c>
      <c r="H4690" s="10">
        <v>18760</v>
      </c>
      <c r="I4690" s="10">
        <v>75040</v>
      </c>
      <c r="J4690" t="s">
        <v>51</v>
      </c>
      <c r="K4690" s="11">
        <v>648.20000000000005</v>
      </c>
      <c r="L4690" s="12">
        <v>115.77</v>
      </c>
    </row>
    <row r="4691" spans="1:12" x14ac:dyDescent="0.2">
      <c r="A4691" s="9">
        <v>46260</v>
      </c>
      <c r="B4691" t="s">
        <v>445</v>
      </c>
      <c r="C4691" t="s">
        <v>446</v>
      </c>
      <c r="D4691" t="s">
        <v>68</v>
      </c>
      <c r="E4691" t="s">
        <v>649</v>
      </c>
      <c r="F4691" t="s">
        <v>663</v>
      </c>
      <c r="G4691" s="10">
        <v>9</v>
      </c>
      <c r="H4691" s="10">
        <v>1994</v>
      </c>
      <c r="I4691" s="10">
        <v>17946</v>
      </c>
      <c r="J4691" t="s">
        <v>51</v>
      </c>
      <c r="K4691" s="11">
        <v>648.20000000000005</v>
      </c>
      <c r="L4691" s="12">
        <v>27.69</v>
      </c>
    </row>
    <row r="4692" spans="1:12" x14ac:dyDescent="0.2">
      <c r="A4692" s="9">
        <v>46260</v>
      </c>
      <c r="B4692" t="s">
        <v>445</v>
      </c>
      <c r="C4692" t="s">
        <v>446</v>
      </c>
      <c r="D4692" t="s">
        <v>68</v>
      </c>
      <c r="E4692" t="s">
        <v>647</v>
      </c>
      <c r="F4692" t="s">
        <v>648</v>
      </c>
      <c r="G4692" s="10">
        <v>24</v>
      </c>
      <c r="H4692" s="10">
        <v>16131</v>
      </c>
      <c r="I4692" s="10">
        <v>387144</v>
      </c>
      <c r="J4692" t="s">
        <v>51</v>
      </c>
      <c r="K4692" s="11">
        <v>648.20000000000005</v>
      </c>
      <c r="L4692" s="12">
        <v>597.26</v>
      </c>
    </row>
    <row r="4693" spans="1:12" x14ac:dyDescent="0.2">
      <c r="A4693" s="9">
        <v>46260</v>
      </c>
      <c r="B4693" t="s">
        <v>448</v>
      </c>
      <c r="C4693" t="s">
        <v>449</v>
      </c>
      <c r="D4693" t="s">
        <v>75</v>
      </c>
      <c r="E4693" t="s">
        <v>653</v>
      </c>
      <c r="F4693" t="s">
        <v>654</v>
      </c>
      <c r="G4693" s="10">
        <v>5</v>
      </c>
      <c r="H4693" s="10">
        <v>27934</v>
      </c>
      <c r="I4693" s="10">
        <v>139670</v>
      </c>
      <c r="J4693" t="s">
        <v>42</v>
      </c>
      <c r="K4693" s="11">
        <v>3145.8</v>
      </c>
      <c r="L4693" s="12">
        <v>44.4</v>
      </c>
    </row>
    <row r="4694" spans="1:12" x14ac:dyDescent="0.2">
      <c r="A4694" s="9">
        <v>46260</v>
      </c>
      <c r="B4694" t="s">
        <v>448</v>
      </c>
      <c r="C4694" t="s">
        <v>449</v>
      </c>
      <c r="D4694" t="s">
        <v>75</v>
      </c>
      <c r="E4694" t="s">
        <v>647</v>
      </c>
      <c r="F4694" t="s">
        <v>648</v>
      </c>
      <c r="G4694" s="10">
        <v>102</v>
      </c>
      <c r="H4694" s="10">
        <v>77990</v>
      </c>
      <c r="I4694" s="10">
        <v>7954980</v>
      </c>
      <c r="J4694" t="s">
        <v>42</v>
      </c>
      <c r="K4694" s="11">
        <v>3145.8</v>
      </c>
      <c r="L4694" s="12">
        <v>2528.7600000000002</v>
      </c>
    </row>
    <row r="4695" spans="1:12" x14ac:dyDescent="0.2">
      <c r="A4695" s="9">
        <v>46260</v>
      </c>
      <c r="B4695" t="s">
        <v>454</v>
      </c>
      <c r="C4695" t="s">
        <v>455</v>
      </c>
      <c r="D4695" t="s">
        <v>41</v>
      </c>
      <c r="E4695" t="s">
        <v>649</v>
      </c>
      <c r="F4695" t="s">
        <v>650</v>
      </c>
      <c r="G4695" s="10">
        <v>15</v>
      </c>
      <c r="H4695" s="10">
        <v>91275</v>
      </c>
      <c r="I4695" s="10">
        <v>1369125</v>
      </c>
      <c r="J4695" t="s">
        <v>42</v>
      </c>
      <c r="K4695" s="11">
        <v>3145.8</v>
      </c>
      <c r="L4695" s="12">
        <v>435.22</v>
      </c>
    </row>
    <row r="4696" spans="1:12" x14ac:dyDescent="0.2">
      <c r="A4696" s="9">
        <v>46260</v>
      </c>
      <c r="B4696" t="s">
        <v>454</v>
      </c>
      <c r="C4696" t="s">
        <v>455</v>
      </c>
      <c r="D4696" t="s">
        <v>41</v>
      </c>
      <c r="E4696" t="s">
        <v>660</v>
      </c>
      <c r="F4696" t="s">
        <v>661</v>
      </c>
      <c r="G4696" s="10">
        <v>2</v>
      </c>
      <c r="H4696" s="10">
        <v>19994</v>
      </c>
      <c r="I4696" s="10">
        <v>39988</v>
      </c>
      <c r="J4696" t="s">
        <v>42</v>
      </c>
      <c r="K4696" s="11">
        <v>3145.8</v>
      </c>
      <c r="L4696" s="12">
        <v>12.71</v>
      </c>
    </row>
    <row r="4697" spans="1:12" x14ac:dyDescent="0.2">
      <c r="A4697" s="9">
        <v>46260</v>
      </c>
      <c r="B4697" t="s">
        <v>454</v>
      </c>
      <c r="C4697" t="s">
        <v>455</v>
      </c>
      <c r="D4697" t="s">
        <v>41</v>
      </c>
      <c r="E4697" t="s">
        <v>647</v>
      </c>
      <c r="F4697" t="s">
        <v>668</v>
      </c>
      <c r="G4697" s="10">
        <v>9</v>
      </c>
      <c r="H4697" s="10">
        <v>124593</v>
      </c>
      <c r="I4697" s="10">
        <v>1121337</v>
      </c>
      <c r="J4697" t="s">
        <v>42</v>
      </c>
      <c r="K4697" s="11">
        <v>3145.8</v>
      </c>
      <c r="L4697" s="12">
        <v>356.46</v>
      </c>
    </row>
    <row r="4698" spans="1:12" x14ac:dyDescent="0.2">
      <c r="A4698" s="9">
        <v>46260</v>
      </c>
      <c r="B4698" t="s">
        <v>454</v>
      </c>
      <c r="C4698" t="s">
        <v>455</v>
      </c>
      <c r="D4698" t="s">
        <v>41</v>
      </c>
      <c r="E4698" t="s">
        <v>651</v>
      </c>
      <c r="F4698" t="s">
        <v>664</v>
      </c>
      <c r="G4698" s="10">
        <v>11</v>
      </c>
      <c r="H4698" s="10">
        <v>59769</v>
      </c>
      <c r="I4698" s="10">
        <v>657459</v>
      </c>
      <c r="J4698" t="s">
        <v>42</v>
      </c>
      <c r="K4698" s="11">
        <v>3145.8</v>
      </c>
      <c r="L4698" s="12">
        <v>209</v>
      </c>
    </row>
    <row r="4699" spans="1:12" x14ac:dyDescent="0.2">
      <c r="A4699" s="9">
        <v>46260</v>
      </c>
      <c r="B4699" t="s">
        <v>457</v>
      </c>
      <c r="C4699" t="s">
        <v>458</v>
      </c>
      <c r="D4699" t="s">
        <v>46</v>
      </c>
      <c r="E4699" t="s">
        <v>651</v>
      </c>
      <c r="F4699" t="s">
        <v>652</v>
      </c>
      <c r="G4699" s="10">
        <v>5</v>
      </c>
      <c r="H4699" s="10">
        <v>9748</v>
      </c>
      <c r="I4699" s="10">
        <v>48740</v>
      </c>
      <c r="J4699" t="s">
        <v>37</v>
      </c>
      <c r="K4699" s="11">
        <v>648.20000000000005</v>
      </c>
      <c r="L4699" s="12">
        <v>75.19</v>
      </c>
    </row>
    <row r="4700" spans="1:12" x14ac:dyDescent="0.2">
      <c r="A4700" s="9">
        <v>46260</v>
      </c>
      <c r="B4700" t="s">
        <v>457</v>
      </c>
      <c r="C4700" t="s">
        <v>458</v>
      </c>
      <c r="D4700" t="s">
        <v>46</v>
      </c>
      <c r="E4700" t="s">
        <v>647</v>
      </c>
      <c r="F4700" t="s">
        <v>667</v>
      </c>
      <c r="G4700" s="10">
        <v>13</v>
      </c>
      <c r="H4700" s="10">
        <v>7411</v>
      </c>
      <c r="I4700" s="10">
        <v>96343</v>
      </c>
      <c r="J4700" t="s">
        <v>37</v>
      </c>
      <c r="K4700" s="11">
        <v>648.20000000000005</v>
      </c>
      <c r="L4700" s="12">
        <v>148.63</v>
      </c>
    </row>
    <row r="4701" spans="1:12" x14ac:dyDescent="0.2">
      <c r="A4701" s="9">
        <v>46260</v>
      </c>
      <c r="B4701" t="s">
        <v>466</v>
      </c>
      <c r="C4701" t="s">
        <v>467</v>
      </c>
      <c r="D4701" t="s">
        <v>50</v>
      </c>
      <c r="E4701" t="s">
        <v>660</v>
      </c>
      <c r="F4701" t="s">
        <v>661</v>
      </c>
      <c r="G4701" s="10">
        <v>24</v>
      </c>
      <c r="H4701" s="10">
        <v>4293</v>
      </c>
      <c r="I4701" s="10">
        <v>103032</v>
      </c>
      <c r="J4701" t="s">
        <v>51</v>
      </c>
      <c r="K4701" s="11">
        <v>648.20000000000005</v>
      </c>
      <c r="L4701" s="12">
        <v>158.94999999999999</v>
      </c>
    </row>
    <row r="4702" spans="1:12" x14ac:dyDescent="0.2">
      <c r="A4702" s="9">
        <v>46260</v>
      </c>
      <c r="B4702" t="s">
        <v>466</v>
      </c>
      <c r="C4702" t="s">
        <v>467</v>
      </c>
      <c r="D4702" t="s">
        <v>50</v>
      </c>
      <c r="E4702" t="s">
        <v>653</v>
      </c>
      <c r="F4702" t="s">
        <v>654</v>
      </c>
      <c r="G4702" s="10">
        <v>4</v>
      </c>
      <c r="H4702" s="10">
        <v>5844</v>
      </c>
      <c r="I4702" s="10">
        <v>23376</v>
      </c>
      <c r="J4702" t="s">
        <v>51</v>
      </c>
      <c r="K4702" s="11">
        <v>648.20000000000005</v>
      </c>
      <c r="L4702" s="12">
        <v>36.06</v>
      </c>
    </row>
    <row r="4703" spans="1:12" x14ac:dyDescent="0.2">
      <c r="A4703" s="9">
        <v>46260</v>
      </c>
      <c r="B4703" t="s">
        <v>466</v>
      </c>
      <c r="C4703" t="s">
        <v>467</v>
      </c>
      <c r="D4703" t="s">
        <v>50</v>
      </c>
      <c r="E4703" t="s">
        <v>647</v>
      </c>
      <c r="F4703" t="s">
        <v>667</v>
      </c>
      <c r="G4703" s="10">
        <v>10</v>
      </c>
      <c r="H4703" s="10">
        <v>7130</v>
      </c>
      <c r="I4703" s="10">
        <v>71300</v>
      </c>
      <c r="J4703" t="s">
        <v>51</v>
      </c>
      <c r="K4703" s="11">
        <v>648.20000000000005</v>
      </c>
      <c r="L4703" s="12">
        <v>110</v>
      </c>
    </row>
    <row r="4704" spans="1:12" x14ac:dyDescent="0.2">
      <c r="A4704" s="9">
        <v>46260</v>
      </c>
      <c r="B4704" t="s">
        <v>469</v>
      </c>
      <c r="C4704" t="s">
        <v>470</v>
      </c>
      <c r="D4704" t="s">
        <v>41</v>
      </c>
      <c r="E4704" t="s">
        <v>660</v>
      </c>
      <c r="F4704" t="s">
        <v>661</v>
      </c>
      <c r="G4704" s="10">
        <v>9</v>
      </c>
      <c r="H4704" s="10">
        <v>20843</v>
      </c>
      <c r="I4704" s="10">
        <v>187587</v>
      </c>
      <c r="J4704" t="s">
        <v>42</v>
      </c>
      <c r="K4704" s="11">
        <v>3145.8</v>
      </c>
      <c r="L4704" s="12">
        <v>59.63</v>
      </c>
    </row>
    <row r="4705" spans="1:12" x14ac:dyDescent="0.2">
      <c r="A4705" s="9">
        <v>46260</v>
      </c>
      <c r="B4705" t="s">
        <v>469</v>
      </c>
      <c r="C4705" t="s">
        <v>470</v>
      </c>
      <c r="D4705" t="s">
        <v>41</v>
      </c>
      <c r="E4705" t="s">
        <v>651</v>
      </c>
      <c r="F4705" t="s">
        <v>664</v>
      </c>
      <c r="G4705" s="10">
        <v>4</v>
      </c>
      <c r="H4705" s="10">
        <v>58601</v>
      </c>
      <c r="I4705" s="10">
        <v>234404</v>
      </c>
      <c r="J4705" t="s">
        <v>42</v>
      </c>
      <c r="K4705" s="11">
        <v>3145.8</v>
      </c>
      <c r="L4705" s="12">
        <v>74.510000000000005</v>
      </c>
    </row>
    <row r="4706" spans="1:12" x14ac:dyDescent="0.2">
      <c r="A4706" s="9">
        <v>46260</v>
      </c>
      <c r="B4706" t="s">
        <v>469</v>
      </c>
      <c r="C4706" t="s">
        <v>470</v>
      </c>
      <c r="D4706" t="s">
        <v>41</v>
      </c>
      <c r="E4706" t="s">
        <v>651</v>
      </c>
      <c r="F4706" t="s">
        <v>664</v>
      </c>
      <c r="G4706" s="10">
        <v>12</v>
      </c>
      <c r="H4706" s="10">
        <v>57062</v>
      </c>
      <c r="I4706" s="10">
        <v>684744</v>
      </c>
      <c r="J4706" t="s">
        <v>42</v>
      </c>
      <c r="K4706" s="11">
        <v>3145.8</v>
      </c>
      <c r="L4706" s="12">
        <v>217.67</v>
      </c>
    </row>
    <row r="4707" spans="1:12" x14ac:dyDescent="0.2">
      <c r="A4707" s="9">
        <v>46260</v>
      </c>
      <c r="B4707" t="s">
        <v>475</v>
      </c>
      <c r="C4707" t="s">
        <v>476</v>
      </c>
      <c r="D4707" t="s">
        <v>75</v>
      </c>
      <c r="E4707" t="s">
        <v>655</v>
      </c>
      <c r="F4707" t="s">
        <v>665</v>
      </c>
      <c r="G4707" s="10">
        <v>13</v>
      </c>
      <c r="H4707" s="10">
        <v>3205</v>
      </c>
      <c r="I4707" s="10">
        <v>41665</v>
      </c>
      <c r="J4707" t="s">
        <v>42</v>
      </c>
      <c r="K4707" s="11">
        <v>3145.8</v>
      </c>
      <c r="L4707" s="12">
        <v>13.24</v>
      </c>
    </row>
    <row r="4708" spans="1:12" x14ac:dyDescent="0.2">
      <c r="A4708" s="9">
        <v>46260</v>
      </c>
      <c r="B4708" t="s">
        <v>475</v>
      </c>
      <c r="C4708" t="s">
        <v>476</v>
      </c>
      <c r="D4708" t="s">
        <v>75</v>
      </c>
      <c r="E4708" t="s">
        <v>655</v>
      </c>
      <c r="F4708" t="s">
        <v>665</v>
      </c>
      <c r="G4708" s="10">
        <v>75</v>
      </c>
      <c r="H4708" s="10">
        <v>3464</v>
      </c>
      <c r="I4708" s="10">
        <v>259800</v>
      </c>
      <c r="J4708" t="s">
        <v>42</v>
      </c>
      <c r="K4708" s="11">
        <v>3145.8</v>
      </c>
      <c r="L4708" s="12">
        <v>82.59</v>
      </c>
    </row>
    <row r="4709" spans="1:12" x14ac:dyDescent="0.2">
      <c r="A4709" s="9">
        <v>46260</v>
      </c>
      <c r="B4709" t="s">
        <v>478</v>
      </c>
      <c r="C4709" t="s">
        <v>479</v>
      </c>
      <c r="D4709" t="s">
        <v>75</v>
      </c>
      <c r="E4709" t="s">
        <v>655</v>
      </c>
      <c r="F4709" t="s">
        <v>662</v>
      </c>
      <c r="G4709" s="10">
        <v>4</v>
      </c>
      <c r="H4709" s="10">
        <v>5520</v>
      </c>
      <c r="I4709" s="10">
        <v>22080</v>
      </c>
      <c r="J4709" t="s">
        <v>42</v>
      </c>
      <c r="K4709" s="11">
        <v>3145.8</v>
      </c>
      <c r="L4709" s="12">
        <v>7.02</v>
      </c>
    </row>
    <row r="4710" spans="1:12" x14ac:dyDescent="0.2">
      <c r="A4710" s="9">
        <v>46260</v>
      </c>
      <c r="B4710" t="s">
        <v>483</v>
      </c>
      <c r="C4710" t="s">
        <v>340</v>
      </c>
      <c r="D4710" t="s">
        <v>46</v>
      </c>
      <c r="E4710" t="s">
        <v>653</v>
      </c>
      <c r="F4710" t="s">
        <v>666</v>
      </c>
      <c r="G4710" s="10">
        <v>10</v>
      </c>
      <c r="H4710" s="10">
        <v>1494</v>
      </c>
      <c r="I4710" s="10">
        <v>14940</v>
      </c>
      <c r="J4710" t="s">
        <v>37</v>
      </c>
      <c r="K4710" s="11">
        <v>648.20000000000005</v>
      </c>
      <c r="L4710" s="12">
        <v>23.05</v>
      </c>
    </row>
    <row r="4711" spans="1:12" x14ac:dyDescent="0.2">
      <c r="A4711" s="9">
        <v>46260</v>
      </c>
      <c r="B4711" t="s">
        <v>483</v>
      </c>
      <c r="C4711" t="s">
        <v>340</v>
      </c>
      <c r="D4711" t="s">
        <v>46</v>
      </c>
      <c r="E4711" t="s">
        <v>660</v>
      </c>
      <c r="F4711" t="s">
        <v>670</v>
      </c>
      <c r="G4711" s="10">
        <v>13</v>
      </c>
      <c r="H4711" s="10">
        <v>14944</v>
      </c>
      <c r="I4711" s="10">
        <v>194272</v>
      </c>
      <c r="J4711" t="s">
        <v>37</v>
      </c>
      <c r="K4711" s="11">
        <v>648.20000000000005</v>
      </c>
      <c r="L4711" s="12">
        <v>299.70999999999998</v>
      </c>
    </row>
    <row r="4712" spans="1:12" x14ac:dyDescent="0.2">
      <c r="A4712" s="9">
        <v>46260</v>
      </c>
      <c r="B4712" t="s">
        <v>485</v>
      </c>
      <c r="C4712" t="s">
        <v>486</v>
      </c>
      <c r="D4712" t="s">
        <v>41</v>
      </c>
      <c r="E4712" t="s">
        <v>653</v>
      </c>
      <c r="F4712" t="s">
        <v>666</v>
      </c>
      <c r="G4712" s="10">
        <v>15</v>
      </c>
      <c r="H4712" s="10">
        <v>7441</v>
      </c>
      <c r="I4712" s="10">
        <v>111615</v>
      </c>
      <c r="J4712" t="s">
        <v>42</v>
      </c>
      <c r="K4712" s="11">
        <v>3145.8</v>
      </c>
      <c r="L4712" s="12">
        <v>35.479999999999997</v>
      </c>
    </row>
    <row r="4713" spans="1:12" x14ac:dyDescent="0.2">
      <c r="A4713" s="9">
        <v>46260</v>
      </c>
      <c r="B4713" t="s">
        <v>485</v>
      </c>
      <c r="C4713" t="s">
        <v>486</v>
      </c>
      <c r="D4713" t="s">
        <v>41</v>
      </c>
      <c r="E4713" t="s">
        <v>647</v>
      </c>
      <c r="F4713" t="s">
        <v>668</v>
      </c>
      <c r="G4713" s="10">
        <v>5</v>
      </c>
      <c r="H4713" s="10">
        <v>122426</v>
      </c>
      <c r="I4713" s="10">
        <v>612130</v>
      </c>
      <c r="J4713" t="s">
        <v>42</v>
      </c>
      <c r="K4713" s="11">
        <v>3145.8</v>
      </c>
      <c r="L4713" s="12">
        <v>194.59</v>
      </c>
    </row>
    <row r="4714" spans="1:12" x14ac:dyDescent="0.2">
      <c r="A4714" s="9">
        <v>46260</v>
      </c>
      <c r="B4714" t="s">
        <v>488</v>
      </c>
      <c r="C4714" t="s">
        <v>489</v>
      </c>
      <c r="D4714" t="s">
        <v>46</v>
      </c>
      <c r="E4714" t="s">
        <v>653</v>
      </c>
      <c r="F4714" t="s">
        <v>666</v>
      </c>
      <c r="G4714" s="10">
        <v>16</v>
      </c>
      <c r="H4714" s="10">
        <v>1448</v>
      </c>
      <c r="I4714" s="10">
        <v>23168</v>
      </c>
      <c r="J4714" t="s">
        <v>37</v>
      </c>
      <c r="K4714" s="11">
        <v>648.20000000000005</v>
      </c>
      <c r="L4714" s="12">
        <v>35.74</v>
      </c>
    </row>
    <row r="4715" spans="1:12" x14ac:dyDescent="0.2">
      <c r="A4715" s="9">
        <v>46260</v>
      </c>
      <c r="B4715" t="s">
        <v>488</v>
      </c>
      <c r="C4715" t="s">
        <v>489</v>
      </c>
      <c r="D4715" t="s">
        <v>46</v>
      </c>
      <c r="E4715" t="s">
        <v>649</v>
      </c>
      <c r="F4715" t="s">
        <v>650</v>
      </c>
      <c r="G4715" s="10">
        <v>8</v>
      </c>
      <c r="H4715" s="10">
        <v>18611</v>
      </c>
      <c r="I4715" s="10">
        <v>148888</v>
      </c>
      <c r="J4715" t="s">
        <v>37</v>
      </c>
      <c r="K4715" s="11">
        <v>648.20000000000005</v>
      </c>
      <c r="L4715" s="12">
        <v>229.69</v>
      </c>
    </row>
    <row r="4716" spans="1:12" x14ac:dyDescent="0.2">
      <c r="A4716" s="9">
        <v>46260</v>
      </c>
      <c r="B4716" t="s">
        <v>488</v>
      </c>
      <c r="C4716" t="s">
        <v>489</v>
      </c>
      <c r="D4716" t="s">
        <v>46</v>
      </c>
      <c r="E4716" t="s">
        <v>655</v>
      </c>
      <c r="F4716" t="s">
        <v>662</v>
      </c>
      <c r="G4716" s="10">
        <v>10</v>
      </c>
      <c r="H4716" s="10">
        <v>1083</v>
      </c>
      <c r="I4716" s="10">
        <v>10830</v>
      </c>
      <c r="J4716" t="s">
        <v>37</v>
      </c>
      <c r="K4716" s="11">
        <v>648.20000000000005</v>
      </c>
      <c r="L4716" s="12">
        <v>16.71</v>
      </c>
    </row>
    <row r="4717" spans="1:12" x14ac:dyDescent="0.2">
      <c r="A4717" s="9">
        <v>46260</v>
      </c>
      <c r="B4717" t="s">
        <v>491</v>
      </c>
      <c r="C4717" t="s">
        <v>125</v>
      </c>
      <c r="D4717" t="s">
        <v>75</v>
      </c>
      <c r="E4717" t="s">
        <v>649</v>
      </c>
      <c r="F4717" t="s">
        <v>659</v>
      </c>
      <c r="G4717" s="10">
        <v>3</v>
      </c>
      <c r="H4717" s="10">
        <v>43449</v>
      </c>
      <c r="I4717" s="10">
        <v>130347</v>
      </c>
      <c r="J4717" t="s">
        <v>42</v>
      </c>
      <c r="K4717" s="11">
        <v>3145.8</v>
      </c>
      <c r="L4717" s="12">
        <v>41.44</v>
      </c>
    </row>
    <row r="4718" spans="1:12" x14ac:dyDescent="0.2">
      <c r="A4718" s="9">
        <v>46260</v>
      </c>
      <c r="B4718" t="s">
        <v>496</v>
      </c>
      <c r="C4718" t="s">
        <v>497</v>
      </c>
      <c r="D4718" t="s">
        <v>41</v>
      </c>
      <c r="E4718" t="s">
        <v>660</v>
      </c>
      <c r="F4718" t="s">
        <v>661</v>
      </c>
      <c r="G4718" s="10">
        <v>14</v>
      </c>
      <c r="H4718" s="10">
        <v>19570</v>
      </c>
      <c r="I4718" s="10">
        <v>273980</v>
      </c>
      <c r="J4718" t="s">
        <v>42</v>
      </c>
      <c r="K4718" s="11">
        <v>3145.8</v>
      </c>
      <c r="L4718" s="12">
        <v>87.09</v>
      </c>
    </row>
    <row r="4719" spans="1:12" x14ac:dyDescent="0.2">
      <c r="A4719" s="9">
        <v>46260</v>
      </c>
      <c r="B4719" t="s">
        <v>496</v>
      </c>
      <c r="C4719" t="s">
        <v>497</v>
      </c>
      <c r="D4719" t="s">
        <v>41</v>
      </c>
      <c r="E4719" t="s">
        <v>647</v>
      </c>
      <c r="F4719" t="s">
        <v>667</v>
      </c>
      <c r="G4719" s="10">
        <v>31</v>
      </c>
      <c r="H4719" s="10">
        <v>34782</v>
      </c>
      <c r="I4719" s="10">
        <v>1078242</v>
      </c>
      <c r="J4719" t="s">
        <v>42</v>
      </c>
      <c r="K4719" s="11">
        <v>3145.8</v>
      </c>
      <c r="L4719" s="12">
        <v>342.76</v>
      </c>
    </row>
    <row r="4720" spans="1:12" x14ac:dyDescent="0.2">
      <c r="A4720" s="9">
        <v>46260</v>
      </c>
      <c r="B4720" t="s">
        <v>496</v>
      </c>
      <c r="C4720" t="s">
        <v>497</v>
      </c>
      <c r="D4720" t="s">
        <v>41</v>
      </c>
      <c r="E4720" t="s">
        <v>655</v>
      </c>
      <c r="F4720" t="s">
        <v>665</v>
      </c>
      <c r="G4720" s="10">
        <v>16</v>
      </c>
      <c r="H4720" s="10">
        <v>3441</v>
      </c>
      <c r="I4720" s="10">
        <v>55056</v>
      </c>
      <c r="J4720" t="s">
        <v>42</v>
      </c>
      <c r="K4720" s="11">
        <v>3145.8</v>
      </c>
      <c r="L4720" s="12">
        <v>17.5</v>
      </c>
    </row>
    <row r="4721" spans="1:12" x14ac:dyDescent="0.2">
      <c r="A4721" s="9">
        <v>46260</v>
      </c>
      <c r="B4721" t="s">
        <v>499</v>
      </c>
      <c r="C4721" t="s">
        <v>500</v>
      </c>
      <c r="D4721" t="s">
        <v>41</v>
      </c>
      <c r="E4721" t="s">
        <v>649</v>
      </c>
      <c r="F4721" t="s">
        <v>650</v>
      </c>
      <c r="G4721" s="10">
        <v>6</v>
      </c>
      <c r="H4721" s="10">
        <v>93588</v>
      </c>
      <c r="I4721" s="10">
        <v>561528</v>
      </c>
      <c r="J4721" t="s">
        <v>42</v>
      </c>
      <c r="K4721" s="11">
        <v>3145.8</v>
      </c>
      <c r="L4721" s="12">
        <v>178.5</v>
      </c>
    </row>
    <row r="4722" spans="1:12" x14ac:dyDescent="0.2">
      <c r="A4722" s="9">
        <v>46260</v>
      </c>
      <c r="B4722" t="s">
        <v>499</v>
      </c>
      <c r="C4722" t="s">
        <v>500</v>
      </c>
      <c r="D4722" t="s">
        <v>41</v>
      </c>
      <c r="E4722" t="s">
        <v>647</v>
      </c>
      <c r="F4722" t="s">
        <v>668</v>
      </c>
      <c r="G4722" s="10">
        <v>15</v>
      </c>
      <c r="H4722" s="10">
        <v>118371</v>
      </c>
      <c r="I4722" s="10">
        <v>1775565</v>
      </c>
      <c r="J4722" t="s">
        <v>42</v>
      </c>
      <c r="K4722" s="11">
        <v>3145.8</v>
      </c>
      <c r="L4722" s="12">
        <v>564.41999999999996</v>
      </c>
    </row>
    <row r="4723" spans="1:12" x14ac:dyDescent="0.2">
      <c r="A4723" s="9">
        <v>46260</v>
      </c>
      <c r="B4723" t="s">
        <v>508</v>
      </c>
      <c r="C4723" t="s">
        <v>509</v>
      </c>
      <c r="D4723" t="s">
        <v>68</v>
      </c>
      <c r="E4723" t="s">
        <v>649</v>
      </c>
      <c r="F4723" t="s">
        <v>650</v>
      </c>
      <c r="G4723" s="10">
        <v>3</v>
      </c>
      <c r="H4723" s="10">
        <v>19564</v>
      </c>
      <c r="I4723" s="10">
        <v>58692</v>
      </c>
      <c r="J4723" t="s">
        <v>51</v>
      </c>
      <c r="K4723" s="11">
        <v>648.20000000000005</v>
      </c>
      <c r="L4723" s="12">
        <v>90.55</v>
      </c>
    </row>
    <row r="4724" spans="1:12" x14ac:dyDescent="0.2">
      <c r="A4724" s="9">
        <v>46260</v>
      </c>
      <c r="B4724" t="s">
        <v>508</v>
      </c>
      <c r="C4724" t="s">
        <v>509</v>
      </c>
      <c r="D4724" t="s">
        <v>68</v>
      </c>
      <c r="E4724" t="s">
        <v>649</v>
      </c>
      <c r="F4724" t="s">
        <v>663</v>
      </c>
      <c r="G4724" s="10">
        <v>3</v>
      </c>
      <c r="H4724" s="10">
        <v>2050</v>
      </c>
      <c r="I4724" s="10">
        <v>6150</v>
      </c>
      <c r="J4724" t="s">
        <v>51</v>
      </c>
      <c r="K4724" s="11">
        <v>648.20000000000005</v>
      </c>
      <c r="L4724" s="12">
        <v>9.49</v>
      </c>
    </row>
    <row r="4725" spans="1:12" x14ac:dyDescent="0.2">
      <c r="A4725" s="9">
        <v>46260</v>
      </c>
      <c r="B4725" t="s">
        <v>508</v>
      </c>
      <c r="C4725" t="s">
        <v>509</v>
      </c>
      <c r="D4725" t="s">
        <v>68</v>
      </c>
      <c r="E4725" t="s">
        <v>655</v>
      </c>
      <c r="F4725" t="s">
        <v>665</v>
      </c>
      <c r="G4725" s="10">
        <v>4</v>
      </c>
      <c r="H4725" s="10">
        <v>671</v>
      </c>
      <c r="I4725" s="10">
        <v>2684</v>
      </c>
      <c r="J4725" t="s">
        <v>51</v>
      </c>
      <c r="K4725" s="11">
        <v>648.20000000000005</v>
      </c>
      <c r="L4725" s="12">
        <v>4.1399999999999997</v>
      </c>
    </row>
    <row r="4726" spans="1:12" x14ac:dyDescent="0.2">
      <c r="A4726" s="9">
        <v>46260</v>
      </c>
      <c r="B4726" t="s">
        <v>517</v>
      </c>
      <c r="C4726" t="s">
        <v>518</v>
      </c>
      <c r="D4726" t="s">
        <v>41</v>
      </c>
      <c r="E4726" t="s">
        <v>651</v>
      </c>
      <c r="F4726" t="s">
        <v>664</v>
      </c>
      <c r="G4726" s="10">
        <v>6</v>
      </c>
      <c r="H4726" s="10">
        <v>56868</v>
      </c>
      <c r="I4726" s="10">
        <v>341208</v>
      </c>
      <c r="J4726" t="s">
        <v>42</v>
      </c>
      <c r="K4726" s="11">
        <v>3145.8</v>
      </c>
      <c r="L4726" s="12">
        <v>108.46</v>
      </c>
    </row>
    <row r="4727" spans="1:12" x14ac:dyDescent="0.2">
      <c r="A4727" s="9">
        <v>46260</v>
      </c>
      <c r="B4727" t="s">
        <v>520</v>
      </c>
      <c r="C4727" t="s">
        <v>489</v>
      </c>
      <c r="D4727" t="s">
        <v>46</v>
      </c>
      <c r="E4727" t="s">
        <v>660</v>
      </c>
      <c r="F4727" t="s">
        <v>669</v>
      </c>
      <c r="G4727" s="10">
        <v>2</v>
      </c>
      <c r="H4727" s="10">
        <v>2684</v>
      </c>
      <c r="I4727" s="10">
        <v>5368</v>
      </c>
      <c r="J4727" t="s">
        <v>37</v>
      </c>
      <c r="K4727" s="11">
        <v>648.20000000000005</v>
      </c>
      <c r="L4727" s="12">
        <v>8.2799999999999994</v>
      </c>
    </row>
    <row r="4728" spans="1:12" x14ac:dyDescent="0.2">
      <c r="A4728" s="9">
        <v>46260</v>
      </c>
      <c r="B4728" t="s">
        <v>522</v>
      </c>
      <c r="C4728" t="s">
        <v>523</v>
      </c>
      <c r="D4728" t="s">
        <v>50</v>
      </c>
      <c r="E4728" t="s">
        <v>647</v>
      </c>
      <c r="F4728" t="s">
        <v>668</v>
      </c>
      <c r="G4728" s="10">
        <v>10</v>
      </c>
      <c r="H4728" s="10">
        <v>25852</v>
      </c>
      <c r="I4728" s="10">
        <v>258520</v>
      </c>
      <c r="J4728" t="s">
        <v>51</v>
      </c>
      <c r="K4728" s="11">
        <v>648.20000000000005</v>
      </c>
      <c r="L4728" s="12">
        <v>398.83</v>
      </c>
    </row>
    <row r="4729" spans="1:12" x14ac:dyDescent="0.2">
      <c r="A4729" s="9">
        <v>46260</v>
      </c>
      <c r="B4729" t="s">
        <v>525</v>
      </c>
      <c r="C4729" t="s">
        <v>526</v>
      </c>
      <c r="D4729" t="s">
        <v>46</v>
      </c>
      <c r="E4729" t="s">
        <v>660</v>
      </c>
      <c r="F4729" t="s">
        <v>670</v>
      </c>
      <c r="G4729" s="10">
        <v>48</v>
      </c>
      <c r="H4729" s="10">
        <v>13925</v>
      </c>
      <c r="I4729" s="10">
        <v>668400</v>
      </c>
      <c r="J4729" t="s">
        <v>37</v>
      </c>
      <c r="K4729" s="11">
        <v>648.20000000000005</v>
      </c>
      <c r="L4729" s="12">
        <v>1031.1600000000001</v>
      </c>
    </row>
    <row r="4730" spans="1:12" x14ac:dyDescent="0.2">
      <c r="A4730" s="9">
        <v>46260</v>
      </c>
      <c r="B4730" t="s">
        <v>525</v>
      </c>
      <c r="C4730" t="s">
        <v>526</v>
      </c>
      <c r="D4730" t="s">
        <v>46</v>
      </c>
      <c r="E4730" t="s">
        <v>647</v>
      </c>
      <c r="F4730" t="s">
        <v>668</v>
      </c>
      <c r="G4730" s="10">
        <v>16</v>
      </c>
      <c r="H4730" s="10">
        <v>25523</v>
      </c>
      <c r="I4730" s="10">
        <v>408368</v>
      </c>
      <c r="J4730" t="s">
        <v>37</v>
      </c>
      <c r="K4730" s="11">
        <v>648.20000000000005</v>
      </c>
      <c r="L4730" s="12">
        <v>630</v>
      </c>
    </row>
    <row r="4731" spans="1:12" x14ac:dyDescent="0.2">
      <c r="A4731" s="9">
        <v>46260</v>
      </c>
      <c r="B4731" t="s">
        <v>528</v>
      </c>
      <c r="C4731" t="s">
        <v>529</v>
      </c>
      <c r="D4731" t="s">
        <v>46</v>
      </c>
      <c r="E4731" t="s">
        <v>651</v>
      </c>
      <c r="F4731" t="s">
        <v>652</v>
      </c>
      <c r="G4731" s="10">
        <v>74</v>
      </c>
      <c r="H4731" s="10">
        <v>9746</v>
      </c>
      <c r="I4731" s="10">
        <v>721204</v>
      </c>
      <c r="J4731" t="s">
        <v>37</v>
      </c>
      <c r="K4731" s="11">
        <v>648.20000000000005</v>
      </c>
      <c r="L4731" s="12">
        <v>1112.6300000000001</v>
      </c>
    </row>
    <row r="4732" spans="1:12" x14ac:dyDescent="0.2">
      <c r="A4732" s="9">
        <v>46260</v>
      </c>
      <c r="B4732" t="s">
        <v>528</v>
      </c>
      <c r="C4732" t="s">
        <v>529</v>
      </c>
      <c r="D4732" t="s">
        <v>46</v>
      </c>
      <c r="E4732" t="s">
        <v>649</v>
      </c>
      <c r="F4732" t="s">
        <v>650</v>
      </c>
      <c r="G4732" s="10">
        <v>66</v>
      </c>
      <c r="H4732" s="10">
        <v>19269</v>
      </c>
      <c r="I4732" s="10">
        <v>1271754</v>
      </c>
      <c r="J4732" t="s">
        <v>37</v>
      </c>
      <c r="K4732" s="11">
        <v>648.20000000000005</v>
      </c>
      <c r="L4732" s="12">
        <v>1961.98</v>
      </c>
    </row>
    <row r="4733" spans="1:12" x14ac:dyDescent="0.2">
      <c r="A4733" s="9">
        <v>46260</v>
      </c>
      <c r="B4733" t="s">
        <v>528</v>
      </c>
      <c r="C4733" t="s">
        <v>529</v>
      </c>
      <c r="D4733" t="s">
        <v>46</v>
      </c>
      <c r="E4733" t="s">
        <v>660</v>
      </c>
      <c r="F4733" t="s">
        <v>670</v>
      </c>
      <c r="G4733" s="10">
        <v>176</v>
      </c>
      <c r="H4733" s="10">
        <v>14801</v>
      </c>
      <c r="I4733" s="10">
        <v>2604976</v>
      </c>
      <c r="J4733" t="s">
        <v>37</v>
      </c>
      <c r="K4733" s="11">
        <v>648.20000000000005</v>
      </c>
      <c r="L4733" s="12">
        <v>4018.78</v>
      </c>
    </row>
    <row r="4734" spans="1:12" x14ac:dyDescent="0.2">
      <c r="A4734" s="9">
        <v>46260</v>
      </c>
      <c r="B4734" t="s">
        <v>528</v>
      </c>
      <c r="C4734" t="s">
        <v>529</v>
      </c>
      <c r="D4734" t="s">
        <v>46</v>
      </c>
      <c r="E4734" t="s">
        <v>647</v>
      </c>
      <c r="F4734" t="s">
        <v>668</v>
      </c>
      <c r="G4734" s="10">
        <v>17</v>
      </c>
      <c r="H4734" s="10">
        <v>25710</v>
      </c>
      <c r="I4734" s="10">
        <v>437070</v>
      </c>
      <c r="J4734" t="s">
        <v>37</v>
      </c>
      <c r="K4734" s="11">
        <v>648.20000000000005</v>
      </c>
      <c r="L4734" s="12">
        <v>674.28</v>
      </c>
    </row>
    <row r="4735" spans="1:12" x14ac:dyDescent="0.2">
      <c r="A4735" s="9">
        <v>46260</v>
      </c>
      <c r="B4735" t="s">
        <v>528</v>
      </c>
      <c r="C4735" t="s">
        <v>529</v>
      </c>
      <c r="D4735" t="s">
        <v>46</v>
      </c>
      <c r="E4735" t="s">
        <v>647</v>
      </c>
      <c r="F4735" t="s">
        <v>668</v>
      </c>
      <c r="G4735" s="10">
        <v>59</v>
      </c>
      <c r="H4735" s="10">
        <v>24895</v>
      </c>
      <c r="I4735" s="10">
        <v>1468805</v>
      </c>
      <c r="J4735" t="s">
        <v>37</v>
      </c>
      <c r="K4735" s="11">
        <v>648.20000000000005</v>
      </c>
      <c r="L4735" s="12">
        <v>2265.98</v>
      </c>
    </row>
    <row r="4736" spans="1:12" x14ac:dyDescent="0.2">
      <c r="A4736" s="9">
        <v>46260</v>
      </c>
      <c r="B4736" t="s">
        <v>528</v>
      </c>
      <c r="C4736" t="s">
        <v>529</v>
      </c>
      <c r="D4736" t="s">
        <v>46</v>
      </c>
      <c r="E4736" t="s">
        <v>647</v>
      </c>
      <c r="F4736" t="s">
        <v>648</v>
      </c>
      <c r="G4736" s="10">
        <v>44</v>
      </c>
      <c r="H4736" s="10">
        <v>16378</v>
      </c>
      <c r="I4736" s="10">
        <v>720632</v>
      </c>
      <c r="J4736" t="s">
        <v>37</v>
      </c>
      <c r="K4736" s="11">
        <v>648.20000000000005</v>
      </c>
      <c r="L4736" s="12">
        <v>1111.74</v>
      </c>
    </row>
    <row r="4737" spans="1:12" x14ac:dyDescent="0.2">
      <c r="A4737" s="9">
        <v>46260</v>
      </c>
      <c r="B4737" t="s">
        <v>528</v>
      </c>
      <c r="C4737" t="s">
        <v>529</v>
      </c>
      <c r="D4737" t="s">
        <v>46</v>
      </c>
      <c r="E4737" t="s">
        <v>647</v>
      </c>
      <c r="F4737" t="s">
        <v>667</v>
      </c>
      <c r="G4737" s="10">
        <v>23</v>
      </c>
      <c r="H4737" s="10">
        <v>7187</v>
      </c>
      <c r="I4737" s="10">
        <v>165301</v>
      </c>
      <c r="J4737" t="s">
        <v>37</v>
      </c>
      <c r="K4737" s="11">
        <v>648.20000000000005</v>
      </c>
      <c r="L4737" s="12">
        <v>255.02</v>
      </c>
    </row>
    <row r="4738" spans="1:12" x14ac:dyDescent="0.2">
      <c r="A4738" s="9">
        <v>46260</v>
      </c>
      <c r="B4738" t="s">
        <v>531</v>
      </c>
      <c r="C4738" t="s">
        <v>532</v>
      </c>
      <c r="D4738" t="s">
        <v>50</v>
      </c>
      <c r="E4738" t="s">
        <v>649</v>
      </c>
      <c r="F4738" t="s">
        <v>659</v>
      </c>
      <c r="G4738" s="10">
        <v>42</v>
      </c>
      <c r="H4738" s="10">
        <v>8617</v>
      </c>
      <c r="I4738" s="10">
        <v>361914</v>
      </c>
      <c r="J4738" t="s">
        <v>51</v>
      </c>
      <c r="K4738" s="11">
        <v>648.20000000000005</v>
      </c>
      <c r="L4738" s="12">
        <v>558.34</v>
      </c>
    </row>
    <row r="4739" spans="1:12" x14ac:dyDescent="0.2">
      <c r="A4739" s="9">
        <v>46260</v>
      </c>
      <c r="B4739" t="s">
        <v>537</v>
      </c>
      <c r="C4739" t="s">
        <v>538</v>
      </c>
      <c r="D4739" t="s">
        <v>68</v>
      </c>
      <c r="E4739" t="s">
        <v>653</v>
      </c>
      <c r="F4739" t="s">
        <v>658</v>
      </c>
      <c r="G4739" s="10">
        <v>87</v>
      </c>
      <c r="H4739" s="10">
        <v>2772</v>
      </c>
      <c r="I4739" s="10">
        <v>241164</v>
      </c>
      <c r="J4739" t="s">
        <v>51</v>
      </c>
      <c r="K4739" s="11">
        <v>648.20000000000005</v>
      </c>
      <c r="L4739" s="12">
        <v>372.05</v>
      </c>
    </row>
    <row r="4740" spans="1:12" x14ac:dyDescent="0.2">
      <c r="A4740" s="9">
        <v>46260</v>
      </c>
      <c r="B4740" t="s">
        <v>537</v>
      </c>
      <c r="C4740" t="s">
        <v>538</v>
      </c>
      <c r="D4740" t="s">
        <v>68</v>
      </c>
      <c r="E4740" t="s">
        <v>653</v>
      </c>
      <c r="F4740" t="s">
        <v>658</v>
      </c>
      <c r="G4740" s="10">
        <v>21</v>
      </c>
      <c r="H4740" s="10">
        <v>2644</v>
      </c>
      <c r="I4740" s="10">
        <v>55524</v>
      </c>
      <c r="J4740" t="s">
        <v>51</v>
      </c>
      <c r="K4740" s="11">
        <v>648.20000000000005</v>
      </c>
      <c r="L4740" s="12">
        <v>85.66</v>
      </c>
    </row>
    <row r="4741" spans="1:12" x14ac:dyDescent="0.2">
      <c r="A4741" s="9">
        <v>46260</v>
      </c>
      <c r="B4741" t="s">
        <v>537</v>
      </c>
      <c r="C4741" t="s">
        <v>538</v>
      </c>
      <c r="D4741" t="s">
        <v>68</v>
      </c>
      <c r="E4741" t="s">
        <v>660</v>
      </c>
      <c r="F4741" t="s">
        <v>669</v>
      </c>
      <c r="G4741" s="10">
        <v>33</v>
      </c>
      <c r="H4741" s="10">
        <v>2575</v>
      </c>
      <c r="I4741" s="10">
        <v>84975</v>
      </c>
      <c r="J4741" t="s">
        <v>51</v>
      </c>
      <c r="K4741" s="11">
        <v>648.20000000000005</v>
      </c>
      <c r="L4741" s="12">
        <v>131.09</v>
      </c>
    </row>
    <row r="4742" spans="1:12" x14ac:dyDescent="0.2">
      <c r="A4742" s="9">
        <v>46260</v>
      </c>
      <c r="B4742" t="s">
        <v>537</v>
      </c>
      <c r="C4742" t="s">
        <v>538</v>
      </c>
      <c r="D4742" t="s">
        <v>68</v>
      </c>
      <c r="E4742" t="s">
        <v>647</v>
      </c>
      <c r="F4742" t="s">
        <v>667</v>
      </c>
      <c r="G4742" s="10">
        <v>44</v>
      </c>
      <c r="H4742" s="10">
        <v>7170</v>
      </c>
      <c r="I4742" s="10">
        <v>315480</v>
      </c>
      <c r="J4742" t="s">
        <v>51</v>
      </c>
      <c r="K4742" s="11">
        <v>648.20000000000005</v>
      </c>
      <c r="L4742" s="12">
        <v>486.7</v>
      </c>
    </row>
    <row r="4743" spans="1:12" x14ac:dyDescent="0.2">
      <c r="A4743" s="9">
        <v>46260</v>
      </c>
      <c r="B4743" t="s">
        <v>540</v>
      </c>
      <c r="C4743" t="s">
        <v>541</v>
      </c>
      <c r="D4743" t="s">
        <v>41</v>
      </c>
      <c r="E4743" t="s">
        <v>660</v>
      </c>
      <c r="F4743" t="s">
        <v>669</v>
      </c>
      <c r="G4743" s="10">
        <v>37</v>
      </c>
      <c r="H4743" s="10">
        <v>12537</v>
      </c>
      <c r="I4743" s="10">
        <v>463869</v>
      </c>
      <c r="J4743" t="s">
        <v>42</v>
      </c>
      <c r="K4743" s="11">
        <v>3145.8</v>
      </c>
      <c r="L4743" s="12">
        <v>147.46</v>
      </c>
    </row>
    <row r="4744" spans="1:12" x14ac:dyDescent="0.2">
      <c r="A4744" s="9">
        <v>46260</v>
      </c>
      <c r="B4744" t="s">
        <v>540</v>
      </c>
      <c r="C4744" t="s">
        <v>541</v>
      </c>
      <c r="D4744" t="s">
        <v>41</v>
      </c>
      <c r="E4744" t="s">
        <v>647</v>
      </c>
      <c r="F4744" t="s">
        <v>668</v>
      </c>
      <c r="G4744" s="10">
        <v>17</v>
      </c>
      <c r="H4744" s="10">
        <v>125606</v>
      </c>
      <c r="I4744" s="10">
        <v>2135302</v>
      </c>
      <c r="J4744" t="s">
        <v>42</v>
      </c>
      <c r="K4744" s="11">
        <v>3145.8</v>
      </c>
      <c r="L4744" s="12">
        <v>678.78</v>
      </c>
    </row>
    <row r="4745" spans="1:12" x14ac:dyDescent="0.2">
      <c r="A4745" s="9">
        <v>46260</v>
      </c>
      <c r="B4745" t="s">
        <v>543</v>
      </c>
      <c r="C4745" t="s">
        <v>544</v>
      </c>
      <c r="D4745" t="s">
        <v>68</v>
      </c>
      <c r="E4745" t="s">
        <v>651</v>
      </c>
      <c r="F4745" t="s">
        <v>652</v>
      </c>
      <c r="G4745" s="10">
        <v>6</v>
      </c>
      <c r="H4745" s="10">
        <v>9207</v>
      </c>
      <c r="I4745" s="10">
        <v>55242</v>
      </c>
      <c r="J4745" t="s">
        <v>51</v>
      </c>
      <c r="K4745" s="11">
        <v>648.20000000000005</v>
      </c>
      <c r="L4745" s="12">
        <v>85.22</v>
      </c>
    </row>
    <row r="4746" spans="1:12" x14ac:dyDescent="0.2">
      <c r="A4746" s="9">
        <v>46260</v>
      </c>
      <c r="B4746" t="s">
        <v>546</v>
      </c>
      <c r="C4746" t="s">
        <v>547</v>
      </c>
      <c r="D4746" t="s">
        <v>41</v>
      </c>
      <c r="E4746" t="s">
        <v>655</v>
      </c>
      <c r="F4746" t="s">
        <v>662</v>
      </c>
      <c r="G4746" s="10">
        <v>8</v>
      </c>
      <c r="H4746" s="10">
        <v>5252</v>
      </c>
      <c r="I4746" s="10">
        <v>42016</v>
      </c>
      <c r="J4746" t="s">
        <v>42</v>
      </c>
      <c r="K4746" s="11">
        <v>3145.8</v>
      </c>
      <c r="L4746" s="12">
        <v>13.36</v>
      </c>
    </row>
    <row r="4747" spans="1:12" x14ac:dyDescent="0.2">
      <c r="A4747" s="9">
        <v>46260</v>
      </c>
      <c r="B4747" t="s">
        <v>555</v>
      </c>
      <c r="C4747" t="s">
        <v>556</v>
      </c>
      <c r="D4747" t="s">
        <v>41</v>
      </c>
      <c r="E4747" t="s">
        <v>649</v>
      </c>
      <c r="F4747" t="s">
        <v>650</v>
      </c>
      <c r="G4747" s="10">
        <v>34</v>
      </c>
      <c r="H4747" s="10">
        <v>94688</v>
      </c>
      <c r="I4747" s="10">
        <v>3219392</v>
      </c>
      <c r="J4747" t="s">
        <v>42</v>
      </c>
      <c r="K4747" s="11">
        <v>3145.8</v>
      </c>
      <c r="L4747" s="12">
        <v>1023.39</v>
      </c>
    </row>
    <row r="4748" spans="1:12" x14ac:dyDescent="0.2">
      <c r="A4748" s="9">
        <v>46260</v>
      </c>
      <c r="B4748" t="s">
        <v>561</v>
      </c>
      <c r="C4748" t="s">
        <v>562</v>
      </c>
      <c r="D4748" t="s">
        <v>46</v>
      </c>
      <c r="E4748" t="s">
        <v>655</v>
      </c>
      <c r="F4748" t="s">
        <v>665</v>
      </c>
      <c r="G4748" s="10">
        <v>19</v>
      </c>
      <c r="H4748" s="10">
        <v>690</v>
      </c>
      <c r="I4748" s="10">
        <v>13110</v>
      </c>
      <c r="J4748" t="s">
        <v>37</v>
      </c>
      <c r="K4748" s="11">
        <v>648.20000000000005</v>
      </c>
      <c r="L4748" s="12">
        <v>20.23</v>
      </c>
    </row>
    <row r="4749" spans="1:12" x14ac:dyDescent="0.2">
      <c r="A4749" s="9">
        <v>46260</v>
      </c>
      <c r="B4749" t="s">
        <v>564</v>
      </c>
      <c r="C4749" t="s">
        <v>565</v>
      </c>
      <c r="D4749" t="s">
        <v>41</v>
      </c>
      <c r="E4749" t="s">
        <v>653</v>
      </c>
      <c r="F4749" t="s">
        <v>666</v>
      </c>
      <c r="G4749" s="10">
        <v>21</v>
      </c>
      <c r="H4749" s="10">
        <v>7216</v>
      </c>
      <c r="I4749" s="10">
        <v>151536</v>
      </c>
      <c r="J4749" t="s">
        <v>42</v>
      </c>
      <c r="K4749" s="11">
        <v>3145.8</v>
      </c>
      <c r="L4749" s="12">
        <v>48.17</v>
      </c>
    </row>
    <row r="4750" spans="1:12" x14ac:dyDescent="0.2">
      <c r="A4750" s="9">
        <v>46260</v>
      </c>
      <c r="B4750" t="s">
        <v>564</v>
      </c>
      <c r="C4750" t="s">
        <v>565</v>
      </c>
      <c r="D4750" t="s">
        <v>41</v>
      </c>
      <c r="E4750" t="s">
        <v>651</v>
      </c>
      <c r="F4750" t="s">
        <v>664</v>
      </c>
      <c r="G4750" s="10">
        <v>3</v>
      </c>
      <c r="H4750" s="10">
        <v>58042</v>
      </c>
      <c r="I4750" s="10">
        <v>174126</v>
      </c>
      <c r="J4750" t="s">
        <v>42</v>
      </c>
      <c r="K4750" s="11">
        <v>3145.8</v>
      </c>
      <c r="L4750" s="12">
        <v>55.35</v>
      </c>
    </row>
    <row r="4751" spans="1:12" x14ac:dyDescent="0.2">
      <c r="A4751" s="9">
        <v>46260</v>
      </c>
      <c r="B4751" t="s">
        <v>564</v>
      </c>
      <c r="C4751" t="s">
        <v>565</v>
      </c>
      <c r="D4751" t="s">
        <v>41</v>
      </c>
      <c r="E4751" t="s">
        <v>655</v>
      </c>
      <c r="F4751" t="s">
        <v>665</v>
      </c>
      <c r="G4751" s="10">
        <v>19</v>
      </c>
      <c r="H4751" s="10">
        <v>3244</v>
      </c>
      <c r="I4751" s="10">
        <v>61636</v>
      </c>
      <c r="J4751" t="s">
        <v>42</v>
      </c>
      <c r="K4751" s="11">
        <v>3145.8</v>
      </c>
      <c r="L4751" s="12">
        <v>19.59</v>
      </c>
    </row>
    <row r="4752" spans="1:12" x14ac:dyDescent="0.2">
      <c r="A4752" s="9">
        <v>46260</v>
      </c>
      <c r="B4752" t="s">
        <v>567</v>
      </c>
      <c r="C4752" t="s">
        <v>568</v>
      </c>
      <c r="D4752" t="s">
        <v>41</v>
      </c>
      <c r="E4752" t="s">
        <v>649</v>
      </c>
      <c r="F4752" t="s">
        <v>663</v>
      </c>
      <c r="G4752" s="10">
        <v>109</v>
      </c>
      <c r="H4752" s="10">
        <v>10176</v>
      </c>
      <c r="I4752" s="10">
        <v>1109184</v>
      </c>
      <c r="J4752" t="s">
        <v>42</v>
      </c>
      <c r="K4752" s="11">
        <v>3145.8</v>
      </c>
      <c r="L4752" s="12">
        <v>352.59</v>
      </c>
    </row>
    <row r="4753" spans="1:12" x14ac:dyDescent="0.2">
      <c r="A4753" s="9">
        <v>46260</v>
      </c>
      <c r="B4753" t="s">
        <v>576</v>
      </c>
      <c r="C4753" t="s">
        <v>577</v>
      </c>
      <c r="D4753" t="s">
        <v>50</v>
      </c>
      <c r="E4753" t="s">
        <v>647</v>
      </c>
      <c r="F4753" t="s">
        <v>668</v>
      </c>
      <c r="G4753" s="10">
        <v>13</v>
      </c>
      <c r="H4753" s="10">
        <v>24728</v>
      </c>
      <c r="I4753" s="10">
        <v>321464</v>
      </c>
      <c r="J4753" t="s">
        <v>51</v>
      </c>
      <c r="K4753" s="11">
        <v>648.20000000000005</v>
      </c>
      <c r="L4753" s="12">
        <v>495.93</v>
      </c>
    </row>
    <row r="4754" spans="1:12" x14ac:dyDescent="0.2">
      <c r="A4754" s="9">
        <v>46260</v>
      </c>
      <c r="B4754" t="s">
        <v>582</v>
      </c>
      <c r="C4754" t="s">
        <v>583</v>
      </c>
      <c r="D4754" t="s">
        <v>36</v>
      </c>
      <c r="E4754" t="s">
        <v>649</v>
      </c>
      <c r="F4754" t="s">
        <v>663</v>
      </c>
      <c r="G4754" s="10">
        <v>3</v>
      </c>
      <c r="H4754" s="10">
        <v>2062</v>
      </c>
      <c r="I4754" s="10">
        <v>6186</v>
      </c>
      <c r="J4754" t="s">
        <v>37</v>
      </c>
      <c r="K4754" s="11">
        <v>648.20000000000005</v>
      </c>
      <c r="L4754" s="12">
        <v>9.5399999999999991</v>
      </c>
    </row>
    <row r="4755" spans="1:12" x14ac:dyDescent="0.2">
      <c r="A4755" s="9">
        <v>46260</v>
      </c>
      <c r="B4755" t="s">
        <v>582</v>
      </c>
      <c r="C4755" t="s">
        <v>583</v>
      </c>
      <c r="D4755" t="s">
        <v>36</v>
      </c>
      <c r="E4755" t="s">
        <v>647</v>
      </c>
      <c r="F4755" t="s">
        <v>648</v>
      </c>
      <c r="G4755" s="10">
        <v>3</v>
      </c>
      <c r="H4755" s="10">
        <v>16533</v>
      </c>
      <c r="I4755" s="10">
        <v>49599</v>
      </c>
      <c r="J4755" t="s">
        <v>37</v>
      </c>
      <c r="K4755" s="11">
        <v>648.20000000000005</v>
      </c>
      <c r="L4755" s="12">
        <v>76.52</v>
      </c>
    </row>
    <row r="4756" spans="1:12" x14ac:dyDescent="0.2">
      <c r="A4756" s="9">
        <v>46260</v>
      </c>
      <c r="B4756" t="s">
        <v>582</v>
      </c>
      <c r="C4756" t="s">
        <v>583</v>
      </c>
      <c r="D4756" t="s">
        <v>36</v>
      </c>
      <c r="E4756" t="s">
        <v>647</v>
      </c>
      <c r="F4756" t="s">
        <v>667</v>
      </c>
      <c r="G4756" s="10">
        <v>6</v>
      </c>
      <c r="H4756" s="10">
        <v>7094</v>
      </c>
      <c r="I4756" s="10">
        <v>42564</v>
      </c>
      <c r="J4756" t="s">
        <v>37</v>
      </c>
      <c r="K4756" s="11">
        <v>648.20000000000005</v>
      </c>
      <c r="L4756" s="12">
        <v>65.66</v>
      </c>
    </row>
    <row r="4757" spans="1:12" x14ac:dyDescent="0.2">
      <c r="A4757" s="9">
        <v>46260</v>
      </c>
      <c r="B4757" t="s">
        <v>585</v>
      </c>
      <c r="C4757" t="s">
        <v>586</v>
      </c>
      <c r="D4757" t="s">
        <v>50</v>
      </c>
      <c r="E4757" t="s">
        <v>653</v>
      </c>
      <c r="F4757" t="s">
        <v>666</v>
      </c>
      <c r="G4757" s="10">
        <v>7</v>
      </c>
      <c r="H4757" s="10">
        <v>1488</v>
      </c>
      <c r="I4757" s="10">
        <v>10416</v>
      </c>
      <c r="J4757" t="s">
        <v>51</v>
      </c>
      <c r="K4757" s="11">
        <v>648.20000000000005</v>
      </c>
      <c r="L4757" s="12">
        <v>16.07</v>
      </c>
    </row>
    <row r="4758" spans="1:12" x14ac:dyDescent="0.2">
      <c r="A4758" s="9">
        <v>46260</v>
      </c>
      <c r="B4758" t="s">
        <v>585</v>
      </c>
      <c r="C4758" t="s">
        <v>586</v>
      </c>
      <c r="D4758" t="s">
        <v>50</v>
      </c>
      <c r="E4758" t="s">
        <v>647</v>
      </c>
      <c r="F4758" t="s">
        <v>667</v>
      </c>
      <c r="G4758" s="10">
        <v>1</v>
      </c>
      <c r="H4758" s="10">
        <v>7397</v>
      </c>
      <c r="I4758" s="10">
        <v>7397</v>
      </c>
      <c r="J4758" t="s">
        <v>51</v>
      </c>
      <c r="K4758" s="11">
        <v>648.20000000000005</v>
      </c>
      <c r="L4758" s="12">
        <v>11.41</v>
      </c>
    </row>
    <row r="4759" spans="1:12" x14ac:dyDescent="0.2">
      <c r="A4759" s="9">
        <v>46260</v>
      </c>
      <c r="B4759" t="s">
        <v>590</v>
      </c>
      <c r="C4759" t="s">
        <v>591</v>
      </c>
      <c r="D4759" t="s">
        <v>41</v>
      </c>
      <c r="E4759" t="s">
        <v>655</v>
      </c>
      <c r="F4759" t="s">
        <v>662</v>
      </c>
      <c r="G4759" s="10">
        <v>23</v>
      </c>
      <c r="H4759" s="10">
        <v>5359</v>
      </c>
      <c r="I4759" s="10">
        <v>123257</v>
      </c>
      <c r="J4759" t="s">
        <v>42</v>
      </c>
      <c r="K4759" s="11">
        <v>3145.8</v>
      </c>
      <c r="L4759" s="12">
        <v>39.18</v>
      </c>
    </row>
    <row r="4760" spans="1:12" x14ac:dyDescent="0.2">
      <c r="A4760" s="9">
        <v>46260</v>
      </c>
      <c r="B4760" t="s">
        <v>593</v>
      </c>
      <c r="C4760" t="s">
        <v>594</v>
      </c>
      <c r="D4760" t="s">
        <v>50</v>
      </c>
      <c r="E4760" t="s">
        <v>653</v>
      </c>
      <c r="F4760" t="s">
        <v>658</v>
      </c>
      <c r="G4760" s="10">
        <v>9</v>
      </c>
      <c r="H4760" s="10">
        <v>2610</v>
      </c>
      <c r="I4760" s="10">
        <v>23490</v>
      </c>
      <c r="J4760" t="s">
        <v>51</v>
      </c>
      <c r="K4760" s="11">
        <v>648.20000000000005</v>
      </c>
      <c r="L4760" s="12">
        <v>36.24</v>
      </c>
    </row>
    <row r="4761" spans="1:12" x14ac:dyDescent="0.2">
      <c r="A4761" s="9">
        <v>46260</v>
      </c>
      <c r="B4761" t="s">
        <v>596</v>
      </c>
      <c r="C4761" t="s">
        <v>597</v>
      </c>
      <c r="D4761" t="s">
        <v>50</v>
      </c>
      <c r="E4761" t="s">
        <v>649</v>
      </c>
      <c r="F4761" t="s">
        <v>659</v>
      </c>
      <c r="G4761" s="10">
        <v>3</v>
      </c>
      <c r="H4761" s="10">
        <v>8678</v>
      </c>
      <c r="I4761" s="10">
        <v>26034</v>
      </c>
      <c r="J4761" t="s">
        <v>51</v>
      </c>
      <c r="K4761" s="11">
        <v>648.20000000000005</v>
      </c>
      <c r="L4761" s="12">
        <v>40.159999999999997</v>
      </c>
    </row>
    <row r="4762" spans="1:12" x14ac:dyDescent="0.2">
      <c r="A4762" s="9">
        <v>46260</v>
      </c>
      <c r="B4762" t="s">
        <v>599</v>
      </c>
      <c r="C4762" t="s">
        <v>600</v>
      </c>
      <c r="D4762" t="s">
        <v>75</v>
      </c>
      <c r="E4762" t="s">
        <v>653</v>
      </c>
      <c r="F4762" t="s">
        <v>658</v>
      </c>
      <c r="G4762" s="10">
        <v>125</v>
      </c>
      <c r="H4762" s="10">
        <v>12791</v>
      </c>
      <c r="I4762" s="10">
        <v>1598875</v>
      </c>
      <c r="J4762" t="s">
        <v>42</v>
      </c>
      <c r="K4762" s="11">
        <v>3145.8</v>
      </c>
      <c r="L4762" s="12">
        <v>508.26</v>
      </c>
    </row>
    <row r="4763" spans="1:12" x14ac:dyDescent="0.2">
      <c r="A4763" s="9">
        <v>46260</v>
      </c>
      <c r="B4763" t="s">
        <v>602</v>
      </c>
      <c r="C4763" t="s">
        <v>603</v>
      </c>
      <c r="D4763" t="s">
        <v>50</v>
      </c>
      <c r="E4763" t="s">
        <v>660</v>
      </c>
      <c r="F4763" t="s">
        <v>670</v>
      </c>
      <c r="G4763" s="10">
        <v>48</v>
      </c>
      <c r="H4763" s="10">
        <v>14032</v>
      </c>
      <c r="I4763" s="10">
        <v>673536</v>
      </c>
      <c r="J4763" t="s">
        <v>51</v>
      </c>
      <c r="K4763" s="11">
        <v>648.20000000000005</v>
      </c>
      <c r="L4763" s="12">
        <v>1039.0899999999999</v>
      </c>
    </row>
    <row r="4764" spans="1:12" x14ac:dyDescent="0.2">
      <c r="A4764" s="9">
        <v>46260</v>
      </c>
      <c r="B4764" t="s">
        <v>617</v>
      </c>
      <c r="C4764" t="s">
        <v>618</v>
      </c>
      <c r="D4764" t="s">
        <v>75</v>
      </c>
      <c r="E4764" t="s">
        <v>651</v>
      </c>
      <c r="F4764" t="s">
        <v>652</v>
      </c>
      <c r="G4764" s="10">
        <v>9</v>
      </c>
      <c r="H4764" s="10">
        <v>45869</v>
      </c>
      <c r="I4764" s="10">
        <v>412821</v>
      </c>
      <c r="J4764" t="s">
        <v>42</v>
      </c>
      <c r="K4764" s="11">
        <v>3145.8</v>
      </c>
      <c r="L4764" s="12">
        <v>131.22999999999999</v>
      </c>
    </row>
    <row r="4765" spans="1:12" x14ac:dyDescent="0.2">
      <c r="A4765" s="9">
        <v>46260</v>
      </c>
      <c r="B4765" t="s">
        <v>617</v>
      </c>
      <c r="C4765" t="s">
        <v>618</v>
      </c>
      <c r="D4765" t="s">
        <v>75</v>
      </c>
      <c r="E4765" t="s">
        <v>655</v>
      </c>
      <c r="F4765" t="s">
        <v>662</v>
      </c>
      <c r="G4765" s="10">
        <v>14</v>
      </c>
      <c r="H4765" s="10">
        <v>5336</v>
      </c>
      <c r="I4765" s="10">
        <v>74704</v>
      </c>
      <c r="J4765" t="s">
        <v>42</v>
      </c>
      <c r="K4765" s="11">
        <v>3145.8</v>
      </c>
      <c r="L4765" s="12">
        <v>23.75</v>
      </c>
    </row>
    <row r="4766" spans="1:12" x14ac:dyDescent="0.2">
      <c r="A4766" s="9">
        <v>46260</v>
      </c>
      <c r="B4766" t="s">
        <v>617</v>
      </c>
      <c r="C4766" t="s">
        <v>618</v>
      </c>
      <c r="D4766" t="s">
        <v>75</v>
      </c>
      <c r="E4766" t="s">
        <v>660</v>
      </c>
      <c r="F4766" t="s">
        <v>669</v>
      </c>
      <c r="G4766" s="10">
        <v>3</v>
      </c>
      <c r="H4766" s="10">
        <v>12798</v>
      </c>
      <c r="I4766" s="10">
        <v>38394</v>
      </c>
      <c r="J4766" t="s">
        <v>42</v>
      </c>
      <c r="K4766" s="11">
        <v>3145.8</v>
      </c>
      <c r="L4766" s="12">
        <v>12.2</v>
      </c>
    </row>
    <row r="4767" spans="1:12" x14ac:dyDescent="0.2">
      <c r="A4767" s="9">
        <v>46260</v>
      </c>
      <c r="B4767" t="s">
        <v>617</v>
      </c>
      <c r="C4767" t="s">
        <v>618</v>
      </c>
      <c r="D4767" t="s">
        <v>75</v>
      </c>
      <c r="E4767" t="s">
        <v>647</v>
      </c>
      <c r="F4767" t="s">
        <v>667</v>
      </c>
      <c r="G4767" s="10">
        <v>13</v>
      </c>
      <c r="H4767" s="10">
        <v>34572</v>
      </c>
      <c r="I4767" s="10">
        <v>449436</v>
      </c>
      <c r="J4767" t="s">
        <v>42</v>
      </c>
      <c r="K4767" s="11">
        <v>3145.8</v>
      </c>
      <c r="L4767" s="12">
        <v>142.87</v>
      </c>
    </row>
    <row r="4768" spans="1:12" x14ac:dyDescent="0.2">
      <c r="A4768" s="9">
        <v>46260</v>
      </c>
      <c r="B4768" t="s">
        <v>623</v>
      </c>
      <c r="C4768" t="s">
        <v>624</v>
      </c>
      <c r="D4768" t="s">
        <v>68</v>
      </c>
      <c r="E4768" t="s">
        <v>649</v>
      </c>
      <c r="F4768" t="s">
        <v>663</v>
      </c>
      <c r="G4768" s="10">
        <v>20</v>
      </c>
      <c r="H4768" s="10">
        <v>2098</v>
      </c>
      <c r="I4768" s="10">
        <v>41960</v>
      </c>
      <c r="J4768" t="s">
        <v>51</v>
      </c>
      <c r="K4768" s="11">
        <v>648.20000000000005</v>
      </c>
      <c r="L4768" s="12">
        <v>64.73</v>
      </c>
    </row>
    <row r="4769" spans="1:12" x14ac:dyDescent="0.2">
      <c r="A4769" s="9">
        <v>46260</v>
      </c>
      <c r="B4769" t="s">
        <v>626</v>
      </c>
      <c r="C4769" t="s">
        <v>627</v>
      </c>
      <c r="D4769" t="s">
        <v>50</v>
      </c>
      <c r="E4769" t="s">
        <v>660</v>
      </c>
      <c r="F4769" t="s">
        <v>670</v>
      </c>
      <c r="G4769" s="10">
        <v>3</v>
      </c>
      <c r="H4769" s="10">
        <v>14483</v>
      </c>
      <c r="I4769" s="10">
        <v>43449</v>
      </c>
      <c r="J4769" t="s">
        <v>51</v>
      </c>
      <c r="K4769" s="11">
        <v>648.20000000000005</v>
      </c>
      <c r="L4769" s="12">
        <v>67.03</v>
      </c>
    </row>
    <row r="4770" spans="1:12" x14ac:dyDescent="0.2">
      <c r="A4770" s="9">
        <v>46260</v>
      </c>
      <c r="B4770" t="s">
        <v>626</v>
      </c>
      <c r="C4770" t="s">
        <v>627</v>
      </c>
      <c r="D4770" t="s">
        <v>50</v>
      </c>
      <c r="E4770" t="s">
        <v>655</v>
      </c>
      <c r="F4770" t="s">
        <v>665</v>
      </c>
      <c r="G4770" s="10">
        <v>6</v>
      </c>
      <c r="H4770" s="10">
        <v>696</v>
      </c>
      <c r="I4770" s="10">
        <v>4176</v>
      </c>
      <c r="J4770" t="s">
        <v>51</v>
      </c>
      <c r="K4770" s="11">
        <v>648.20000000000005</v>
      </c>
      <c r="L4770" s="12">
        <v>6.44</v>
      </c>
    </row>
    <row r="4771" spans="1:12" x14ac:dyDescent="0.2">
      <c r="A4771" s="9">
        <v>46260</v>
      </c>
      <c r="B4771" t="s">
        <v>632</v>
      </c>
      <c r="C4771" t="s">
        <v>633</v>
      </c>
      <c r="D4771" t="s">
        <v>68</v>
      </c>
      <c r="E4771" t="s">
        <v>655</v>
      </c>
      <c r="F4771" t="s">
        <v>662</v>
      </c>
      <c r="G4771" s="10">
        <v>8</v>
      </c>
      <c r="H4771" s="10">
        <v>1114</v>
      </c>
      <c r="I4771" s="10">
        <v>8912</v>
      </c>
      <c r="J4771" t="s">
        <v>51</v>
      </c>
      <c r="K4771" s="11">
        <v>648.20000000000005</v>
      </c>
      <c r="L4771" s="12">
        <v>13.75</v>
      </c>
    </row>
    <row r="4772" spans="1:12" x14ac:dyDescent="0.2">
      <c r="A4772" s="9">
        <v>46260</v>
      </c>
      <c r="B4772" t="s">
        <v>632</v>
      </c>
      <c r="C4772" t="s">
        <v>633</v>
      </c>
      <c r="D4772" t="s">
        <v>68</v>
      </c>
      <c r="E4772" t="s">
        <v>647</v>
      </c>
      <c r="F4772" t="s">
        <v>667</v>
      </c>
      <c r="G4772" s="10">
        <v>2</v>
      </c>
      <c r="H4772" s="10">
        <v>7325</v>
      </c>
      <c r="I4772" s="10">
        <v>14650</v>
      </c>
      <c r="J4772" t="s">
        <v>51</v>
      </c>
      <c r="K4772" s="11">
        <v>648.20000000000005</v>
      </c>
      <c r="L4772" s="12">
        <v>22.6</v>
      </c>
    </row>
    <row r="4773" spans="1:12" x14ac:dyDescent="0.2">
      <c r="A4773" s="9">
        <v>46260</v>
      </c>
      <c r="B4773" t="s">
        <v>632</v>
      </c>
      <c r="C4773" t="s">
        <v>633</v>
      </c>
      <c r="D4773" t="s">
        <v>68</v>
      </c>
      <c r="E4773" t="s">
        <v>655</v>
      </c>
      <c r="F4773" t="s">
        <v>665</v>
      </c>
      <c r="G4773" s="10">
        <v>9</v>
      </c>
      <c r="H4773" s="10">
        <v>694</v>
      </c>
      <c r="I4773" s="10">
        <v>6246</v>
      </c>
      <c r="J4773" t="s">
        <v>51</v>
      </c>
      <c r="K4773" s="11">
        <v>648.20000000000005</v>
      </c>
      <c r="L4773" s="12">
        <v>9.64</v>
      </c>
    </row>
    <row r="4774" spans="1:12" x14ac:dyDescent="0.2">
      <c r="A4774" s="9">
        <v>46260</v>
      </c>
      <c r="B4774" t="s">
        <v>635</v>
      </c>
      <c r="C4774" t="s">
        <v>636</v>
      </c>
      <c r="D4774" t="s">
        <v>41</v>
      </c>
      <c r="E4774" t="s">
        <v>660</v>
      </c>
      <c r="F4774" t="s">
        <v>661</v>
      </c>
      <c r="G4774" s="10">
        <v>16</v>
      </c>
      <c r="H4774" s="10">
        <v>20441</v>
      </c>
      <c r="I4774" s="10">
        <v>327056</v>
      </c>
      <c r="J4774" t="s">
        <v>42</v>
      </c>
      <c r="K4774" s="11">
        <v>3145.8</v>
      </c>
      <c r="L4774" s="12">
        <v>103.97</v>
      </c>
    </row>
    <row r="4775" spans="1:12" x14ac:dyDescent="0.2">
      <c r="A4775" s="9">
        <v>46260</v>
      </c>
      <c r="B4775" t="s">
        <v>635</v>
      </c>
      <c r="C4775" t="s">
        <v>636</v>
      </c>
      <c r="D4775" t="s">
        <v>41</v>
      </c>
      <c r="E4775" t="s">
        <v>655</v>
      </c>
      <c r="F4775" t="s">
        <v>656</v>
      </c>
      <c r="G4775" s="10">
        <v>7</v>
      </c>
      <c r="H4775" s="10">
        <v>2734</v>
      </c>
      <c r="I4775" s="10">
        <v>19138</v>
      </c>
      <c r="J4775" t="s">
        <v>42</v>
      </c>
      <c r="K4775" s="11">
        <v>3145.8</v>
      </c>
      <c r="L4775" s="12">
        <v>6.08</v>
      </c>
    </row>
    <row r="4776" spans="1:12" x14ac:dyDescent="0.2">
      <c r="A4776" s="9">
        <v>46261</v>
      </c>
      <c r="B4776" t="s">
        <v>34</v>
      </c>
      <c r="C4776" t="s">
        <v>35</v>
      </c>
      <c r="D4776" t="s">
        <v>36</v>
      </c>
      <c r="E4776" t="s">
        <v>647</v>
      </c>
      <c r="F4776" t="s">
        <v>648</v>
      </c>
      <c r="G4776" s="10">
        <v>14</v>
      </c>
      <c r="H4776" s="10">
        <v>16485</v>
      </c>
      <c r="I4776" s="10">
        <v>230790</v>
      </c>
      <c r="J4776" t="s">
        <v>37</v>
      </c>
      <c r="K4776" s="11">
        <v>648.20000000000005</v>
      </c>
      <c r="L4776" s="12">
        <v>356.05</v>
      </c>
    </row>
    <row r="4777" spans="1:12" x14ac:dyDescent="0.2">
      <c r="A4777" s="9">
        <v>46261</v>
      </c>
      <c r="B4777" t="s">
        <v>34</v>
      </c>
      <c r="C4777" t="s">
        <v>35</v>
      </c>
      <c r="D4777" t="s">
        <v>36</v>
      </c>
      <c r="E4777" t="s">
        <v>647</v>
      </c>
      <c r="F4777" t="s">
        <v>667</v>
      </c>
      <c r="G4777" s="10">
        <v>47</v>
      </c>
      <c r="H4777" s="10">
        <v>7505</v>
      </c>
      <c r="I4777" s="10">
        <v>352735</v>
      </c>
      <c r="J4777" t="s">
        <v>37</v>
      </c>
      <c r="K4777" s="11">
        <v>648.20000000000005</v>
      </c>
      <c r="L4777" s="12">
        <v>544.17999999999995</v>
      </c>
    </row>
    <row r="4778" spans="1:12" x14ac:dyDescent="0.2">
      <c r="A4778" s="9">
        <v>46261</v>
      </c>
      <c r="B4778" t="s">
        <v>53</v>
      </c>
      <c r="C4778" t="s">
        <v>54</v>
      </c>
      <c r="D4778" t="s">
        <v>41</v>
      </c>
      <c r="E4778" t="s">
        <v>660</v>
      </c>
      <c r="F4778" t="s">
        <v>669</v>
      </c>
      <c r="G4778" s="10">
        <v>16</v>
      </c>
      <c r="H4778" s="10">
        <v>12413</v>
      </c>
      <c r="I4778" s="10">
        <v>198608</v>
      </c>
      <c r="J4778" t="s">
        <v>42</v>
      </c>
      <c r="K4778" s="11">
        <v>3145.8</v>
      </c>
      <c r="L4778" s="12">
        <v>63.13</v>
      </c>
    </row>
    <row r="4779" spans="1:12" x14ac:dyDescent="0.2">
      <c r="A4779" s="9">
        <v>46261</v>
      </c>
      <c r="B4779" t="s">
        <v>53</v>
      </c>
      <c r="C4779" t="s">
        <v>54</v>
      </c>
      <c r="D4779" t="s">
        <v>41</v>
      </c>
      <c r="E4779" t="s">
        <v>660</v>
      </c>
      <c r="F4779" t="s">
        <v>661</v>
      </c>
      <c r="G4779" s="10">
        <v>11</v>
      </c>
      <c r="H4779" s="10">
        <v>20188</v>
      </c>
      <c r="I4779" s="10">
        <v>222068</v>
      </c>
      <c r="J4779" t="s">
        <v>42</v>
      </c>
      <c r="K4779" s="11">
        <v>3145.8</v>
      </c>
      <c r="L4779" s="12">
        <v>70.59</v>
      </c>
    </row>
    <row r="4780" spans="1:12" x14ac:dyDescent="0.2">
      <c r="A4780" s="9">
        <v>46261</v>
      </c>
      <c r="B4780" t="s">
        <v>73</v>
      </c>
      <c r="C4780" t="s">
        <v>74</v>
      </c>
      <c r="D4780" t="s">
        <v>75</v>
      </c>
      <c r="E4780" t="s">
        <v>649</v>
      </c>
      <c r="F4780" t="s">
        <v>663</v>
      </c>
      <c r="G4780" s="10">
        <v>8</v>
      </c>
      <c r="H4780" s="10">
        <v>9952</v>
      </c>
      <c r="I4780" s="10">
        <v>79616</v>
      </c>
      <c r="J4780" t="s">
        <v>42</v>
      </c>
      <c r="K4780" s="11">
        <v>3145.8</v>
      </c>
      <c r="L4780" s="12">
        <v>25.31</v>
      </c>
    </row>
    <row r="4781" spans="1:12" x14ac:dyDescent="0.2">
      <c r="A4781" s="9">
        <v>46261</v>
      </c>
      <c r="B4781" t="s">
        <v>73</v>
      </c>
      <c r="C4781" t="s">
        <v>74</v>
      </c>
      <c r="D4781" t="s">
        <v>75</v>
      </c>
      <c r="E4781" t="s">
        <v>647</v>
      </c>
      <c r="F4781" t="s">
        <v>667</v>
      </c>
      <c r="G4781" s="10">
        <v>36</v>
      </c>
      <c r="H4781" s="10">
        <v>35154</v>
      </c>
      <c r="I4781" s="10">
        <v>1265544</v>
      </c>
      <c r="J4781" t="s">
        <v>42</v>
      </c>
      <c r="K4781" s="11">
        <v>3145.8</v>
      </c>
      <c r="L4781" s="12">
        <v>402.3</v>
      </c>
    </row>
    <row r="4782" spans="1:12" x14ac:dyDescent="0.2">
      <c r="A4782" s="9">
        <v>46261</v>
      </c>
      <c r="B4782" t="s">
        <v>77</v>
      </c>
      <c r="C4782" t="s">
        <v>78</v>
      </c>
      <c r="D4782" t="s">
        <v>50</v>
      </c>
      <c r="E4782" t="s">
        <v>660</v>
      </c>
      <c r="F4782" t="s">
        <v>670</v>
      </c>
      <c r="G4782" s="10">
        <v>11</v>
      </c>
      <c r="H4782" s="10">
        <v>14388</v>
      </c>
      <c r="I4782" s="10">
        <v>158268</v>
      </c>
      <c r="J4782" t="s">
        <v>51</v>
      </c>
      <c r="K4782" s="11">
        <v>648.20000000000005</v>
      </c>
      <c r="L4782" s="12">
        <v>244.17</v>
      </c>
    </row>
    <row r="4783" spans="1:12" x14ac:dyDescent="0.2">
      <c r="A4783" s="9">
        <v>46261</v>
      </c>
      <c r="B4783" t="s">
        <v>80</v>
      </c>
      <c r="C4783" t="s">
        <v>81</v>
      </c>
      <c r="D4783" t="s">
        <v>46</v>
      </c>
      <c r="E4783" t="s">
        <v>649</v>
      </c>
      <c r="F4783" t="s">
        <v>659</v>
      </c>
      <c r="G4783" s="10">
        <v>4</v>
      </c>
      <c r="H4783" s="10">
        <v>8868</v>
      </c>
      <c r="I4783" s="10">
        <v>35472</v>
      </c>
      <c r="J4783" t="s">
        <v>37</v>
      </c>
      <c r="K4783" s="11">
        <v>648.20000000000005</v>
      </c>
      <c r="L4783" s="12">
        <v>54.72</v>
      </c>
    </row>
    <row r="4784" spans="1:12" x14ac:dyDescent="0.2">
      <c r="A4784" s="9">
        <v>46261</v>
      </c>
      <c r="B4784" t="s">
        <v>80</v>
      </c>
      <c r="C4784" t="s">
        <v>81</v>
      </c>
      <c r="D4784" t="s">
        <v>46</v>
      </c>
      <c r="E4784" t="s">
        <v>647</v>
      </c>
      <c r="F4784" t="s">
        <v>667</v>
      </c>
      <c r="G4784" s="10">
        <v>3</v>
      </c>
      <c r="H4784" s="10">
        <v>7435</v>
      </c>
      <c r="I4784" s="10">
        <v>22305</v>
      </c>
      <c r="J4784" t="s">
        <v>37</v>
      </c>
      <c r="K4784" s="11">
        <v>648.20000000000005</v>
      </c>
      <c r="L4784" s="12">
        <v>34.409999999999997</v>
      </c>
    </row>
    <row r="4785" spans="1:12" x14ac:dyDescent="0.2">
      <c r="A4785" s="9">
        <v>46261</v>
      </c>
      <c r="B4785" t="s">
        <v>83</v>
      </c>
      <c r="C4785" t="s">
        <v>84</v>
      </c>
      <c r="D4785" t="s">
        <v>41</v>
      </c>
      <c r="E4785" t="s">
        <v>647</v>
      </c>
      <c r="F4785" t="s">
        <v>667</v>
      </c>
      <c r="G4785" s="10">
        <v>58</v>
      </c>
      <c r="H4785" s="10">
        <v>36319</v>
      </c>
      <c r="I4785" s="10">
        <v>2106502</v>
      </c>
      <c r="J4785" t="s">
        <v>42</v>
      </c>
      <c r="K4785" s="11">
        <v>3145.8</v>
      </c>
      <c r="L4785" s="12">
        <v>669.62</v>
      </c>
    </row>
    <row r="4786" spans="1:12" x14ac:dyDescent="0.2">
      <c r="A4786" s="9">
        <v>46261</v>
      </c>
      <c r="B4786" t="s">
        <v>86</v>
      </c>
      <c r="C4786" t="s">
        <v>87</v>
      </c>
      <c r="D4786" t="s">
        <v>50</v>
      </c>
      <c r="E4786" t="s">
        <v>660</v>
      </c>
      <c r="F4786" t="s">
        <v>661</v>
      </c>
      <c r="G4786" s="10">
        <v>18</v>
      </c>
      <c r="H4786" s="10">
        <v>4074</v>
      </c>
      <c r="I4786" s="10">
        <v>73332</v>
      </c>
      <c r="J4786" t="s">
        <v>51</v>
      </c>
      <c r="K4786" s="11">
        <v>648.20000000000005</v>
      </c>
      <c r="L4786" s="12">
        <v>113.13</v>
      </c>
    </row>
    <row r="4787" spans="1:12" x14ac:dyDescent="0.2">
      <c r="A4787" s="9">
        <v>46261</v>
      </c>
      <c r="B4787" t="s">
        <v>86</v>
      </c>
      <c r="C4787" t="s">
        <v>87</v>
      </c>
      <c r="D4787" t="s">
        <v>50</v>
      </c>
      <c r="E4787" t="s">
        <v>647</v>
      </c>
      <c r="F4787" t="s">
        <v>668</v>
      </c>
      <c r="G4787" s="10">
        <v>5</v>
      </c>
      <c r="H4787" s="10">
        <v>25836</v>
      </c>
      <c r="I4787" s="10">
        <v>129180</v>
      </c>
      <c r="J4787" t="s">
        <v>51</v>
      </c>
      <c r="K4787" s="11">
        <v>648.20000000000005</v>
      </c>
      <c r="L4787" s="12">
        <v>199.29</v>
      </c>
    </row>
    <row r="4788" spans="1:12" x14ac:dyDescent="0.2">
      <c r="A4788" s="9">
        <v>46261</v>
      </c>
      <c r="B4788" t="s">
        <v>86</v>
      </c>
      <c r="C4788" t="s">
        <v>87</v>
      </c>
      <c r="D4788" t="s">
        <v>50</v>
      </c>
      <c r="E4788" t="s">
        <v>647</v>
      </c>
      <c r="F4788" t="s">
        <v>648</v>
      </c>
      <c r="G4788" s="10">
        <v>23</v>
      </c>
      <c r="H4788" s="10">
        <v>16679</v>
      </c>
      <c r="I4788" s="10">
        <v>383617</v>
      </c>
      <c r="J4788" t="s">
        <v>51</v>
      </c>
      <c r="K4788" s="11">
        <v>648.20000000000005</v>
      </c>
      <c r="L4788" s="12">
        <v>591.82000000000005</v>
      </c>
    </row>
    <row r="4789" spans="1:12" x14ac:dyDescent="0.2">
      <c r="A4789" s="9">
        <v>46261</v>
      </c>
      <c r="B4789" t="s">
        <v>96</v>
      </c>
      <c r="C4789" t="s">
        <v>97</v>
      </c>
      <c r="D4789" t="s">
        <v>41</v>
      </c>
      <c r="E4789" t="s">
        <v>653</v>
      </c>
      <c r="F4789" t="s">
        <v>658</v>
      </c>
      <c r="G4789" s="10">
        <v>5</v>
      </c>
      <c r="H4789" s="10">
        <v>13450</v>
      </c>
      <c r="I4789" s="10">
        <v>67250</v>
      </c>
      <c r="J4789" t="s">
        <v>42</v>
      </c>
      <c r="K4789" s="11">
        <v>3145.8</v>
      </c>
      <c r="L4789" s="12">
        <v>21.38</v>
      </c>
    </row>
    <row r="4790" spans="1:12" x14ac:dyDescent="0.2">
      <c r="A4790" s="9">
        <v>46261</v>
      </c>
      <c r="B4790" t="s">
        <v>96</v>
      </c>
      <c r="C4790" t="s">
        <v>97</v>
      </c>
      <c r="D4790" t="s">
        <v>41</v>
      </c>
      <c r="E4790" t="s">
        <v>653</v>
      </c>
      <c r="F4790" t="s">
        <v>654</v>
      </c>
      <c r="G4790" s="10">
        <v>8</v>
      </c>
      <c r="H4790" s="10">
        <v>28687</v>
      </c>
      <c r="I4790" s="10">
        <v>229496</v>
      </c>
      <c r="J4790" t="s">
        <v>42</v>
      </c>
      <c r="K4790" s="11">
        <v>3145.8</v>
      </c>
      <c r="L4790" s="12">
        <v>72.95</v>
      </c>
    </row>
    <row r="4791" spans="1:12" x14ac:dyDescent="0.2">
      <c r="A4791" s="9">
        <v>46261</v>
      </c>
      <c r="B4791" t="s">
        <v>96</v>
      </c>
      <c r="C4791" t="s">
        <v>97</v>
      </c>
      <c r="D4791" t="s">
        <v>41</v>
      </c>
      <c r="E4791" t="s">
        <v>647</v>
      </c>
      <c r="F4791" t="s">
        <v>667</v>
      </c>
      <c r="G4791" s="10">
        <v>30</v>
      </c>
      <c r="H4791" s="10">
        <v>36860</v>
      </c>
      <c r="I4791" s="10">
        <v>1105800</v>
      </c>
      <c r="J4791" t="s">
        <v>42</v>
      </c>
      <c r="K4791" s="11">
        <v>3145.8</v>
      </c>
      <c r="L4791" s="12">
        <v>351.52</v>
      </c>
    </row>
    <row r="4792" spans="1:12" x14ac:dyDescent="0.2">
      <c r="A4792" s="9">
        <v>46261</v>
      </c>
      <c r="B4792" t="s">
        <v>102</v>
      </c>
      <c r="C4792" t="s">
        <v>103</v>
      </c>
      <c r="D4792" t="s">
        <v>41</v>
      </c>
      <c r="E4792" t="s">
        <v>655</v>
      </c>
      <c r="F4792" t="s">
        <v>656</v>
      </c>
      <c r="G4792" s="10">
        <v>16</v>
      </c>
      <c r="H4792" s="10">
        <v>2754</v>
      </c>
      <c r="I4792" s="10">
        <v>44064</v>
      </c>
      <c r="J4792" t="s">
        <v>42</v>
      </c>
      <c r="K4792" s="11">
        <v>3145.8</v>
      </c>
      <c r="L4792" s="12">
        <v>14.01</v>
      </c>
    </row>
    <row r="4793" spans="1:12" x14ac:dyDescent="0.2">
      <c r="A4793" s="9">
        <v>46261</v>
      </c>
      <c r="B4793" t="s">
        <v>111</v>
      </c>
      <c r="C4793" t="s">
        <v>112</v>
      </c>
      <c r="D4793" t="s">
        <v>41</v>
      </c>
      <c r="E4793" t="s">
        <v>653</v>
      </c>
      <c r="F4793" t="s">
        <v>666</v>
      </c>
      <c r="G4793" s="10">
        <v>4</v>
      </c>
      <c r="H4793" s="10">
        <v>7176</v>
      </c>
      <c r="I4793" s="10">
        <v>28704</v>
      </c>
      <c r="J4793" t="s">
        <v>42</v>
      </c>
      <c r="K4793" s="11">
        <v>3145.8</v>
      </c>
      <c r="L4793" s="12">
        <v>9.1199999999999992</v>
      </c>
    </row>
    <row r="4794" spans="1:12" x14ac:dyDescent="0.2">
      <c r="A4794" s="9">
        <v>46261</v>
      </c>
      <c r="B4794" t="s">
        <v>111</v>
      </c>
      <c r="C4794" t="s">
        <v>112</v>
      </c>
      <c r="D4794" t="s">
        <v>41</v>
      </c>
      <c r="E4794" t="s">
        <v>655</v>
      </c>
      <c r="F4794" t="s">
        <v>662</v>
      </c>
      <c r="G4794" s="10">
        <v>75</v>
      </c>
      <c r="H4794" s="10">
        <v>5642</v>
      </c>
      <c r="I4794" s="10">
        <v>423150</v>
      </c>
      <c r="J4794" t="s">
        <v>42</v>
      </c>
      <c r="K4794" s="11">
        <v>3145.8</v>
      </c>
      <c r="L4794" s="12">
        <v>134.51</v>
      </c>
    </row>
    <row r="4795" spans="1:12" x14ac:dyDescent="0.2">
      <c r="A4795" s="9">
        <v>46261</v>
      </c>
      <c r="B4795" t="s">
        <v>111</v>
      </c>
      <c r="C4795" t="s">
        <v>112</v>
      </c>
      <c r="D4795" t="s">
        <v>41</v>
      </c>
      <c r="E4795" t="s">
        <v>660</v>
      </c>
      <c r="F4795" t="s">
        <v>670</v>
      </c>
      <c r="G4795" s="10">
        <v>21</v>
      </c>
      <c r="H4795" s="10">
        <v>67819</v>
      </c>
      <c r="I4795" s="10">
        <v>1424199</v>
      </c>
      <c r="J4795" t="s">
        <v>42</v>
      </c>
      <c r="K4795" s="11">
        <v>3145.8</v>
      </c>
      <c r="L4795" s="12">
        <v>452.73</v>
      </c>
    </row>
    <row r="4796" spans="1:12" x14ac:dyDescent="0.2">
      <c r="A4796" s="9">
        <v>46261</v>
      </c>
      <c r="B4796" t="s">
        <v>115</v>
      </c>
      <c r="C4796" t="s">
        <v>116</v>
      </c>
      <c r="D4796" t="s">
        <v>41</v>
      </c>
      <c r="E4796" t="s">
        <v>655</v>
      </c>
      <c r="F4796" t="s">
        <v>662</v>
      </c>
      <c r="G4796" s="10">
        <v>88</v>
      </c>
      <c r="H4796" s="10">
        <v>5540</v>
      </c>
      <c r="I4796" s="10">
        <v>487520</v>
      </c>
      <c r="J4796" t="s">
        <v>42</v>
      </c>
      <c r="K4796" s="11">
        <v>3145.8</v>
      </c>
      <c r="L4796" s="12">
        <v>154.97</v>
      </c>
    </row>
    <row r="4797" spans="1:12" x14ac:dyDescent="0.2">
      <c r="A4797" s="9">
        <v>46261</v>
      </c>
      <c r="B4797" t="s">
        <v>118</v>
      </c>
      <c r="C4797" t="s">
        <v>119</v>
      </c>
      <c r="D4797" t="s">
        <v>36</v>
      </c>
      <c r="E4797" t="s">
        <v>649</v>
      </c>
      <c r="F4797" t="s">
        <v>663</v>
      </c>
      <c r="G4797" s="10">
        <v>14</v>
      </c>
      <c r="H4797" s="10">
        <v>1951</v>
      </c>
      <c r="I4797" s="10">
        <v>27314</v>
      </c>
      <c r="J4797" t="s">
        <v>37</v>
      </c>
      <c r="K4797" s="11">
        <v>648.20000000000005</v>
      </c>
      <c r="L4797" s="12">
        <v>42.14</v>
      </c>
    </row>
    <row r="4798" spans="1:12" x14ac:dyDescent="0.2">
      <c r="A4798" s="9">
        <v>46261</v>
      </c>
      <c r="B4798" t="s">
        <v>118</v>
      </c>
      <c r="C4798" t="s">
        <v>119</v>
      </c>
      <c r="D4798" t="s">
        <v>36</v>
      </c>
      <c r="E4798" t="s">
        <v>647</v>
      </c>
      <c r="F4798" t="s">
        <v>667</v>
      </c>
      <c r="G4798" s="10">
        <v>16</v>
      </c>
      <c r="H4798" s="10">
        <v>7279</v>
      </c>
      <c r="I4798" s="10">
        <v>116464</v>
      </c>
      <c r="J4798" t="s">
        <v>37</v>
      </c>
      <c r="K4798" s="11">
        <v>648.20000000000005</v>
      </c>
      <c r="L4798" s="12">
        <v>179.67</v>
      </c>
    </row>
    <row r="4799" spans="1:12" x14ac:dyDescent="0.2">
      <c r="A4799" s="9">
        <v>46261</v>
      </c>
      <c r="B4799" t="s">
        <v>118</v>
      </c>
      <c r="C4799" t="s">
        <v>119</v>
      </c>
      <c r="D4799" t="s">
        <v>36</v>
      </c>
      <c r="E4799" t="s">
        <v>655</v>
      </c>
      <c r="F4799" t="s">
        <v>665</v>
      </c>
      <c r="G4799" s="10">
        <v>10</v>
      </c>
      <c r="H4799" s="10">
        <v>661</v>
      </c>
      <c r="I4799" s="10">
        <v>6610</v>
      </c>
      <c r="J4799" t="s">
        <v>37</v>
      </c>
      <c r="K4799" s="11">
        <v>648.20000000000005</v>
      </c>
      <c r="L4799" s="12">
        <v>10.199999999999999</v>
      </c>
    </row>
    <row r="4800" spans="1:12" x14ac:dyDescent="0.2">
      <c r="A4800" s="9">
        <v>46261</v>
      </c>
      <c r="B4800" t="s">
        <v>121</v>
      </c>
      <c r="C4800" t="s">
        <v>122</v>
      </c>
      <c r="D4800" t="s">
        <v>75</v>
      </c>
      <c r="E4800" t="s">
        <v>660</v>
      </c>
      <c r="F4800" t="s">
        <v>669</v>
      </c>
      <c r="G4800" s="10">
        <v>7</v>
      </c>
      <c r="H4800" s="10">
        <v>12851</v>
      </c>
      <c r="I4800" s="10">
        <v>89957</v>
      </c>
      <c r="J4800" t="s">
        <v>42</v>
      </c>
      <c r="K4800" s="11">
        <v>3145.8</v>
      </c>
      <c r="L4800" s="12">
        <v>28.6</v>
      </c>
    </row>
    <row r="4801" spans="1:12" x14ac:dyDescent="0.2">
      <c r="A4801" s="9">
        <v>46261</v>
      </c>
      <c r="B4801" t="s">
        <v>121</v>
      </c>
      <c r="C4801" t="s">
        <v>122</v>
      </c>
      <c r="D4801" t="s">
        <v>75</v>
      </c>
      <c r="E4801" t="s">
        <v>660</v>
      </c>
      <c r="F4801" t="s">
        <v>669</v>
      </c>
      <c r="G4801" s="10">
        <v>3</v>
      </c>
      <c r="H4801" s="10">
        <v>12208</v>
      </c>
      <c r="I4801" s="10">
        <v>36624</v>
      </c>
      <c r="J4801" t="s">
        <v>42</v>
      </c>
      <c r="K4801" s="11">
        <v>3145.8</v>
      </c>
      <c r="L4801" s="12">
        <v>11.64</v>
      </c>
    </row>
    <row r="4802" spans="1:12" x14ac:dyDescent="0.2">
      <c r="A4802" s="9">
        <v>46261</v>
      </c>
      <c r="B4802" t="s">
        <v>124</v>
      </c>
      <c r="C4802" t="s">
        <v>125</v>
      </c>
      <c r="D4802" t="s">
        <v>75</v>
      </c>
      <c r="E4802" t="s">
        <v>660</v>
      </c>
      <c r="F4802" t="s">
        <v>669</v>
      </c>
      <c r="G4802" s="10">
        <v>7</v>
      </c>
      <c r="H4802" s="10">
        <v>12858</v>
      </c>
      <c r="I4802" s="10">
        <v>90006</v>
      </c>
      <c r="J4802" t="s">
        <v>42</v>
      </c>
      <c r="K4802" s="11">
        <v>3145.8</v>
      </c>
      <c r="L4802" s="12">
        <v>28.61</v>
      </c>
    </row>
    <row r="4803" spans="1:12" x14ac:dyDescent="0.2">
      <c r="A4803" s="9">
        <v>46261</v>
      </c>
      <c r="B4803" t="s">
        <v>124</v>
      </c>
      <c r="C4803" t="s">
        <v>125</v>
      </c>
      <c r="D4803" t="s">
        <v>75</v>
      </c>
      <c r="E4803" t="s">
        <v>647</v>
      </c>
      <c r="F4803" t="s">
        <v>668</v>
      </c>
      <c r="G4803" s="10">
        <v>2</v>
      </c>
      <c r="H4803" s="10">
        <v>124064</v>
      </c>
      <c r="I4803" s="10">
        <v>248128</v>
      </c>
      <c r="J4803" t="s">
        <v>42</v>
      </c>
      <c r="K4803" s="11">
        <v>3145.8</v>
      </c>
      <c r="L4803" s="12">
        <v>78.88</v>
      </c>
    </row>
    <row r="4804" spans="1:12" x14ac:dyDescent="0.2">
      <c r="A4804" s="9">
        <v>46261</v>
      </c>
      <c r="B4804" t="s">
        <v>136</v>
      </c>
      <c r="C4804" t="s">
        <v>137</v>
      </c>
      <c r="D4804" t="s">
        <v>41</v>
      </c>
      <c r="E4804" t="s">
        <v>651</v>
      </c>
      <c r="F4804" t="s">
        <v>664</v>
      </c>
      <c r="G4804" s="10">
        <v>42</v>
      </c>
      <c r="H4804" s="10">
        <v>55708</v>
      </c>
      <c r="I4804" s="10">
        <v>2339736</v>
      </c>
      <c r="J4804" t="s">
        <v>42</v>
      </c>
      <c r="K4804" s="11">
        <v>3145.8</v>
      </c>
      <c r="L4804" s="12">
        <v>743.77</v>
      </c>
    </row>
    <row r="4805" spans="1:12" x14ac:dyDescent="0.2">
      <c r="A4805" s="9">
        <v>46261</v>
      </c>
      <c r="B4805" t="s">
        <v>139</v>
      </c>
      <c r="C4805" t="s">
        <v>140</v>
      </c>
      <c r="D4805" t="s">
        <v>75</v>
      </c>
      <c r="E4805" t="s">
        <v>660</v>
      </c>
      <c r="F4805" t="s">
        <v>661</v>
      </c>
      <c r="G4805" s="10">
        <v>5</v>
      </c>
      <c r="H4805" s="10">
        <v>19828</v>
      </c>
      <c r="I4805" s="10">
        <v>99140</v>
      </c>
      <c r="J4805" t="s">
        <v>42</v>
      </c>
      <c r="K4805" s="11">
        <v>3145.8</v>
      </c>
      <c r="L4805" s="12">
        <v>31.52</v>
      </c>
    </row>
    <row r="4806" spans="1:12" x14ac:dyDescent="0.2">
      <c r="A4806" s="9">
        <v>46261</v>
      </c>
      <c r="B4806" t="s">
        <v>142</v>
      </c>
      <c r="C4806" t="s">
        <v>143</v>
      </c>
      <c r="D4806" t="s">
        <v>75</v>
      </c>
      <c r="E4806" t="s">
        <v>653</v>
      </c>
      <c r="F4806" t="s">
        <v>658</v>
      </c>
      <c r="G4806" s="10">
        <v>5</v>
      </c>
      <c r="H4806" s="10">
        <v>12771</v>
      </c>
      <c r="I4806" s="10">
        <v>63855</v>
      </c>
      <c r="J4806" t="s">
        <v>42</v>
      </c>
      <c r="K4806" s="11">
        <v>3145.8</v>
      </c>
      <c r="L4806" s="12">
        <v>20.3</v>
      </c>
    </row>
    <row r="4807" spans="1:12" x14ac:dyDescent="0.2">
      <c r="A4807" s="9">
        <v>46261</v>
      </c>
      <c r="B4807" t="s">
        <v>142</v>
      </c>
      <c r="C4807" t="s">
        <v>143</v>
      </c>
      <c r="D4807" t="s">
        <v>75</v>
      </c>
      <c r="E4807" t="s">
        <v>651</v>
      </c>
      <c r="F4807" t="s">
        <v>652</v>
      </c>
      <c r="G4807" s="10">
        <v>8</v>
      </c>
      <c r="H4807" s="10">
        <v>46238</v>
      </c>
      <c r="I4807" s="10">
        <v>369904</v>
      </c>
      <c r="J4807" t="s">
        <v>42</v>
      </c>
      <c r="K4807" s="11">
        <v>3145.8</v>
      </c>
      <c r="L4807" s="12">
        <v>117.59</v>
      </c>
    </row>
    <row r="4808" spans="1:12" x14ac:dyDescent="0.2">
      <c r="A4808" s="9">
        <v>46261</v>
      </c>
      <c r="B4808" t="s">
        <v>142</v>
      </c>
      <c r="C4808" t="s">
        <v>143</v>
      </c>
      <c r="D4808" t="s">
        <v>75</v>
      </c>
      <c r="E4808" t="s">
        <v>649</v>
      </c>
      <c r="F4808" t="s">
        <v>663</v>
      </c>
      <c r="G4808" s="10">
        <v>5</v>
      </c>
      <c r="H4808" s="10">
        <v>10212</v>
      </c>
      <c r="I4808" s="10">
        <v>51060</v>
      </c>
      <c r="J4808" t="s">
        <v>42</v>
      </c>
      <c r="K4808" s="11">
        <v>3145.8</v>
      </c>
      <c r="L4808" s="12">
        <v>16.23</v>
      </c>
    </row>
    <row r="4809" spans="1:12" x14ac:dyDescent="0.2">
      <c r="A4809" s="9">
        <v>46261</v>
      </c>
      <c r="B4809" t="s">
        <v>142</v>
      </c>
      <c r="C4809" t="s">
        <v>143</v>
      </c>
      <c r="D4809" t="s">
        <v>75</v>
      </c>
      <c r="E4809" t="s">
        <v>649</v>
      </c>
      <c r="F4809" t="s">
        <v>659</v>
      </c>
      <c r="G4809" s="10">
        <v>4</v>
      </c>
      <c r="H4809" s="10">
        <v>43346</v>
      </c>
      <c r="I4809" s="10">
        <v>173384</v>
      </c>
      <c r="J4809" t="s">
        <v>42</v>
      </c>
      <c r="K4809" s="11">
        <v>3145.8</v>
      </c>
      <c r="L4809" s="12">
        <v>55.12</v>
      </c>
    </row>
    <row r="4810" spans="1:12" x14ac:dyDescent="0.2">
      <c r="A4810" s="9">
        <v>46261</v>
      </c>
      <c r="B4810" t="s">
        <v>145</v>
      </c>
      <c r="C4810" t="s">
        <v>146</v>
      </c>
      <c r="D4810" t="s">
        <v>68</v>
      </c>
      <c r="E4810" t="s">
        <v>651</v>
      </c>
      <c r="F4810" t="s">
        <v>652</v>
      </c>
      <c r="G4810" s="10">
        <v>5</v>
      </c>
      <c r="H4810" s="10">
        <v>9356</v>
      </c>
      <c r="I4810" s="10">
        <v>46780</v>
      </c>
      <c r="J4810" t="s">
        <v>51</v>
      </c>
      <c r="K4810" s="11">
        <v>648.20000000000005</v>
      </c>
      <c r="L4810" s="12">
        <v>72.17</v>
      </c>
    </row>
    <row r="4811" spans="1:12" x14ac:dyDescent="0.2">
      <c r="A4811" s="9">
        <v>46261</v>
      </c>
      <c r="B4811" t="s">
        <v>145</v>
      </c>
      <c r="C4811" t="s">
        <v>146</v>
      </c>
      <c r="D4811" t="s">
        <v>68</v>
      </c>
      <c r="E4811" t="s">
        <v>653</v>
      </c>
      <c r="F4811" t="s">
        <v>666</v>
      </c>
      <c r="G4811" s="10">
        <v>3</v>
      </c>
      <c r="H4811" s="10">
        <v>1476</v>
      </c>
      <c r="I4811" s="10">
        <v>4428</v>
      </c>
      <c r="J4811" t="s">
        <v>51</v>
      </c>
      <c r="K4811" s="11">
        <v>648.20000000000005</v>
      </c>
      <c r="L4811" s="12">
        <v>6.83</v>
      </c>
    </row>
    <row r="4812" spans="1:12" x14ac:dyDescent="0.2">
      <c r="A4812" s="9">
        <v>46261</v>
      </c>
      <c r="B4812" t="s">
        <v>145</v>
      </c>
      <c r="C4812" t="s">
        <v>146</v>
      </c>
      <c r="D4812" t="s">
        <v>68</v>
      </c>
      <c r="E4812" t="s">
        <v>660</v>
      </c>
      <c r="F4812" t="s">
        <v>661</v>
      </c>
      <c r="G4812" s="10">
        <v>2</v>
      </c>
      <c r="H4812" s="10">
        <v>4128</v>
      </c>
      <c r="I4812" s="10">
        <v>8256</v>
      </c>
      <c r="J4812" t="s">
        <v>51</v>
      </c>
      <c r="K4812" s="11">
        <v>648.20000000000005</v>
      </c>
      <c r="L4812" s="12">
        <v>12.74</v>
      </c>
    </row>
    <row r="4813" spans="1:12" x14ac:dyDescent="0.2">
      <c r="A4813" s="9">
        <v>46261</v>
      </c>
      <c r="B4813" t="s">
        <v>149</v>
      </c>
      <c r="C4813" t="s">
        <v>150</v>
      </c>
      <c r="D4813" t="s">
        <v>50</v>
      </c>
      <c r="E4813" t="s">
        <v>649</v>
      </c>
      <c r="F4813" t="s">
        <v>650</v>
      </c>
      <c r="G4813" s="10">
        <v>17</v>
      </c>
      <c r="H4813" s="10">
        <v>19851</v>
      </c>
      <c r="I4813" s="10">
        <v>337467</v>
      </c>
      <c r="J4813" t="s">
        <v>51</v>
      </c>
      <c r="K4813" s="11">
        <v>648.20000000000005</v>
      </c>
      <c r="L4813" s="12">
        <v>520.62</v>
      </c>
    </row>
    <row r="4814" spans="1:12" x14ac:dyDescent="0.2">
      <c r="A4814" s="9">
        <v>46261</v>
      </c>
      <c r="B4814" t="s">
        <v>155</v>
      </c>
      <c r="C4814" t="s">
        <v>156</v>
      </c>
      <c r="D4814" t="s">
        <v>46</v>
      </c>
      <c r="E4814" t="s">
        <v>653</v>
      </c>
      <c r="F4814" t="s">
        <v>666</v>
      </c>
      <c r="G4814" s="10">
        <v>8</v>
      </c>
      <c r="H4814" s="10">
        <v>1494</v>
      </c>
      <c r="I4814" s="10">
        <v>11952</v>
      </c>
      <c r="J4814" t="s">
        <v>37</v>
      </c>
      <c r="K4814" s="11">
        <v>648.20000000000005</v>
      </c>
      <c r="L4814" s="12">
        <v>18.440000000000001</v>
      </c>
    </row>
    <row r="4815" spans="1:12" x14ac:dyDescent="0.2">
      <c r="A4815" s="9">
        <v>46261</v>
      </c>
      <c r="B4815" t="s">
        <v>158</v>
      </c>
      <c r="C4815" t="s">
        <v>159</v>
      </c>
      <c r="D4815" t="s">
        <v>41</v>
      </c>
      <c r="E4815" t="s">
        <v>660</v>
      </c>
      <c r="F4815" t="s">
        <v>670</v>
      </c>
      <c r="G4815" s="10">
        <v>17</v>
      </c>
      <c r="H4815" s="10">
        <v>70113</v>
      </c>
      <c r="I4815" s="10">
        <v>1191921</v>
      </c>
      <c r="J4815" t="s">
        <v>42</v>
      </c>
      <c r="K4815" s="11">
        <v>3145.8</v>
      </c>
      <c r="L4815" s="12">
        <v>378.89</v>
      </c>
    </row>
    <row r="4816" spans="1:12" x14ac:dyDescent="0.2">
      <c r="A4816" s="9">
        <v>46261</v>
      </c>
      <c r="B4816" t="s">
        <v>158</v>
      </c>
      <c r="C4816" t="s">
        <v>159</v>
      </c>
      <c r="D4816" t="s">
        <v>41</v>
      </c>
      <c r="E4816" t="s">
        <v>651</v>
      </c>
      <c r="F4816" t="s">
        <v>664</v>
      </c>
      <c r="G4816" s="10">
        <v>53</v>
      </c>
      <c r="H4816" s="10">
        <v>59547</v>
      </c>
      <c r="I4816" s="10">
        <v>3155991</v>
      </c>
      <c r="J4816" t="s">
        <v>42</v>
      </c>
      <c r="K4816" s="11">
        <v>3145.8</v>
      </c>
      <c r="L4816" s="12">
        <v>1003.24</v>
      </c>
    </row>
    <row r="4817" spans="1:12" x14ac:dyDescent="0.2">
      <c r="A4817" s="9">
        <v>46261</v>
      </c>
      <c r="B4817" t="s">
        <v>163</v>
      </c>
      <c r="C4817" t="s">
        <v>164</v>
      </c>
      <c r="D4817" t="s">
        <v>41</v>
      </c>
      <c r="E4817" t="s">
        <v>651</v>
      </c>
      <c r="F4817" t="s">
        <v>664</v>
      </c>
      <c r="G4817" s="10">
        <v>10</v>
      </c>
      <c r="H4817" s="10">
        <v>56850</v>
      </c>
      <c r="I4817" s="10">
        <v>568500</v>
      </c>
      <c r="J4817" t="s">
        <v>42</v>
      </c>
      <c r="K4817" s="11">
        <v>3145.8</v>
      </c>
      <c r="L4817" s="12">
        <v>180.72</v>
      </c>
    </row>
    <row r="4818" spans="1:12" x14ac:dyDescent="0.2">
      <c r="A4818" s="9">
        <v>46261</v>
      </c>
      <c r="B4818" t="s">
        <v>166</v>
      </c>
      <c r="C4818" t="s">
        <v>167</v>
      </c>
      <c r="D4818" t="s">
        <v>46</v>
      </c>
      <c r="E4818" t="s">
        <v>647</v>
      </c>
      <c r="F4818" t="s">
        <v>667</v>
      </c>
      <c r="G4818" s="10">
        <v>1</v>
      </c>
      <c r="H4818" s="10">
        <v>7185</v>
      </c>
      <c r="I4818" s="10">
        <v>7185</v>
      </c>
      <c r="J4818" t="s">
        <v>37</v>
      </c>
      <c r="K4818" s="11">
        <v>648.20000000000005</v>
      </c>
      <c r="L4818" s="12">
        <v>11.08</v>
      </c>
    </row>
    <row r="4819" spans="1:12" x14ac:dyDescent="0.2">
      <c r="A4819" s="9">
        <v>46261</v>
      </c>
      <c r="B4819" t="s">
        <v>169</v>
      </c>
      <c r="C4819" t="s">
        <v>170</v>
      </c>
      <c r="D4819" t="s">
        <v>41</v>
      </c>
      <c r="E4819" t="s">
        <v>649</v>
      </c>
      <c r="F4819" t="s">
        <v>650</v>
      </c>
      <c r="G4819" s="10">
        <v>22</v>
      </c>
      <c r="H4819" s="10">
        <v>92679</v>
      </c>
      <c r="I4819" s="10">
        <v>2038938</v>
      </c>
      <c r="J4819" t="s">
        <v>42</v>
      </c>
      <c r="K4819" s="11">
        <v>3145.8</v>
      </c>
      <c r="L4819" s="12">
        <v>648.15</v>
      </c>
    </row>
    <row r="4820" spans="1:12" x14ac:dyDescent="0.2">
      <c r="A4820" s="9">
        <v>46261</v>
      </c>
      <c r="B4820" t="s">
        <v>169</v>
      </c>
      <c r="C4820" t="s">
        <v>170</v>
      </c>
      <c r="D4820" t="s">
        <v>41</v>
      </c>
      <c r="E4820" t="s">
        <v>647</v>
      </c>
      <c r="F4820" t="s">
        <v>668</v>
      </c>
      <c r="G4820" s="10">
        <v>51</v>
      </c>
      <c r="H4820" s="10">
        <v>120850</v>
      </c>
      <c r="I4820" s="10">
        <v>6163350</v>
      </c>
      <c r="J4820" t="s">
        <v>42</v>
      </c>
      <c r="K4820" s="11">
        <v>3145.8</v>
      </c>
      <c r="L4820" s="12">
        <v>1959.23</v>
      </c>
    </row>
    <row r="4821" spans="1:12" x14ac:dyDescent="0.2">
      <c r="A4821" s="9">
        <v>46261</v>
      </c>
      <c r="B4821" t="s">
        <v>172</v>
      </c>
      <c r="C4821" t="s">
        <v>173</v>
      </c>
      <c r="D4821" t="s">
        <v>41</v>
      </c>
      <c r="E4821" t="s">
        <v>649</v>
      </c>
      <c r="F4821" t="s">
        <v>659</v>
      </c>
      <c r="G4821" s="10">
        <v>5</v>
      </c>
      <c r="H4821" s="10">
        <v>43124</v>
      </c>
      <c r="I4821" s="10">
        <v>215620</v>
      </c>
      <c r="J4821" t="s">
        <v>42</v>
      </c>
      <c r="K4821" s="11">
        <v>3145.8</v>
      </c>
      <c r="L4821" s="12">
        <v>68.540000000000006</v>
      </c>
    </row>
    <row r="4822" spans="1:12" x14ac:dyDescent="0.2">
      <c r="A4822" s="9">
        <v>46261</v>
      </c>
      <c r="B4822" t="s">
        <v>172</v>
      </c>
      <c r="C4822" t="s">
        <v>173</v>
      </c>
      <c r="D4822" t="s">
        <v>41</v>
      </c>
      <c r="E4822" t="s">
        <v>647</v>
      </c>
      <c r="F4822" t="s">
        <v>667</v>
      </c>
      <c r="G4822" s="10">
        <v>10</v>
      </c>
      <c r="H4822" s="10">
        <v>36830</v>
      </c>
      <c r="I4822" s="10">
        <v>368300</v>
      </c>
      <c r="J4822" t="s">
        <v>42</v>
      </c>
      <c r="K4822" s="11">
        <v>3145.8</v>
      </c>
      <c r="L4822" s="12">
        <v>117.08</v>
      </c>
    </row>
    <row r="4823" spans="1:12" x14ac:dyDescent="0.2">
      <c r="A4823" s="9">
        <v>46261</v>
      </c>
      <c r="B4823" t="s">
        <v>181</v>
      </c>
      <c r="C4823" t="s">
        <v>182</v>
      </c>
      <c r="D4823" t="s">
        <v>41</v>
      </c>
      <c r="E4823" t="s">
        <v>649</v>
      </c>
      <c r="F4823" t="s">
        <v>663</v>
      </c>
      <c r="G4823" s="10">
        <v>2</v>
      </c>
      <c r="H4823" s="10">
        <v>9952</v>
      </c>
      <c r="I4823" s="10">
        <v>19904</v>
      </c>
      <c r="J4823" t="s">
        <v>42</v>
      </c>
      <c r="K4823" s="11">
        <v>3145.8</v>
      </c>
      <c r="L4823" s="12">
        <v>6.33</v>
      </c>
    </row>
    <row r="4824" spans="1:12" x14ac:dyDescent="0.2">
      <c r="A4824" s="9">
        <v>46261</v>
      </c>
      <c r="B4824" t="s">
        <v>184</v>
      </c>
      <c r="C4824" t="s">
        <v>185</v>
      </c>
      <c r="D4824" t="s">
        <v>41</v>
      </c>
      <c r="E4824" t="s">
        <v>647</v>
      </c>
      <c r="F4824" t="s">
        <v>648</v>
      </c>
      <c r="G4824" s="10">
        <v>14</v>
      </c>
      <c r="H4824" s="10">
        <v>77581</v>
      </c>
      <c r="I4824" s="10">
        <v>1086134</v>
      </c>
      <c r="J4824" t="s">
        <v>42</v>
      </c>
      <c r="K4824" s="11">
        <v>3145.8</v>
      </c>
      <c r="L4824" s="12">
        <v>345.26</v>
      </c>
    </row>
    <row r="4825" spans="1:12" x14ac:dyDescent="0.2">
      <c r="A4825" s="9">
        <v>46261</v>
      </c>
      <c r="B4825" t="s">
        <v>184</v>
      </c>
      <c r="C4825" t="s">
        <v>185</v>
      </c>
      <c r="D4825" t="s">
        <v>41</v>
      </c>
      <c r="E4825" t="s">
        <v>655</v>
      </c>
      <c r="F4825" t="s">
        <v>665</v>
      </c>
      <c r="G4825" s="10">
        <v>12</v>
      </c>
      <c r="H4825" s="10">
        <v>3223</v>
      </c>
      <c r="I4825" s="10">
        <v>38676</v>
      </c>
      <c r="J4825" t="s">
        <v>42</v>
      </c>
      <c r="K4825" s="11">
        <v>3145.8</v>
      </c>
      <c r="L4825" s="12">
        <v>12.29</v>
      </c>
    </row>
    <row r="4826" spans="1:12" x14ac:dyDescent="0.2">
      <c r="A4826" s="9">
        <v>46261</v>
      </c>
      <c r="B4826" t="s">
        <v>193</v>
      </c>
      <c r="C4826" t="s">
        <v>194</v>
      </c>
      <c r="D4826" t="s">
        <v>68</v>
      </c>
      <c r="E4826" t="s">
        <v>647</v>
      </c>
      <c r="F4826" t="s">
        <v>667</v>
      </c>
      <c r="G4826" s="10">
        <v>23</v>
      </c>
      <c r="H4826" s="10">
        <v>7602</v>
      </c>
      <c r="I4826" s="10">
        <v>174846</v>
      </c>
      <c r="J4826" t="s">
        <v>51</v>
      </c>
      <c r="K4826" s="11">
        <v>648.20000000000005</v>
      </c>
      <c r="L4826" s="12">
        <v>269.74</v>
      </c>
    </row>
    <row r="4827" spans="1:12" x14ac:dyDescent="0.2">
      <c r="A4827" s="9">
        <v>46261</v>
      </c>
      <c r="B4827" t="s">
        <v>199</v>
      </c>
      <c r="C4827" t="s">
        <v>200</v>
      </c>
      <c r="D4827" t="s">
        <v>46</v>
      </c>
      <c r="E4827" t="s">
        <v>649</v>
      </c>
      <c r="F4827" t="s">
        <v>663</v>
      </c>
      <c r="G4827" s="10">
        <v>33</v>
      </c>
      <c r="H4827" s="10">
        <v>2013</v>
      </c>
      <c r="I4827" s="10">
        <v>66429</v>
      </c>
      <c r="J4827" t="s">
        <v>37</v>
      </c>
      <c r="K4827" s="11">
        <v>648.20000000000005</v>
      </c>
      <c r="L4827" s="12">
        <v>102.48</v>
      </c>
    </row>
    <row r="4828" spans="1:12" x14ac:dyDescent="0.2">
      <c r="A4828" s="9">
        <v>46261</v>
      </c>
      <c r="B4828" t="s">
        <v>211</v>
      </c>
      <c r="C4828" t="s">
        <v>212</v>
      </c>
      <c r="D4828" t="s">
        <v>46</v>
      </c>
      <c r="E4828" t="s">
        <v>660</v>
      </c>
      <c r="F4828" t="s">
        <v>670</v>
      </c>
      <c r="G4828" s="10">
        <v>14</v>
      </c>
      <c r="H4828" s="10">
        <v>14507</v>
      </c>
      <c r="I4828" s="10">
        <v>203098</v>
      </c>
      <c r="J4828" t="s">
        <v>37</v>
      </c>
      <c r="K4828" s="11">
        <v>648.20000000000005</v>
      </c>
      <c r="L4828" s="12">
        <v>313.33</v>
      </c>
    </row>
    <row r="4829" spans="1:12" x14ac:dyDescent="0.2">
      <c r="A4829" s="9">
        <v>46261</v>
      </c>
      <c r="B4829" t="s">
        <v>214</v>
      </c>
      <c r="C4829" t="s">
        <v>215</v>
      </c>
      <c r="D4829" t="s">
        <v>46</v>
      </c>
      <c r="E4829" t="s">
        <v>653</v>
      </c>
      <c r="F4829" t="s">
        <v>666</v>
      </c>
      <c r="G4829" s="10">
        <v>7</v>
      </c>
      <c r="H4829" s="10">
        <v>1559</v>
      </c>
      <c r="I4829" s="10">
        <v>10913</v>
      </c>
      <c r="J4829" t="s">
        <v>37</v>
      </c>
      <c r="K4829" s="11">
        <v>648.20000000000005</v>
      </c>
      <c r="L4829" s="12">
        <v>16.84</v>
      </c>
    </row>
    <row r="4830" spans="1:12" x14ac:dyDescent="0.2">
      <c r="A4830" s="9">
        <v>46261</v>
      </c>
      <c r="B4830" t="s">
        <v>214</v>
      </c>
      <c r="C4830" t="s">
        <v>215</v>
      </c>
      <c r="D4830" t="s">
        <v>46</v>
      </c>
      <c r="E4830" t="s">
        <v>660</v>
      </c>
      <c r="F4830" t="s">
        <v>669</v>
      </c>
      <c r="G4830" s="10">
        <v>21</v>
      </c>
      <c r="H4830" s="10">
        <v>2686</v>
      </c>
      <c r="I4830" s="10">
        <v>56406</v>
      </c>
      <c r="J4830" t="s">
        <v>37</v>
      </c>
      <c r="K4830" s="11">
        <v>648.20000000000005</v>
      </c>
      <c r="L4830" s="12">
        <v>87.02</v>
      </c>
    </row>
    <row r="4831" spans="1:12" x14ac:dyDescent="0.2">
      <c r="A4831" s="9">
        <v>46261</v>
      </c>
      <c r="B4831" t="s">
        <v>214</v>
      </c>
      <c r="C4831" t="s">
        <v>215</v>
      </c>
      <c r="D4831" t="s">
        <v>46</v>
      </c>
      <c r="E4831" t="s">
        <v>660</v>
      </c>
      <c r="F4831" t="s">
        <v>661</v>
      </c>
      <c r="G4831" s="10">
        <v>19</v>
      </c>
      <c r="H4831" s="10">
        <v>4262</v>
      </c>
      <c r="I4831" s="10">
        <v>80978</v>
      </c>
      <c r="J4831" t="s">
        <v>37</v>
      </c>
      <c r="K4831" s="11">
        <v>648.20000000000005</v>
      </c>
      <c r="L4831" s="12">
        <v>124.93</v>
      </c>
    </row>
    <row r="4832" spans="1:12" x14ac:dyDescent="0.2">
      <c r="A4832" s="9">
        <v>46261</v>
      </c>
      <c r="B4832" t="s">
        <v>214</v>
      </c>
      <c r="C4832" t="s">
        <v>215</v>
      </c>
      <c r="D4832" t="s">
        <v>46</v>
      </c>
      <c r="E4832" t="s">
        <v>647</v>
      </c>
      <c r="F4832" t="s">
        <v>668</v>
      </c>
      <c r="G4832" s="10">
        <v>16</v>
      </c>
      <c r="H4832" s="10">
        <v>24751</v>
      </c>
      <c r="I4832" s="10">
        <v>396016</v>
      </c>
      <c r="J4832" t="s">
        <v>37</v>
      </c>
      <c r="K4832" s="11">
        <v>648.20000000000005</v>
      </c>
      <c r="L4832" s="12">
        <v>610.95000000000005</v>
      </c>
    </row>
    <row r="4833" spans="1:12" x14ac:dyDescent="0.2">
      <c r="A4833" s="9">
        <v>46261</v>
      </c>
      <c r="B4833" t="s">
        <v>220</v>
      </c>
      <c r="C4833" t="s">
        <v>221</v>
      </c>
      <c r="D4833" t="s">
        <v>46</v>
      </c>
      <c r="E4833" t="s">
        <v>655</v>
      </c>
      <c r="F4833" t="s">
        <v>656</v>
      </c>
      <c r="G4833" s="10">
        <v>5</v>
      </c>
      <c r="H4833" s="10">
        <v>558</v>
      </c>
      <c r="I4833" s="10">
        <v>2790</v>
      </c>
      <c r="J4833" t="s">
        <v>37</v>
      </c>
      <c r="K4833" s="11">
        <v>648.20000000000005</v>
      </c>
      <c r="L4833" s="12">
        <v>4.3</v>
      </c>
    </row>
    <row r="4834" spans="1:12" x14ac:dyDescent="0.2">
      <c r="A4834" s="9">
        <v>46261</v>
      </c>
      <c r="B4834" t="s">
        <v>226</v>
      </c>
      <c r="C4834" t="s">
        <v>227</v>
      </c>
      <c r="D4834" t="s">
        <v>41</v>
      </c>
      <c r="E4834" t="s">
        <v>651</v>
      </c>
      <c r="F4834" t="s">
        <v>657</v>
      </c>
      <c r="G4834" s="10">
        <v>16</v>
      </c>
      <c r="H4834" s="10">
        <v>30208</v>
      </c>
      <c r="I4834" s="10">
        <v>483328</v>
      </c>
      <c r="J4834" t="s">
        <v>42</v>
      </c>
      <c r="K4834" s="11">
        <v>3145.8</v>
      </c>
      <c r="L4834" s="12">
        <v>153.63999999999999</v>
      </c>
    </row>
    <row r="4835" spans="1:12" x14ac:dyDescent="0.2">
      <c r="A4835" s="9">
        <v>46261</v>
      </c>
      <c r="B4835" t="s">
        <v>229</v>
      </c>
      <c r="C4835" t="s">
        <v>230</v>
      </c>
      <c r="D4835" t="s">
        <v>36</v>
      </c>
      <c r="E4835" t="s">
        <v>660</v>
      </c>
      <c r="F4835" t="s">
        <v>670</v>
      </c>
      <c r="G4835" s="10">
        <v>17</v>
      </c>
      <c r="H4835" s="10">
        <v>14827</v>
      </c>
      <c r="I4835" s="10">
        <v>252059</v>
      </c>
      <c r="J4835" t="s">
        <v>37</v>
      </c>
      <c r="K4835" s="11">
        <v>648.20000000000005</v>
      </c>
      <c r="L4835" s="12">
        <v>388.86</v>
      </c>
    </row>
    <row r="4836" spans="1:12" x14ac:dyDescent="0.2">
      <c r="A4836" s="9">
        <v>46261</v>
      </c>
      <c r="B4836" t="s">
        <v>229</v>
      </c>
      <c r="C4836" t="s">
        <v>230</v>
      </c>
      <c r="D4836" t="s">
        <v>36</v>
      </c>
      <c r="E4836" t="s">
        <v>655</v>
      </c>
      <c r="F4836" t="s">
        <v>656</v>
      </c>
      <c r="G4836" s="10">
        <v>21</v>
      </c>
      <c r="H4836" s="10">
        <v>590</v>
      </c>
      <c r="I4836" s="10">
        <v>12390</v>
      </c>
      <c r="J4836" t="s">
        <v>37</v>
      </c>
      <c r="K4836" s="11">
        <v>648.20000000000005</v>
      </c>
      <c r="L4836" s="12">
        <v>19.11</v>
      </c>
    </row>
    <row r="4837" spans="1:12" x14ac:dyDescent="0.2">
      <c r="A4837" s="9">
        <v>46261</v>
      </c>
      <c r="B4837" t="s">
        <v>235</v>
      </c>
      <c r="C4837" t="s">
        <v>236</v>
      </c>
      <c r="D4837" t="s">
        <v>50</v>
      </c>
      <c r="E4837" t="s">
        <v>649</v>
      </c>
      <c r="F4837" t="s">
        <v>650</v>
      </c>
      <c r="G4837" s="10">
        <v>18</v>
      </c>
      <c r="H4837" s="10">
        <v>19337</v>
      </c>
      <c r="I4837" s="10">
        <v>348066</v>
      </c>
      <c r="J4837" t="s">
        <v>51</v>
      </c>
      <c r="K4837" s="11">
        <v>648.20000000000005</v>
      </c>
      <c r="L4837" s="12">
        <v>536.97</v>
      </c>
    </row>
    <row r="4838" spans="1:12" x14ac:dyDescent="0.2">
      <c r="A4838" s="9">
        <v>46261</v>
      </c>
      <c r="B4838" t="s">
        <v>235</v>
      </c>
      <c r="C4838" t="s">
        <v>236</v>
      </c>
      <c r="D4838" t="s">
        <v>50</v>
      </c>
      <c r="E4838" t="s">
        <v>655</v>
      </c>
      <c r="F4838" t="s">
        <v>656</v>
      </c>
      <c r="G4838" s="10">
        <v>29</v>
      </c>
      <c r="H4838" s="10">
        <v>572</v>
      </c>
      <c r="I4838" s="10">
        <v>16588</v>
      </c>
      <c r="J4838" t="s">
        <v>51</v>
      </c>
      <c r="K4838" s="11">
        <v>648.20000000000005</v>
      </c>
      <c r="L4838" s="12">
        <v>25.59</v>
      </c>
    </row>
    <row r="4839" spans="1:12" x14ac:dyDescent="0.2">
      <c r="A4839" s="9">
        <v>46261</v>
      </c>
      <c r="B4839" t="s">
        <v>238</v>
      </c>
      <c r="C4839" t="s">
        <v>239</v>
      </c>
      <c r="D4839" t="s">
        <v>68</v>
      </c>
      <c r="E4839" t="s">
        <v>647</v>
      </c>
      <c r="F4839" t="s">
        <v>667</v>
      </c>
      <c r="G4839" s="10">
        <v>2</v>
      </c>
      <c r="H4839" s="10">
        <v>7177</v>
      </c>
      <c r="I4839" s="10">
        <v>14354</v>
      </c>
      <c r="J4839" t="s">
        <v>51</v>
      </c>
      <c r="K4839" s="11">
        <v>648.20000000000005</v>
      </c>
      <c r="L4839" s="12">
        <v>22.14</v>
      </c>
    </row>
    <row r="4840" spans="1:12" x14ac:dyDescent="0.2">
      <c r="A4840" s="9">
        <v>46261</v>
      </c>
      <c r="B4840" t="s">
        <v>241</v>
      </c>
      <c r="C4840" t="s">
        <v>242</v>
      </c>
      <c r="D4840" t="s">
        <v>46</v>
      </c>
      <c r="E4840" t="s">
        <v>660</v>
      </c>
      <c r="F4840" t="s">
        <v>669</v>
      </c>
      <c r="G4840" s="10">
        <v>3</v>
      </c>
      <c r="H4840" s="10">
        <v>2531</v>
      </c>
      <c r="I4840" s="10">
        <v>7593</v>
      </c>
      <c r="J4840" t="s">
        <v>37</v>
      </c>
      <c r="K4840" s="11">
        <v>648.20000000000005</v>
      </c>
      <c r="L4840" s="12">
        <v>11.71</v>
      </c>
    </row>
    <row r="4841" spans="1:12" x14ac:dyDescent="0.2">
      <c r="A4841" s="9">
        <v>46261</v>
      </c>
      <c r="B4841" t="s">
        <v>244</v>
      </c>
      <c r="C4841" t="s">
        <v>245</v>
      </c>
      <c r="D4841" t="s">
        <v>75</v>
      </c>
      <c r="E4841" t="s">
        <v>655</v>
      </c>
      <c r="F4841" t="s">
        <v>665</v>
      </c>
      <c r="G4841" s="10">
        <v>168</v>
      </c>
      <c r="H4841" s="10">
        <v>3303</v>
      </c>
      <c r="I4841" s="10">
        <v>554904</v>
      </c>
      <c r="J4841" t="s">
        <v>42</v>
      </c>
      <c r="K4841" s="11">
        <v>3145.8</v>
      </c>
      <c r="L4841" s="12">
        <v>176.4</v>
      </c>
    </row>
    <row r="4842" spans="1:12" x14ac:dyDescent="0.2">
      <c r="A4842" s="9">
        <v>46261</v>
      </c>
      <c r="B4842" t="s">
        <v>247</v>
      </c>
      <c r="C4842" t="s">
        <v>248</v>
      </c>
      <c r="D4842" t="s">
        <v>75</v>
      </c>
      <c r="E4842" t="s">
        <v>647</v>
      </c>
      <c r="F4842" t="s">
        <v>667</v>
      </c>
      <c r="G4842" s="10">
        <v>4</v>
      </c>
      <c r="H4842" s="10">
        <v>35071</v>
      </c>
      <c r="I4842" s="10">
        <v>140284</v>
      </c>
      <c r="J4842" t="s">
        <v>42</v>
      </c>
      <c r="K4842" s="11">
        <v>3145.8</v>
      </c>
      <c r="L4842" s="12">
        <v>44.59</v>
      </c>
    </row>
    <row r="4843" spans="1:12" x14ac:dyDescent="0.2">
      <c r="A4843" s="9">
        <v>46261</v>
      </c>
      <c r="B4843" t="s">
        <v>264</v>
      </c>
      <c r="C4843" t="s">
        <v>265</v>
      </c>
      <c r="D4843" t="s">
        <v>41</v>
      </c>
      <c r="E4843" t="s">
        <v>647</v>
      </c>
      <c r="F4843" t="s">
        <v>648</v>
      </c>
      <c r="G4843" s="10">
        <v>1</v>
      </c>
      <c r="H4843" s="10">
        <v>76667</v>
      </c>
      <c r="I4843" s="10">
        <v>76667</v>
      </c>
      <c r="J4843" t="s">
        <v>42</v>
      </c>
      <c r="K4843" s="11">
        <v>3145.8</v>
      </c>
      <c r="L4843" s="12">
        <v>24.37</v>
      </c>
    </row>
    <row r="4844" spans="1:12" x14ac:dyDescent="0.2">
      <c r="A4844" s="9">
        <v>46261</v>
      </c>
      <c r="B4844" t="s">
        <v>264</v>
      </c>
      <c r="C4844" t="s">
        <v>265</v>
      </c>
      <c r="D4844" t="s">
        <v>41</v>
      </c>
      <c r="E4844" t="s">
        <v>647</v>
      </c>
      <c r="F4844" t="s">
        <v>648</v>
      </c>
      <c r="G4844" s="10">
        <v>26</v>
      </c>
      <c r="H4844" s="10">
        <v>76843</v>
      </c>
      <c r="I4844" s="10">
        <v>1997918</v>
      </c>
      <c r="J4844" t="s">
        <v>42</v>
      </c>
      <c r="K4844" s="11">
        <v>3145.8</v>
      </c>
      <c r="L4844" s="12">
        <v>635.11</v>
      </c>
    </row>
    <row r="4845" spans="1:12" x14ac:dyDescent="0.2">
      <c r="A4845" s="9">
        <v>46261</v>
      </c>
      <c r="B4845" t="s">
        <v>267</v>
      </c>
      <c r="C4845" t="s">
        <v>268</v>
      </c>
      <c r="D4845" t="s">
        <v>46</v>
      </c>
      <c r="E4845" t="s">
        <v>653</v>
      </c>
      <c r="F4845" t="s">
        <v>658</v>
      </c>
      <c r="G4845" s="10">
        <v>12</v>
      </c>
      <c r="H4845" s="10">
        <v>2641</v>
      </c>
      <c r="I4845" s="10">
        <v>31692</v>
      </c>
      <c r="J4845" t="s">
        <v>37</v>
      </c>
      <c r="K4845" s="11">
        <v>648.20000000000005</v>
      </c>
      <c r="L4845" s="12">
        <v>48.89</v>
      </c>
    </row>
    <row r="4846" spans="1:12" x14ac:dyDescent="0.2">
      <c r="A4846" s="9">
        <v>46261</v>
      </c>
      <c r="B4846" t="s">
        <v>267</v>
      </c>
      <c r="C4846" t="s">
        <v>268</v>
      </c>
      <c r="D4846" t="s">
        <v>46</v>
      </c>
      <c r="E4846" t="s">
        <v>660</v>
      </c>
      <c r="F4846" t="s">
        <v>670</v>
      </c>
      <c r="G4846" s="10">
        <v>21</v>
      </c>
      <c r="H4846" s="10">
        <v>14891</v>
      </c>
      <c r="I4846" s="10">
        <v>312711</v>
      </c>
      <c r="J4846" t="s">
        <v>37</v>
      </c>
      <c r="K4846" s="11">
        <v>648.20000000000005</v>
      </c>
      <c r="L4846" s="12">
        <v>482.43</v>
      </c>
    </row>
    <row r="4847" spans="1:12" x14ac:dyDescent="0.2">
      <c r="A4847" s="9">
        <v>46261</v>
      </c>
      <c r="B4847" t="s">
        <v>267</v>
      </c>
      <c r="C4847" t="s">
        <v>268</v>
      </c>
      <c r="D4847" t="s">
        <v>46</v>
      </c>
      <c r="E4847" t="s">
        <v>647</v>
      </c>
      <c r="F4847" t="s">
        <v>648</v>
      </c>
      <c r="G4847" s="10">
        <v>12</v>
      </c>
      <c r="H4847" s="10">
        <v>16793</v>
      </c>
      <c r="I4847" s="10">
        <v>201516</v>
      </c>
      <c r="J4847" t="s">
        <v>37</v>
      </c>
      <c r="K4847" s="11">
        <v>648.20000000000005</v>
      </c>
      <c r="L4847" s="12">
        <v>310.89</v>
      </c>
    </row>
    <row r="4848" spans="1:12" x14ac:dyDescent="0.2">
      <c r="A4848" s="9">
        <v>46261</v>
      </c>
      <c r="B4848" t="s">
        <v>267</v>
      </c>
      <c r="C4848" t="s">
        <v>268</v>
      </c>
      <c r="D4848" t="s">
        <v>46</v>
      </c>
      <c r="E4848" t="s">
        <v>655</v>
      </c>
      <c r="F4848" t="s">
        <v>665</v>
      </c>
      <c r="G4848" s="10">
        <v>14</v>
      </c>
      <c r="H4848" s="10">
        <v>681</v>
      </c>
      <c r="I4848" s="10">
        <v>9534</v>
      </c>
      <c r="J4848" t="s">
        <v>37</v>
      </c>
      <c r="K4848" s="11">
        <v>648.20000000000005</v>
      </c>
      <c r="L4848" s="12">
        <v>14.71</v>
      </c>
    </row>
    <row r="4849" spans="1:12" x14ac:dyDescent="0.2">
      <c r="A4849" s="9">
        <v>46261</v>
      </c>
      <c r="B4849" t="s">
        <v>270</v>
      </c>
      <c r="C4849" t="s">
        <v>271</v>
      </c>
      <c r="D4849" t="s">
        <v>75</v>
      </c>
      <c r="E4849" t="s">
        <v>647</v>
      </c>
      <c r="F4849" t="s">
        <v>648</v>
      </c>
      <c r="G4849" s="10">
        <v>43</v>
      </c>
      <c r="H4849" s="10">
        <v>80412</v>
      </c>
      <c r="I4849" s="10">
        <v>3457716</v>
      </c>
      <c r="J4849" t="s">
        <v>42</v>
      </c>
      <c r="K4849" s="11">
        <v>3145.8</v>
      </c>
      <c r="L4849" s="12">
        <v>1099.1500000000001</v>
      </c>
    </row>
    <row r="4850" spans="1:12" x14ac:dyDescent="0.2">
      <c r="A4850" s="9">
        <v>46261</v>
      </c>
      <c r="B4850" t="s">
        <v>273</v>
      </c>
      <c r="C4850" t="s">
        <v>274</v>
      </c>
      <c r="D4850" t="s">
        <v>41</v>
      </c>
      <c r="E4850" t="s">
        <v>651</v>
      </c>
      <c r="F4850" t="s">
        <v>652</v>
      </c>
      <c r="G4850" s="10">
        <v>10</v>
      </c>
      <c r="H4850" s="10">
        <v>45722</v>
      </c>
      <c r="I4850" s="10">
        <v>457220</v>
      </c>
      <c r="J4850" t="s">
        <v>42</v>
      </c>
      <c r="K4850" s="11">
        <v>3145.8</v>
      </c>
      <c r="L4850" s="12">
        <v>145.34</v>
      </c>
    </row>
    <row r="4851" spans="1:12" x14ac:dyDescent="0.2">
      <c r="A4851" s="9">
        <v>46261</v>
      </c>
      <c r="B4851" t="s">
        <v>273</v>
      </c>
      <c r="C4851" t="s">
        <v>274</v>
      </c>
      <c r="D4851" t="s">
        <v>41</v>
      </c>
      <c r="E4851" t="s">
        <v>647</v>
      </c>
      <c r="F4851" t="s">
        <v>667</v>
      </c>
      <c r="G4851" s="10">
        <v>2</v>
      </c>
      <c r="H4851" s="10">
        <v>35536</v>
      </c>
      <c r="I4851" s="10">
        <v>71072</v>
      </c>
      <c r="J4851" t="s">
        <v>42</v>
      </c>
      <c r="K4851" s="11">
        <v>3145.8</v>
      </c>
      <c r="L4851" s="12">
        <v>22.59</v>
      </c>
    </row>
    <row r="4852" spans="1:12" x14ac:dyDescent="0.2">
      <c r="A4852" s="9">
        <v>46261</v>
      </c>
      <c r="B4852" t="s">
        <v>273</v>
      </c>
      <c r="C4852" t="s">
        <v>274</v>
      </c>
      <c r="D4852" t="s">
        <v>41</v>
      </c>
      <c r="E4852" t="s">
        <v>655</v>
      </c>
      <c r="F4852" t="s">
        <v>656</v>
      </c>
      <c r="G4852" s="10">
        <v>5</v>
      </c>
      <c r="H4852" s="10">
        <v>2898</v>
      </c>
      <c r="I4852" s="10">
        <v>14490</v>
      </c>
      <c r="J4852" t="s">
        <v>42</v>
      </c>
      <c r="K4852" s="11">
        <v>3145.8</v>
      </c>
      <c r="L4852" s="12">
        <v>4.6100000000000003</v>
      </c>
    </row>
    <row r="4853" spans="1:12" x14ac:dyDescent="0.2">
      <c r="A4853" s="9">
        <v>46261</v>
      </c>
      <c r="B4853" t="s">
        <v>279</v>
      </c>
      <c r="C4853" t="s">
        <v>280</v>
      </c>
      <c r="D4853" t="s">
        <v>68</v>
      </c>
      <c r="E4853" t="s">
        <v>660</v>
      </c>
      <c r="F4853" t="s">
        <v>670</v>
      </c>
      <c r="G4853" s="10">
        <v>20</v>
      </c>
      <c r="H4853" s="10">
        <v>13915</v>
      </c>
      <c r="I4853" s="10">
        <v>278300</v>
      </c>
      <c r="J4853" t="s">
        <v>51</v>
      </c>
      <c r="K4853" s="11">
        <v>648.20000000000005</v>
      </c>
      <c r="L4853" s="12">
        <v>429.34</v>
      </c>
    </row>
    <row r="4854" spans="1:12" x14ac:dyDescent="0.2">
      <c r="A4854" s="9">
        <v>46261</v>
      </c>
      <c r="B4854" t="s">
        <v>279</v>
      </c>
      <c r="C4854" t="s">
        <v>280</v>
      </c>
      <c r="D4854" t="s">
        <v>68</v>
      </c>
      <c r="E4854" t="s">
        <v>647</v>
      </c>
      <c r="F4854" t="s">
        <v>668</v>
      </c>
      <c r="G4854" s="10">
        <v>12</v>
      </c>
      <c r="H4854" s="10">
        <v>25884</v>
      </c>
      <c r="I4854" s="10">
        <v>310608</v>
      </c>
      <c r="J4854" t="s">
        <v>51</v>
      </c>
      <c r="K4854" s="11">
        <v>648.20000000000005</v>
      </c>
      <c r="L4854" s="12">
        <v>479.19</v>
      </c>
    </row>
    <row r="4855" spans="1:12" x14ac:dyDescent="0.2">
      <c r="A4855" s="9">
        <v>46261</v>
      </c>
      <c r="B4855" t="s">
        <v>282</v>
      </c>
      <c r="C4855" t="s">
        <v>283</v>
      </c>
      <c r="D4855" t="s">
        <v>41</v>
      </c>
      <c r="E4855" t="s">
        <v>649</v>
      </c>
      <c r="F4855" t="s">
        <v>650</v>
      </c>
      <c r="G4855" s="10">
        <v>1</v>
      </c>
      <c r="H4855" s="10">
        <v>93538</v>
      </c>
      <c r="I4855" s="10">
        <v>93538</v>
      </c>
      <c r="J4855" t="s">
        <v>42</v>
      </c>
      <c r="K4855" s="11">
        <v>3145.8</v>
      </c>
      <c r="L4855" s="12">
        <v>29.73</v>
      </c>
    </row>
    <row r="4856" spans="1:12" x14ac:dyDescent="0.2">
      <c r="A4856" s="9">
        <v>46261</v>
      </c>
      <c r="B4856" t="s">
        <v>282</v>
      </c>
      <c r="C4856" t="s">
        <v>283</v>
      </c>
      <c r="D4856" t="s">
        <v>41</v>
      </c>
      <c r="E4856" t="s">
        <v>649</v>
      </c>
      <c r="F4856" t="s">
        <v>659</v>
      </c>
      <c r="G4856" s="10">
        <v>8</v>
      </c>
      <c r="H4856" s="10">
        <v>42832</v>
      </c>
      <c r="I4856" s="10">
        <v>342656</v>
      </c>
      <c r="J4856" t="s">
        <v>42</v>
      </c>
      <c r="K4856" s="11">
        <v>3145.8</v>
      </c>
      <c r="L4856" s="12">
        <v>108.92</v>
      </c>
    </row>
    <row r="4857" spans="1:12" x14ac:dyDescent="0.2">
      <c r="A4857" s="9">
        <v>46261</v>
      </c>
      <c r="B4857" t="s">
        <v>282</v>
      </c>
      <c r="C4857" t="s">
        <v>283</v>
      </c>
      <c r="D4857" t="s">
        <v>41</v>
      </c>
      <c r="E4857" t="s">
        <v>660</v>
      </c>
      <c r="F4857" t="s">
        <v>670</v>
      </c>
      <c r="G4857" s="10">
        <v>5</v>
      </c>
      <c r="H4857" s="10">
        <v>69523</v>
      </c>
      <c r="I4857" s="10">
        <v>347615</v>
      </c>
      <c r="J4857" t="s">
        <v>42</v>
      </c>
      <c r="K4857" s="11">
        <v>3145.8</v>
      </c>
      <c r="L4857" s="12">
        <v>110.5</v>
      </c>
    </row>
    <row r="4858" spans="1:12" x14ac:dyDescent="0.2">
      <c r="A4858" s="9">
        <v>46261</v>
      </c>
      <c r="B4858" t="s">
        <v>282</v>
      </c>
      <c r="C4858" t="s">
        <v>283</v>
      </c>
      <c r="D4858" t="s">
        <v>41</v>
      </c>
      <c r="E4858" t="s">
        <v>655</v>
      </c>
      <c r="F4858" t="s">
        <v>656</v>
      </c>
      <c r="G4858" s="10">
        <v>13</v>
      </c>
      <c r="H4858" s="10">
        <v>2794</v>
      </c>
      <c r="I4858" s="10">
        <v>36322</v>
      </c>
      <c r="J4858" t="s">
        <v>42</v>
      </c>
      <c r="K4858" s="11">
        <v>3145.8</v>
      </c>
      <c r="L4858" s="12">
        <v>11.55</v>
      </c>
    </row>
    <row r="4859" spans="1:12" x14ac:dyDescent="0.2">
      <c r="A4859" s="9">
        <v>46261</v>
      </c>
      <c r="B4859" t="s">
        <v>291</v>
      </c>
      <c r="C4859" t="s">
        <v>292</v>
      </c>
      <c r="D4859" t="s">
        <v>68</v>
      </c>
      <c r="E4859" t="s">
        <v>660</v>
      </c>
      <c r="F4859" t="s">
        <v>670</v>
      </c>
      <c r="G4859" s="10">
        <v>7</v>
      </c>
      <c r="H4859" s="10">
        <v>14497</v>
      </c>
      <c r="I4859" s="10">
        <v>101479</v>
      </c>
      <c r="J4859" t="s">
        <v>51</v>
      </c>
      <c r="K4859" s="11">
        <v>648.20000000000005</v>
      </c>
      <c r="L4859" s="12">
        <v>156.56</v>
      </c>
    </row>
    <row r="4860" spans="1:12" x14ac:dyDescent="0.2">
      <c r="A4860" s="9">
        <v>46261</v>
      </c>
      <c r="B4860" t="s">
        <v>291</v>
      </c>
      <c r="C4860" t="s">
        <v>292</v>
      </c>
      <c r="D4860" t="s">
        <v>68</v>
      </c>
      <c r="E4860" t="s">
        <v>647</v>
      </c>
      <c r="F4860" t="s">
        <v>667</v>
      </c>
      <c r="G4860" s="10">
        <v>12</v>
      </c>
      <c r="H4860" s="10">
        <v>7479</v>
      </c>
      <c r="I4860" s="10">
        <v>89748</v>
      </c>
      <c r="J4860" t="s">
        <v>51</v>
      </c>
      <c r="K4860" s="11">
        <v>648.20000000000005</v>
      </c>
      <c r="L4860" s="12">
        <v>138.46</v>
      </c>
    </row>
    <row r="4861" spans="1:12" x14ac:dyDescent="0.2">
      <c r="A4861" s="9">
        <v>46261</v>
      </c>
      <c r="B4861" t="s">
        <v>294</v>
      </c>
      <c r="C4861" t="s">
        <v>295</v>
      </c>
      <c r="D4861" t="s">
        <v>41</v>
      </c>
      <c r="E4861" t="s">
        <v>647</v>
      </c>
      <c r="F4861" t="s">
        <v>667</v>
      </c>
      <c r="G4861" s="10">
        <v>10</v>
      </c>
      <c r="H4861" s="10">
        <v>36372</v>
      </c>
      <c r="I4861" s="10">
        <v>363720</v>
      </c>
      <c r="J4861" t="s">
        <v>42</v>
      </c>
      <c r="K4861" s="11">
        <v>3145.8</v>
      </c>
      <c r="L4861" s="12">
        <v>115.62</v>
      </c>
    </row>
    <row r="4862" spans="1:12" x14ac:dyDescent="0.2">
      <c r="A4862" s="9">
        <v>46261</v>
      </c>
      <c r="B4862" t="s">
        <v>297</v>
      </c>
      <c r="C4862" t="s">
        <v>298</v>
      </c>
      <c r="D4862" t="s">
        <v>36</v>
      </c>
      <c r="E4862" t="s">
        <v>649</v>
      </c>
      <c r="F4862" t="s">
        <v>659</v>
      </c>
      <c r="G4862" s="10">
        <v>17</v>
      </c>
      <c r="H4862" s="10">
        <v>8712</v>
      </c>
      <c r="I4862" s="10">
        <v>148104</v>
      </c>
      <c r="J4862" t="s">
        <v>37</v>
      </c>
      <c r="K4862" s="11">
        <v>648.20000000000005</v>
      </c>
      <c r="L4862" s="12">
        <v>228.49</v>
      </c>
    </row>
    <row r="4863" spans="1:12" x14ac:dyDescent="0.2">
      <c r="A4863" s="9">
        <v>46261</v>
      </c>
      <c r="B4863" t="s">
        <v>297</v>
      </c>
      <c r="C4863" t="s">
        <v>298</v>
      </c>
      <c r="D4863" t="s">
        <v>36</v>
      </c>
      <c r="E4863" t="s">
        <v>651</v>
      </c>
      <c r="F4863" t="s">
        <v>657</v>
      </c>
      <c r="G4863" s="10">
        <v>21</v>
      </c>
      <c r="H4863" s="10">
        <v>6402</v>
      </c>
      <c r="I4863" s="10">
        <v>134442</v>
      </c>
      <c r="J4863" t="s">
        <v>37</v>
      </c>
      <c r="K4863" s="11">
        <v>648.20000000000005</v>
      </c>
      <c r="L4863" s="12">
        <v>207.41</v>
      </c>
    </row>
    <row r="4864" spans="1:12" x14ac:dyDescent="0.2">
      <c r="A4864" s="9">
        <v>46261</v>
      </c>
      <c r="B4864" t="s">
        <v>300</v>
      </c>
      <c r="C4864" t="s">
        <v>301</v>
      </c>
      <c r="D4864" t="s">
        <v>41</v>
      </c>
      <c r="E4864" t="s">
        <v>647</v>
      </c>
      <c r="F4864" t="s">
        <v>648</v>
      </c>
      <c r="G4864" s="10">
        <v>6</v>
      </c>
      <c r="H4864" s="10">
        <v>75945</v>
      </c>
      <c r="I4864" s="10">
        <v>455670</v>
      </c>
      <c r="J4864" t="s">
        <v>42</v>
      </c>
      <c r="K4864" s="11">
        <v>3145.8</v>
      </c>
      <c r="L4864" s="12">
        <v>144.85</v>
      </c>
    </row>
    <row r="4865" spans="1:12" x14ac:dyDescent="0.2">
      <c r="A4865" s="9">
        <v>46261</v>
      </c>
      <c r="B4865" t="s">
        <v>309</v>
      </c>
      <c r="C4865" t="s">
        <v>310</v>
      </c>
      <c r="D4865" t="s">
        <v>41</v>
      </c>
      <c r="E4865" t="s">
        <v>655</v>
      </c>
      <c r="F4865" t="s">
        <v>662</v>
      </c>
      <c r="G4865" s="10">
        <v>4</v>
      </c>
      <c r="H4865" s="10">
        <v>5266</v>
      </c>
      <c r="I4865" s="10">
        <v>21064</v>
      </c>
      <c r="J4865" t="s">
        <v>42</v>
      </c>
      <c r="K4865" s="11">
        <v>3145.8</v>
      </c>
      <c r="L4865" s="12">
        <v>6.7</v>
      </c>
    </row>
    <row r="4866" spans="1:12" x14ac:dyDescent="0.2">
      <c r="A4866" s="9">
        <v>46261</v>
      </c>
      <c r="B4866" t="s">
        <v>312</v>
      </c>
      <c r="C4866" t="s">
        <v>313</v>
      </c>
      <c r="D4866" t="s">
        <v>41</v>
      </c>
      <c r="E4866" t="s">
        <v>651</v>
      </c>
      <c r="F4866" t="s">
        <v>652</v>
      </c>
      <c r="G4866" s="10">
        <v>10</v>
      </c>
      <c r="H4866" s="10">
        <v>45138</v>
      </c>
      <c r="I4866" s="10">
        <v>451380</v>
      </c>
      <c r="J4866" t="s">
        <v>42</v>
      </c>
      <c r="K4866" s="11">
        <v>3145.8</v>
      </c>
      <c r="L4866" s="12">
        <v>143.49</v>
      </c>
    </row>
    <row r="4867" spans="1:12" x14ac:dyDescent="0.2">
      <c r="A4867" s="9">
        <v>46261</v>
      </c>
      <c r="B4867" t="s">
        <v>315</v>
      </c>
      <c r="C4867" t="s">
        <v>316</v>
      </c>
      <c r="D4867" t="s">
        <v>46</v>
      </c>
      <c r="E4867" t="s">
        <v>647</v>
      </c>
      <c r="F4867" t="s">
        <v>648</v>
      </c>
      <c r="G4867" s="10">
        <v>31</v>
      </c>
      <c r="H4867" s="10">
        <v>16331</v>
      </c>
      <c r="I4867" s="10">
        <v>506261</v>
      </c>
      <c r="J4867" t="s">
        <v>37</v>
      </c>
      <c r="K4867" s="11">
        <v>648.20000000000005</v>
      </c>
      <c r="L4867" s="12">
        <v>781.03</v>
      </c>
    </row>
    <row r="4868" spans="1:12" x14ac:dyDescent="0.2">
      <c r="A4868" s="9">
        <v>46261</v>
      </c>
      <c r="B4868" t="s">
        <v>315</v>
      </c>
      <c r="C4868" t="s">
        <v>316</v>
      </c>
      <c r="D4868" t="s">
        <v>46</v>
      </c>
      <c r="E4868" t="s">
        <v>655</v>
      </c>
      <c r="F4868" t="s">
        <v>656</v>
      </c>
      <c r="G4868" s="10">
        <v>17</v>
      </c>
      <c r="H4868" s="10">
        <v>590</v>
      </c>
      <c r="I4868" s="10">
        <v>10030</v>
      </c>
      <c r="J4868" t="s">
        <v>37</v>
      </c>
      <c r="K4868" s="11">
        <v>648.20000000000005</v>
      </c>
      <c r="L4868" s="12">
        <v>15.47</v>
      </c>
    </row>
    <row r="4869" spans="1:12" x14ac:dyDescent="0.2">
      <c r="A4869" s="9">
        <v>46261</v>
      </c>
      <c r="B4869" t="s">
        <v>324</v>
      </c>
      <c r="C4869" t="s">
        <v>325</v>
      </c>
      <c r="D4869" t="s">
        <v>46</v>
      </c>
      <c r="E4869" t="s">
        <v>660</v>
      </c>
      <c r="F4869" t="s">
        <v>661</v>
      </c>
      <c r="G4869" s="10">
        <v>5</v>
      </c>
      <c r="H4869" s="10">
        <v>4311</v>
      </c>
      <c r="I4869" s="10">
        <v>21555</v>
      </c>
      <c r="J4869" t="s">
        <v>37</v>
      </c>
      <c r="K4869" s="11">
        <v>648.20000000000005</v>
      </c>
      <c r="L4869" s="12">
        <v>33.25</v>
      </c>
    </row>
    <row r="4870" spans="1:12" x14ac:dyDescent="0.2">
      <c r="A4870" s="9">
        <v>46261</v>
      </c>
      <c r="B4870" t="s">
        <v>327</v>
      </c>
      <c r="C4870" t="s">
        <v>328</v>
      </c>
      <c r="D4870" t="s">
        <v>46</v>
      </c>
      <c r="E4870" t="s">
        <v>647</v>
      </c>
      <c r="F4870" t="s">
        <v>648</v>
      </c>
      <c r="G4870" s="10">
        <v>1</v>
      </c>
      <c r="H4870" s="10">
        <v>16346</v>
      </c>
      <c r="I4870" s="10">
        <v>16346</v>
      </c>
      <c r="J4870" t="s">
        <v>37</v>
      </c>
      <c r="K4870" s="11">
        <v>648.20000000000005</v>
      </c>
      <c r="L4870" s="12">
        <v>25.22</v>
      </c>
    </row>
    <row r="4871" spans="1:12" x14ac:dyDescent="0.2">
      <c r="A4871" s="9">
        <v>46261</v>
      </c>
      <c r="B4871" t="s">
        <v>327</v>
      </c>
      <c r="C4871" t="s">
        <v>328</v>
      </c>
      <c r="D4871" t="s">
        <v>46</v>
      </c>
      <c r="E4871" t="s">
        <v>647</v>
      </c>
      <c r="F4871" t="s">
        <v>667</v>
      </c>
      <c r="G4871" s="10">
        <v>18</v>
      </c>
      <c r="H4871" s="10">
        <v>7572</v>
      </c>
      <c r="I4871" s="10">
        <v>136296</v>
      </c>
      <c r="J4871" t="s">
        <v>37</v>
      </c>
      <c r="K4871" s="11">
        <v>648.20000000000005</v>
      </c>
      <c r="L4871" s="12">
        <v>210.27</v>
      </c>
    </row>
    <row r="4872" spans="1:12" x14ac:dyDescent="0.2">
      <c r="A4872" s="9">
        <v>46261</v>
      </c>
      <c r="B4872" t="s">
        <v>336</v>
      </c>
      <c r="C4872" t="s">
        <v>337</v>
      </c>
      <c r="D4872" t="s">
        <v>68</v>
      </c>
      <c r="E4872" t="s">
        <v>660</v>
      </c>
      <c r="F4872" t="s">
        <v>661</v>
      </c>
      <c r="G4872" s="10">
        <v>3</v>
      </c>
      <c r="H4872" s="10">
        <v>4166</v>
      </c>
      <c r="I4872" s="10">
        <v>12498</v>
      </c>
      <c r="J4872" t="s">
        <v>51</v>
      </c>
      <c r="K4872" s="11">
        <v>648.20000000000005</v>
      </c>
      <c r="L4872" s="12">
        <v>19.28</v>
      </c>
    </row>
    <row r="4873" spans="1:12" x14ac:dyDescent="0.2">
      <c r="A4873" s="9">
        <v>46261</v>
      </c>
      <c r="B4873" t="s">
        <v>339</v>
      </c>
      <c r="C4873" t="s">
        <v>340</v>
      </c>
      <c r="D4873" t="s">
        <v>68</v>
      </c>
      <c r="E4873" t="s">
        <v>660</v>
      </c>
      <c r="F4873" t="s">
        <v>661</v>
      </c>
      <c r="G4873" s="10">
        <v>3</v>
      </c>
      <c r="H4873" s="10">
        <v>4287</v>
      </c>
      <c r="I4873" s="10">
        <v>12861</v>
      </c>
      <c r="J4873" t="s">
        <v>51</v>
      </c>
      <c r="K4873" s="11">
        <v>648.20000000000005</v>
      </c>
      <c r="L4873" s="12">
        <v>19.84</v>
      </c>
    </row>
    <row r="4874" spans="1:12" x14ac:dyDescent="0.2">
      <c r="A4874" s="9">
        <v>46261</v>
      </c>
      <c r="B4874" t="s">
        <v>339</v>
      </c>
      <c r="C4874" t="s">
        <v>340</v>
      </c>
      <c r="D4874" t="s">
        <v>68</v>
      </c>
      <c r="E4874" t="s">
        <v>647</v>
      </c>
      <c r="F4874" t="s">
        <v>648</v>
      </c>
      <c r="G4874" s="10">
        <v>20</v>
      </c>
      <c r="H4874" s="10">
        <v>16593</v>
      </c>
      <c r="I4874" s="10">
        <v>331860</v>
      </c>
      <c r="J4874" t="s">
        <v>51</v>
      </c>
      <c r="K4874" s="11">
        <v>648.20000000000005</v>
      </c>
      <c r="L4874" s="12">
        <v>511.97</v>
      </c>
    </row>
    <row r="4875" spans="1:12" x14ac:dyDescent="0.2">
      <c r="A4875" s="9">
        <v>46261</v>
      </c>
      <c r="B4875" t="s">
        <v>342</v>
      </c>
      <c r="C4875" t="s">
        <v>343</v>
      </c>
      <c r="D4875" t="s">
        <v>41</v>
      </c>
      <c r="E4875" t="s">
        <v>653</v>
      </c>
      <c r="F4875" t="s">
        <v>666</v>
      </c>
      <c r="G4875" s="10">
        <v>18</v>
      </c>
      <c r="H4875" s="10">
        <v>7461</v>
      </c>
      <c r="I4875" s="10">
        <v>134298</v>
      </c>
      <c r="J4875" t="s">
        <v>42</v>
      </c>
      <c r="K4875" s="11">
        <v>3145.8</v>
      </c>
      <c r="L4875" s="12">
        <v>42.69</v>
      </c>
    </row>
    <row r="4876" spans="1:12" x14ac:dyDescent="0.2">
      <c r="A4876" s="9">
        <v>46261</v>
      </c>
      <c r="B4876" t="s">
        <v>345</v>
      </c>
      <c r="C4876" t="s">
        <v>346</v>
      </c>
      <c r="D4876" t="s">
        <v>68</v>
      </c>
      <c r="E4876" t="s">
        <v>653</v>
      </c>
      <c r="F4876" t="s">
        <v>654</v>
      </c>
      <c r="G4876" s="10">
        <v>4</v>
      </c>
      <c r="H4876" s="10">
        <v>5477</v>
      </c>
      <c r="I4876" s="10">
        <v>21908</v>
      </c>
      <c r="J4876" t="s">
        <v>51</v>
      </c>
      <c r="K4876" s="11">
        <v>648.20000000000005</v>
      </c>
      <c r="L4876" s="12">
        <v>33.799999999999997</v>
      </c>
    </row>
    <row r="4877" spans="1:12" x14ac:dyDescent="0.2">
      <c r="A4877" s="9">
        <v>46261</v>
      </c>
      <c r="B4877" t="s">
        <v>348</v>
      </c>
      <c r="C4877" t="s">
        <v>349</v>
      </c>
      <c r="D4877" t="s">
        <v>36</v>
      </c>
      <c r="E4877" t="s">
        <v>651</v>
      </c>
      <c r="F4877" t="s">
        <v>652</v>
      </c>
      <c r="G4877" s="10">
        <v>21</v>
      </c>
      <c r="H4877" s="10">
        <v>9339</v>
      </c>
      <c r="I4877" s="10">
        <v>196119</v>
      </c>
      <c r="J4877" t="s">
        <v>37</v>
      </c>
      <c r="K4877" s="11">
        <v>648.20000000000005</v>
      </c>
      <c r="L4877" s="12">
        <v>302.56</v>
      </c>
    </row>
    <row r="4878" spans="1:12" x14ac:dyDescent="0.2">
      <c r="A4878" s="9">
        <v>46261</v>
      </c>
      <c r="B4878" t="s">
        <v>348</v>
      </c>
      <c r="C4878" t="s">
        <v>349</v>
      </c>
      <c r="D4878" t="s">
        <v>36</v>
      </c>
      <c r="E4878" t="s">
        <v>651</v>
      </c>
      <c r="F4878" t="s">
        <v>652</v>
      </c>
      <c r="G4878" s="10">
        <v>11</v>
      </c>
      <c r="H4878" s="10">
        <v>9759</v>
      </c>
      <c r="I4878" s="10">
        <v>107349</v>
      </c>
      <c r="J4878" t="s">
        <v>37</v>
      </c>
      <c r="K4878" s="11">
        <v>648.20000000000005</v>
      </c>
      <c r="L4878" s="12">
        <v>165.61</v>
      </c>
    </row>
    <row r="4879" spans="1:12" x14ac:dyDescent="0.2">
      <c r="A4879" s="9">
        <v>46261</v>
      </c>
      <c r="B4879" t="s">
        <v>351</v>
      </c>
      <c r="C4879" t="s">
        <v>352</v>
      </c>
      <c r="D4879" t="s">
        <v>41</v>
      </c>
      <c r="E4879" t="s">
        <v>653</v>
      </c>
      <c r="F4879" t="s">
        <v>658</v>
      </c>
      <c r="G4879" s="10">
        <v>18</v>
      </c>
      <c r="H4879" s="10">
        <v>13188</v>
      </c>
      <c r="I4879" s="10">
        <v>237384</v>
      </c>
      <c r="J4879" t="s">
        <v>42</v>
      </c>
      <c r="K4879" s="11">
        <v>3145.8</v>
      </c>
      <c r="L4879" s="12">
        <v>75.459999999999994</v>
      </c>
    </row>
    <row r="4880" spans="1:12" x14ac:dyDescent="0.2">
      <c r="A4880" s="9">
        <v>46261</v>
      </c>
      <c r="B4880" t="s">
        <v>351</v>
      </c>
      <c r="C4880" t="s">
        <v>352</v>
      </c>
      <c r="D4880" t="s">
        <v>41</v>
      </c>
      <c r="E4880" t="s">
        <v>655</v>
      </c>
      <c r="F4880" t="s">
        <v>662</v>
      </c>
      <c r="G4880" s="10">
        <v>3</v>
      </c>
      <c r="H4880" s="10">
        <v>5304</v>
      </c>
      <c r="I4880" s="10">
        <v>15912</v>
      </c>
      <c r="J4880" t="s">
        <v>42</v>
      </c>
      <c r="K4880" s="11">
        <v>3145.8</v>
      </c>
      <c r="L4880" s="12">
        <v>5.0599999999999996</v>
      </c>
    </row>
    <row r="4881" spans="1:12" x14ac:dyDescent="0.2">
      <c r="A4881" s="9">
        <v>46261</v>
      </c>
      <c r="B4881" t="s">
        <v>357</v>
      </c>
      <c r="C4881" t="s">
        <v>358</v>
      </c>
      <c r="D4881" t="s">
        <v>36</v>
      </c>
      <c r="E4881" t="s">
        <v>660</v>
      </c>
      <c r="F4881" t="s">
        <v>670</v>
      </c>
      <c r="G4881" s="10">
        <v>68</v>
      </c>
      <c r="H4881" s="10">
        <v>14142</v>
      </c>
      <c r="I4881" s="10">
        <v>961656</v>
      </c>
      <c r="J4881" t="s">
        <v>37</v>
      </c>
      <c r="K4881" s="11">
        <v>648.20000000000005</v>
      </c>
      <c r="L4881" s="12">
        <v>1483.58</v>
      </c>
    </row>
    <row r="4882" spans="1:12" x14ac:dyDescent="0.2">
      <c r="A4882" s="9">
        <v>46261</v>
      </c>
      <c r="B4882" t="s">
        <v>357</v>
      </c>
      <c r="C4882" t="s">
        <v>358</v>
      </c>
      <c r="D4882" t="s">
        <v>36</v>
      </c>
      <c r="E4882" t="s">
        <v>647</v>
      </c>
      <c r="F4882" t="s">
        <v>668</v>
      </c>
      <c r="G4882" s="10">
        <v>21</v>
      </c>
      <c r="H4882" s="10">
        <v>25547</v>
      </c>
      <c r="I4882" s="10">
        <v>536487</v>
      </c>
      <c r="J4882" t="s">
        <v>37</v>
      </c>
      <c r="K4882" s="11">
        <v>648.20000000000005</v>
      </c>
      <c r="L4882" s="12">
        <v>827.66</v>
      </c>
    </row>
    <row r="4883" spans="1:12" x14ac:dyDescent="0.2">
      <c r="A4883" s="9">
        <v>46261</v>
      </c>
      <c r="B4883" t="s">
        <v>357</v>
      </c>
      <c r="C4883" t="s">
        <v>358</v>
      </c>
      <c r="D4883" t="s">
        <v>36</v>
      </c>
      <c r="E4883" t="s">
        <v>651</v>
      </c>
      <c r="F4883" t="s">
        <v>664</v>
      </c>
      <c r="G4883" s="10">
        <v>54</v>
      </c>
      <c r="H4883" s="10">
        <v>12010</v>
      </c>
      <c r="I4883" s="10">
        <v>648540</v>
      </c>
      <c r="J4883" t="s">
        <v>37</v>
      </c>
      <c r="K4883" s="11">
        <v>648.20000000000005</v>
      </c>
      <c r="L4883" s="12">
        <v>1000.52</v>
      </c>
    </row>
    <row r="4884" spans="1:12" x14ac:dyDescent="0.2">
      <c r="A4884" s="9">
        <v>46261</v>
      </c>
      <c r="B4884" t="s">
        <v>357</v>
      </c>
      <c r="C4884" t="s">
        <v>358</v>
      </c>
      <c r="D4884" t="s">
        <v>36</v>
      </c>
      <c r="E4884" t="s">
        <v>655</v>
      </c>
      <c r="F4884" t="s">
        <v>665</v>
      </c>
      <c r="G4884" s="10">
        <v>15</v>
      </c>
      <c r="H4884" s="10">
        <v>664</v>
      </c>
      <c r="I4884" s="10">
        <v>9960</v>
      </c>
      <c r="J4884" t="s">
        <v>37</v>
      </c>
      <c r="K4884" s="11">
        <v>648.20000000000005</v>
      </c>
      <c r="L4884" s="12">
        <v>15.37</v>
      </c>
    </row>
    <row r="4885" spans="1:12" x14ac:dyDescent="0.2">
      <c r="A4885" s="9">
        <v>46261</v>
      </c>
      <c r="B4885" t="s">
        <v>360</v>
      </c>
      <c r="C4885" t="s">
        <v>361</v>
      </c>
      <c r="D4885" t="s">
        <v>46</v>
      </c>
      <c r="E4885" t="s">
        <v>653</v>
      </c>
      <c r="F4885" t="s">
        <v>654</v>
      </c>
      <c r="G4885" s="10">
        <v>5</v>
      </c>
      <c r="H4885" s="10">
        <v>5682</v>
      </c>
      <c r="I4885" s="10">
        <v>28410</v>
      </c>
      <c r="J4885" t="s">
        <v>37</v>
      </c>
      <c r="K4885" s="11">
        <v>648.20000000000005</v>
      </c>
      <c r="L4885" s="12">
        <v>43.83</v>
      </c>
    </row>
    <row r="4886" spans="1:12" x14ac:dyDescent="0.2">
      <c r="A4886" s="9">
        <v>46261</v>
      </c>
      <c r="B4886" t="s">
        <v>363</v>
      </c>
      <c r="C4886" t="s">
        <v>364</v>
      </c>
      <c r="D4886" t="s">
        <v>46</v>
      </c>
      <c r="E4886" t="s">
        <v>651</v>
      </c>
      <c r="F4886" t="s">
        <v>652</v>
      </c>
      <c r="G4886" s="10">
        <v>114</v>
      </c>
      <c r="H4886" s="10">
        <v>9502</v>
      </c>
      <c r="I4886" s="10">
        <v>1083228</v>
      </c>
      <c r="J4886" t="s">
        <v>37</v>
      </c>
      <c r="K4886" s="11">
        <v>648.20000000000005</v>
      </c>
      <c r="L4886" s="12">
        <v>1671.13</v>
      </c>
    </row>
    <row r="4887" spans="1:12" x14ac:dyDescent="0.2">
      <c r="A4887" s="9">
        <v>46261</v>
      </c>
      <c r="B4887" t="s">
        <v>366</v>
      </c>
      <c r="C4887" t="s">
        <v>367</v>
      </c>
      <c r="D4887" t="s">
        <v>41</v>
      </c>
      <c r="E4887" t="s">
        <v>649</v>
      </c>
      <c r="F4887" t="s">
        <v>659</v>
      </c>
      <c r="G4887" s="10">
        <v>8</v>
      </c>
      <c r="H4887" s="10">
        <v>43490</v>
      </c>
      <c r="I4887" s="10">
        <v>347920</v>
      </c>
      <c r="J4887" t="s">
        <v>42</v>
      </c>
      <c r="K4887" s="11">
        <v>3145.8</v>
      </c>
      <c r="L4887" s="12">
        <v>110.6</v>
      </c>
    </row>
    <row r="4888" spans="1:12" x14ac:dyDescent="0.2">
      <c r="A4888" s="9">
        <v>46261</v>
      </c>
      <c r="B4888" t="s">
        <v>372</v>
      </c>
      <c r="C4888" t="s">
        <v>373</v>
      </c>
      <c r="D4888" t="s">
        <v>75</v>
      </c>
      <c r="E4888" t="s">
        <v>651</v>
      </c>
      <c r="F4888" t="s">
        <v>652</v>
      </c>
      <c r="G4888" s="10">
        <v>24</v>
      </c>
      <c r="H4888" s="10">
        <v>48149</v>
      </c>
      <c r="I4888" s="10">
        <v>1155576</v>
      </c>
      <c r="J4888" t="s">
        <v>42</v>
      </c>
      <c r="K4888" s="11">
        <v>3145.8</v>
      </c>
      <c r="L4888" s="12">
        <v>367.34</v>
      </c>
    </row>
    <row r="4889" spans="1:12" x14ac:dyDescent="0.2">
      <c r="A4889" s="9">
        <v>46261</v>
      </c>
      <c r="B4889" t="s">
        <v>372</v>
      </c>
      <c r="C4889" t="s">
        <v>373</v>
      </c>
      <c r="D4889" t="s">
        <v>75</v>
      </c>
      <c r="E4889" t="s">
        <v>647</v>
      </c>
      <c r="F4889" t="s">
        <v>667</v>
      </c>
      <c r="G4889" s="10">
        <v>5</v>
      </c>
      <c r="H4889" s="10">
        <v>34228</v>
      </c>
      <c r="I4889" s="10">
        <v>171140</v>
      </c>
      <c r="J4889" t="s">
        <v>42</v>
      </c>
      <c r="K4889" s="11">
        <v>3145.8</v>
      </c>
      <c r="L4889" s="12">
        <v>54.4</v>
      </c>
    </row>
    <row r="4890" spans="1:12" x14ac:dyDescent="0.2">
      <c r="A4890" s="9">
        <v>46261</v>
      </c>
      <c r="B4890" t="s">
        <v>381</v>
      </c>
      <c r="C4890" t="s">
        <v>382</v>
      </c>
      <c r="D4890" t="s">
        <v>36</v>
      </c>
      <c r="E4890" t="s">
        <v>649</v>
      </c>
      <c r="F4890" t="s">
        <v>659</v>
      </c>
      <c r="G4890" s="10">
        <v>1</v>
      </c>
      <c r="H4890" s="10">
        <v>8625</v>
      </c>
      <c r="I4890" s="10">
        <v>8625</v>
      </c>
      <c r="J4890" t="s">
        <v>37</v>
      </c>
      <c r="K4890" s="11">
        <v>648.20000000000005</v>
      </c>
      <c r="L4890" s="12">
        <v>13.31</v>
      </c>
    </row>
    <row r="4891" spans="1:12" x14ac:dyDescent="0.2">
      <c r="A4891" s="9">
        <v>46261</v>
      </c>
      <c r="B4891" t="s">
        <v>384</v>
      </c>
      <c r="C4891" t="s">
        <v>385</v>
      </c>
      <c r="D4891" t="s">
        <v>46</v>
      </c>
      <c r="E4891" t="s">
        <v>653</v>
      </c>
      <c r="F4891" t="s">
        <v>658</v>
      </c>
      <c r="G4891" s="10">
        <v>1</v>
      </c>
      <c r="H4891" s="10">
        <v>2680</v>
      </c>
      <c r="I4891" s="10">
        <v>2680</v>
      </c>
      <c r="J4891" t="s">
        <v>37</v>
      </c>
      <c r="K4891" s="11">
        <v>648.20000000000005</v>
      </c>
      <c r="L4891" s="12">
        <v>4.13</v>
      </c>
    </row>
    <row r="4892" spans="1:12" x14ac:dyDescent="0.2">
      <c r="A4892" s="9">
        <v>46261</v>
      </c>
      <c r="B4892" t="s">
        <v>384</v>
      </c>
      <c r="C4892" t="s">
        <v>385</v>
      </c>
      <c r="D4892" t="s">
        <v>46</v>
      </c>
      <c r="E4892" t="s">
        <v>649</v>
      </c>
      <c r="F4892" t="s">
        <v>650</v>
      </c>
      <c r="G4892" s="10">
        <v>9</v>
      </c>
      <c r="H4892" s="10">
        <v>19658</v>
      </c>
      <c r="I4892" s="10">
        <v>176922</v>
      </c>
      <c r="J4892" t="s">
        <v>37</v>
      </c>
      <c r="K4892" s="11">
        <v>648.20000000000005</v>
      </c>
      <c r="L4892" s="12">
        <v>272.94</v>
      </c>
    </row>
    <row r="4893" spans="1:12" x14ac:dyDescent="0.2">
      <c r="A4893" s="9">
        <v>46261</v>
      </c>
      <c r="B4893" t="s">
        <v>387</v>
      </c>
      <c r="C4893" t="s">
        <v>388</v>
      </c>
      <c r="D4893" t="s">
        <v>50</v>
      </c>
      <c r="E4893" t="s">
        <v>647</v>
      </c>
      <c r="F4893" t="s">
        <v>667</v>
      </c>
      <c r="G4893" s="10">
        <v>15</v>
      </c>
      <c r="H4893" s="10">
        <v>7382</v>
      </c>
      <c r="I4893" s="10">
        <v>110730</v>
      </c>
      <c r="J4893" t="s">
        <v>51</v>
      </c>
      <c r="K4893" s="11">
        <v>648.20000000000005</v>
      </c>
      <c r="L4893" s="12">
        <v>170.83</v>
      </c>
    </row>
    <row r="4894" spans="1:12" x14ac:dyDescent="0.2">
      <c r="A4894" s="9">
        <v>46261</v>
      </c>
      <c r="B4894" t="s">
        <v>393</v>
      </c>
      <c r="C4894" t="s">
        <v>307</v>
      </c>
      <c r="D4894" t="s">
        <v>68</v>
      </c>
      <c r="E4894" t="s">
        <v>660</v>
      </c>
      <c r="F4894" t="s">
        <v>670</v>
      </c>
      <c r="G4894" s="10">
        <v>22</v>
      </c>
      <c r="H4894" s="10">
        <v>14632</v>
      </c>
      <c r="I4894" s="10">
        <v>321904</v>
      </c>
      <c r="J4894" t="s">
        <v>51</v>
      </c>
      <c r="K4894" s="11">
        <v>648.20000000000005</v>
      </c>
      <c r="L4894" s="12">
        <v>496.61</v>
      </c>
    </row>
    <row r="4895" spans="1:12" x14ac:dyDescent="0.2">
      <c r="A4895" s="9">
        <v>46261</v>
      </c>
      <c r="B4895" t="s">
        <v>393</v>
      </c>
      <c r="C4895" t="s">
        <v>307</v>
      </c>
      <c r="D4895" t="s">
        <v>68</v>
      </c>
      <c r="E4895" t="s">
        <v>647</v>
      </c>
      <c r="F4895" t="s">
        <v>667</v>
      </c>
      <c r="G4895" s="10">
        <v>31</v>
      </c>
      <c r="H4895" s="10">
        <v>7197</v>
      </c>
      <c r="I4895" s="10">
        <v>223107</v>
      </c>
      <c r="J4895" t="s">
        <v>51</v>
      </c>
      <c r="K4895" s="11">
        <v>648.20000000000005</v>
      </c>
      <c r="L4895" s="12">
        <v>344.19</v>
      </c>
    </row>
    <row r="4896" spans="1:12" x14ac:dyDescent="0.2">
      <c r="A4896" s="9">
        <v>46261</v>
      </c>
      <c r="B4896" t="s">
        <v>395</v>
      </c>
      <c r="C4896" t="s">
        <v>396</v>
      </c>
      <c r="D4896" t="s">
        <v>46</v>
      </c>
      <c r="E4896" t="s">
        <v>651</v>
      </c>
      <c r="F4896" t="s">
        <v>652</v>
      </c>
      <c r="G4896" s="10">
        <v>2</v>
      </c>
      <c r="H4896" s="10">
        <v>9657</v>
      </c>
      <c r="I4896" s="10">
        <v>19314</v>
      </c>
      <c r="J4896" t="s">
        <v>37</v>
      </c>
      <c r="K4896" s="11">
        <v>648.20000000000005</v>
      </c>
      <c r="L4896" s="12">
        <v>29.8</v>
      </c>
    </row>
    <row r="4897" spans="1:12" x14ac:dyDescent="0.2">
      <c r="A4897" s="9">
        <v>46261</v>
      </c>
      <c r="B4897" t="s">
        <v>395</v>
      </c>
      <c r="C4897" t="s">
        <v>396</v>
      </c>
      <c r="D4897" t="s">
        <v>46</v>
      </c>
      <c r="E4897" t="s">
        <v>653</v>
      </c>
      <c r="F4897" t="s">
        <v>666</v>
      </c>
      <c r="G4897" s="10">
        <v>14</v>
      </c>
      <c r="H4897" s="10">
        <v>1543</v>
      </c>
      <c r="I4897" s="10">
        <v>21602</v>
      </c>
      <c r="J4897" t="s">
        <v>37</v>
      </c>
      <c r="K4897" s="11">
        <v>648.20000000000005</v>
      </c>
      <c r="L4897" s="12">
        <v>33.33</v>
      </c>
    </row>
    <row r="4898" spans="1:12" x14ac:dyDescent="0.2">
      <c r="A4898" s="9">
        <v>46261</v>
      </c>
      <c r="B4898" t="s">
        <v>401</v>
      </c>
      <c r="C4898" t="s">
        <v>402</v>
      </c>
      <c r="D4898" t="s">
        <v>36</v>
      </c>
      <c r="E4898" t="s">
        <v>649</v>
      </c>
      <c r="F4898" t="s">
        <v>659</v>
      </c>
      <c r="G4898" s="10">
        <v>8</v>
      </c>
      <c r="H4898" s="10">
        <v>9082</v>
      </c>
      <c r="I4898" s="10">
        <v>72656</v>
      </c>
      <c r="J4898" t="s">
        <v>37</v>
      </c>
      <c r="K4898" s="11">
        <v>648.20000000000005</v>
      </c>
      <c r="L4898" s="12">
        <v>112.09</v>
      </c>
    </row>
    <row r="4899" spans="1:12" x14ac:dyDescent="0.2">
      <c r="A4899" s="9">
        <v>46261</v>
      </c>
      <c r="B4899" t="s">
        <v>401</v>
      </c>
      <c r="C4899" t="s">
        <v>402</v>
      </c>
      <c r="D4899" t="s">
        <v>36</v>
      </c>
      <c r="E4899" t="s">
        <v>647</v>
      </c>
      <c r="F4899" t="s">
        <v>648</v>
      </c>
      <c r="G4899" s="10">
        <v>5</v>
      </c>
      <c r="H4899" s="10">
        <v>16805</v>
      </c>
      <c r="I4899" s="10">
        <v>84025</v>
      </c>
      <c r="J4899" t="s">
        <v>37</v>
      </c>
      <c r="K4899" s="11">
        <v>648.20000000000005</v>
      </c>
      <c r="L4899" s="12">
        <v>129.63</v>
      </c>
    </row>
    <row r="4900" spans="1:12" x14ac:dyDescent="0.2">
      <c r="A4900" s="9">
        <v>46261</v>
      </c>
      <c r="B4900" t="s">
        <v>401</v>
      </c>
      <c r="C4900" t="s">
        <v>402</v>
      </c>
      <c r="D4900" t="s">
        <v>36</v>
      </c>
      <c r="E4900" t="s">
        <v>647</v>
      </c>
      <c r="F4900" t="s">
        <v>667</v>
      </c>
      <c r="G4900" s="10">
        <v>12</v>
      </c>
      <c r="H4900" s="10">
        <v>7044</v>
      </c>
      <c r="I4900" s="10">
        <v>84528</v>
      </c>
      <c r="J4900" t="s">
        <v>37</v>
      </c>
      <c r="K4900" s="11">
        <v>648.20000000000005</v>
      </c>
      <c r="L4900" s="12">
        <v>130.4</v>
      </c>
    </row>
    <row r="4901" spans="1:12" x14ac:dyDescent="0.2">
      <c r="A4901" s="9">
        <v>46261</v>
      </c>
      <c r="B4901" t="s">
        <v>407</v>
      </c>
      <c r="C4901" t="s">
        <v>408</v>
      </c>
      <c r="D4901" t="s">
        <v>75</v>
      </c>
      <c r="E4901" t="s">
        <v>649</v>
      </c>
      <c r="F4901" t="s">
        <v>659</v>
      </c>
      <c r="G4901" s="10">
        <v>17</v>
      </c>
      <c r="H4901" s="10">
        <v>43919</v>
      </c>
      <c r="I4901" s="10">
        <v>746623</v>
      </c>
      <c r="J4901" t="s">
        <v>42</v>
      </c>
      <c r="K4901" s="11">
        <v>3145.8</v>
      </c>
      <c r="L4901" s="12">
        <v>237.34</v>
      </c>
    </row>
    <row r="4902" spans="1:12" x14ac:dyDescent="0.2">
      <c r="A4902" s="9">
        <v>46261</v>
      </c>
      <c r="B4902" t="s">
        <v>410</v>
      </c>
      <c r="C4902" t="s">
        <v>411</v>
      </c>
      <c r="D4902" t="s">
        <v>46</v>
      </c>
      <c r="E4902" t="s">
        <v>649</v>
      </c>
      <c r="F4902" t="s">
        <v>650</v>
      </c>
      <c r="G4902" s="10">
        <v>25</v>
      </c>
      <c r="H4902" s="10">
        <v>19398</v>
      </c>
      <c r="I4902" s="10">
        <v>484950</v>
      </c>
      <c r="J4902" t="s">
        <v>37</v>
      </c>
      <c r="K4902" s="11">
        <v>648.20000000000005</v>
      </c>
      <c r="L4902" s="12">
        <v>748.15</v>
      </c>
    </row>
    <row r="4903" spans="1:12" x14ac:dyDescent="0.2">
      <c r="A4903" s="9">
        <v>46261</v>
      </c>
      <c r="B4903" t="s">
        <v>410</v>
      </c>
      <c r="C4903" t="s">
        <v>411</v>
      </c>
      <c r="D4903" t="s">
        <v>46</v>
      </c>
      <c r="E4903" t="s">
        <v>660</v>
      </c>
      <c r="F4903" t="s">
        <v>669</v>
      </c>
      <c r="G4903" s="10">
        <v>8</v>
      </c>
      <c r="H4903" s="10">
        <v>2618</v>
      </c>
      <c r="I4903" s="10">
        <v>20944</v>
      </c>
      <c r="J4903" t="s">
        <v>37</v>
      </c>
      <c r="K4903" s="11">
        <v>648.20000000000005</v>
      </c>
      <c r="L4903" s="12">
        <v>32.31</v>
      </c>
    </row>
    <row r="4904" spans="1:12" x14ac:dyDescent="0.2">
      <c r="A4904" s="9">
        <v>46261</v>
      </c>
      <c r="B4904" t="s">
        <v>413</v>
      </c>
      <c r="C4904" t="s">
        <v>414</v>
      </c>
      <c r="D4904" t="s">
        <v>41</v>
      </c>
      <c r="E4904" t="s">
        <v>655</v>
      </c>
      <c r="F4904" t="s">
        <v>656</v>
      </c>
      <c r="G4904" s="10">
        <v>8</v>
      </c>
      <c r="H4904" s="10">
        <v>2771</v>
      </c>
      <c r="I4904" s="10">
        <v>22168</v>
      </c>
      <c r="J4904" t="s">
        <v>42</v>
      </c>
      <c r="K4904" s="11">
        <v>3145.8</v>
      </c>
      <c r="L4904" s="12">
        <v>7.05</v>
      </c>
    </row>
    <row r="4905" spans="1:12" x14ac:dyDescent="0.2">
      <c r="A4905" s="9">
        <v>46261</v>
      </c>
      <c r="B4905" t="s">
        <v>416</v>
      </c>
      <c r="C4905" t="s">
        <v>417</v>
      </c>
      <c r="D4905" t="s">
        <v>36</v>
      </c>
      <c r="E4905" t="s">
        <v>647</v>
      </c>
      <c r="F4905" t="s">
        <v>648</v>
      </c>
      <c r="G4905" s="10">
        <v>8</v>
      </c>
      <c r="H4905" s="10">
        <v>16570</v>
      </c>
      <c r="I4905" s="10">
        <v>132560</v>
      </c>
      <c r="J4905" t="s">
        <v>37</v>
      </c>
      <c r="K4905" s="11">
        <v>648.20000000000005</v>
      </c>
      <c r="L4905" s="12">
        <v>204.5</v>
      </c>
    </row>
    <row r="4906" spans="1:12" x14ac:dyDescent="0.2">
      <c r="A4906" s="9">
        <v>46261</v>
      </c>
      <c r="B4906" t="s">
        <v>422</v>
      </c>
      <c r="C4906" t="s">
        <v>423</v>
      </c>
      <c r="D4906" t="s">
        <v>68</v>
      </c>
      <c r="E4906" t="s">
        <v>660</v>
      </c>
      <c r="F4906" t="s">
        <v>669</v>
      </c>
      <c r="G4906" s="10">
        <v>4</v>
      </c>
      <c r="H4906" s="10">
        <v>2629</v>
      </c>
      <c r="I4906" s="10">
        <v>10516</v>
      </c>
      <c r="J4906" t="s">
        <v>51</v>
      </c>
      <c r="K4906" s="11">
        <v>648.20000000000005</v>
      </c>
      <c r="L4906" s="12">
        <v>16.22</v>
      </c>
    </row>
    <row r="4907" spans="1:12" x14ac:dyDescent="0.2">
      <c r="A4907" s="9">
        <v>46261</v>
      </c>
      <c r="B4907" t="s">
        <v>445</v>
      </c>
      <c r="C4907" t="s">
        <v>446</v>
      </c>
      <c r="D4907" t="s">
        <v>68</v>
      </c>
      <c r="E4907" t="s">
        <v>655</v>
      </c>
      <c r="F4907" t="s">
        <v>665</v>
      </c>
      <c r="G4907" s="10">
        <v>7</v>
      </c>
      <c r="H4907" s="10">
        <v>674</v>
      </c>
      <c r="I4907" s="10">
        <v>4718</v>
      </c>
      <c r="J4907" t="s">
        <v>51</v>
      </c>
      <c r="K4907" s="11">
        <v>648.20000000000005</v>
      </c>
      <c r="L4907" s="12">
        <v>7.28</v>
      </c>
    </row>
    <row r="4908" spans="1:12" x14ac:dyDescent="0.2">
      <c r="A4908" s="9">
        <v>46261</v>
      </c>
      <c r="B4908" t="s">
        <v>448</v>
      </c>
      <c r="C4908" t="s">
        <v>449</v>
      </c>
      <c r="D4908" t="s">
        <v>75</v>
      </c>
      <c r="E4908" t="s">
        <v>649</v>
      </c>
      <c r="F4908" t="s">
        <v>663</v>
      </c>
      <c r="G4908" s="10">
        <v>12</v>
      </c>
      <c r="H4908" s="10">
        <v>9514</v>
      </c>
      <c r="I4908" s="10">
        <v>114168</v>
      </c>
      <c r="J4908" t="s">
        <v>42</v>
      </c>
      <c r="K4908" s="11">
        <v>3145.8</v>
      </c>
      <c r="L4908" s="12">
        <v>36.29</v>
      </c>
    </row>
    <row r="4909" spans="1:12" x14ac:dyDescent="0.2">
      <c r="A4909" s="9">
        <v>46261</v>
      </c>
      <c r="B4909" t="s">
        <v>448</v>
      </c>
      <c r="C4909" t="s">
        <v>449</v>
      </c>
      <c r="D4909" t="s">
        <v>75</v>
      </c>
      <c r="E4909" t="s">
        <v>660</v>
      </c>
      <c r="F4909" t="s">
        <v>670</v>
      </c>
      <c r="G4909" s="10">
        <v>27</v>
      </c>
      <c r="H4909" s="10">
        <v>71610</v>
      </c>
      <c r="I4909" s="10">
        <v>1933470</v>
      </c>
      <c r="J4909" t="s">
        <v>42</v>
      </c>
      <c r="K4909" s="11">
        <v>3145.8</v>
      </c>
      <c r="L4909" s="12">
        <v>614.62</v>
      </c>
    </row>
    <row r="4910" spans="1:12" x14ac:dyDescent="0.2">
      <c r="A4910" s="9">
        <v>46261</v>
      </c>
      <c r="B4910" t="s">
        <v>451</v>
      </c>
      <c r="C4910" t="s">
        <v>452</v>
      </c>
      <c r="D4910" t="s">
        <v>68</v>
      </c>
      <c r="E4910" t="s">
        <v>649</v>
      </c>
      <c r="F4910" t="s">
        <v>659</v>
      </c>
      <c r="G4910" s="10">
        <v>4</v>
      </c>
      <c r="H4910" s="10">
        <v>9160</v>
      </c>
      <c r="I4910" s="10">
        <v>36640</v>
      </c>
      <c r="J4910" t="s">
        <v>51</v>
      </c>
      <c r="K4910" s="11">
        <v>648.20000000000005</v>
      </c>
      <c r="L4910" s="12">
        <v>56.53</v>
      </c>
    </row>
    <row r="4911" spans="1:12" x14ac:dyDescent="0.2">
      <c r="A4911" s="9">
        <v>46261</v>
      </c>
      <c r="B4911" t="s">
        <v>451</v>
      </c>
      <c r="C4911" t="s">
        <v>452</v>
      </c>
      <c r="D4911" t="s">
        <v>68</v>
      </c>
      <c r="E4911" t="s">
        <v>660</v>
      </c>
      <c r="F4911" t="s">
        <v>661</v>
      </c>
      <c r="G4911" s="10">
        <v>3</v>
      </c>
      <c r="H4911" s="10">
        <v>4127</v>
      </c>
      <c r="I4911" s="10">
        <v>12381</v>
      </c>
      <c r="J4911" t="s">
        <v>51</v>
      </c>
      <c r="K4911" s="11">
        <v>648.20000000000005</v>
      </c>
      <c r="L4911" s="12">
        <v>19.100000000000001</v>
      </c>
    </row>
    <row r="4912" spans="1:12" x14ac:dyDescent="0.2">
      <c r="A4912" s="9">
        <v>46261</v>
      </c>
      <c r="B4912" t="s">
        <v>451</v>
      </c>
      <c r="C4912" t="s">
        <v>452</v>
      </c>
      <c r="D4912" t="s">
        <v>68</v>
      </c>
      <c r="E4912" t="s">
        <v>647</v>
      </c>
      <c r="F4912" t="s">
        <v>668</v>
      </c>
      <c r="G4912" s="10">
        <v>70</v>
      </c>
      <c r="H4912" s="10">
        <v>24359</v>
      </c>
      <c r="I4912" s="10">
        <v>1705130</v>
      </c>
      <c r="J4912" t="s">
        <v>51</v>
      </c>
      <c r="K4912" s="11">
        <v>648.20000000000005</v>
      </c>
      <c r="L4912" s="12">
        <v>2630.56</v>
      </c>
    </row>
    <row r="4913" spans="1:12" x14ac:dyDescent="0.2">
      <c r="A4913" s="9">
        <v>46261</v>
      </c>
      <c r="B4913" t="s">
        <v>457</v>
      </c>
      <c r="C4913" t="s">
        <v>458</v>
      </c>
      <c r="D4913" t="s">
        <v>46</v>
      </c>
      <c r="E4913" t="s">
        <v>647</v>
      </c>
      <c r="F4913" t="s">
        <v>667</v>
      </c>
      <c r="G4913" s="10">
        <v>88</v>
      </c>
      <c r="H4913" s="10">
        <v>7476</v>
      </c>
      <c r="I4913" s="10">
        <v>657888</v>
      </c>
      <c r="J4913" t="s">
        <v>37</v>
      </c>
      <c r="K4913" s="11">
        <v>648.20000000000005</v>
      </c>
      <c r="L4913" s="12">
        <v>1014.95</v>
      </c>
    </row>
    <row r="4914" spans="1:12" x14ac:dyDescent="0.2">
      <c r="A4914" s="9">
        <v>46261</v>
      </c>
      <c r="B4914" t="s">
        <v>457</v>
      </c>
      <c r="C4914" t="s">
        <v>458</v>
      </c>
      <c r="D4914" t="s">
        <v>46</v>
      </c>
      <c r="E4914" t="s">
        <v>647</v>
      </c>
      <c r="F4914" t="s">
        <v>667</v>
      </c>
      <c r="G4914" s="10">
        <v>6</v>
      </c>
      <c r="H4914" s="10">
        <v>7117</v>
      </c>
      <c r="I4914" s="10">
        <v>42702</v>
      </c>
      <c r="J4914" t="s">
        <v>37</v>
      </c>
      <c r="K4914" s="11">
        <v>648.20000000000005</v>
      </c>
      <c r="L4914" s="12">
        <v>65.88</v>
      </c>
    </row>
    <row r="4915" spans="1:12" x14ac:dyDescent="0.2">
      <c r="A4915" s="9">
        <v>46261</v>
      </c>
      <c r="B4915" t="s">
        <v>460</v>
      </c>
      <c r="C4915" t="s">
        <v>461</v>
      </c>
      <c r="D4915" t="s">
        <v>75</v>
      </c>
      <c r="E4915" t="s">
        <v>660</v>
      </c>
      <c r="F4915" t="s">
        <v>661</v>
      </c>
      <c r="G4915" s="10">
        <v>37</v>
      </c>
      <c r="H4915" s="10">
        <v>21030</v>
      </c>
      <c r="I4915" s="10">
        <v>778110</v>
      </c>
      <c r="J4915" t="s">
        <v>42</v>
      </c>
      <c r="K4915" s="11">
        <v>3145.8</v>
      </c>
      <c r="L4915" s="12">
        <v>247.35</v>
      </c>
    </row>
    <row r="4916" spans="1:12" x14ac:dyDescent="0.2">
      <c r="A4916" s="9">
        <v>46261</v>
      </c>
      <c r="B4916" t="s">
        <v>463</v>
      </c>
      <c r="C4916" t="s">
        <v>464</v>
      </c>
      <c r="D4916" t="s">
        <v>36</v>
      </c>
      <c r="E4916" t="s">
        <v>651</v>
      </c>
      <c r="F4916" t="s">
        <v>652</v>
      </c>
      <c r="G4916" s="10">
        <v>8</v>
      </c>
      <c r="H4916" s="10">
        <v>9368</v>
      </c>
      <c r="I4916" s="10">
        <v>74944</v>
      </c>
      <c r="J4916" t="s">
        <v>37</v>
      </c>
      <c r="K4916" s="11">
        <v>648.20000000000005</v>
      </c>
      <c r="L4916" s="12">
        <v>115.62</v>
      </c>
    </row>
    <row r="4917" spans="1:12" x14ac:dyDescent="0.2">
      <c r="A4917" s="9">
        <v>46261</v>
      </c>
      <c r="B4917" t="s">
        <v>469</v>
      </c>
      <c r="C4917" t="s">
        <v>470</v>
      </c>
      <c r="D4917" t="s">
        <v>41</v>
      </c>
      <c r="E4917" t="s">
        <v>649</v>
      </c>
      <c r="F4917" t="s">
        <v>663</v>
      </c>
      <c r="G4917" s="10">
        <v>5</v>
      </c>
      <c r="H4917" s="10">
        <v>10166</v>
      </c>
      <c r="I4917" s="10">
        <v>50830</v>
      </c>
      <c r="J4917" t="s">
        <v>42</v>
      </c>
      <c r="K4917" s="11">
        <v>3145.8</v>
      </c>
      <c r="L4917" s="12">
        <v>16.16</v>
      </c>
    </row>
    <row r="4918" spans="1:12" x14ac:dyDescent="0.2">
      <c r="A4918" s="9">
        <v>46261</v>
      </c>
      <c r="B4918" t="s">
        <v>469</v>
      </c>
      <c r="C4918" t="s">
        <v>470</v>
      </c>
      <c r="D4918" t="s">
        <v>41</v>
      </c>
      <c r="E4918" t="s">
        <v>653</v>
      </c>
      <c r="F4918" t="s">
        <v>654</v>
      </c>
      <c r="G4918" s="10">
        <v>6</v>
      </c>
      <c r="H4918" s="10">
        <v>28456</v>
      </c>
      <c r="I4918" s="10">
        <v>170736</v>
      </c>
      <c r="J4918" t="s">
        <v>42</v>
      </c>
      <c r="K4918" s="11">
        <v>3145.8</v>
      </c>
      <c r="L4918" s="12">
        <v>54.27</v>
      </c>
    </row>
    <row r="4919" spans="1:12" x14ac:dyDescent="0.2">
      <c r="A4919" s="9">
        <v>46261</v>
      </c>
      <c r="B4919" t="s">
        <v>472</v>
      </c>
      <c r="C4919" t="s">
        <v>473</v>
      </c>
      <c r="D4919" t="s">
        <v>68</v>
      </c>
      <c r="E4919" t="s">
        <v>649</v>
      </c>
      <c r="F4919" t="s">
        <v>650</v>
      </c>
      <c r="G4919" s="10">
        <v>29</v>
      </c>
      <c r="H4919" s="10">
        <v>18768</v>
      </c>
      <c r="I4919" s="10">
        <v>544272</v>
      </c>
      <c r="J4919" t="s">
        <v>51</v>
      </c>
      <c r="K4919" s="11">
        <v>648.20000000000005</v>
      </c>
      <c r="L4919" s="12">
        <v>839.67</v>
      </c>
    </row>
    <row r="4920" spans="1:12" x14ac:dyDescent="0.2">
      <c r="A4920" s="9">
        <v>46261</v>
      </c>
      <c r="B4920" t="s">
        <v>472</v>
      </c>
      <c r="C4920" t="s">
        <v>473</v>
      </c>
      <c r="D4920" t="s">
        <v>68</v>
      </c>
      <c r="E4920" t="s">
        <v>655</v>
      </c>
      <c r="F4920" t="s">
        <v>665</v>
      </c>
      <c r="G4920" s="10">
        <v>29</v>
      </c>
      <c r="H4920" s="10">
        <v>692</v>
      </c>
      <c r="I4920" s="10">
        <v>20068</v>
      </c>
      <c r="J4920" t="s">
        <v>51</v>
      </c>
      <c r="K4920" s="11">
        <v>648.20000000000005</v>
      </c>
      <c r="L4920" s="12">
        <v>30.96</v>
      </c>
    </row>
    <row r="4921" spans="1:12" x14ac:dyDescent="0.2">
      <c r="A4921" s="9">
        <v>46261</v>
      </c>
      <c r="B4921" t="s">
        <v>475</v>
      </c>
      <c r="C4921" t="s">
        <v>476</v>
      </c>
      <c r="D4921" t="s">
        <v>75</v>
      </c>
      <c r="E4921" t="s">
        <v>660</v>
      </c>
      <c r="F4921" t="s">
        <v>670</v>
      </c>
      <c r="G4921" s="10">
        <v>50</v>
      </c>
      <c r="H4921" s="10">
        <v>71142</v>
      </c>
      <c r="I4921" s="10">
        <v>3557100</v>
      </c>
      <c r="J4921" t="s">
        <v>42</v>
      </c>
      <c r="K4921" s="11">
        <v>3145.8</v>
      </c>
      <c r="L4921" s="12">
        <v>1130.75</v>
      </c>
    </row>
    <row r="4922" spans="1:12" x14ac:dyDescent="0.2">
      <c r="A4922" s="9">
        <v>46261</v>
      </c>
      <c r="B4922" t="s">
        <v>483</v>
      </c>
      <c r="C4922" t="s">
        <v>340</v>
      </c>
      <c r="D4922" t="s">
        <v>46</v>
      </c>
      <c r="E4922" t="s">
        <v>649</v>
      </c>
      <c r="F4922" t="s">
        <v>663</v>
      </c>
      <c r="G4922" s="10">
        <v>9</v>
      </c>
      <c r="H4922" s="10">
        <v>1965</v>
      </c>
      <c r="I4922" s="10">
        <v>17685</v>
      </c>
      <c r="J4922" t="s">
        <v>37</v>
      </c>
      <c r="K4922" s="11">
        <v>648.20000000000005</v>
      </c>
      <c r="L4922" s="12">
        <v>27.28</v>
      </c>
    </row>
    <row r="4923" spans="1:12" x14ac:dyDescent="0.2">
      <c r="A4923" s="9">
        <v>46261</v>
      </c>
      <c r="B4923" t="s">
        <v>485</v>
      </c>
      <c r="C4923" t="s">
        <v>486</v>
      </c>
      <c r="D4923" t="s">
        <v>41</v>
      </c>
      <c r="E4923" t="s">
        <v>660</v>
      </c>
      <c r="F4923" t="s">
        <v>661</v>
      </c>
      <c r="G4923" s="10">
        <v>18</v>
      </c>
      <c r="H4923" s="10">
        <v>20446</v>
      </c>
      <c r="I4923" s="10">
        <v>368028</v>
      </c>
      <c r="J4923" t="s">
        <v>42</v>
      </c>
      <c r="K4923" s="11">
        <v>3145.8</v>
      </c>
      <c r="L4923" s="12">
        <v>116.99</v>
      </c>
    </row>
    <row r="4924" spans="1:12" x14ac:dyDescent="0.2">
      <c r="A4924" s="9">
        <v>46261</v>
      </c>
      <c r="B4924" t="s">
        <v>485</v>
      </c>
      <c r="C4924" t="s">
        <v>486</v>
      </c>
      <c r="D4924" t="s">
        <v>41</v>
      </c>
      <c r="E4924" t="s">
        <v>647</v>
      </c>
      <c r="F4924" t="s">
        <v>648</v>
      </c>
      <c r="G4924" s="10">
        <v>5</v>
      </c>
      <c r="H4924" s="10">
        <v>79214</v>
      </c>
      <c r="I4924" s="10">
        <v>396070</v>
      </c>
      <c r="J4924" t="s">
        <v>42</v>
      </c>
      <c r="K4924" s="11">
        <v>3145.8</v>
      </c>
      <c r="L4924" s="12">
        <v>125.9</v>
      </c>
    </row>
    <row r="4925" spans="1:12" x14ac:dyDescent="0.2">
      <c r="A4925" s="9">
        <v>46261</v>
      </c>
      <c r="B4925" t="s">
        <v>485</v>
      </c>
      <c r="C4925" t="s">
        <v>486</v>
      </c>
      <c r="D4925" t="s">
        <v>41</v>
      </c>
      <c r="E4925" t="s">
        <v>651</v>
      </c>
      <c r="F4925" t="s">
        <v>657</v>
      </c>
      <c r="G4925" s="10">
        <v>2</v>
      </c>
      <c r="H4925" s="10">
        <v>30356</v>
      </c>
      <c r="I4925" s="10">
        <v>60712</v>
      </c>
      <c r="J4925" t="s">
        <v>42</v>
      </c>
      <c r="K4925" s="11">
        <v>3145.8</v>
      </c>
      <c r="L4925" s="12">
        <v>19.3</v>
      </c>
    </row>
    <row r="4926" spans="1:12" x14ac:dyDescent="0.2">
      <c r="A4926" s="9">
        <v>46261</v>
      </c>
      <c r="B4926" t="s">
        <v>496</v>
      </c>
      <c r="C4926" t="s">
        <v>497</v>
      </c>
      <c r="D4926" t="s">
        <v>41</v>
      </c>
      <c r="E4926" t="s">
        <v>647</v>
      </c>
      <c r="F4926" t="s">
        <v>668</v>
      </c>
      <c r="G4926" s="10">
        <v>24</v>
      </c>
      <c r="H4926" s="10">
        <v>126739</v>
      </c>
      <c r="I4926" s="10">
        <v>3041736</v>
      </c>
      <c r="J4926" t="s">
        <v>42</v>
      </c>
      <c r="K4926" s="11">
        <v>3145.8</v>
      </c>
      <c r="L4926" s="12">
        <v>966.92</v>
      </c>
    </row>
    <row r="4927" spans="1:12" x14ac:dyDescent="0.2">
      <c r="A4927" s="9">
        <v>46261</v>
      </c>
      <c r="B4927" t="s">
        <v>499</v>
      </c>
      <c r="C4927" t="s">
        <v>500</v>
      </c>
      <c r="D4927" t="s">
        <v>41</v>
      </c>
      <c r="E4927" t="s">
        <v>653</v>
      </c>
      <c r="F4927" t="s">
        <v>666</v>
      </c>
      <c r="G4927" s="10">
        <v>10</v>
      </c>
      <c r="H4927" s="10">
        <v>7202</v>
      </c>
      <c r="I4927" s="10">
        <v>72020</v>
      </c>
      <c r="J4927" t="s">
        <v>42</v>
      </c>
      <c r="K4927" s="11">
        <v>3145.8</v>
      </c>
      <c r="L4927" s="12">
        <v>22.89</v>
      </c>
    </row>
    <row r="4928" spans="1:12" x14ac:dyDescent="0.2">
      <c r="A4928" s="9">
        <v>46261</v>
      </c>
      <c r="B4928" t="s">
        <v>499</v>
      </c>
      <c r="C4928" t="s">
        <v>500</v>
      </c>
      <c r="D4928" t="s">
        <v>41</v>
      </c>
      <c r="E4928" t="s">
        <v>649</v>
      </c>
      <c r="F4928" t="s">
        <v>650</v>
      </c>
      <c r="G4928" s="10">
        <v>9</v>
      </c>
      <c r="H4928" s="10">
        <v>90253</v>
      </c>
      <c r="I4928" s="10">
        <v>812277</v>
      </c>
      <c r="J4928" t="s">
        <v>42</v>
      </c>
      <c r="K4928" s="11">
        <v>3145.8</v>
      </c>
      <c r="L4928" s="12">
        <v>258.20999999999998</v>
      </c>
    </row>
    <row r="4929" spans="1:12" x14ac:dyDescent="0.2">
      <c r="A4929" s="9">
        <v>46261</v>
      </c>
      <c r="B4929" t="s">
        <v>508</v>
      </c>
      <c r="C4929" t="s">
        <v>509</v>
      </c>
      <c r="D4929" t="s">
        <v>68</v>
      </c>
      <c r="E4929" t="s">
        <v>647</v>
      </c>
      <c r="F4929" t="s">
        <v>648</v>
      </c>
      <c r="G4929" s="10">
        <v>29</v>
      </c>
      <c r="H4929" s="10">
        <v>16430</v>
      </c>
      <c r="I4929" s="10">
        <v>476470</v>
      </c>
      <c r="J4929" t="s">
        <v>51</v>
      </c>
      <c r="K4929" s="11">
        <v>648.20000000000005</v>
      </c>
      <c r="L4929" s="12">
        <v>735.07</v>
      </c>
    </row>
    <row r="4930" spans="1:12" x14ac:dyDescent="0.2">
      <c r="A4930" s="9">
        <v>46261</v>
      </c>
      <c r="B4930" t="s">
        <v>508</v>
      </c>
      <c r="C4930" t="s">
        <v>509</v>
      </c>
      <c r="D4930" t="s">
        <v>68</v>
      </c>
      <c r="E4930" t="s">
        <v>651</v>
      </c>
      <c r="F4930" t="s">
        <v>664</v>
      </c>
      <c r="G4930" s="10">
        <v>23</v>
      </c>
      <c r="H4930" s="10">
        <v>12293</v>
      </c>
      <c r="I4930" s="10">
        <v>282739</v>
      </c>
      <c r="J4930" t="s">
        <v>51</v>
      </c>
      <c r="K4930" s="11">
        <v>648.20000000000005</v>
      </c>
      <c r="L4930" s="12">
        <v>436.19</v>
      </c>
    </row>
    <row r="4931" spans="1:12" x14ac:dyDescent="0.2">
      <c r="A4931" s="9">
        <v>46261</v>
      </c>
      <c r="B4931" t="s">
        <v>511</v>
      </c>
      <c r="C4931" t="s">
        <v>512</v>
      </c>
      <c r="D4931" t="s">
        <v>75</v>
      </c>
      <c r="E4931" t="s">
        <v>653</v>
      </c>
      <c r="F4931" t="s">
        <v>654</v>
      </c>
      <c r="G4931" s="10">
        <v>5</v>
      </c>
      <c r="H4931" s="10">
        <v>27284</v>
      </c>
      <c r="I4931" s="10">
        <v>136420</v>
      </c>
      <c r="J4931" t="s">
        <v>42</v>
      </c>
      <c r="K4931" s="11">
        <v>3145.8</v>
      </c>
      <c r="L4931" s="12">
        <v>43.37</v>
      </c>
    </row>
    <row r="4932" spans="1:12" x14ac:dyDescent="0.2">
      <c r="A4932" s="9">
        <v>46261</v>
      </c>
      <c r="B4932" t="s">
        <v>517</v>
      </c>
      <c r="C4932" t="s">
        <v>518</v>
      </c>
      <c r="D4932" t="s">
        <v>41</v>
      </c>
      <c r="E4932" t="s">
        <v>653</v>
      </c>
      <c r="F4932" t="s">
        <v>654</v>
      </c>
      <c r="G4932" s="10">
        <v>34</v>
      </c>
      <c r="H4932" s="10">
        <v>28683</v>
      </c>
      <c r="I4932" s="10">
        <v>975222</v>
      </c>
      <c r="J4932" t="s">
        <v>42</v>
      </c>
      <c r="K4932" s="11">
        <v>3145.8</v>
      </c>
      <c r="L4932" s="12">
        <v>310.01</v>
      </c>
    </row>
    <row r="4933" spans="1:12" x14ac:dyDescent="0.2">
      <c r="A4933" s="9">
        <v>46261</v>
      </c>
      <c r="B4933" t="s">
        <v>517</v>
      </c>
      <c r="C4933" t="s">
        <v>518</v>
      </c>
      <c r="D4933" t="s">
        <v>41</v>
      </c>
      <c r="E4933" t="s">
        <v>647</v>
      </c>
      <c r="F4933" t="s">
        <v>668</v>
      </c>
      <c r="G4933" s="10">
        <v>42</v>
      </c>
      <c r="H4933" s="10">
        <v>122819</v>
      </c>
      <c r="I4933" s="10">
        <v>5158398</v>
      </c>
      <c r="J4933" t="s">
        <v>42</v>
      </c>
      <c r="K4933" s="11">
        <v>3145.8</v>
      </c>
      <c r="L4933" s="12">
        <v>1639.77</v>
      </c>
    </row>
    <row r="4934" spans="1:12" x14ac:dyDescent="0.2">
      <c r="A4934" s="9">
        <v>46261</v>
      </c>
      <c r="B4934" t="s">
        <v>517</v>
      </c>
      <c r="C4934" t="s">
        <v>518</v>
      </c>
      <c r="D4934" t="s">
        <v>41</v>
      </c>
      <c r="E4934" t="s">
        <v>651</v>
      </c>
      <c r="F4934" t="s">
        <v>657</v>
      </c>
      <c r="G4934" s="10">
        <v>10</v>
      </c>
      <c r="H4934" s="10">
        <v>32187</v>
      </c>
      <c r="I4934" s="10">
        <v>321870</v>
      </c>
      <c r="J4934" t="s">
        <v>42</v>
      </c>
      <c r="K4934" s="11">
        <v>3145.8</v>
      </c>
      <c r="L4934" s="12">
        <v>102.32</v>
      </c>
    </row>
    <row r="4935" spans="1:12" x14ac:dyDescent="0.2">
      <c r="A4935" s="9">
        <v>46261</v>
      </c>
      <c r="B4935" t="s">
        <v>520</v>
      </c>
      <c r="C4935" t="s">
        <v>489</v>
      </c>
      <c r="D4935" t="s">
        <v>46</v>
      </c>
      <c r="E4935" t="s">
        <v>647</v>
      </c>
      <c r="F4935" t="s">
        <v>667</v>
      </c>
      <c r="G4935" s="10">
        <v>39</v>
      </c>
      <c r="H4935" s="10">
        <v>7450</v>
      </c>
      <c r="I4935" s="10">
        <v>290550</v>
      </c>
      <c r="J4935" t="s">
        <v>37</v>
      </c>
      <c r="K4935" s="11">
        <v>648.20000000000005</v>
      </c>
      <c r="L4935" s="12">
        <v>448.24</v>
      </c>
    </row>
    <row r="4936" spans="1:12" x14ac:dyDescent="0.2">
      <c r="A4936" s="9">
        <v>46261</v>
      </c>
      <c r="B4936" t="s">
        <v>525</v>
      </c>
      <c r="C4936" t="s">
        <v>526</v>
      </c>
      <c r="D4936" t="s">
        <v>46</v>
      </c>
      <c r="E4936" t="s">
        <v>647</v>
      </c>
      <c r="F4936" t="s">
        <v>667</v>
      </c>
      <c r="G4936" s="10">
        <v>39</v>
      </c>
      <c r="H4936" s="10">
        <v>7327</v>
      </c>
      <c r="I4936" s="10">
        <v>285753</v>
      </c>
      <c r="J4936" t="s">
        <v>37</v>
      </c>
      <c r="K4936" s="11">
        <v>648.20000000000005</v>
      </c>
      <c r="L4936" s="12">
        <v>440.84</v>
      </c>
    </row>
    <row r="4937" spans="1:12" x14ac:dyDescent="0.2">
      <c r="A4937" s="9">
        <v>46261</v>
      </c>
      <c r="B4937" t="s">
        <v>528</v>
      </c>
      <c r="C4937" t="s">
        <v>529</v>
      </c>
      <c r="D4937" t="s">
        <v>46</v>
      </c>
      <c r="E4937" t="s">
        <v>660</v>
      </c>
      <c r="F4937" t="s">
        <v>661</v>
      </c>
      <c r="G4937" s="10">
        <v>10</v>
      </c>
      <c r="H4937" s="10">
        <v>4108</v>
      </c>
      <c r="I4937" s="10">
        <v>41080</v>
      </c>
      <c r="J4937" t="s">
        <v>37</v>
      </c>
      <c r="K4937" s="11">
        <v>648.20000000000005</v>
      </c>
      <c r="L4937" s="12">
        <v>63.38</v>
      </c>
    </row>
    <row r="4938" spans="1:12" x14ac:dyDescent="0.2">
      <c r="A4938" s="9">
        <v>46261</v>
      </c>
      <c r="B4938" t="s">
        <v>531</v>
      </c>
      <c r="C4938" t="s">
        <v>532</v>
      </c>
      <c r="D4938" t="s">
        <v>50</v>
      </c>
      <c r="E4938" t="s">
        <v>649</v>
      </c>
      <c r="F4938" t="s">
        <v>663</v>
      </c>
      <c r="G4938" s="10">
        <v>52</v>
      </c>
      <c r="H4938" s="10">
        <v>2060</v>
      </c>
      <c r="I4938" s="10">
        <v>107120</v>
      </c>
      <c r="J4938" t="s">
        <v>51</v>
      </c>
      <c r="K4938" s="11">
        <v>648.20000000000005</v>
      </c>
      <c r="L4938" s="12">
        <v>165.26</v>
      </c>
    </row>
    <row r="4939" spans="1:12" x14ac:dyDescent="0.2">
      <c r="A4939" s="9">
        <v>46261</v>
      </c>
      <c r="B4939" t="s">
        <v>531</v>
      </c>
      <c r="C4939" t="s">
        <v>532</v>
      </c>
      <c r="D4939" t="s">
        <v>50</v>
      </c>
      <c r="E4939" t="s">
        <v>647</v>
      </c>
      <c r="F4939" t="s">
        <v>648</v>
      </c>
      <c r="G4939" s="10">
        <v>21</v>
      </c>
      <c r="H4939" s="10">
        <v>15697</v>
      </c>
      <c r="I4939" s="10">
        <v>329637</v>
      </c>
      <c r="J4939" t="s">
        <v>51</v>
      </c>
      <c r="K4939" s="11">
        <v>648.20000000000005</v>
      </c>
      <c r="L4939" s="12">
        <v>508.54</v>
      </c>
    </row>
    <row r="4940" spans="1:12" x14ac:dyDescent="0.2">
      <c r="A4940" s="9">
        <v>46261</v>
      </c>
      <c r="B4940" t="s">
        <v>531</v>
      </c>
      <c r="C4940" t="s">
        <v>532</v>
      </c>
      <c r="D4940" t="s">
        <v>50</v>
      </c>
      <c r="E4940" t="s">
        <v>655</v>
      </c>
      <c r="F4940" t="s">
        <v>665</v>
      </c>
      <c r="G4940" s="10">
        <v>22</v>
      </c>
      <c r="H4940" s="10">
        <v>682</v>
      </c>
      <c r="I4940" s="10">
        <v>15004</v>
      </c>
      <c r="J4940" t="s">
        <v>51</v>
      </c>
      <c r="K4940" s="11">
        <v>648.20000000000005</v>
      </c>
      <c r="L4940" s="12">
        <v>23.15</v>
      </c>
    </row>
    <row r="4941" spans="1:12" x14ac:dyDescent="0.2">
      <c r="A4941" s="9">
        <v>46261</v>
      </c>
      <c r="B4941" t="s">
        <v>534</v>
      </c>
      <c r="C4941" t="s">
        <v>535</v>
      </c>
      <c r="D4941" t="s">
        <v>36</v>
      </c>
      <c r="E4941" t="s">
        <v>660</v>
      </c>
      <c r="F4941" t="s">
        <v>669</v>
      </c>
      <c r="G4941" s="10">
        <v>7</v>
      </c>
      <c r="H4941" s="10">
        <v>2668</v>
      </c>
      <c r="I4941" s="10">
        <v>18676</v>
      </c>
      <c r="J4941" t="s">
        <v>37</v>
      </c>
      <c r="K4941" s="11">
        <v>648.20000000000005</v>
      </c>
      <c r="L4941" s="12">
        <v>28.81</v>
      </c>
    </row>
    <row r="4942" spans="1:12" x14ac:dyDescent="0.2">
      <c r="A4942" s="9">
        <v>46261</v>
      </c>
      <c r="B4942" t="s">
        <v>534</v>
      </c>
      <c r="C4942" t="s">
        <v>535</v>
      </c>
      <c r="D4942" t="s">
        <v>36</v>
      </c>
      <c r="E4942" t="s">
        <v>647</v>
      </c>
      <c r="F4942" t="s">
        <v>668</v>
      </c>
      <c r="G4942" s="10">
        <v>16</v>
      </c>
      <c r="H4942" s="10">
        <v>25556</v>
      </c>
      <c r="I4942" s="10">
        <v>408896</v>
      </c>
      <c r="J4942" t="s">
        <v>37</v>
      </c>
      <c r="K4942" s="11">
        <v>648.20000000000005</v>
      </c>
      <c r="L4942" s="12">
        <v>630.82000000000005</v>
      </c>
    </row>
    <row r="4943" spans="1:12" x14ac:dyDescent="0.2">
      <c r="A4943" s="9">
        <v>46261</v>
      </c>
      <c r="B4943" t="s">
        <v>537</v>
      </c>
      <c r="C4943" t="s">
        <v>538</v>
      </c>
      <c r="D4943" t="s">
        <v>68</v>
      </c>
      <c r="E4943" t="s">
        <v>660</v>
      </c>
      <c r="F4943" t="s">
        <v>661</v>
      </c>
      <c r="G4943" s="10">
        <v>15</v>
      </c>
      <c r="H4943" s="10">
        <v>4075</v>
      </c>
      <c r="I4943" s="10">
        <v>61125</v>
      </c>
      <c r="J4943" t="s">
        <v>51</v>
      </c>
      <c r="K4943" s="11">
        <v>648.20000000000005</v>
      </c>
      <c r="L4943" s="12">
        <v>94.3</v>
      </c>
    </row>
    <row r="4944" spans="1:12" x14ac:dyDescent="0.2">
      <c r="A4944" s="9">
        <v>46261</v>
      </c>
      <c r="B4944" t="s">
        <v>543</v>
      </c>
      <c r="C4944" t="s">
        <v>544</v>
      </c>
      <c r="D4944" t="s">
        <v>68</v>
      </c>
      <c r="E4944" t="s">
        <v>649</v>
      </c>
      <c r="F4944" t="s">
        <v>663</v>
      </c>
      <c r="G4944" s="10">
        <v>13</v>
      </c>
      <c r="H4944" s="10">
        <v>2009</v>
      </c>
      <c r="I4944" s="10">
        <v>26117</v>
      </c>
      <c r="J4944" t="s">
        <v>51</v>
      </c>
      <c r="K4944" s="11">
        <v>648.20000000000005</v>
      </c>
      <c r="L4944" s="12">
        <v>40.29</v>
      </c>
    </row>
    <row r="4945" spans="1:12" x14ac:dyDescent="0.2">
      <c r="A4945" s="9">
        <v>46261</v>
      </c>
      <c r="B4945" t="s">
        <v>546</v>
      </c>
      <c r="C4945" t="s">
        <v>547</v>
      </c>
      <c r="D4945" t="s">
        <v>41</v>
      </c>
      <c r="E4945" t="s">
        <v>653</v>
      </c>
      <c r="F4945" t="s">
        <v>666</v>
      </c>
      <c r="G4945" s="10">
        <v>17</v>
      </c>
      <c r="H4945" s="10">
        <v>7083</v>
      </c>
      <c r="I4945" s="10">
        <v>120411</v>
      </c>
      <c r="J4945" t="s">
        <v>42</v>
      </c>
      <c r="K4945" s="11">
        <v>3145.8</v>
      </c>
      <c r="L4945" s="12">
        <v>38.28</v>
      </c>
    </row>
    <row r="4946" spans="1:12" x14ac:dyDescent="0.2">
      <c r="A4946" s="9">
        <v>46261</v>
      </c>
      <c r="B4946" t="s">
        <v>546</v>
      </c>
      <c r="C4946" t="s">
        <v>547</v>
      </c>
      <c r="D4946" t="s">
        <v>41</v>
      </c>
      <c r="E4946" t="s">
        <v>649</v>
      </c>
      <c r="F4946" t="s">
        <v>650</v>
      </c>
      <c r="G4946" s="10">
        <v>2</v>
      </c>
      <c r="H4946" s="10">
        <v>92914</v>
      </c>
      <c r="I4946" s="10">
        <v>185828</v>
      </c>
      <c r="J4946" t="s">
        <v>42</v>
      </c>
      <c r="K4946" s="11">
        <v>3145.8</v>
      </c>
      <c r="L4946" s="12">
        <v>59.07</v>
      </c>
    </row>
    <row r="4947" spans="1:12" x14ac:dyDescent="0.2">
      <c r="A4947" s="9">
        <v>46261</v>
      </c>
      <c r="B4947" t="s">
        <v>549</v>
      </c>
      <c r="C4947" t="s">
        <v>550</v>
      </c>
      <c r="D4947" t="s">
        <v>41</v>
      </c>
      <c r="E4947" t="s">
        <v>647</v>
      </c>
      <c r="F4947" t="s">
        <v>668</v>
      </c>
      <c r="G4947" s="10">
        <v>7</v>
      </c>
      <c r="H4947" s="10">
        <v>125610</v>
      </c>
      <c r="I4947" s="10">
        <v>879270</v>
      </c>
      <c r="J4947" t="s">
        <v>42</v>
      </c>
      <c r="K4947" s="11">
        <v>3145.8</v>
      </c>
      <c r="L4947" s="12">
        <v>279.51</v>
      </c>
    </row>
    <row r="4948" spans="1:12" x14ac:dyDescent="0.2">
      <c r="A4948" s="9">
        <v>46261</v>
      </c>
      <c r="B4948" t="s">
        <v>555</v>
      </c>
      <c r="C4948" t="s">
        <v>556</v>
      </c>
      <c r="D4948" t="s">
        <v>41</v>
      </c>
      <c r="E4948" t="s">
        <v>660</v>
      </c>
      <c r="F4948" t="s">
        <v>669</v>
      </c>
      <c r="G4948" s="10">
        <v>16</v>
      </c>
      <c r="H4948" s="10">
        <v>12257</v>
      </c>
      <c r="I4948" s="10">
        <v>196112</v>
      </c>
      <c r="J4948" t="s">
        <v>42</v>
      </c>
      <c r="K4948" s="11">
        <v>3145.8</v>
      </c>
      <c r="L4948" s="12">
        <v>62.34</v>
      </c>
    </row>
    <row r="4949" spans="1:12" x14ac:dyDescent="0.2">
      <c r="A4949" s="9">
        <v>46261</v>
      </c>
      <c r="B4949" t="s">
        <v>555</v>
      </c>
      <c r="C4949" t="s">
        <v>556</v>
      </c>
      <c r="D4949" t="s">
        <v>41</v>
      </c>
      <c r="E4949" t="s">
        <v>660</v>
      </c>
      <c r="F4949" t="s">
        <v>661</v>
      </c>
      <c r="G4949" s="10">
        <v>31</v>
      </c>
      <c r="H4949" s="10">
        <v>19831</v>
      </c>
      <c r="I4949" s="10">
        <v>614761</v>
      </c>
      <c r="J4949" t="s">
        <v>42</v>
      </c>
      <c r="K4949" s="11">
        <v>3145.8</v>
      </c>
      <c r="L4949" s="12">
        <v>195.42</v>
      </c>
    </row>
    <row r="4950" spans="1:12" x14ac:dyDescent="0.2">
      <c r="A4950" s="9">
        <v>46261</v>
      </c>
      <c r="B4950" t="s">
        <v>555</v>
      </c>
      <c r="C4950" t="s">
        <v>556</v>
      </c>
      <c r="D4950" t="s">
        <v>41</v>
      </c>
      <c r="E4950" t="s">
        <v>651</v>
      </c>
      <c r="F4950" t="s">
        <v>657</v>
      </c>
      <c r="G4950" s="10">
        <v>3</v>
      </c>
      <c r="H4950" s="10">
        <v>32237</v>
      </c>
      <c r="I4950" s="10">
        <v>96711</v>
      </c>
      <c r="J4950" t="s">
        <v>42</v>
      </c>
      <c r="K4950" s="11">
        <v>3145.8</v>
      </c>
      <c r="L4950" s="12">
        <v>30.74</v>
      </c>
    </row>
    <row r="4951" spans="1:12" x14ac:dyDescent="0.2">
      <c r="A4951" s="9">
        <v>46261</v>
      </c>
      <c r="B4951" t="s">
        <v>558</v>
      </c>
      <c r="C4951" t="s">
        <v>559</v>
      </c>
      <c r="D4951" t="s">
        <v>75</v>
      </c>
      <c r="E4951" t="s">
        <v>649</v>
      </c>
      <c r="F4951" t="s">
        <v>650</v>
      </c>
      <c r="G4951" s="10">
        <v>5</v>
      </c>
      <c r="H4951" s="10">
        <v>90353</v>
      </c>
      <c r="I4951" s="10">
        <v>451765</v>
      </c>
      <c r="J4951" t="s">
        <v>42</v>
      </c>
      <c r="K4951" s="11">
        <v>3145.8</v>
      </c>
      <c r="L4951" s="12">
        <v>143.61000000000001</v>
      </c>
    </row>
    <row r="4952" spans="1:12" x14ac:dyDescent="0.2">
      <c r="A4952" s="9">
        <v>46261</v>
      </c>
      <c r="B4952" t="s">
        <v>561</v>
      </c>
      <c r="C4952" t="s">
        <v>562</v>
      </c>
      <c r="D4952" t="s">
        <v>46</v>
      </c>
      <c r="E4952" t="s">
        <v>655</v>
      </c>
      <c r="F4952" t="s">
        <v>665</v>
      </c>
      <c r="G4952" s="10">
        <v>12</v>
      </c>
      <c r="H4952" s="10">
        <v>668</v>
      </c>
      <c r="I4952" s="10">
        <v>8016</v>
      </c>
      <c r="J4952" t="s">
        <v>37</v>
      </c>
      <c r="K4952" s="11">
        <v>648.20000000000005</v>
      </c>
      <c r="L4952" s="12">
        <v>12.37</v>
      </c>
    </row>
    <row r="4953" spans="1:12" x14ac:dyDescent="0.2">
      <c r="A4953" s="9">
        <v>46261</v>
      </c>
      <c r="B4953" t="s">
        <v>564</v>
      </c>
      <c r="C4953" t="s">
        <v>565</v>
      </c>
      <c r="D4953" t="s">
        <v>41</v>
      </c>
      <c r="E4953" t="s">
        <v>649</v>
      </c>
      <c r="F4953" t="s">
        <v>650</v>
      </c>
      <c r="G4953" s="10">
        <v>35</v>
      </c>
      <c r="H4953" s="10">
        <v>95092</v>
      </c>
      <c r="I4953" s="10">
        <v>3328220</v>
      </c>
      <c r="J4953" t="s">
        <v>42</v>
      </c>
      <c r="K4953" s="11">
        <v>3145.8</v>
      </c>
      <c r="L4953" s="12">
        <v>1057.99</v>
      </c>
    </row>
    <row r="4954" spans="1:12" x14ac:dyDescent="0.2">
      <c r="A4954" s="9">
        <v>46261</v>
      </c>
      <c r="B4954" t="s">
        <v>564</v>
      </c>
      <c r="C4954" t="s">
        <v>565</v>
      </c>
      <c r="D4954" t="s">
        <v>41</v>
      </c>
      <c r="E4954" t="s">
        <v>655</v>
      </c>
      <c r="F4954" t="s">
        <v>662</v>
      </c>
      <c r="G4954" s="10">
        <v>5</v>
      </c>
      <c r="H4954" s="10">
        <v>5497</v>
      </c>
      <c r="I4954" s="10">
        <v>27485</v>
      </c>
      <c r="J4954" t="s">
        <v>42</v>
      </c>
      <c r="K4954" s="11">
        <v>3145.8</v>
      </c>
      <c r="L4954" s="12">
        <v>8.74</v>
      </c>
    </row>
    <row r="4955" spans="1:12" x14ac:dyDescent="0.2">
      <c r="A4955" s="9">
        <v>46261</v>
      </c>
      <c r="B4955" t="s">
        <v>564</v>
      </c>
      <c r="C4955" t="s">
        <v>565</v>
      </c>
      <c r="D4955" t="s">
        <v>41</v>
      </c>
      <c r="E4955" t="s">
        <v>660</v>
      </c>
      <c r="F4955" t="s">
        <v>670</v>
      </c>
      <c r="G4955" s="10">
        <v>24</v>
      </c>
      <c r="H4955" s="10">
        <v>70991</v>
      </c>
      <c r="I4955" s="10">
        <v>1703784</v>
      </c>
      <c r="J4955" t="s">
        <v>42</v>
      </c>
      <c r="K4955" s="11">
        <v>3145.8</v>
      </c>
      <c r="L4955" s="12">
        <v>541.61</v>
      </c>
    </row>
    <row r="4956" spans="1:12" x14ac:dyDescent="0.2">
      <c r="A4956" s="9">
        <v>46261</v>
      </c>
      <c r="B4956" t="s">
        <v>564</v>
      </c>
      <c r="C4956" t="s">
        <v>565</v>
      </c>
      <c r="D4956" t="s">
        <v>41</v>
      </c>
      <c r="E4956" t="s">
        <v>647</v>
      </c>
      <c r="F4956" t="s">
        <v>667</v>
      </c>
      <c r="G4956" s="10">
        <v>15</v>
      </c>
      <c r="H4956" s="10">
        <v>36910</v>
      </c>
      <c r="I4956" s="10">
        <v>553650</v>
      </c>
      <c r="J4956" t="s">
        <v>42</v>
      </c>
      <c r="K4956" s="11">
        <v>3145.8</v>
      </c>
      <c r="L4956" s="12">
        <v>176</v>
      </c>
    </row>
    <row r="4957" spans="1:12" x14ac:dyDescent="0.2">
      <c r="A4957" s="9">
        <v>46261</v>
      </c>
      <c r="B4957" t="s">
        <v>564</v>
      </c>
      <c r="C4957" t="s">
        <v>565</v>
      </c>
      <c r="D4957" t="s">
        <v>41</v>
      </c>
      <c r="E4957" t="s">
        <v>647</v>
      </c>
      <c r="F4957" t="s">
        <v>667</v>
      </c>
      <c r="G4957" s="10">
        <v>15</v>
      </c>
      <c r="H4957" s="10">
        <v>34316</v>
      </c>
      <c r="I4957" s="10">
        <v>514740</v>
      </c>
      <c r="J4957" t="s">
        <v>42</v>
      </c>
      <c r="K4957" s="11">
        <v>3145.8</v>
      </c>
      <c r="L4957" s="12">
        <v>163.63</v>
      </c>
    </row>
    <row r="4958" spans="1:12" x14ac:dyDescent="0.2">
      <c r="A4958" s="9">
        <v>46261</v>
      </c>
      <c r="B4958" t="s">
        <v>567</v>
      </c>
      <c r="C4958" t="s">
        <v>568</v>
      </c>
      <c r="D4958" t="s">
        <v>41</v>
      </c>
      <c r="E4958" t="s">
        <v>653</v>
      </c>
      <c r="F4958" t="s">
        <v>654</v>
      </c>
      <c r="G4958" s="10">
        <v>23</v>
      </c>
      <c r="H4958" s="10">
        <v>28241</v>
      </c>
      <c r="I4958" s="10">
        <v>649543</v>
      </c>
      <c r="J4958" t="s">
        <v>42</v>
      </c>
      <c r="K4958" s="11">
        <v>3145.8</v>
      </c>
      <c r="L4958" s="12">
        <v>206.48</v>
      </c>
    </row>
    <row r="4959" spans="1:12" x14ac:dyDescent="0.2">
      <c r="A4959" s="9">
        <v>46261</v>
      </c>
      <c r="B4959" t="s">
        <v>567</v>
      </c>
      <c r="C4959" t="s">
        <v>568</v>
      </c>
      <c r="D4959" t="s">
        <v>41</v>
      </c>
      <c r="E4959" t="s">
        <v>647</v>
      </c>
      <c r="F4959" t="s">
        <v>668</v>
      </c>
      <c r="G4959" s="10">
        <v>57</v>
      </c>
      <c r="H4959" s="10">
        <v>126174</v>
      </c>
      <c r="I4959" s="10">
        <v>7191918</v>
      </c>
      <c r="J4959" t="s">
        <v>42</v>
      </c>
      <c r="K4959" s="11">
        <v>3145.8</v>
      </c>
      <c r="L4959" s="12">
        <v>2286.1999999999998</v>
      </c>
    </row>
    <row r="4960" spans="1:12" x14ac:dyDescent="0.2">
      <c r="A4960" s="9">
        <v>46261</v>
      </c>
      <c r="B4960" t="s">
        <v>567</v>
      </c>
      <c r="C4960" t="s">
        <v>568</v>
      </c>
      <c r="D4960" t="s">
        <v>41</v>
      </c>
      <c r="E4960" t="s">
        <v>647</v>
      </c>
      <c r="F4960" t="s">
        <v>667</v>
      </c>
      <c r="G4960" s="10">
        <v>121</v>
      </c>
      <c r="H4960" s="10">
        <v>35599</v>
      </c>
      <c r="I4960" s="10">
        <v>4307479</v>
      </c>
      <c r="J4960" t="s">
        <v>42</v>
      </c>
      <c r="K4960" s="11">
        <v>3145.8</v>
      </c>
      <c r="L4960" s="12">
        <v>1369.28</v>
      </c>
    </row>
    <row r="4961" spans="1:12" x14ac:dyDescent="0.2">
      <c r="A4961" s="9">
        <v>46261</v>
      </c>
      <c r="B4961" t="s">
        <v>573</v>
      </c>
      <c r="C4961" t="s">
        <v>574</v>
      </c>
      <c r="D4961" t="s">
        <v>41</v>
      </c>
      <c r="E4961" t="s">
        <v>655</v>
      </c>
      <c r="F4961" t="s">
        <v>665</v>
      </c>
      <c r="G4961" s="10">
        <v>6</v>
      </c>
      <c r="H4961" s="10">
        <v>3430</v>
      </c>
      <c r="I4961" s="10">
        <v>20580</v>
      </c>
      <c r="J4961" t="s">
        <v>42</v>
      </c>
      <c r="K4961" s="11">
        <v>3145.8</v>
      </c>
      <c r="L4961" s="12">
        <v>6.54</v>
      </c>
    </row>
    <row r="4962" spans="1:12" x14ac:dyDescent="0.2">
      <c r="A4962" s="9">
        <v>46261</v>
      </c>
      <c r="B4962" t="s">
        <v>576</v>
      </c>
      <c r="C4962" t="s">
        <v>577</v>
      </c>
      <c r="D4962" t="s">
        <v>50</v>
      </c>
      <c r="E4962" t="s">
        <v>660</v>
      </c>
      <c r="F4962" t="s">
        <v>670</v>
      </c>
      <c r="G4962" s="10">
        <v>13</v>
      </c>
      <c r="H4962" s="10">
        <v>14272</v>
      </c>
      <c r="I4962" s="10">
        <v>185536</v>
      </c>
      <c r="J4962" t="s">
        <v>51</v>
      </c>
      <c r="K4962" s="11">
        <v>648.20000000000005</v>
      </c>
      <c r="L4962" s="12">
        <v>286.23</v>
      </c>
    </row>
    <row r="4963" spans="1:12" x14ac:dyDescent="0.2">
      <c r="A4963" s="9">
        <v>46261</v>
      </c>
      <c r="B4963" t="s">
        <v>579</v>
      </c>
      <c r="C4963" t="s">
        <v>580</v>
      </c>
      <c r="D4963" t="s">
        <v>75</v>
      </c>
      <c r="E4963" t="s">
        <v>653</v>
      </c>
      <c r="F4963" t="s">
        <v>658</v>
      </c>
      <c r="G4963" s="10">
        <v>14</v>
      </c>
      <c r="H4963" s="10">
        <v>12666</v>
      </c>
      <c r="I4963" s="10">
        <v>177324</v>
      </c>
      <c r="J4963" t="s">
        <v>42</v>
      </c>
      <c r="K4963" s="11">
        <v>3145.8</v>
      </c>
      <c r="L4963" s="12">
        <v>56.37</v>
      </c>
    </row>
    <row r="4964" spans="1:12" x14ac:dyDescent="0.2">
      <c r="A4964" s="9">
        <v>46261</v>
      </c>
      <c r="B4964" t="s">
        <v>579</v>
      </c>
      <c r="C4964" t="s">
        <v>580</v>
      </c>
      <c r="D4964" t="s">
        <v>75</v>
      </c>
      <c r="E4964" t="s">
        <v>655</v>
      </c>
      <c r="F4964" t="s">
        <v>662</v>
      </c>
      <c r="G4964" s="10">
        <v>37</v>
      </c>
      <c r="H4964" s="10">
        <v>5671</v>
      </c>
      <c r="I4964" s="10">
        <v>209827</v>
      </c>
      <c r="J4964" t="s">
        <v>42</v>
      </c>
      <c r="K4964" s="11">
        <v>3145.8</v>
      </c>
      <c r="L4964" s="12">
        <v>66.7</v>
      </c>
    </row>
    <row r="4965" spans="1:12" x14ac:dyDescent="0.2">
      <c r="A4965" s="9">
        <v>46261</v>
      </c>
      <c r="B4965" t="s">
        <v>579</v>
      </c>
      <c r="C4965" t="s">
        <v>580</v>
      </c>
      <c r="D4965" t="s">
        <v>75</v>
      </c>
      <c r="E4965" t="s">
        <v>655</v>
      </c>
      <c r="F4965" t="s">
        <v>656</v>
      </c>
      <c r="G4965" s="10">
        <v>16</v>
      </c>
      <c r="H4965" s="10">
        <v>2856</v>
      </c>
      <c r="I4965" s="10">
        <v>45696</v>
      </c>
      <c r="J4965" t="s">
        <v>42</v>
      </c>
      <c r="K4965" s="11">
        <v>3145.8</v>
      </c>
      <c r="L4965" s="12">
        <v>14.53</v>
      </c>
    </row>
    <row r="4966" spans="1:12" x14ac:dyDescent="0.2">
      <c r="A4966" s="9">
        <v>46261</v>
      </c>
      <c r="B4966" t="s">
        <v>582</v>
      </c>
      <c r="C4966" t="s">
        <v>583</v>
      </c>
      <c r="D4966" t="s">
        <v>36</v>
      </c>
      <c r="E4966" t="s">
        <v>660</v>
      </c>
      <c r="F4966" t="s">
        <v>669</v>
      </c>
      <c r="G4966" s="10">
        <v>4</v>
      </c>
      <c r="H4966" s="10">
        <v>2526</v>
      </c>
      <c r="I4966" s="10">
        <v>10104</v>
      </c>
      <c r="J4966" t="s">
        <v>37</v>
      </c>
      <c r="K4966" s="11">
        <v>648.20000000000005</v>
      </c>
      <c r="L4966" s="12">
        <v>15.59</v>
      </c>
    </row>
    <row r="4967" spans="1:12" x14ac:dyDescent="0.2">
      <c r="A4967" s="9">
        <v>46261</v>
      </c>
      <c r="B4967" t="s">
        <v>582</v>
      </c>
      <c r="C4967" t="s">
        <v>583</v>
      </c>
      <c r="D4967" t="s">
        <v>36</v>
      </c>
      <c r="E4967" t="s">
        <v>651</v>
      </c>
      <c r="F4967" t="s">
        <v>664</v>
      </c>
      <c r="G4967" s="10">
        <v>11</v>
      </c>
      <c r="H4967" s="10">
        <v>11683</v>
      </c>
      <c r="I4967" s="10">
        <v>128513</v>
      </c>
      <c r="J4967" t="s">
        <v>37</v>
      </c>
      <c r="K4967" s="11">
        <v>648.20000000000005</v>
      </c>
      <c r="L4967" s="12">
        <v>198.26</v>
      </c>
    </row>
    <row r="4968" spans="1:12" x14ac:dyDescent="0.2">
      <c r="A4968" s="9">
        <v>46261</v>
      </c>
      <c r="B4968" t="s">
        <v>590</v>
      </c>
      <c r="C4968" t="s">
        <v>591</v>
      </c>
      <c r="D4968" t="s">
        <v>41</v>
      </c>
      <c r="E4968" t="s">
        <v>647</v>
      </c>
      <c r="F4968" t="s">
        <v>668</v>
      </c>
      <c r="G4968" s="10">
        <v>9</v>
      </c>
      <c r="H4968" s="10">
        <v>124983</v>
      </c>
      <c r="I4968" s="10">
        <v>1124847</v>
      </c>
      <c r="J4968" t="s">
        <v>42</v>
      </c>
      <c r="K4968" s="11">
        <v>3145.8</v>
      </c>
      <c r="L4968" s="12">
        <v>357.57</v>
      </c>
    </row>
    <row r="4969" spans="1:12" x14ac:dyDescent="0.2">
      <c r="A4969" s="9">
        <v>46261</v>
      </c>
      <c r="B4969" t="s">
        <v>593</v>
      </c>
      <c r="C4969" t="s">
        <v>594</v>
      </c>
      <c r="D4969" t="s">
        <v>50</v>
      </c>
      <c r="E4969" t="s">
        <v>651</v>
      </c>
      <c r="F4969" t="s">
        <v>652</v>
      </c>
      <c r="G4969" s="10">
        <v>8</v>
      </c>
      <c r="H4969" s="10">
        <v>9832</v>
      </c>
      <c r="I4969" s="10">
        <v>78656</v>
      </c>
      <c r="J4969" t="s">
        <v>51</v>
      </c>
      <c r="K4969" s="11">
        <v>648.20000000000005</v>
      </c>
      <c r="L4969" s="12">
        <v>121.35</v>
      </c>
    </row>
    <row r="4970" spans="1:12" x14ac:dyDescent="0.2">
      <c r="A4970" s="9">
        <v>46261</v>
      </c>
      <c r="B4970" t="s">
        <v>593</v>
      </c>
      <c r="C4970" t="s">
        <v>594</v>
      </c>
      <c r="D4970" t="s">
        <v>50</v>
      </c>
      <c r="E4970" t="s">
        <v>649</v>
      </c>
      <c r="F4970" t="s">
        <v>663</v>
      </c>
      <c r="G4970" s="10">
        <v>5</v>
      </c>
      <c r="H4970" s="10">
        <v>2001</v>
      </c>
      <c r="I4970" s="10">
        <v>10005</v>
      </c>
      <c r="J4970" t="s">
        <v>51</v>
      </c>
      <c r="K4970" s="11">
        <v>648.20000000000005</v>
      </c>
      <c r="L4970" s="12">
        <v>15.44</v>
      </c>
    </row>
    <row r="4971" spans="1:12" x14ac:dyDescent="0.2">
      <c r="A4971" s="9">
        <v>46261</v>
      </c>
      <c r="B4971" t="s">
        <v>596</v>
      </c>
      <c r="C4971" t="s">
        <v>597</v>
      </c>
      <c r="D4971" t="s">
        <v>50</v>
      </c>
      <c r="E4971" t="s">
        <v>649</v>
      </c>
      <c r="F4971" t="s">
        <v>663</v>
      </c>
      <c r="G4971" s="10">
        <v>1</v>
      </c>
      <c r="H4971" s="10">
        <v>2015</v>
      </c>
      <c r="I4971" s="10">
        <v>2015</v>
      </c>
      <c r="J4971" t="s">
        <v>51</v>
      </c>
      <c r="K4971" s="11">
        <v>648.20000000000005</v>
      </c>
      <c r="L4971" s="12">
        <v>3.11</v>
      </c>
    </row>
    <row r="4972" spans="1:12" x14ac:dyDescent="0.2">
      <c r="A4972" s="9">
        <v>46261</v>
      </c>
      <c r="B4972" t="s">
        <v>596</v>
      </c>
      <c r="C4972" t="s">
        <v>597</v>
      </c>
      <c r="D4972" t="s">
        <v>50</v>
      </c>
      <c r="E4972" t="s">
        <v>649</v>
      </c>
      <c r="F4972" t="s">
        <v>659</v>
      </c>
      <c r="G4972" s="10">
        <v>2</v>
      </c>
      <c r="H4972" s="10">
        <v>8725</v>
      </c>
      <c r="I4972" s="10">
        <v>17450</v>
      </c>
      <c r="J4972" t="s">
        <v>51</v>
      </c>
      <c r="K4972" s="11">
        <v>648.20000000000005</v>
      </c>
      <c r="L4972" s="12">
        <v>26.92</v>
      </c>
    </row>
    <row r="4973" spans="1:12" x14ac:dyDescent="0.2">
      <c r="A4973" s="9">
        <v>46261</v>
      </c>
      <c r="B4973" t="s">
        <v>599</v>
      </c>
      <c r="C4973" t="s">
        <v>600</v>
      </c>
      <c r="D4973" t="s">
        <v>75</v>
      </c>
      <c r="E4973" t="s">
        <v>653</v>
      </c>
      <c r="F4973" t="s">
        <v>666</v>
      </c>
      <c r="G4973" s="10">
        <v>8</v>
      </c>
      <c r="H4973" s="10">
        <v>7283</v>
      </c>
      <c r="I4973" s="10">
        <v>58264</v>
      </c>
      <c r="J4973" t="s">
        <v>42</v>
      </c>
      <c r="K4973" s="11">
        <v>3145.8</v>
      </c>
      <c r="L4973" s="12">
        <v>18.52</v>
      </c>
    </row>
    <row r="4974" spans="1:12" x14ac:dyDescent="0.2">
      <c r="A4974" s="9">
        <v>46261</v>
      </c>
      <c r="B4974" t="s">
        <v>599</v>
      </c>
      <c r="C4974" t="s">
        <v>600</v>
      </c>
      <c r="D4974" t="s">
        <v>75</v>
      </c>
      <c r="E4974" t="s">
        <v>649</v>
      </c>
      <c r="F4974" t="s">
        <v>663</v>
      </c>
      <c r="G4974" s="10">
        <v>48</v>
      </c>
      <c r="H4974" s="10">
        <v>9709</v>
      </c>
      <c r="I4974" s="10">
        <v>466032</v>
      </c>
      <c r="J4974" t="s">
        <v>42</v>
      </c>
      <c r="K4974" s="11">
        <v>3145.8</v>
      </c>
      <c r="L4974" s="12">
        <v>148.13999999999999</v>
      </c>
    </row>
    <row r="4975" spans="1:12" x14ac:dyDescent="0.2">
      <c r="A4975" s="9">
        <v>46261</v>
      </c>
      <c r="B4975" t="s">
        <v>599</v>
      </c>
      <c r="C4975" t="s">
        <v>600</v>
      </c>
      <c r="D4975" t="s">
        <v>75</v>
      </c>
      <c r="E4975" t="s">
        <v>660</v>
      </c>
      <c r="F4975" t="s">
        <v>669</v>
      </c>
      <c r="G4975" s="10">
        <v>14</v>
      </c>
      <c r="H4975" s="10">
        <v>12540</v>
      </c>
      <c r="I4975" s="10">
        <v>175560</v>
      </c>
      <c r="J4975" t="s">
        <v>42</v>
      </c>
      <c r="K4975" s="11">
        <v>3145.8</v>
      </c>
      <c r="L4975" s="12">
        <v>55.81</v>
      </c>
    </row>
    <row r="4976" spans="1:12" x14ac:dyDescent="0.2">
      <c r="A4976" s="9">
        <v>46261</v>
      </c>
      <c r="B4976" t="s">
        <v>599</v>
      </c>
      <c r="C4976" t="s">
        <v>600</v>
      </c>
      <c r="D4976" t="s">
        <v>75</v>
      </c>
      <c r="E4976" t="s">
        <v>660</v>
      </c>
      <c r="F4976" t="s">
        <v>670</v>
      </c>
      <c r="G4976" s="10">
        <v>4</v>
      </c>
      <c r="H4976" s="10">
        <v>69990</v>
      </c>
      <c r="I4976" s="10">
        <v>279960</v>
      </c>
      <c r="J4976" t="s">
        <v>42</v>
      </c>
      <c r="K4976" s="11">
        <v>3145.8</v>
      </c>
      <c r="L4976" s="12">
        <v>88.99</v>
      </c>
    </row>
    <row r="4977" spans="1:12" x14ac:dyDescent="0.2">
      <c r="A4977" s="9">
        <v>46261</v>
      </c>
      <c r="B4977" t="s">
        <v>599</v>
      </c>
      <c r="C4977" t="s">
        <v>600</v>
      </c>
      <c r="D4977" t="s">
        <v>75</v>
      </c>
      <c r="E4977" t="s">
        <v>660</v>
      </c>
      <c r="F4977" t="s">
        <v>661</v>
      </c>
      <c r="G4977" s="10">
        <v>16</v>
      </c>
      <c r="H4977" s="10">
        <v>20462</v>
      </c>
      <c r="I4977" s="10">
        <v>327392</v>
      </c>
      <c r="J4977" t="s">
        <v>42</v>
      </c>
      <c r="K4977" s="11">
        <v>3145.8</v>
      </c>
      <c r="L4977" s="12">
        <v>104.07</v>
      </c>
    </row>
    <row r="4978" spans="1:12" x14ac:dyDescent="0.2">
      <c r="A4978" s="9">
        <v>46261</v>
      </c>
      <c r="B4978" t="s">
        <v>599</v>
      </c>
      <c r="C4978" t="s">
        <v>600</v>
      </c>
      <c r="D4978" t="s">
        <v>75</v>
      </c>
      <c r="E4978" t="s">
        <v>647</v>
      </c>
      <c r="F4978" t="s">
        <v>667</v>
      </c>
      <c r="G4978" s="10">
        <v>51</v>
      </c>
      <c r="H4978" s="10">
        <v>34353</v>
      </c>
      <c r="I4978" s="10">
        <v>1752003</v>
      </c>
      <c r="J4978" t="s">
        <v>42</v>
      </c>
      <c r="K4978" s="11">
        <v>3145.8</v>
      </c>
      <c r="L4978" s="12">
        <v>556.92999999999995</v>
      </c>
    </row>
    <row r="4979" spans="1:12" x14ac:dyDescent="0.2">
      <c r="A4979" s="9">
        <v>46261</v>
      </c>
      <c r="B4979" t="s">
        <v>599</v>
      </c>
      <c r="C4979" t="s">
        <v>600</v>
      </c>
      <c r="D4979" t="s">
        <v>75</v>
      </c>
      <c r="E4979" t="s">
        <v>647</v>
      </c>
      <c r="F4979" t="s">
        <v>667</v>
      </c>
      <c r="G4979" s="10">
        <v>30</v>
      </c>
      <c r="H4979" s="10">
        <v>35769</v>
      </c>
      <c r="I4979" s="10">
        <v>1073070</v>
      </c>
      <c r="J4979" t="s">
        <v>42</v>
      </c>
      <c r="K4979" s="11">
        <v>3145.8</v>
      </c>
      <c r="L4979" s="12">
        <v>341.11</v>
      </c>
    </row>
    <row r="4980" spans="1:12" x14ac:dyDescent="0.2">
      <c r="A4980" s="9">
        <v>46261</v>
      </c>
      <c r="B4980" t="s">
        <v>602</v>
      </c>
      <c r="C4980" t="s">
        <v>603</v>
      </c>
      <c r="D4980" t="s">
        <v>50</v>
      </c>
      <c r="E4980" t="s">
        <v>647</v>
      </c>
      <c r="F4980" t="s">
        <v>667</v>
      </c>
      <c r="G4980" s="10">
        <v>15</v>
      </c>
      <c r="H4980" s="10">
        <v>7193</v>
      </c>
      <c r="I4980" s="10">
        <v>107895</v>
      </c>
      <c r="J4980" t="s">
        <v>51</v>
      </c>
      <c r="K4980" s="11">
        <v>648.20000000000005</v>
      </c>
      <c r="L4980" s="12">
        <v>166.45</v>
      </c>
    </row>
    <row r="4981" spans="1:12" x14ac:dyDescent="0.2">
      <c r="A4981" s="9">
        <v>46261</v>
      </c>
      <c r="B4981" t="s">
        <v>605</v>
      </c>
      <c r="C4981" t="s">
        <v>606</v>
      </c>
      <c r="D4981" t="s">
        <v>68</v>
      </c>
      <c r="E4981" t="s">
        <v>655</v>
      </c>
      <c r="F4981" t="s">
        <v>662</v>
      </c>
      <c r="G4981" s="10">
        <v>8</v>
      </c>
      <c r="H4981" s="10">
        <v>1133</v>
      </c>
      <c r="I4981" s="10">
        <v>9064</v>
      </c>
      <c r="J4981" t="s">
        <v>51</v>
      </c>
      <c r="K4981" s="11">
        <v>648.20000000000005</v>
      </c>
      <c r="L4981" s="12">
        <v>13.98</v>
      </c>
    </row>
    <row r="4982" spans="1:12" x14ac:dyDescent="0.2">
      <c r="A4982" s="9">
        <v>46261</v>
      </c>
      <c r="B4982" t="s">
        <v>617</v>
      </c>
      <c r="C4982" t="s">
        <v>618</v>
      </c>
      <c r="D4982" t="s">
        <v>75</v>
      </c>
      <c r="E4982" t="s">
        <v>660</v>
      </c>
      <c r="F4982" t="s">
        <v>669</v>
      </c>
      <c r="G4982" s="10">
        <v>12</v>
      </c>
      <c r="H4982" s="10">
        <v>12611</v>
      </c>
      <c r="I4982" s="10">
        <v>151332</v>
      </c>
      <c r="J4982" t="s">
        <v>42</v>
      </c>
      <c r="K4982" s="11">
        <v>3145.8</v>
      </c>
      <c r="L4982" s="12">
        <v>48.11</v>
      </c>
    </row>
    <row r="4983" spans="1:12" x14ac:dyDescent="0.2">
      <c r="A4983" s="9">
        <v>46261</v>
      </c>
      <c r="B4983" t="s">
        <v>617</v>
      </c>
      <c r="C4983" t="s">
        <v>618</v>
      </c>
      <c r="D4983" t="s">
        <v>75</v>
      </c>
      <c r="E4983" t="s">
        <v>651</v>
      </c>
      <c r="F4983" t="s">
        <v>657</v>
      </c>
      <c r="G4983" s="10">
        <v>6</v>
      </c>
      <c r="H4983" s="10">
        <v>31362</v>
      </c>
      <c r="I4983" s="10">
        <v>188172</v>
      </c>
      <c r="J4983" t="s">
        <v>42</v>
      </c>
      <c r="K4983" s="11">
        <v>3145.8</v>
      </c>
      <c r="L4983" s="12">
        <v>59.82</v>
      </c>
    </row>
    <row r="4984" spans="1:12" x14ac:dyDescent="0.2">
      <c r="A4984" s="9">
        <v>46261</v>
      </c>
      <c r="B4984" t="s">
        <v>620</v>
      </c>
      <c r="C4984" t="s">
        <v>621</v>
      </c>
      <c r="D4984" t="s">
        <v>50</v>
      </c>
      <c r="E4984" t="s">
        <v>660</v>
      </c>
      <c r="F4984" t="s">
        <v>661</v>
      </c>
      <c r="G4984" s="10">
        <v>4</v>
      </c>
      <c r="H4984" s="10">
        <v>4326</v>
      </c>
      <c r="I4984" s="10">
        <v>17304</v>
      </c>
      <c r="J4984" t="s">
        <v>51</v>
      </c>
      <c r="K4984" s="11">
        <v>648.20000000000005</v>
      </c>
      <c r="L4984" s="12">
        <v>26.7</v>
      </c>
    </row>
    <row r="4985" spans="1:12" x14ac:dyDescent="0.2">
      <c r="A4985" s="9">
        <v>46261</v>
      </c>
      <c r="B4985" t="s">
        <v>623</v>
      </c>
      <c r="C4985" t="s">
        <v>624</v>
      </c>
      <c r="D4985" t="s">
        <v>68</v>
      </c>
      <c r="E4985" t="s">
        <v>649</v>
      </c>
      <c r="F4985" t="s">
        <v>650</v>
      </c>
      <c r="G4985" s="10">
        <v>61</v>
      </c>
      <c r="H4985" s="10">
        <v>19562</v>
      </c>
      <c r="I4985" s="10">
        <v>1193282</v>
      </c>
      <c r="J4985" t="s">
        <v>51</v>
      </c>
      <c r="K4985" s="11">
        <v>648.20000000000005</v>
      </c>
      <c r="L4985" s="12">
        <v>1840.92</v>
      </c>
    </row>
    <row r="4986" spans="1:12" x14ac:dyDescent="0.2">
      <c r="A4986" s="9">
        <v>46261</v>
      </c>
      <c r="B4986" t="s">
        <v>623</v>
      </c>
      <c r="C4986" t="s">
        <v>624</v>
      </c>
      <c r="D4986" t="s">
        <v>68</v>
      </c>
      <c r="E4986" t="s">
        <v>647</v>
      </c>
      <c r="F4986" t="s">
        <v>648</v>
      </c>
      <c r="G4986" s="10">
        <v>15</v>
      </c>
      <c r="H4986" s="10">
        <v>16463</v>
      </c>
      <c r="I4986" s="10">
        <v>246945</v>
      </c>
      <c r="J4986" t="s">
        <v>51</v>
      </c>
      <c r="K4986" s="11">
        <v>648.20000000000005</v>
      </c>
      <c r="L4986" s="12">
        <v>380.97</v>
      </c>
    </row>
    <row r="4987" spans="1:12" x14ac:dyDescent="0.2">
      <c r="A4987" s="9">
        <v>46261</v>
      </c>
      <c r="B4987" t="s">
        <v>626</v>
      </c>
      <c r="C4987" t="s">
        <v>627</v>
      </c>
      <c r="D4987" t="s">
        <v>50</v>
      </c>
      <c r="E4987" t="s">
        <v>653</v>
      </c>
      <c r="F4987" t="s">
        <v>658</v>
      </c>
      <c r="G4987" s="10">
        <v>23</v>
      </c>
      <c r="H4987" s="10">
        <v>2770</v>
      </c>
      <c r="I4987" s="10">
        <v>63710</v>
      </c>
      <c r="J4987" t="s">
        <v>51</v>
      </c>
      <c r="K4987" s="11">
        <v>648.20000000000005</v>
      </c>
      <c r="L4987" s="12">
        <v>98.29</v>
      </c>
    </row>
    <row r="4988" spans="1:12" x14ac:dyDescent="0.2">
      <c r="A4988" s="9">
        <v>46261</v>
      </c>
      <c r="B4988" t="s">
        <v>626</v>
      </c>
      <c r="C4988" t="s">
        <v>627</v>
      </c>
      <c r="D4988" t="s">
        <v>50</v>
      </c>
      <c r="E4988" t="s">
        <v>647</v>
      </c>
      <c r="F4988" t="s">
        <v>648</v>
      </c>
      <c r="G4988" s="10">
        <v>5</v>
      </c>
      <c r="H4988" s="10">
        <v>16598</v>
      </c>
      <c r="I4988" s="10">
        <v>82990</v>
      </c>
      <c r="J4988" t="s">
        <v>51</v>
      </c>
      <c r="K4988" s="11">
        <v>648.20000000000005</v>
      </c>
      <c r="L4988" s="12">
        <v>128.03</v>
      </c>
    </row>
    <row r="4989" spans="1:12" x14ac:dyDescent="0.2">
      <c r="A4989" s="9">
        <v>46261</v>
      </c>
      <c r="B4989" t="s">
        <v>632</v>
      </c>
      <c r="C4989" t="s">
        <v>633</v>
      </c>
      <c r="D4989" t="s">
        <v>68</v>
      </c>
      <c r="E4989" t="s">
        <v>649</v>
      </c>
      <c r="F4989" t="s">
        <v>659</v>
      </c>
      <c r="G4989" s="10">
        <v>1</v>
      </c>
      <c r="H4989" s="10">
        <v>8948</v>
      </c>
      <c r="I4989" s="10">
        <v>8948</v>
      </c>
      <c r="J4989" t="s">
        <v>51</v>
      </c>
      <c r="K4989" s="11">
        <v>648.20000000000005</v>
      </c>
      <c r="L4989" s="12">
        <v>13.8</v>
      </c>
    </row>
    <row r="4990" spans="1:12" x14ac:dyDescent="0.2">
      <c r="A4990" s="9">
        <v>46261</v>
      </c>
      <c r="B4990" t="s">
        <v>632</v>
      </c>
      <c r="C4990" t="s">
        <v>633</v>
      </c>
      <c r="D4990" t="s">
        <v>68</v>
      </c>
      <c r="E4990" t="s">
        <v>660</v>
      </c>
      <c r="F4990" t="s">
        <v>661</v>
      </c>
      <c r="G4990" s="10">
        <v>2</v>
      </c>
      <c r="H4990" s="10">
        <v>4042</v>
      </c>
      <c r="I4990" s="10">
        <v>8084</v>
      </c>
      <c r="J4990" t="s">
        <v>51</v>
      </c>
      <c r="K4990" s="11">
        <v>648.20000000000005</v>
      </c>
      <c r="L4990" s="12">
        <v>12.47</v>
      </c>
    </row>
    <row r="4991" spans="1:12" x14ac:dyDescent="0.2">
      <c r="A4991" s="9">
        <v>46261</v>
      </c>
      <c r="B4991" t="s">
        <v>635</v>
      </c>
      <c r="C4991" t="s">
        <v>636</v>
      </c>
      <c r="D4991" t="s">
        <v>41</v>
      </c>
      <c r="E4991" t="s">
        <v>651</v>
      </c>
      <c r="F4991" t="s">
        <v>652</v>
      </c>
      <c r="G4991" s="10">
        <v>2</v>
      </c>
      <c r="H4991" s="10">
        <v>47028</v>
      </c>
      <c r="I4991" s="10">
        <v>94056</v>
      </c>
      <c r="J4991" t="s">
        <v>42</v>
      </c>
      <c r="K4991" s="11">
        <v>3145.8</v>
      </c>
      <c r="L4991" s="12">
        <v>29.9</v>
      </c>
    </row>
    <row r="4992" spans="1:12" x14ac:dyDescent="0.2">
      <c r="A4992" s="9">
        <v>46262</v>
      </c>
      <c r="B4992" t="s">
        <v>34</v>
      </c>
      <c r="C4992" t="s">
        <v>35</v>
      </c>
      <c r="D4992" t="s">
        <v>36</v>
      </c>
      <c r="E4992" t="s">
        <v>660</v>
      </c>
      <c r="F4992" t="s">
        <v>669</v>
      </c>
      <c r="G4992" s="10">
        <v>32</v>
      </c>
      <c r="H4992" s="10">
        <v>2553</v>
      </c>
      <c r="I4992" s="10">
        <v>81696</v>
      </c>
      <c r="J4992" t="s">
        <v>37</v>
      </c>
      <c r="K4992" s="11">
        <v>648.20000000000005</v>
      </c>
      <c r="L4992" s="12">
        <v>126.04</v>
      </c>
    </row>
    <row r="4993" spans="1:12" x14ac:dyDescent="0.2">
      <c r="A4993" s="9">
        <v>46262</v>
      </c>
      <c r="B4993" t="s">
        <v>53</v>
      </c>
      <c r="C4993" t="s">
        <v>54</v>
      </c>
      <c r="D4993" t="s">
        <v>41</v>
      </c>
      <c r="E4993" t="s">
        <v>660</v>
      </c>
      <c r="F4993" t="s">
        <v>670</v>
      </c>
      <c r="G4993" s="10">
        <v>8</v>
      </c>
      <c r="H4993" s="10">
        <v>72068</v>
      </c>
      <c r="I4993" s="10">
        <v>576544</v>
      </c>
      <c r="J4993" t="s">
        <v>42</v>
      </c>
      <c r="K4993" s="11">
        <v>3145.8</v>
      </c>
      <c r="L4993" s="12">
        <v>183.27</v>
      </c>
    </row>
    <row r="4994" spans="1:12" x14ac:dyDescent="0.2">
      <c r="A4994" s="9">
        <v>46262</v>
      </c>
      <c r="B4994" t="s">
        <v>56</v>
      </c>
      <c r="C4994" t="s">
        <v>57</v>
      </c>
      <c r="D4994" t="s">
        <v>46</v>
      </c>
      <c r="E4994" t="s">
        <v>647</v>
      </c>
      <c r="F4994" t="s">
        <v>648</v>
      </c>
      <c r="G4994" s="10">
        <v>14</v>
      </c>
      <c r="H4994" s="10">
        <v>15905</v>
      </c>
      <c r="I4994" s="10">
        <v>222670</v>
      </c>
      <c r="J4994" t="s">
        <v>37</v>
      </c>
      <c r="K4994" s="11">
        <v>648.20000000000005</v>
      </c>
      <c r="L4994" s="12">
        <v>343.52</v>
      </c>
    </row>
    <row r="4995" spans="1:12" x14ac:dyDescent="0.2">
      <c r="A4995" s="9">
        <v>46262</v>
      </c>
      <c r="B4995" t="s">
        <v>56</v>
      </c>
      <c r="C4995" t="s">
        <v>57</v>
      </c>
      <c r="D4995" t="s">
        <v>46</v>
      </c>
      <c r="E4995" t="s">
        <v>647</v>
      </c>
      <c r="F4995" t="s">
        <v>648</v>
      </c>
      <c r="G4995" s="10">
        <v>2</v>
      </c>
      <c r="H4995" s="10">
        <v>16454</v>
      </c>
      <c r="I4995" s="10">
        <v>32908</v>
      </c>
      <c r="J4995" t="s">
        <v>37</v>
      </c>
      <c r="K4995" s="11">
        <v>648.20000000000005</v>
      </c>
      <c r="L4995" s="12">
        <v>50.77</v>
      </c>
    </row>
    <row r="4996" spans="1:12" x14ac:dyDescent="0.2">
      <c r="A4996" s="9">
        <v>46262</v>
      </c>
      <c r="B4996" t="s">
        <v>63</v>
      </c>
      <c r="C4996" t="s">
        <v>64</v>
      </c>
      <c r="D4996" t="s">
        <v>50</v>
      </c>
      <c r="E4996" t="s">
        <v>651</v>
      </c>
      <c r="F4996" t="s">
        <v>652</v>
      </c>
      <c r="G4996" s="10">
        <v>2</v>
      </c>
      <c r="H4996" s="10">
        <v>9696</v>
      </c>
      <c r="I4996" s="10">
        <v>19392</v>
      </c>
      <c r="J4996" t="s">
        <v>51</v>
      </c>
      <c r="K4996" s="11">
        <v>648.20000000000005</v>
      </c>
      <c r="L4996" s="12">
        <v>29.92</v>
      </c>
    </row>
    <row r="4997" spans="1:12" x14ac:dyDescent="0.2">
      <c r="A4997" s="9">
        <v>46262</v>
      </c>
      <c r="B4997" t="s">
        <v>70</v>
      </c>
      <c r="C4997" t="s">
        <v>71</v>
      </c>
      <c r="D4997" t="s">
        <v>46</v>
      </c>
      <c r="E4997" t="s">
        <v>649</v>
      </c>
      <c r="F4997" t="s">
        <v>659</v>
      </c>
      <c r="G4997" s="10">
        <v>1</v>
      </c>
      <c r="H4997" s="10">
        <v>8626</v>
      </c>
      <c r="I4997" s="10">
        <v>8626</v>
      </c>
      <c r="J4997" t="s">
        <v>37</v>
      </c>
      <c r="K4997" s="11">
        <v>648.20000000000005</v>
      </c>
      <c r="L4997" s="12">
        <v>13.31</v>
      </c>
    </row>
    <row r="4998" spans="1:12" x14ac:dyDescent="0.2">
      <c r="A4998" s="9">
        <v>46262</v>
      </c>
      <c r="B4998" t="s">
        <v>70</v>
      </c>
      <c r="C4998" t="s">
        <v>71</v>
      </c>
      <c r="D4998" t="s">
        <v>46</v>
      </c>
      <c r="E4998" t="s">
        <v>660</v>
      </c>
      <c r="F4998" t="s">
        <v>669</v>
      </c>
      <c r="G4998" s="10">
        <v>23</v>
      </c>
      <c r="H4998" s="10">
        <v>2688</v>
      </c>
      <c r="I4998" s="10">
        <v>61824</v>
      </c>
      <c r="J4998" t="s">
        <v>37</v>
      </c>
      <c r="K4998" s="11">
        <v>648.20000000000005</v>
      </c>
      <c r="L4998" s="12">
        <v>95.38</v>
      </c>
    </row>
    <row r="4999" spans="1:12" x14ac:dyDescent="0.2">
      <c r="A4999" s="9">
        <v>46262</v>
      </c>
      <c r="B4999" t="s">
        <v>73</v>
      </c>
      <c r="C4999" t="s">
        <v>74</v>
      </c>
      <c r="D4999" t="s">
        <v>75</v>
      </c>
      <c r="E4999" t="s">
        <v>653</v>
      </c>
      <c r="F4999" t="s">
        <v>666</v>
      </c>
      <c r="G4999" s="10">
        <v>24</v>
      </c>
      <c r="H4999" s="10">
        <v>7230</v>
      </c>
      <c r="I4999" s="10">
        <v>173520</v>
      </c>
      <c r="J4999" t="s">
        <v>42</v>
      </c>
      <c r="K4999" s="11">
        <v>3145.8</v>
      </c>
      <c r="L4999" s="12">
        <v>55.16</v>
      </c>
    </row>
    <row r="5000" spans="1:12" x14ac:dyDescent="0.2">
      <c r="A5000" s="9">
        <v>46262</v>
      </c>
      <c r="B5000" t="s">
        <v>73</v>
      </c>
      <c r="C5000" t="s">
        <v>74</v>
      </c>
      <c r="D5000" t="s">
        <v>75</v>
      </c>
      <c r="E5000" t="s">
        <v>649</v>
      </c>
      <c r="F5000" t="s">
        <v>663</v>
      </c>
      <c r="G5000" s="10">
        <v>89</v>
      </c>
      <c r="H5000" s="10">
        <v>10182</v>
      </c>
      <c r="I5000" s="10">
        <v>906198</v>
      </c>
      <c r="J5000" t="s">
        <v>42</v>
      </c>
      <c r="K5000" s="11">
        <v>3145.8</v>
      </c>
      <c r="L5000" s="12">
        <v>288.07</v>
      </c>
    </row>
    <row r="5001" spans="1:12" x14ac:dyDescent="0.2">
      <c r="A5001" s="9">
        <v>46262</v>
      </c>
      <c r="B5001" t="s">
        <v>73</v>
      </c>
      <c r="C5001" t="s">
        <v>74</v>
      </c>
      <c r="D5001" t="s">
        <v>75</v>
      </c>
      <c r="E5001" t="s">
        <v>655</v>
      </c>
      <c r="F5001" t="s">
        <v>662</v>
      </c>
      <c r="G5001" s="10">
        <v>36</v>
      </c>
      <c r="H5001" s="10">
        <v>5545</v>
      </c>
      <c r="I5001" s="10">
        <v>199620</v>
      </c>
      <c r="J5001" t="s">
        <v>42</v>
      </c>
      <c r="K5001" s="11">
        <v>3145.8</v>
      </c>
      <c r="L5001" s="12">
        <v>63.46</v>
      </c>
    </row>
    <row r="5002" spans="1:12" x14ac:dyDescent="0.2">
      <c r="A5002" s="9">
        <v>46262</v>
      </c>
      <c r="B5002" t="s">
        <v>73</v>
      </c>
      <c r="C5002" t="s">
        <v>74</v>
      </c>
      <c r="D5002" t="s">
        <v>75</v>
      </c>
      <c r="E5002" t="s">
        <v>660</v>
      </c>
      <c r="F5002" t="s">
        <v>670</v>
      </c>
      <c r="G5002" s="10">
        <v>23</v>
      </c>
      <c r="H5002" s="10">
        <v>70090</v>
      </c>
      <c r="I5002" s="10">
        <v>1612070</v>
      </c>
      <c r="J5002" t="s">
        <v>42</v>
      </c>
      <c r="K5002" s="11">
        <v>3145.8</v>
      </c>
      <c r="L5002" s="12">
        <v>512.45000000000005</v>
      </c>
    </row>
    <row r="5003" spans="1:12" x14ac:dyDescent="0.2">
      <c r="A5003" s="9">
        <v>46262</v>
      </c>
      <c r="B5003" t="s">
        <v>77</v>
      </c>
      <c r="C5003" t="s">
        <v>78</v>
      </c>
      <c r="D5003" t="s">
        <v>50</v>
      </c>
      <c r="E5003" t="s">
        <v>647</v>
      </c>
      <c r="F5003" t="s">
        <v>667</v>
      </c>
      <c r="G5003" s="10">
        <v>29</v>
      </c>
      <c r="H5003" s="10">
        <v>7512</v>
      </c>
      <c r="I5003" s="10">
        <v>217848</v>
      </c>
      <c r="J5003" t="s">
        <v>51</v>
      </c>
      <c r="K5003" s="11">
        <v>648.20000000000005</v>
      </c>
      <c r="L5003" s="12">
        <v>336.08</v>
      </c>
    </row>
    <row r="5004" spans="1:12" x14ac:dyDescent="0.2">
      <c r="A5004" s="9">
        <v>46262</v>
      </c>
      <c r="B5004" t="s">
        <v>77</v>
      </c>
      <c r="C5004" t="s">
        <v>78</v>
      </c>
      <c r="D5004" t="s">
        <v>50</v>
      </c>
      <c r="E5004" t="s">
        <v>651</v>
      </c>
      <c r="F5004" t="s">
        <v>664</v>
      </c>
      <c r="G5004" s="10">
        <v>8</v>
      </c>
      <c r="H5004" s="10">
        <v>11816</v>
      </c>
      <c r="I5004" s="10">
        <v>94528</v>
      </c>
      <c r="J5004" t="s">
        <v>51</v>
      </c>
      <c r="K5004" s="11">
        <v>648.20000000000005</v>
      </c>
      <c r="L5004" s="12">
        <v>145.83000000000001</v>
      </c>
    </row>
    <row r="5005" spans="1:12" x14ac:dyDescent="0.2">
      <c r="A5005" s="9">
        <v>46262</v>
      </c>
      <c r="B5005" t="s">
        <v>80</v>
      </c>
      <c r="C5005" t="s">
        <v>81</v>
      </c>
      <c r="D5005" t="s">
        <v>46</v>
      </c>
      <c r="E5005" t="s">
        <v>647</v>
      </c>
      <c r="F5005" t="s">
        <v>668</v>
      </c>
      <c r="G5005" s="10">
        <v>6</v>
      </c>
      <c r="H5005" s="10">
        <v>24715</v>
      </c>
      <c r="I5005" s="10">
        <v>148290</v>
      </c>
      <c r="J5005" t="s">
        <v>37</v>
      </c>
      <c r="K5005" s="11">
        <v>648.20000000000005</v>
      </c>
      <c r="L5005" s="12">
        <v>228.77</v>
      </c>
    </row>
    <row r="5006" spans="1:12" x14ac:dyDescent="0.2">
      <c r="A5006" s="9">
        <v>46262</v>
      </c>
      <c r="B5006" t="s">
        <v>86</v>
      </c>
      <c r="C5006" t="s">
        <v>87</v>
      </c>
      <c r="D5006" t="s">
        <v>50</v>
      </c>
      <c r="E5006" t="s">
        <v>651</v>
      </c>
      <c r="F5006" t="s">
        <v>652</v>
      </c>
      <c r="G5006" s="10">
        <v>38</v>
      </c>
      <c r="H5006" s="10">
        <v>9352</v>
      </c>
      <c r="I5006" s="10">
        <v>355376</v>
      </c>
      <c r="J5006" t="s">
        <v>51</v>
      </c>
      <c r="K5006" s="11">
        <v>648.20000000000005</v>
      </c>
      <c r="L5006" s="12">
        <v>548.25</v>
      </c>
    </row>
    <row r="5007" spans="1:12" x14ac:dyDescent="0.2">
      <c r="A5007" s="9">
        <v>46262</v>
      </c>
      <c r="B5007" t="s">
        <v>86</v>
      </c>
      <c r="C5007" t="s">
        <v>87</v>
      </c>
      <c r="D5007" t="s">
        <v>50</v>
      </c>
      <c r="E5007" t="s">
        <v>655</v>
      </c>
      <c r="F5007" t="s">
        <v>662</v>
      </c>
      <c r="G5007" s="10">
        <v>6</v>
      </c>
      <c r="H5007" s="10">
        <v>1157</v>
      </c>
      <c r="I5007" s="10">
        <v>6942</v>
      </c>
      <c r="J5007" t="s">
        <v>51</v>
      </c>
      <c r="K5007" s="11">
        <v>648.20000000000005</v>
      </c>
      <c r="L5007" s="12">
        <v>10.71</v>
      </c>
    </row>
    <row r="5008" spans="1:12" x14ac:dyDescent="0.2">
      <c r="A5008" s="9">
        <v>46262</v>
      </c>
      <c r="B5008" t="s">
        <v>86</v>
      </c>
      <c r="C5008" t="s">
        <v>87</v>
      </c>
      <c r="D5008" t="s">
        <v>50</v>
      </c>
      <c r="E5008" t="s">
        <v>655</v>
      </c>
      <c r="F5008" t="s">
        <v>656</v>
      </c>
      <c r="G5008" s="10">
        <v>18</v>
      </c>
      <c r="H5008" s="10">
        <v>578</v>
      </c>
      <c r="I5008" s="10">
        <v>10404</v>
      </c>
      <c r="J5008" t="s">
        <v>51</v>
      </c>
      <c r="K5008" s="11">
        <v>648.20000000000005</v>
      </c>
      <c r="L5008" s="12">
        <v>16.05</v>
      </c>
    </row>
    <row r="5009" spans="1:12" x14ac:dyDescent="0.2">
      <c r="A5009" s="9">
        <v>46262</v>
      </c>
      <c r="B5009" t="s">
        <v>89</v>
      </c>
      <c r="C5009" t="s">
        <v>90</v>
      </c>
      <c r="D5009" t="s">
        <v>68</v>
      </c>
      <c r="E5009" t="s">
        <v>647</v>
      </c>
      <c r="F5009" t="s">
        <v>668</v>
      </c>
      <c r="G5009" s="10">
        <v>11</v>
      </c>
      <c r="H5009" s="10">
        <v>25591</v>
      </c>
      <c r="I5009" s="10">
        <v>281501</v>
      </c>
      <c r="J5009" t="s">
        <v>51</v>
      </c>
      <c r="K5009" s="11">
        <v>648.20000000000005</v>
      </c>
      <c r="L5009" s="12">
        <v>434.28</v>
      </c>
    </row>
    <row r="5010" spans="1:12" x14ac:dyDescent="0.2">
      <c r="A5010" s="9">
        <v>46262</v>
      </c>
      <c r="B5010" t="s">
        <v>105</v>
      </c>
      <c r="C5010" t="s">
        <v>106</v>
      </c>
      <c r="D5010" t="s">
        <v>41</v>
      </c>
      <c r="E5010" t="s">
        <v>653</v>
      </c>
      <c r="F5010" t="s">
        <v>658</v>
      </c>
      <c r="G5010" s="10">
        <v>1</v>
      </c>
      <c r="H5010" s="10">
        <v>12687</v>
      </c>
      <c r="I5010" s="10">
        <v>12687</v>
      </c>
      <c r="J5010" t="s">
        <v>42</v>
      </c>
      <c r="K5010" s="11">
        <v>3145.8</v>
      </c>
      <c r="L5010" s="12">
        <v>4.03</v>
      </c>
    </row>
    <row r="5011" spans="1:12" x14ac:dyDescent="0.2">
      <c r="A5011" s="9">
        <v>46262</v>
      </c>
      <c r="B5011" t="s">
        <v>108</v>
      </c>
      <c r="C5011" t="s">
        <v>109</v>
      </c>
      <c r="D5011" t="s">
        <v>36</v>
      </c>
      <c r="E5011" t="s">
        <v>660</v>
      </c>
      <c r="F5011" t="s">
        <v>669</v>
      </c>
      <c r="G5011" s="10">
        <v>32</v>
      </c>
      <c r="H5011" s="10">
        <v>2613</v>
      </c>
      <c r="I5011" s="10">
        <v>83616</v>
      </c>
      <c r="J5011" t="s">
        <v>37</v>
      </c>
      <c r="K5011" s="11">
        <v>648.20000000000005</v>
      </c>
      <c r="L5011" s="12">
        <v>129</v>
      </c>
    </row>
    <row r="5012" spans="1:12" x14ac:dyDescent="0.2">
      <c r="A5012" s="9">
        <v>46262</v>
      </c>
      <c r="B5012" t="s">
        <v>108</v>
      </c>
      <c r="C5012" t="s">
        <v>109</v>
      </c>
      <c r="D5012" t="s">
        <v>36</v>
      </c>
      <c r="E5012" t="s">
        <v>647</v>
      </c>
      <c r="F5012" t="s">
        <v>667</v>
      </c>
      <c r="G5012" s="10">
        <v>27</v>
      </c>
      <c r="H5012" s="10">
        <v>7133</v>
      </c>
      <c r="I5012" s="10">
        <v>192591</v>
      </c>
      <c r="J5012" t="s">
        <v>37</v>
      </c>
      <c r="K5012" s="11">
        <v>648.20000000000005</v>
      </c>
      <c r="L5012" s="12">
        <v>297.12</v>
      </c>
    </row>
    <row r="5013" spans="1:12" x14ac:dyDescent="0.2">
      <c r="A5013" s="9">
        <v>46262</v>
      </c>
      <c r="B5013" t="s">
        <v>118</v>
      </c>
      <c r="C5013" t="s">
        <v>119</v>
      </c>
      <c r="D5013" t="s">
        <v>36</v>
      </c>
      <c r="E5013" t="s">
        <v>660</v>
      </c>
      <c r="F5013" t="s">
        <v>669</v>
      </c>
      <c r="G5013" s="10">
        <v>70</v>
      </c>
      <c r="H5013" s="10">
        <v>2606</v>
      </c>
      <c r="I5013" s="10">
        <v>182420</v>
      </c>
      <c r="J5013" t="s">
        <v>37</v>
      </c>
      <c r="K5013" s="11">
        <v>648.20000000000005</v>
      </c>
      <c r="L5013" s="12">
        <v>281.43</v>
      </c>
    </row>
    <row r="5014" spans="1:12" x14ac:dyDescent="0.2">
      <c r="A5014" s="9">
        <v>46262</v>
      </c>
      <c r="B5014" t="s">
        <v>118</v>
      </c>
      <c r="C5014" t="s">
        <v>119</v>
      </c>
      <c r="D5014" t="s">
        <v>36</v>
      </c>
      <c r="E5014" t="s">
        <v>647</v>
      </c>
      <c r="F5014" t="s">
        <v>648</v>
      </c>
      <c r="G5014" s="10">
        <v>71</v>
      </c>
      <c r="H5014" s="10">
        <v>16265</v>
      </c>
      <c r="I5014" s="10">
        <v>1154815</v>
      </c>
      <c r="J5014" t="s">
        <v>37</v>
      </c>
      <c r="K5014" s="11">
        <v>648.20000000000005</v>
      </c>
      <c r="L5014" s="12">
        <v>1781.57</v>
      </c>
    </row>
    <row r="5015" spans="1:12" x14ac:dyDescent="0.2">
      <c r="A5015" s="9">
        <v>46262</v>
      </c>
      <c r="B5015" t="s">
        <v>124</v>
      </c>
      <c r="C5015" t="s">
        <v>125</v>
      </c>
      <c r="D5015" t="s">
        <v>75</v>
      </c>
      <c r="E5015" t="s">
        <v>649</v>
      </c>
      <c r="F5015" t="s">
        <v>659</v>
      </c>
      <c r="G5015" s="10">
        <v>9</v>
      </c>
      <c r="H5015" s="10">
        <v>44274</v>
      </c>
      <c r="I5015" s="10">
        <v>398466</v>
      </c>
      <c r="J5015" t="s">
        <v>42</v>
      </c>
      <c r="K5015" s="11">
        <v>3145.8</v>
      </c>
      <c r="L5015" s="12">
        <v>126.67</v>
      </c>
    </row>
    <row r="5016" spans="1:12" x14ac:dyDescent="0.2">
      <c r="A5016" s="9">
        <v>46262</v>
      </c>
      <c r="B5016" t="s">
        <v>124</v>
      </c>
      <c r="C5016" t="s">
        <v>125</v>
      </c>
      <c r="D5016" t="s">
        <v>75</v>
      </c>
      <c r="E5016" t="s">
        <v>649</v>
      </c>
      <c r="F5016" t="s">
        <v>659</v>
      </c>
      <c r="G5016" s="10">
        <v>6</v>
      </c>
      <c r="H5016" s="10">
        <v>44003</v>
      </c>
      <c r="I5016" s="10">
        <v>264018</v>
      </c>
      <c r="J5016" t="s">
        <v>42</v>
      </c>
      <c r="K5016" s="11">
        <v>3145.8</v>
      </c>
      <c r="L5016" s="12">
        <v>83.93</v>
      </c>
    </row>
    <row r="5017" spans="1:12" x14ac:dyDescent="0.2">
      <c r="A5017" s="9">
        <v>46262</v>
      </c>
      <c r="B5017" t="s">
        <v>124</v>
      </c>
      <c r="C5017" t="s">
        <v>125</v>
      </c>
      <c r="D5017" t="s">
        <v>75</v>
      </c>
      <c r="E5017" t="s">
        <v>660</v>
      </c>
      <c r="F5017" t="s">
        <v>670</v>
      </c>
      <c r="G5017" s="10">
        <v>24</v>
      </c>
      <c r="H5017" s="10">
        <v>69392</v>
      </c>
      <c r="I5017" s="10">
        <v>1665408</v>
      </c>
      <c r="J5017" t="s">
        <v>42</v>
      </c>
      <c r="K5017" s="11">
        <v>3145.8</v>
      </c>
      <c r="L5017" s="12">
        <v>529.41</v>
      </c>
    </row>
    <row r="5018" spans="1:12" x14ac:dyDescent="0.2">
      <c r="A5018" s="9">
        <v>46262</v>
      </c>
      <c r="B5018" t="s">
        <v>124</v>
      </c>
      <c r="C5018" t="s">
        <v>125</v>
      </c>
      <c r="D5018" t="s">
        <v>75</v>
      </c>
      <c r="E5018" t="s">
        <v>653</v>
      </c>
      <c r="F5018" t="s">
        <v>654</v>
      </c>
      <c r="G5018" s="10">
        <v>32</v>
      </c>
      <c r="H5018" s="10">
        <v>26660</v>
      </c>
      <c r="I5018" s="10">
        <v>853120</v>
      </c>
      <c r="J5018" t="s">
        <v>42</v>
      </c>
      <c r="K5018" s="11">
        <v>3145.8</v>
      </c>
      <c r="L5018" s="12">
        <v>271.19</v>
      </c>
    </row>
    <row r="5019" spans="1:12" x14ac:dyDescent="0.2">
      <c r="A5019" s="9">
        <v>46262</v>
      </c>
      <c r="B5019" t="s">
        <v>124</v>
      </c>
      <c r="C5019" t="s">
        <v>125</v>
      </c>
      <c r="D5019" t="s">
        <v>75</v>
      </c>
      <c r="E5019" t="s">
        <v>651</v>
      </c>
      <c r="F5019" t="s">
        <v>657</v>
      </c>
      <c r="G5019" s="10">
        <v>9</v>
      </c>
      <c r="H5019" s="10">
        <v>31838</v>
      </c>
      <c r="I5019" s="10">
        <v>286542</v>
      </c>
      <c r="J5019" t="s">
        <v>42</v>
      </c>
      <c r="K5019" s="11">
        <v>3145.8</v>
      </c>
      <c r="L5019" s="12">
        <v>91.09</v>
      </c>
    </row>
    <row r="5020" spans="1:12" x14ac:dyDescent="0.2">
      <c r="A5020" s="9">
        <v>46262</v>
      </c>
      <c r="B5020" t="s">
        <v>124</v>
      </c>
      <c r="C5020" t="s">
        <v>125</v>
      </c>
      <c r="D5020" t="s">
        <v>75</v>
      </c>
      <c r="E5020" t="s">
        <v>651</v>
      </c>
      <c r="F5020" t="s">
        <v>664</v>
      </c>
      <c r="G5020" s="10">
        <v>25</v>
      </c>
      <c r="H5020" s="10">
        <v>59101</v>
      </c>
      <c r="I5020" s="10">
        <v>1477525</v>
      </c>
      <c r="J5020" t="s">
        <v>42</v>
      </c>
      <c r="K5020" s="11">
        <v>3145.8</v>
      </c>
      <c r="L5020" s="12">
        <v>469.68</v>
      </c>
    </row>
    <row r="5021" spans="1:12" x14ac:dyDescent="0.2">
      <c r="A5021" s="9">
        <v>46262</v>
      </c>
      <c r="B5021" t="s">
        <v>133</v>
      </c>
      <c r="C5021" t="s">
        <v>134</v>
      </c>
      <c r="D5021" t="s">
        <v>41</v>
      </c>
      <c r="E5021" t="s">
        <v>651</v>
      </c>
      <c r="F5021" t="s">
        <v>652</v>
      </c>
      <c r="G5021" s="10">
        <v>4</v>
      </c>
      <c r="H5021" s="10">
        <v>46223</v>
      </c>
      <c r="I5021" s="10">
        <v>184892</v>
      </c>
      <c r="J5021" t="s">
        <v>42</v>
      </c>
      <c r="K5021" s="11">
        <v>3145.8</v>
      </c>
      <c r="L5021" s="12">
        <v>58.77</v>
      </c>
    </row>
    <row r="5022" spans="1:12" x14ac:dyDescent="0.2">
      <c r="A5022" s="9">
        <v>46262</v>
      </c>
      <c r="B5022" t="s">
        <v>133</v>
      </c>
      <c r="C5022" t="s">
        <v>134</v>
      </c>
      <c r="D5022" t="s">
        <v>41</v>
      </c>
      <c r="E5022" t="s">
        <v>649</v>
      </c>
      <c r="F5022" t="s">
        <v>650</v>
      </c>
      <c r="G5022" s="10">
        <v>16</v>
      </c>
      <c r="H5022" s="10">
        <v>92004</v>
      </c>
      <c r="I5022" s="10">
        <v>1472064</v>
      </c>
      <c r="J5022" t="s">
        <v>42</v>
      </c>
      <c r="K5022" s="11">
        <v>3145.8</v>
      </c>
      <c r="L5022" s="12">
        <v>467.95</v>
      </c>
    </row>
    <row r="5023" spans="1:12" x14ac:dyDescent="0.2">
      <c r="A5023" s="9">
        <v>46262</v>
      </c>
      <c r="B5023" t="s">
        <v>142</v>
      </c>
      <c r="C5023" t="s">
        <v>143</v>
      </c>
      <c r="D5023" t="s">
        <v>75</v>
      </c>
      <c r="E5023" t="s">
        <v>660</v>
      </c>
      <c r="F5023" t="s">
        <v>661</v>
      </c>
      <c r="G5023" s="10">
        <v>19</v>
      </c>
      <c r="H5023" s="10">
        <v>20676</v>
      </c>
      <c r="I5023" s="10">
        <v>392844</v>
      </c>
      <c r="J5023" t="s">
        <v>42</v>
      </c>
      <c r="K5023" s="11">
        <v>3145.8</v>
      </c>
      <c r="L5023" s="12">
        <v>124.88</v>
      </c>
    </row>
    <row r="5024" spans="1:12" x14ac:dyDescent="0.2">
      <c r="A5024" s="9">
        <v>46262</v>
      </c>
      <c r="B5024" t="s">
        <v>142</v>
      </c>
      <c r="C5024" t="s">
        <v>143</v>
      </c>
      <c r="D5024" t="s">
        <v>75</v>
      </c>
      <c r="E5024" t="s">
        <v>653</v>
      </c>
      <c r="F5024" t="s">
        <v>654</v>
      </c>
      <c r="G5024" s="10">
        <v>43</v>
      </c>
      <c r="H5024" s="10">
        <v>28381</v>
      </c>
      <c r="I5024" s="10">
        <v>1220383</v>
      </c>
      <c r="J5024" t="s">
        <v>42</v>
      </c>
      <c r="K5024" s="11">
        <v>3145.8</v>
      </c>
      <c r="L5024" s="12">
        <v>387.94</v>
      </c>
    </row>
    <row r="5025" spans="1:12" x14ac:dyDescent="0.2">
      <c r="A5025" s="9">
        <v>46262</v>
      </c>
      <c r="B5025" t="s">
        <v>142</v>
      </c>
      <c r="C5025" t="s">
        <v>143</v>
      </c>
      <c r="D5025" t="s">
        <v>75</v>
      </c>
      <c r="E5025" t="s">
        <v>647</v>
      </c>
      <c r="F5025" t="s">
        <v>668</v>
      </c>
      <c r="G5025" s="10">
        <v>40</v>
      </c>
      <c r="H5025" s="10">
        <v>126356</v>
      </c>
      <c r="I5025" s="10">
        <v>5054240</v>
      </c>
      <c r="J5025" t="s">
        <v>42</v>
      </c>
      <c r="K5025" s="11">
        <v>3145.8</v>
      </c>
      <c r="L5025" s="12">
        <v>1606.66</v>
      </c>
    </row>
    <row r="5026" spans="1:12" x14ac:dyDescent="0.2">
      <c r="A5026" s="9">
        <v>46262</v>
      </c>
      <c r="B5026" t="s">
        <v>142</v>
      </c>
      <c r="C5026" t="s">
        <v>143</v>
      </c>
      <c r="D5026" t="s">
        <v>75</v>
      </c>
      <c r="E5026" t="s">
        <v>647</v>
      </c>
      <c r="F5026" t="s">
        <v>667</v>
      </c>
      <c r="G5026" s="10">
        <v>53</v>
      </c>
      <c r="H5026" s="10">
        <v>34410</v>
      </c>
      <c r="I5026" s="10">
        <v>1823730</v>
      </c>
      <c r="J5026" t="s">
        <v>42</v>
      </c>
      <c r="K5026" s="11">
        <v>3145.8</v>
      </c>
      <c r="L5026" s="12">
        <v>579.73</v>
      </c>
    </row>
    <row r="5027" spans="1:12" x14ac:dyDescent="0.2">
      <c r="A5027" s="9">
        <v>46262</v>
      </c>
      <c r="B5027" t="s">
        <v>142</v>
      </c>
      <c r="C5027" t="s">
        <v>143</v>
      </c>
      <c r="D5027" t="s">
        <v>75</v>
      </c>
      <c r="E5027" t="s">
        <v>655</v>
      </c>
      <c r="F5027" t="s">
        <v>656</v>
      </c>
      <c r="G5027" s="10">
        <v>5</v>
      </c>
      <c r="H5027" s="10">
        <v>2776</v>
      </c>
      <c r="I5027" s="10">
        <v>13880</v>
      </c>
      <c r="J5027" t="s">
        <v>42</v>
      </c>
      <c r="K5027" s="11">
        <v>3145.8</v>
      </c>
      <c r="L5027" s="12">
        <v>4.41</v>
      </c>
    </row>
    <row r="5028" spans="1:12" x14ac:dyDescent="0.2">
      <c r="A5028" s="9">
        <v>46262</v>
      </c>
      <c r="B5028" t="s">
        <v>149</v>
      </c>
      <c r="C5028" t="s">
        <v>150</v>
      </c>
      <c r="D5028" t="s">
        <v>50</v>
      </c>
      <c r="E5028" t="s">
        <v>647</v>
      </c>
      <c r="F5028" t="s">
        <v>668</v>
      </c>
      <c r="G5028" s="10">
        <v>11</v>
      </c>
      <c r="H5028" s="10">
        <v>24736</v>
      </c>
      <c r="I5028" s="10">
        <v>272096</v>
      </c>
      <c r="J5028" t="s">
        <v>51</v>
      </c>
      <c r="K5028" s="11">
        <v>648.20000000000005</v>
      </c>
      <c r="L5028" s="12">
        <v>419.77</v>
      </c>
    </row>
    <row r="5029" spans="1:12" x14ac:dyDescent="0.2">
      <c r="A5029" s="9">
        <v>46262</v>
      </c>
      <c r="B5029" t="s">
        <v>152</v>
      </c>
      <c r="C5029" t="s">
        <v>153</v>
      </c>
      <c r="D5029" t="s">
        <v>75</v>
      </c>
      <c r="E5029" t="s">
        <v>660</v>
      </c>
      <c r="F5029" t="s">
        <v>661</v>
      </c>
      <c r="G5029" s="10">
        <v>19</v>
      </c>
      <c r="H5029" s="10">
        <v>19606</v>
      </c>
      <c r="I5029" s="10">
        <v>372514</v>
      </c>
      <c r="J5029" t="s">
        <v>42</v>
      </c>
      <c r="K5029" s="11">
        <v>3145.8</v>
      </c>
      <c r="L5029" s="12">
        <v>118.42</v>
      </c>
    </row>
    <row r="5030" spans="1:12" x14ac:dyDescent="0.2">
      <c r="A5030" s="9">
        <v>46262</v>
      </c>
      <c r="B5030" t="s">
        <v>158</v>
      </c>
      <c r="C5030" t="s">
        <v>159</v>
      </c>
      <c r="D5030" t="s">
        <v>41</v>
      </c>
      <c r="E5030" t="s">
        <v>649</v>
      </c>
      <c r="F5030" t="s">
        <v>663</v>
      </c>
      <c r="G5030" s="10">
        <v>10</v>
      </c>
      <c r="H5030" s="10">
        <v>9735</v>
      </c>
      <c r="I5030" s="10">
        <v>97350</v>
      </c>
      <c r="J5030" t="s">
        <v>42</v>
      </c>
      <c r="K5030" s="11">
        <v>3145.8</v>
      </c>
      <c r="L5030" s="12">
        <v>30.95</v>
      </c>
    </row>
    <row r="5031" spans="1:12" x14ac:dyDescent="0.2">
      <c r="A5031" s="9">
        <v>46262</v>
      </c>
      <c r="B5031" t="s">
        <v>163</v>
      </c>
      <c r="C5031" t="s">
        <v>164</v>
      </c>
      <c r="D5031" t="s">
        <v>41</v>
      </c>
      <c r="E5031" t="s">
        <v>647</v>
      </c>
      <c r="F5031" t="s">
        <v>648</v>
      </c>
      <c r="G5031" s="10">
        <v>12</v>
      </c>
      <c r="H5031" s="10">
        <v>77258</v>
      </c>
      <c r="I5031" s="10">
        <v>927096</v>
      </c>
      <c r="J5031" t="s">
        <v>42</v>
      </c>
      <c r="K5031" s="11">
        <v>3145.8</v>
      </c>
      <c r="L5031" s="12">
        <v>294.70999999999998</v>
      </c>
    </row>
    <row r="5032" spans="1:12" x14ac:dyDescent="0.2">
      <c r="A5032" s="9">
        <v>46262</v>
      </c>
      <c r="B5032" t="s">
        <v>166</v>
      </c>
      <c r="C5032" t="s">
        <v>167</v>
      </c>
      <c r="D5032" t="s">
        <v>46</v>
      </c>
      <c r="E5032" t="s">
        <v>647</v>
      </c>
      <c r="F5032" t="s">
        <v>668</v>
      </c>
      <c r="G5032" s="10">
        <v>2</v>
      </c>
      <c r="H5032" s="10">
        <v>25893</v>
      </c>
      <c r="I5032" s="10">
        <v>51786</v>
      </c>
      <c r="J5032" t="s">
        <v>37</v>
      </c>
      <c r="K5032" s="11">
        <v>648.20000000000005</v>
      </c>
      <c r="L5032" s="12">
        <v>79.89</v>
      </c>
    </row>
    <row r="5033" spans="1:12" x14ac:dyDescent="0.2">
      <c r="A5033" s="9">
        <v>46262</v>
      </c>
      <c r="B5033" t="s">
        <v>169</v>
      </c>
      <c r="C5033" t="s">
        <v>170</v>
      </c>
      <c r="D5033" t="s">
        <v>41</v>
      </c>
      <c r="E5033" t="s">
        <v>649</v>
      </c>
      <c r="F5033" t="s">
        <v>650</v>
      </c>
      <c r="G5033" s="10">
        <v>1</v>
      </c>
      <c r="H5033" s="10">
        <v>91106</v>
      </c>
      <c r="I5033" s="10">
        <v>91106</v>
      </c>
      <c r="J5033" t="s">
        <v>42</v>
      </c>
      <c r="K5033" s="11">
        <v>3145.8</v>
      </c>
      <c r="L5033" s="12">
        <v>28.96</v>
      </c>
    </row>
    <row r="5034" spans="1:12" x14ac:dyDescent="0.2">
      <c r="A5034" s="9">
        <v>46262</v>
      </c>
      <c r="B5034" t="s">
        <v>169</v>
      </c>
      <c r="C5034" t="s">
        <v>170</v>
      </c>
      <c r="D5034" t="s">
        <v>41</v>
      </c>
      <c r="E5034" t="s">
        <v>649</v>
      </c>
      <c r="F5034" t="s">
        <v>650</v>
      </c>
      <c r="G5034" s="10">
        <v>13</v>
      </c>
      <c r="H5034" s="10">
        <v>90092</v>
      </c>
      <c r="I5034" s="10">
        <v>1171196</v>
      </c>
      <c r="J5034" t="s">
        <v>42</v>
      </c>
      <c r="K5034" s="11">
        <v>3145.8</v>
      </c>
      <c r="L5034" s="12">
        <v>372.3</v>
      </c>
    </row>
    <row r="5035" spans="1:12" x14ac:dyDescent="0.2">
      <c r="A5035" s="9">
        <v>46262</v>
      </c>
      <c r="B5035" t="s">
        <v>169</v>
      </c>
      <c r="C5035" t="s">
        <v>170</v>
      </c>
      <c r="D5035" t="s">
        <v>41</v>
      </c>
      <c r="E5035" t="s">
        <v>660</v>
      </c>
      <c r="F5035" t="s">
        <v>661</v>
      </c>
      <c r="G5035" s="10">
        <v>12</v>
      </c>
      <c r="H5035" s="10">
        <v>20386</v>
      </c>
      <c r="I5035" s="10">
        <v>244632</v>
      </c>
      <c r="J5035" t="s">
        <v>42</v>
      </c>
      <c r="K5035" s="11">
        <v>3145.8</v>
      </c>
      <c r="L5035" s="12">
        <v>77.760000000000005</v>
      </c>
    </row>
    <row r="5036" spans="1:12" x14ac:dyDescent="0.2">
      <c r="A5036" s="9">
        <v>46262</v>
      </c>
      <c r="B5036" t="s">
        <v>169</v>
      </c>
      <c r="C5036" t="s">
        <v>170</v>
      </c>
      <c r="D5036" t="s">
        <v>41</v>
      </c>
      <c r="E5036" t="s">
        <v>647</v>
      </c>
      <c r="F5036" t="s">
        <v>668</v>
      </c>
      <c r="G5036" s="10">
        <v>37</v>
      </c>
      <c r="H5036" s="10">
        <v>125604</v>
      </c>
      <c r="I5036" s="10">
        <v>4647348</v>
      </c>
      <c r="J5036" t="s">
        <v>42</v>
      </c>
      <c r="K5036" s="11">
        <v>3145.8</v>
      </c>
      <c r="L5036" s="12">
        <v>1477.32</v>
      </c>
    </row>
    <row r="5037" spans="1:12" x14ac:dyDescent="0.2">
      <c r="A5037" s="9">
        <v>46262</v>
      </c>
      <c r="B5037" t="s">
        <v>175</v>
      </c>
      <c r="C5037" t="s">
        <v>176</v>
      </c>
      <c r="D5037" t="s">
        <v>50</v>
      </c>
      <c r="E5037" t="s">
        <v>660</v>
      </c>
      <c r="F5037" t="s">
        <v>670</v>
      </c>
      <c r="G5037" s="10">
        <v>11</v>
      </c>
      <c r="H5037" s="10">
        <v>14734</v>
      </c>
      <c r="I5037" s="10">
        <v>162074</v>
      </c>
      <c r="J5037" t="s">
        <v>51</v>
      </c>
      <c r="K5037" s="11">
        <v>648.20000000000005</v>
      </c>
      <c r="L5037" s="12">
        <v>250.04</v>
      </c>
    </row>
    <row r="5038" spans="1:12" x14ac:dyDescent="0.2">
      <c r="A5038" s="9">
        <v>46262</v>
      </c>
      <c r="B5038" t="s">
        <v>175</v>
      </c>
      <c r="C5038" t="s">
        <v>176</v>
      </c>
      <c r="D5038" t="s">
        <v>50</v>
      </c>
      <c r="E5038" t="s">
        <v>660</v>
      </c>
      <c r="F5038" t="s">
        <v>661</v>
      </c>
      <c r="G5038" s="10">
        <v>10</v>
      </c>
      <c r="H5038" s="10">
        <v>4199</v>
      </c>
      <c r="I5038" s="10">
        <v>41990</v>
      </c>
      <c r="J5038" t="s">
        <v>51</v>
      </c>
      <c r="K5038" s="11">
        <v>648.20000000000005</v>
      </c>
      <c r="L5038" s="12">
        <v>64.78</v>
      </c>
    </row>
    <row r="5039" spans="1:12" x14ac:dyDescent="0.2">
      <c r="A5039" s="9">
        <v>46262</v>
      </c>
      <c r="B5039" t="s">
        <v>178</v>
      </c>
      <c r="C5039" t="s">
        <v>179</v>
      </c>
      <c r="D5039" t="s">
        <v>50</v>
      </c>
      <c r="E5039" t="s">
        <v>647</v>
      </c>
      <c r="F5039" t="s">
        <v>648</v>
      </c>
      <c r="G5039" s="10">
        <v>6</v>
      </c>
      <c r="H5039" s="10">
        <v>16877</v>
      </c>
      <c r="I5039" s="10">
        <v>101262</v>
      </c>
      <c r="J5039" t="s">
        <v>51</v>
      </c>
      <c r="K5039" s="11">
        <v>648.20000000000005</v>
      </c>
      <c r="L5039" s="12">
        <v>156.22</v>
      </c>
    </row>
    <row r="5040" spans="1:12" x14ac:dyDescent="0.2">
      <c r="A5040" s="9">
        <v>46262</v>
      </c>
      <c r="B5040" t="s">
        <v>181</v>
      </c>
      <c r="C5040" t="s">
        <v>182</v>
      </c>
      <c r="D5040" t="s">
        <v>41</v>
      </c>
      <c r="E5040" t="s">
        <v>647</v>
      </c>
      <c r="F5040" t="s">
        <v>648</v>
      </c>
      <c r="G5040" s="10">
        <v>7</v>
      </c>
      <c r="H5040" s="10">
        <v>79206</v>
      </c>
      <c r="I5040" s="10">
        <v>554442</v>
      </c>
      <c r="J5040" t="s">
        <v>42</v>
      </c>
      <c r="K5040" s="11">
        <v>3145.8</v>
      </c>
      <c r="L5040" s="12">
        <v>176.25</v>
      </c>
    </row>
    <row r="5041" spans="1:12" x14ac:dyDescent="0.2">
      <c r="A5041" s="9">
        <v>46262</v>
      </c>
      <c r="B5041" t="s">
        <v>181</v>
      </c>
      <c r="C5041" t="s">
        <v>182</v>
      </c>
      <c r="D5041" t="s">
        <v>41</v>
      </c>
      <c r="E5041" t="s">
        <v>651</v>
      </c>
      <c r="F5041" t="s">
        <v>657</v>
      </c>
      <c r="G5041" s="10">
        <v>4</v>
      </c>
      <c r="H5041" s="10">
        <v>30091</v>
      </c>
      <c r="I5041" s="10">
        <v>120364</v>
      </c>
      <c r="J5041" t="s">
        <v>42</v>
      </c>
      <c r="K5041" s="11">
        <v>3145.8</v>
      </c>
      <c r="L5041" s="12">
        <v>38.26</v>
      </c>
    </row>
    <row r="5042" spans="1:12" x14ac:dyDescent="0.2">
      <c r="A5042" s="9">
        <v>46262</v>
      </c>
      <c r="B5042" t="s">
        <v>184</v>
      </c>
      <c r="C5042" t="s">
        <v>185</v>
      </c>
      <c r="D5042" t="s">
        <v>41</v>
      </c>
      <c r="E5042" t="s">
        <v>647</v>
      </c>
      <c r="F5042" t="s">
        <v>668</v>
      </c>
      <c r="G5042" s="10">
        <v>15</v>
      </c>
      <c r="H5042" s="10">
        <v>125240</v>
      </c>
      <c r="I5042" s="10">
        <v>1878600</v>
      </c>
      <c r="J5042" t="s">
        <v>42</v>
      </c>
      <c r="K5042" s="11">
        <v>3145.8</v>
      </c>
      <c r="L5042" s="12">
        <v>597.17999999999995</v>
      </c>
    </row>
    <row r="5043" spans="1:12" x14ac:dyDescent="0.2">
      <c r="A5043" s="9">
        <v>46262</v>
      </c>
      <c r="B5043" t="s">
        <v>187</v>
      </c>
      <c r="C5043" t="s">
        <v>188</v>
      </c>
      <c r="D5043" t="s">
        <v>75</v>
      </c>
      <c r="E5043" t="s">
        <v>653</v>
      </c>
      <c r="F5043" t="s">
        <v>658</v>
      </c>
      <c r="G5043" s="10">
        <v>1</v>
      </c>
      <c r="H5043" s="10">
        <v>13471</v>
      </c>
      <c r="I5043" s="10">
        <v>13471</v>
      </c>
      <c r="J5043" t="s">
        <v>42</v>
      </c>
      <c r="K5043" s="11">
        <v>3145.8</v>
      </c>
      <c r="L5043" s="12">
        <v>4.28</v>
      </c>
    </row>
    <row r="5044" spans="1:12" x14ac:dyDescent="0.2">
      <c r="A5044" s="9">
        <v>46262</v>
      </c>
      <c r="B5044" t="s">
        <v>190</v>
      </c>
      <c r="C5044" t="s">
        <v>191</v>
      </c>
      <c r="D5044" t="s">
        <v>68</v>
      </c>
      <c r="E5044" t="s">
        <v>647</v>
      </c>
      <c r="F5044" t="s">
        <v>668</v>
      </c>
      <c r="G5044" s="10">
        <v>41</v>
      </c>
      <c r="H5044" s="10">
        <v>25952</v>
      </c>
      <c r="I5044" s="10">
        <v>1064032</v>
      </c>
      <c r="J5044" t="s">
        <v>51</v>
      </c>
      <c r="K5044" s="11">
        <v>648.20000000000005</v>
      </c>
      <c r="L5044" s="12">
        <v>1641.52</v>
      </c>
    </row>
    <row r="5045" spans="1:12" x14ac:dyDescent="0.2">
      <c r="A5045" s="9">
        <v>46262</v>
      </c>
      <c r="B5045" t="s">
        <v>220</v>
      </c>
      <c r="C5045" t="s">
        <v>221</v>
      </c>
      <c r="D5045" t="s">
        <v>46</v>
      </c>
      <c r="E5045" t="s">
        <v>653</v>
      </c>
      <c r="F5045" t="s">
        <v>666</v>
      </c>
      <c r="G5045" s="10">
        <v>5</v>
      </c>
      <c r="H5045" s="10">
        <v>1562</v>
      </c>
      <c r="I5045" s="10">
        <v>7810</v>
      </c>
      <c r="J5045" t="s">
        <v>37</v>
      </c>
      <c r="K5045" s="11">
        <v>648.20000000000005</v>
      </c>
      <c r="L5045" s="12">
        <v>12.05</v>
      </c>
    </row>
    <row r="5046" spans="1:12" x14ac:dyDescent="0.2">
      <c r="A5046" s="9">
        <v>46262</v>
      </c>
      <c r="B5046" t="s">
        <v>220</v>
      </c>
      <c r="C5046" t="s">
        <v>221</v>
      </c>
      <c r="D5046" t="s">
        <v>46</v>
      </c>
      <c r="E5046" t="s">
        <v>660</v>
      </c>
      <c r="F5046" t="s">
        <v>670</v>
      </c>
      <c r="G5046" s="10">
        <v>12</v>
      </c>
      <c r="H5046" s="10">
        <v>14754</v>
      </c>
      <c r="I5046" s="10">
        <v>177048</v>
      </c>
      <c r="J5046" t="s">
        <v>37</v>
      </c>
      <c r="K5046" s="11">
        <v>648.20000000000005</v>
      </c>
      <c r="L5046" s="12">
        <v>273.14</v>
      </c>
    </row>
    <row r="5047" spans="1:12" x14ac:dyDescent="0.2">
      <c r="A5047" s="9">
        <v>46262</v>
      </c>
      <c r="B5047" t="s">
        <v>220</v>
      </c>
      <c r="C5047" t="s">
        <v>221</v>
      </c>
      <c r="D5047" t="s">
        <v>46</v>
      </c>
      <c r="E5047" t="s">
        <v>655</v>
      </c>
      <c r="F5047" t="s">
        <v>656</v>
      </c>
      <c r="G5047" s="10">
        <v>10</v>
      </c>
      <c r="H5047" s="10">
        <v>590</v>
      </c>
      <c r="I5047" s="10">
        <v>5900</v>
      </c>
      <c r="J5047" t="s">
        <v>37</v>
      </c>
      <c r="K5047" s="11">
        <v>648.20000000000005</v>
      </c>
      <c r="L5047" s="12">
        <v>9.1</v>
      </c>
    </row>
    <row r="5048" spans="1:12" x14ac:dyDescent="0.2">
      <c r="A5048" s="9">
        <v>46262</v>
      </c>
      <c r="B5048" t="s">
        <v>220</v>
      </c>
      <c r="C5048" t="s">
        <v>221</v>
      </c>
      <c r="D5048" t="s">
        <v>46</v>
      </c>
      <c r="E5048" t="s">
        <v>651</v>
      </c>
      <c r="F5048" t="s">
        <v>664</v>
      </c>
      <c r="G5048" s="10">
        <v>16</v>
      </c>
      <c r="H5048" s="10">
        <v>11645</v>
      </c>
      <c r="I5048" s="10">
        <v>186320</v>
      </c>
      <c r="J5048" t="s">
        <v>37</v>
      </c>
      <c r="K5048" s="11">
        <v>648.20000000000005</v>
      </c>
      <c r="L5048" s="12">
        <v>287.44</v>
      </c>
    </row>
    <row r="5049" spans="1:12" x14ac:dyDescent="0.2">
      <c r="A5049" s="9">
        <v>46262</v>
      </c>
      <c r="B5049" t="s">
        <v>223</v>
      </c>
      <c r="C5049" t="s">
        <v>224</v>
      </c>
      <c r="D5049" t="s">
        <v>36</v>
      </c>
      <c r="E5049" t="s">
        <v>660</v>
      </c>
      <c r="F5049" t="s">
        <v>670</v>
      </c>
      <c r="G5049" s="10">
        <v>8</v>
      </c>
      <c r="H5049" s="10">
        <v>13931</v>
      </c>
      <c r="I5049" s="10">
        <v>111448</v>
      </c>
      <c r="J5049" t="s">
        <v>37</v>
      </c>
      <c r="K5049" s="11">
        <v>648.20000000000005</v>
      </c>
      <c r="L5049" s="12">
        <v>171.93</v>
      </c>
    </row>
    <row r="5050" spans="1:12" x14ac:dyDescent="0.2">
      <c r="A5050" s="9">
        <v>46262</v>
      </c>
      <c r="B5050" t="s">
        <v>223</v>
      </c>
      <c r="C5050" t="s">
        <v>224</v>
      </c>
      <c r="D5050" t="s">
        <v>36</v>
      </c>
      <c r="E5050" t="s">
        <v>660</v>
      </c>
      <c r="F5050" t="s">
        <v>661</v>
      </c>
      <c r="G5050" s="10">
        <v>18</v>
      </c>
      <c r="H5050" s="10">
        <v>4156</v>
      </c>
      <c r="I5050" s="10">
        <v>74808</v>
      </c>
      <c r="J5050" t="s">
        <v>37</v>
      </c>
      <c r="K5050" s="11">
        <v>648.20000000000005</v>
      </c>
      <c r="L5050" s="12">
        <v>115.41</v>
      </c>
    </row>
    <row r="5051" spans="1:12" x14ac:dyDescent="0.2">
      <c r="A5051" s="9">
        <v>46262</v>
      </c>
      <c r="B5051" t="s">
        <v>226</v>
      </c>
      <c r="C5051" t="s">
        <v>227</v>
      </c>
      <c r="D5051" t="s">
        <v>41</v>
      </c>
      <c r="E5051" t="s">
        <v>660</v>
      </c>
      <c r="F5051" t="s">
        <v>670</v>
      </c>
      <c r="G5051" s="10">
        <v>51</v>
      </c>
      <c r="H5051" s="10">
        <v>68272</v>
      </c>
      <c r="I5051" s="10">
        <v>3481872</v>
      </c>
      <c r="J5051" t="s">
        <v>42</v>
      </c>
      <c r="K5051" s="11">
        <v>3145.8</v>
      </c>
      <c r="L5051" s="12">
        <v>1106.83</v>
      </c>
    </row>
    <row r="5052" spans="1:12" x14ac:dyDescent="0.2">
      <c r="A5052" s="9">
        <v>46262</v>
      </c>
      <c r="B5052" t="s">
        <v>226</v>
      </c>
      <c r="C5052" t="s">
        <v>227</v>
      </c>
      <c r="D5052" t="s">
        <v>41</v>
      </c>
      <c r="E5052" t="s">
        <v>647</v>
      </c>
      <c r="F5052" t="s">
        <v>667</v>
      </c>
      <c r="G5052" s="10">
        <v>82</v>
      </c>
      <c r="H5052" s="10">
        <v>36808</v>
      </c>
      <c r="I5052" s="10">
        <v>3018256</v>
      </c>
      <c r="J5052" t="s">
        <v>42</v>
      </c>
      <c r="K5052" s="11">
        <v>3145.8</v>
      </c>
      <c r="L5052" s="12">
        <v>959.46</v>
      </c>
    </row>
    <row r="5053" spans="1:12" x14ac:dyDescent="0.2">
      <c r="A5053" s="9">
        <v>46262</v>
      </c>
      <c r="B5053" t="s">
        <v>229</v>
      </c>
      <c r="C5053" t="s">
        <v>230</v>
      </c>
      <c r="D5053" t="s">
        <v>36</v>
      </c>
      <c r="E5053" t="s">
        <v>655</v>
      </c>
      <c r="F5053" t="s">
        <v>662</v>
      </c>
      <c r="G5053" s="10">
        <v>4</v>
      </c>
      <c r="H5053" s="10">
        <v>1167</v>
      </c>
      <c r="I5053" s="10">
        <v>4668</v>
      </c>
      <c r="J5053" t="s">
        <v>37</v>
      </c>
      <c r="K5053" s="11">
        <v>648.20000000000005</v>
      </c>
      <c r="L5053" s="12">
        <v>7.2</v>
      </c>
    </row>
    <row r="5054" spans="1:12" x14ac:dyDescent="0.2">
      <c r="A5054" s="9">
        <v>46262</v>
      </c>
      <c r="B5054" t="s">
        <v>229</v>
      </c>
      <c r="C5054" t="s">
        <v>230</v>
      </c>
      <c r="D5054" t="s">
        <v>36</v>
      </c>
      <c r="E5054" t="s">
        <v>655</v>
      </c>
      <c r="F5054" t="s">
        <v>656</v>
      </c>
      <c r="G5054" s="10">
        <v>3</v>
      </c>
      <c r="H5054" s="10">
        <v>565</v>
      </c>
      <c r="I5054" s="10">
        <v>1695</v>
      </c>
      <c r="J5054" t="s">
        <v>37</v>
      </c>
      <c r="K5054" s="11">
        <v>648.20000000000005</v>
      </c>
      <c r="L5054" s="12">
        <v>2.61</v>
      </c>
    </row>
    <row r="5055" spans="1:12" x14ac:dyDescent="0.2">
      <c r="A5055" s="9">
        <v>46262</v>
      </c>
      <c r="B5055" t="s">
        <v>232</v>
      </c>
      <c r="C5055" t="s">
        <v>233</v>
      </c>
      <c r="D5055" t="s">
        <v>46</v>
      </c>
      <c r="E5055" t="s">
        <v>655</v>
      </c>
      <c r="F5055" t="s">
        <v>662</v>
      </c>
      <c r="G5055" s="10">
        <v>5</v>
      </c>
      <c r="H5055" s="10">
        <v>1119</v>
      </c>
      <c r="I5055" s="10">
        <v>5595</v>
      </c>
      <c r="J5055" t="s">
        <v>37</v>
      </c>
      <c r="K5055" s="11">
        <v>648.20000000000005</v>
      </c>
      <c r="L5055" s="12">
        <v>8.6300000000000008</v>
      </c>
    </row>
    <row r="5056" spans="1:12" x14ac:dyDescent="0.2">
      <c r="A5056" s="9">
        <v>46262</v>
      </c>
      <c r="B5056" t="s">
        <v>235</v>
      </c>
      <c r="C5056" t="s">
        <v>236</v>
      </c>
      <c r="D5056" t="s">
        <v>50</v>
      </c>
      <c r="E5056" t="s">
        <v>660</v>
      </c>
      <c r="F5056" t="s">
        <v>669</v>
      </c>
      <c r="G5056" s="10">
        <v>10</v>
      </c>
      <c r="H5056" s="10">
        <v>2496</v>
      </c>
      <c r="I5056" s="10">
        <v>24960</v>
      </c>
      <c r="J5056" t="s">
        <v>51</v>
      </c>
      <c r="K5056" s="11">
        <v>648.20000000000005</v>
      </c>
      <c r="L5056" s="12">
        <v>38.51</v>
      </c>
    </row>
    <row r="5057" spans="1:12" x14ac:dyDescent="0.2">
      <c r="A5057" s="9">
        <v>46262</v>
      </c>
      <c r="B5057" t="s">
        <v>238</v>
      </c>
      <c r="C5057" t="s">
        <v>239</v>
      </c>
      <c r="D5057" t="s">
        <v>68</v>
      </c>
      <c r="E5057" t="s">
        <v>649</v>
      </c>
      <c r="F5057" t="s">
        <v>650</v>
      </c>
      <c r="G5057" s="10">
        <v>7</v>
      </c>
      <c r="H5057" s="10">
        <v>18504</v>
      </c>
      <c r="I5057" s="10">
        <v>129528</v>
      </c>
      <c r="J5057" t="s">
        <v>51</v>
      </c>
      <c r="K5057" s="11">
        <v>648.20000000000005</v>
      </c>
      <c r="L5057" s="12">
        <v>199.83</v>
      </c>
    </row>
    <row r="5058" spans="1:12" x14ac:dyDescent="0.2">
      <c r="A5058" s="9">
        <v>46262</v>
      </c>
      <c r="B5058" t="s">
        <v>238</v>
      </c>
      <c r="C5058" t="s">
        <v>239</v>
      </c>
      <c r="D5058" t="s">
        <v>68</v>
      </c>
      <c r="E5058" t="s">
        <v>651</v>
      </c>
      <c r="F5058" t="s">
        <v>657</v>
      </c>
      <c r="G5058" s="10">
        <v>16</v>
      </c>
      <c r="H5058" s="10">
        <v>6526</v>
      </c>
      <c r="I5058" s="10">
        <v>104416</v>
      </c>
      <c r="J5058" t="s">
        <v>51</v>
      </c>
      <c r="K5058" s="11">
        <v>648.20000000000005</v>
      </c>
      <c r="L5058" s="12">
        <v>161.09</v>
      </c>
    </row>
    <row r="5059" spans="1:12" x14ac:dyDescent="0.2">
      <c r="A5059" s="9">
        <v>46262</v>
      </c>
      <c r="B5059" t="s">
        <v>241</v>
      </c>
      <c r="C5059" t="s">
        <v>242</v>
      </c>
      <c r="D5059" t="s">
        <v>46</v>
      </c>
      <c r="E5059" t="s">
        <v>660</v>
      </c>
      <c r="F5059" t="s">
        <v>669</v>
      </c>
      <c r="G5059" s="10">
        <v>3</v>
      </c>
      <c r="H5059" s="10">
        <v>2516</v>
      </c>
      <c r="I5059" s="10">
        <v>7548</v>
      </c>
      <c r="J5059" t="s">
        <v>37</v>
      </c>
      <c r="K5059" s="11">
        <v>648.20000000000005</v>
      </c>
      <c r="L5059" s="12">
        <v>11.64</v>
      </c>
    </row>
    <row r="5060" spans="1:12" x14ac:dyDescent="0.2">
      <c r="A5060" s="9">
        <v>46262</v>
      </c>
      <c r="B5060" t="s">
        <v>244</v>
      </c>
      <c r="C5060" t="s">
        <v>245</v>
      </c>
      <c r="D5060" t="s">
        <v>75</v>
      </c>
      <c r="E5060" t="s">
        <v>647</v>
      </c>
      <c r="F5060" t="s">
        <v>668</v>
      </c>
      <c r="G5060" s="10">
        <v>25</v>
      </c>
      <c r="H5060" s="10">
        <v>118861</v>
      </c>
      <c r="I5060" s="10">
        <v>2971525</v>
      </c>
      <c r="J5060" t="s">
        <v>42</v>
      </c>
      <c r="K5060" s="11">
        <v>3145.8</v>
      </c>
      <c r="L5060" s="12">
        <v>944.6</v>
      </c>
    </row>
    <row r="5061" spans="1:12" x14ac:dyDescent="0.2">
      <c r="A5061" s="9">
        <v>46262</v>
      </c>
      <c r="B5061" t="s">
        <v>244</v>
      </c>
      <c r="C5061" t="s">
        <v>245</v>
      </c>
      <c r="D5061" t="s">
        <v>75</v>
      </c>
      <c r="E5061" t="s">
        <v>651</v>
      </c>
      <c r="F5061" t="s">
        <v>657</v>
      </c>
      <c r="G5061" s="10">
        <v>26</v>
      </c>
      <c r="H5061" s="10">
        <v>30149</v>
      </c>
      <c r="I5061" s="10">
        <v>783874</v>
      </c>
      <c r="J5061" t="s">
        <v>42</v>
      </c>
      <c r="K5061" s="11">
        <v>3145.8</v>
      </c>
      <c r="L5061" s="12">
        <v>249.18</v>
      </c>
    </row>
    <row r="5062" spans="1:12" x14ac:dyDescent="0.2">
      <c r="A5062" s="9">
        <v>46262</v>
      </c>
      <c r="B5062" t="s">
        <v>247</v>
      </c>
      <c r="C5062" t="s">
        <v>248</v>
      </c>
      <c r="D5062" t="s">
        <v>75</v>
      </c>
      <c r="E5062" t="s">
        <v>649</v>
      </c>
      <c r="F5062" t="s">
        <v>663</v>
      </c>
      <c r="G5062" s="10">
        <v>15</v>
      </c>
      <c r="H5062" s="10">
        <v>9750</v>
      </c>
      <c r="I5062" s="10">
        <v>146250</v>
      </c>
      <c r="J5062" t="s">
        <v>42</v>
      </c>
      <c r="K5062" s="11">
        <v>3145.8</v>
      </c>
      <c r="L5062" s="12">
        <v>46.49</v>
      </c>
    </row>
    <row r="5063" spans="1:12" x14ac:dyDescent="0.2">
      <c r="A5063" s="9">
        <v>46262</v>
      </c>
      <c r="B5063" t="s">
        <v>253</v>
      </c>
      <c r="C5063" t="s">
        <v>254</v>
      </c>
      <c r="D5063" t="s">
        <v>50</v>
      </c>
      <c r="E5063" t="s">
        <v>647</v>
      </c>
      <c r="F5063" t="s">
        <v>648</v>
      </c>
      <c r="G5063" s="10">
        <v>2</v>
      </c>
      <c r="H5063" s="10">
        <v>16690</v>
      </c>
      <c r="I5063" s="10">
        <v>33380</v>
      </c>
      <c r="J5063" t="s">
        <v>51</v>
      </c>
      <c r="K5063" s="11">
        <v>648.20000000000005</v>
      </c>
      <c r="L5063" s="12">
        <v>51.5</v>
      </c>
    </row>
    <row r="5064" spans="1:12" x14ac:dyDescent="0.2">
      <c r="A5064" s="9">
        <v>46262</v>
      </c>
      <c r="B5064" t="s">
        <v>256</v>
      </c>
      <c r="C5064" t="s">
        <v>182</v>
      </c>
      <c r="D5064" t="s">
        <v>50</v>
      </c>
      <c r="E5064" t="s">
        <v>647</v>
      </c>
      <c r="F5064" t="s">
        <v>668</v>
      </c>
      <c r="G5064" s="10">
        <v>14</v>
      </c>
      <c r="H5064" s="10">
        <v>25708</v>
      </c>
      <c r="I5064" s="10">
        <v>359912</v>
      </c>
      <c r="J5064" t="s">
        <v>51</v>
      </c>
      <c r="K5064" s="11">
        <v>648.20000000000005</v>
      </c>
      <c r="L5064" s="12">
        <v>555.25</v>
      </c>
    </row>
    <row r="5065" spans="1:12" x14ac:dyDescent="0.2">
      <c r="A5065" s="9">
        <v>46262</v>
      </c>
      <c r="B5065" t="s">
        <v>261</v>
      </c>
      <c r="C5065" t="s">
        <v>262</v>
      </c>
      <c r="D5065" t="s">
        <v>41</v>
      </c>
      <c r="E5065" t="s">
        <v>655</v>
      </c>
      <c r="F5065" t="s">
        <v>656</v>
      </c>
      <c r="G5065" s="10">
        <v>4</v>
      </c>
      <c r="H5065" s="10">
        <v>2782</v>
      </c>
      <c r="I5065" s="10">
        <v>11128</v>
      </c>
      <c r="J5065" t="s">
        <v>42</v>
      </c>
      <c r="K5065" s="11">
        <v>3145.8</v>
      </c>
      <c r="L5065" s="12">
        <v>3.54</v>
      </c>
    </row>
    <row r="5066" spans="1:12" x14ac:dyDescent="0.2">
      <c r="A5066" s="9">
        <v>46262</v>
      </c>
      <c r="B5066" t="s">
        <v>264</v>
      </c>
      <c r="C5066" t="s">
        <v>265</v>
      </c>
      <c r="D5066" t="s">
        <v>41</v>
      </c>
      <c r="E5066" t="s">
        <v>647</v>
      </c>
      <c r="F5066" t="s">
        <v>667</v>
      </c>
      <c r="G5066" s="10">
        <v>5</v>
      </c>
      <c r="H5066" s="10">
        <v>35052</v>
      </c>
      <c r="I5066" s="10">
        <v>175260</v>
      </c>
      <c r="J5066" t="s">
        <v>42</v>
      </c>
      <c r="K5066" s="11">
        <v>3145.8</v>
      </c>
      <c r="L5066" s="12">
        <v>55.71</v>
      </c>
    </row>
    <row r="5067" spans="1:12" x14ac:dyDescent="0.2">
      <c r="A5067" s="9">
        <v>46262</v>
      </c>
      <c r="B5067" t="s">
        <v>267</v>
      </c>
      <c r="C5067" t="s">
        <v>268</v>
      </c>
      <c r="D5067" t="s">
        <v>46</v>
      </c>
      <c r="E5067" t="s">
        <v>655</v>
      </c>
      <c r="F5067" t="s">
        <v>662</v>
      </c>
      <c r="G5067" s="10">
        <v>58</v>
      </c>
      <c r="H5067" s="10">
        <v>1163</v>
      </c>
      <c r="I5067" s="10">
        <v>67454</v>
      </c>
      <c r="J5067" t="s">
        <v>37</v>
      </c>
      <c r="K5067" s="11">
        <v>648.20000000000005</v>
      </c>
      <c r="L5067" s="12">
        <v>104.06</v>
      </c>
    </row>
    <row r="5068" spans="1:12" x14ac:dyDescent="0.2">
      <c r="A5068" s="9">
        <v>46262</v>
      </c>
      <c r="B5068" t="s">
        <v>267</v>
      </c>
      <c r="C5068" t="s">
        <v>268</v>
      </c>
      <c r="D5068" t="s">
        <v>46</v>
      </c>
      <c r="E5068" t="s">
        <v>660</v>
      </c>
      <c r="F5068" t="s">
        <v>669</v>
      </c>
      <c r="G5068" s="10">
        <v>38</v>
      </c>
      <c r="H5068" s="10">
        <v>2568</v>
      </c>
      <c r="I5068" s="10">
        <v>97584</v>
      </c>
      <c r="J5068" t="s">
        <v>37</v>
      </c>
      <c r="K5068" s="11">
        <v>648.20000000000005</v>
      </c>
      <c r="L5068" s="12">
        <v>150.55000000000001</v>
      </c>
    </row>
    <row r="5069" spans="1:12" x14ac:dyDescent="0.2">
      <c r="A5069" s="9">
        <v>46262</v>
      </c>
      <c r="B5069" t="s">
        <v>267</v>
      </c>
      <c r="C5069" t="s">
        <v>268</v>
      </c>
      <c r="D5069" t="s">
        <v>46</v>
      </c>
      <c r="E5069" t="s">
        <v>660</v>
      </c>
      <c r="F5069" t="s">
        <v>661</v>
      </c>
      <c r="G5069" s="10">
        <v>39</v>
      </c>
      <c r="H5069" s="10">
        <v>4113</v>
      </c>
      <c r="I5069" s="10">
        <v>160407</v>
      </c>
      <c r="J5069" t="s">
        <v>37</v>
      </c>
      <c r="K5069" s="11">
        <v>648.20000000000005</v>
      </c>
      <c r="L5069" s="12">
        <v>247.47</v>
      </c>
    </row>
    <row r="5070" spans="1:12" x14ac:dyDescent="0.2">
      <c r="A5070" s="9">
        <v>46262</v>
      </c>
      <c r="B5070" t="s">
        <v>267</v>
      </c>
      <c r="C5070" t="s">
        <v>268</v>
      </c>
      <c r="D5070" t="s">
        <v>46</v>
      </c>
      <c r="E5070" t="s">
        <v>647</v>
      </c>
      <c r="F5070" t="s">
        <v>667</v>
      </c>
      <c r="G5070" s="10">
        <v>16</v>
      </c>
      <c r="H5070" s="10">
        <v>7575</v>
      </c>
      <c r="I5070" s="10">
        <v>121200</v>
      </c>
      <c r="J5070" t="s">
        <v>37</v>
      </c>
      <c r="K5070" s="11">
        <v>648.20000000000005</v>
      </c>
      <c r="L5070" s="12">
        <v>186.98</v>
      </c>
    </row>
    <row r="5071" spans="1:12" x14ac:dyDescent="0.2">
      <c r="A5071" s="9">
        <v>46262</v>
      </c>
      <c r="B5071" t="s">
        <v>267</v>
      </c>
      <c r="C5071" t="s">
        <v>268</v>
      </c>
      <c r="D5071" t="s">
        <v>46</v>
      </c>
      <c r="E5071" t="s">
        <v>655</v>
      </c>
      <c r="F5071" t="s">
        <v>665</v>
      </c>
      <c r="G5071" s="10">
        <v>72</v>
      </c>
      <c r="H5071" s="10">
        <v>668</v>
      </c>
      <c r="I5071" s="10">
        <v>48096</v>
      </c>
      <c r="J5071" t="s">
        <v>37</v>
      </c>
      <c r="K5071" s="11">
        <v>648.20000000000005</v>
      </c>
      <c r="L5071" s="12">
        <v>74.2</v>
      </c>
    </row>
    <row r="5072" spans="1:12" x14ac:dyDescent="0.2">
      <c r="A5072" s="9">
        <v>46262</v>
      </c>
      <c r="B5072" t="s">
        <v>270</v>
      </c>
      <c r="C5072" t="s">
        <v>271</v>
      </c>
      <c r="D5072" t="s">
        <v>75</v>
      </c>
      <c r="E5072" t="s">
        <v>649</v>
      </c>
      <c r="F5072" t="s">
        <v>650</v>
      </c>
      <c r="G5072" s="10">
        <v>13</v>
      </c>
      <c r="H5072" s="10">
        <v>94143</v>
      </c>
      <c r="I5072" s="10">
        <v>1223859</v>
      </c>
      <c r="J5072" t="s">
        <v>42</v>
      </c>
      <c r="K5072" s="11">
        <v>3145.8</v>
      </c>
      <c r="L5072" s="12">
        <v>389.05</v>
      </c>
    </row>
    <row r="5073" spans="1:12" x14ac:dyDescent="0.2">
      <c r="A5073" s="9">
        <v>46262</v>
      </c>
      <c r="B5073" t="s">
        <v>276</v>
      </c>
      <c r="C5073" t="s">
        <v>277</v>
      </c>
      <c r="D5073" t="s">
        <v>46</v>
      </c>
      <c r="E5073" t="s">
        <v>653</v>
      </c>
      <c r="F5073" t="s">
        <v>666</v>
      </c>
      <c r="G5073" s="10">
        <v>27</v>
      </c>
      <c r="H5073" s="10">
        <v>1494</v>
      </c>
      <c r="I5073" s="10">
        <v>40338</v>
      </c>
      <c r="J5073" t="s">
        <v>37</v>
      </c>
      <c r="K5073" s="11">
        <v>648.20000000000005</v>
      </c>
      <c r="L5073" s="12">
        <v>62.23</v>
      </c>
    </row>
    <row r="5074" spans="1:12" x14ac:dyDescent="0.2">
      <c r="A5074" s="9">
        <v>46262</v>
      </c>
      <c r="B5074" t="s">
        <v>279</v>
      </c>
      <c r="C5074" t="s">
        <v>280</v>
      </c>
      <c r="D5074" t="s">
        <v>68</v>
      </c>
      <c r="E5074" t="s">
        <v>653</v>
      </c>
      <c r="F5074" t="s">
        <v>666</v>
      </c>
      <c r="G5074" s="10">
        <v>37</v>
      </c>
      <c r="H5074" s="10">
        <v>1561</v>
      </c>
      <c r="I5074" s="10">
        <v>57757</v>
      </c>
      <c r="J5074" t="s">
        <v>51</v>
      </c>
      <c r="K5074" s="11">
        <v>648.20000000000005</v>
      </c>
      <c r="L5074" s="12">
        <v>89.1</v>
      </c>
    </row>
    <row r="5075" spans="1:12" x14ac:dyDescent="0.2">
      <c r="A5075" s="9">
        <v>46262</v>
      </c>
      <c r="B5075" t="s">
        <v>279</v>
      </c>
      <c r="C5075" t="s">
        <v>280</v>
      </c>
      <c r="D5075" t="s">
        <v>68</v>
      </c>
      <c r="E5075" t="s">
        <v>649</v>
      </c>
      <c r="F5075" t="s">
        <v>650</v>
      </c>
      <c r="G5075" s="10">
        <v>14</v>
      </c>
      <c r="H5075" s="10">
        <v>19160</v>
      </c>
      <c r="I5075" s="10">
        <v>268240</v>
      </c>
      <c r="J5075" t="s">
        <v>51</v>
      </c>
      <c r="K5075" s="11">
        <v>648.20000000000005</v>
      </c>
      <c r="L5075" s="12">
        <v>413.82</v>
      </c>
    </row>
    <row r="5076" spans="1:12" x14ac:dyDescent="0.2">
      <c r="A5076" s="9">
        <v>46262</v>
      </c>
      <c r="B5076" t="s">
        <v>279</v>
      </c>
      <c r="C5076" t="s">
        <v>280</v>
      </c>
      <c r="D5076" t="s">
        <v>68</v>
      </c>
      <c r="E5076" t="s">
        <v>649</v>
      </c>
      <c r="F5076" t="s">
        <v>659</v>
      </c>
      <c r="G5076" s="10">
        <v>22</v>
      </c>
      <c r="H5076" s="10">
        <v>8743</v>
      </c>
      <c r="I5076" s="10">
        <v>192346</v>
      </c>
      <c r="J5076" t="s">
        <v>51</v>
      </c>
      <c r="K5076" s="11">
        <v>648.20000000000005</v>
      </c>
      <c r="L5076" s="12">
        <v>296.74</v>
      </c>
    </row>
    <row r="5077" spans="1:12" x14ac:dyDescent="0.2">
      <c r="A5077" s="9">
        <v>46262</v>
      </c>
      <c r="B5077" t="s">
        <v>279</v>
      </c>
      <c r="C5077" t="s">
        <v>280</v>
      </c>
      <c r="D5077" t="s">
        <v>68</v>
      </c>
      <c r="E5077" t="s">
        <v>647</v>
      </c>
      <c r="F5077" t="s">
        <v>668</v>
      </c>
      <c r="G5077" s="10">
        <v>52</v>
      </c>
      <c r="H5077" s="10">
        <v>24657</v>
      </c>
      <c r="I5077" s="10">
        <v>1282164</v>
      </c>
      <c r="J5077" t="s">
        <v>51</v>
      </c>
      <c r="K5077" s="11">
        <v>648.20000000000005</v>
      </c>
      <c r="L5077" s="12">
        <v>1978.04</v>
      </c>
    </row>
    <row r="5078" spans="1:12" x14ac:dyDescent="0.2">
      <c r="A5078" s="9">
        <v>46262</v>
      </c>
      <c r="B5078" t="s">
        <v>279</v>
      </c>
      <c r="C5078" t="s">
        <v>280</v>
      </c>
      <c r="D5078" t="s">
        <v>68</v>
      </c>
      <c r="E5078" t="s">
        <v>647</v>
      </c>
      <c r="F5078" t="s">
        <v>667</v>
      </c>
      <c r="G5078" s="10">
        <v>38</v>
      </c>
      <c r="H5078" s="10">
        <v>7527</v>
      </c>
      <c r="I5078" s="10">
        <v>286026</v>
      </c>
      <c r="J5078" t="s">
        <v>51</v>
      </c>
      <c r="K5078" s="11">
        <v>648.20000000000005</v>
      </c>
      <c r="L5078" s="12">
        <v>441.26</v>
      </c>
    </row>
    <row r="5079" spans="1:12" x14ac:dyDescent="0.2">
      <c r="A5079" s="9">
        <v>46262</v>
      </c>
      <c r="B5079" t="s">
        <v>279</v>
      </c>
      <c r="C5079" t="s">
        <v>280</v>
      </c>
      <c r="D5079" t="s">
        <v>68</v>
      </c>
      <c r="E5079" t="s">
        <v>651</v>
      </c>
      <c r="F5079" t="s">
        <v>664</v>
      </c>
      <c r="G5079" s="10">
        <v>30</v>
      </c>
      <c r="H5079" s="10">
        <v>11936</v>
      </c>
      <c r="I5079" s="10">
        <v>358080</v>
      </c>
      <c r="J5079" t="s">
        <v>51</v>
      </c>
      <c r="K5079" s="11">
        <v>648.20000000000005</v>
      </c>
      <c r="L5079" s="12">
        <v>552.41999999999996</v>
      </c>
    </row>
    <row r="5080" spans="1:12" x14ac:dyDescent="0.2">
      <c r="A5080" s="9">
        <v>46262</v>
      </c>
      <c r="B5080" t="s">
        <v>279</v>
      </c>
      <c r="C5080" t="s">
        <v>280</v>
      </c>
      <c r="D5080" t="s">
        <v>68</v>
      </c>
      <c r="E5080" t="s">
        <v>655</v>
      </c>
      <c r="F5080" t="s">
        <v>665</v>
      </c>
      <c r="G5080" s="10">
        <v>105</v>
      </c>
      <c r="H5080" s="10">
        <v>699</v>
      </c>
      <c r="I5080" s="10">
        <v>73395</v>
      </c>
      <c r="J5080" t="s">
        <v>51</v>
      </c>
      <c r="K5080" s="11">
        <v>648.20000000000005</v>
      </c>
      <c r="L5080" s="12">
        <v>113.23</v>
      </c>
    </row>
    <row r="5081" spans="1:12" x14ac:dyDescent="0.2">
      <c r="A5081" s="9">
        <v>46262</v>
      </c>
      <c r="B5081" t="s">
        <v>282</v>
      </c>
      <c r="C5081" t="s">
        <v>283</v>
      </c>
      <c r="D5081" t="s">
        <v>41</v>
      </c>
      <c r="E5081" t="s">
        <v>660</v>
      </c>
      <c r="F5081" t="s">
        <v>669</v>
      </c>
      <c r="G5081" s="10">
        <v>18</v>
      </c>
      <c r="H5081" s="10">
        <v>12270</v>
      </c>
      <c r="I5081" s="10">
        <v>220860</v>
      </c>
      <c r="J5081" t="s">
        <v>42</v>
      </c>
      <c r="K5081" s="11">
        <v>3145.8</v>
      </c>
      <c r="L5081" s="12">
        <v>70.209999999999994</v>
      </c>
    </row>
    <row r="5082" spans="1:12" x14ac:dyDescent="0.2">
      <c r="A5082" s="9">
        <v>46262</v>
      </c>
      <c r="B5082" t="s">
        <v>282</v>
      </c>
      <c r="C5082" t="s">
        <v>283</v>
      </c>
      <c r="D5082" t="s">
        <v>41</v>
      </c>
      <c r="E5082" t="s">
        <v>660</v>
      </c>
      <c r="F5082" t="s">
        <v>661</v>
      </c>
      <c r="G5082" s="10">
        <v>14</v>
      </c>
      <c r="H5082" s="10">
        <v>20510</v>
      </c>
      <c r="I5082" s="10">
        <v>287140</v>
      </c>
      <c r="J5082" t="s">
        <v>42</v>
      </c>
      <c r="K5082" s="11">
        <v>3145.8</v>
      </c>
      <c r="L5082" s="12">
        <v>91.28</v>
      </c>
    </row>
    <row r="5083" spans="1:12" x14ac:dyDescent="0.2">
      <c r="A5083" s="9">
        <v>46262</v>
      </c>
      <c r="B5083" t="s">
        <v>291</v>
      </c>
      <c r="C5083" t="s">
        <v>292</v>
      </c>
      <c r="D5083" t="s">
        <v>68</v>
      </c>
      <c r="E5083" t="s">
        <v>651</v>
      </c>
      <c r="F5083" t="s">
        <v>652</v>
      </c>
      <c r="G5083" s="10">
        <v>2</v>
      </c>
      <c r="H5083" s="10">
        <v>9378</v>
      </c>
      <c r="I5083" s="10">
        <v>18756</v>
      </c>
      <c r="J5083" t="s">
        <v>51</v>
      </c>
      <c r="K5083" s="11">
        <v>648.20000000000005</v>
      </c>
      <c r="L5083" s="12">
        <v>28.94</v>
      </c>
    </row>
    <row r="5084" spans="1:12" x14ac:dyDescent="0.2">
      <c r="A5084" s="9">
        <v>46262</v>
      </c>
      <c r="B5084" t="s">
        <v>294</v>
      </c>
      <c r="C5084" t="s">
        <v>295</v>
      </c>
      <c r="D5084" t="s">
        <v>41</v>
      </c>
      <c r="E5084" t="s">
        <v>653</v>
      </c>
      <c r="F5084" t="s">
        <v>654</v>
      </c>
      <c r="G5084" s="10">
        <v>4</v>
      </c>
      <c r="H5084" s="10">
        <v>27819</v>
      </c>
      <c r="I5084" s="10">
        <v>111276</v>
      </c>
      <c r="J5084" t="s">
        <v>42</v>
      </c>
      <c r="K5084" s="11">
        <v>3145.8</v>
      </c>
      <c r="L5084" s="12">
        <v>35.369999999999997</v>
      </c>
    </row>
    <row r="5085" spans="1:12" x14ac:dyDescent="0.2">
      <c r="A5085" s="9">
        <v>46262</v>
      </c>
      <c r="B5085" t="s">
        <v>297</v>
      </c>
      <c r="C5085" t="s">
        <v>298</v>
      </c>
      <c r="D5085" t="s">
        <v>36</v>
      </c>
      <c r="E5085" t="s">
        <v>647</v>
      </c>
      <c r="F5085" t="s">
        <v>668</v>
      </c>
      <c r="G5085" s="10">
        <v>44</v>
      </c>
      <c r="H5085" s="10">
        <v>25260</v>
      </c>
      <c r="I5085" s="10">
        <v>1111440</v>
      </c>
      <c r="J5085" t="s">
        <v>37</v>
      </c>
      <c r="K5085" s="11">
        <v>648.20000000000005</v>
      </c>
      <c r="L5085" s="12">
        <v>1714.66</v>
      </c>
    </row>
    <row r="5086" spans="1:12" x14ac:dyDescent="0.2">
      <c r="A5086" s="9">
        <v>46262</v>
      </c>
      <c r="B5086" t="s">
        <v>297</v>
      </c>
      <c r="C5086" t="s">
        <v>298</v>
      </c>
      <c r="D5086" t="s">
        <v>36</v>
      </c>
      <c r="E5086" t="s">
        <v>647</v>
      </c>
      <c r="F5086" t="s">
        <v>648</v>
      </c>
      <c r="G5086" s="10">
        <v>32</v>
      </c>
      <c r="H5086" s="10">
        <v>16106</v>
      </c>
      <c r="I5086" s="10">
        <v>515392</v>
      </c>
      <c r="J5086" t="s">
        <v>37</v>
      </c>
      <c r="K5086" s="11">
        <v>648.20000000000005</v>
      </c>
      <c r="L5086" s="12">
        <v>795.11</v>
      </c>
    </row>
    <row r="5087" spans="1:12" x14ac:dyDescent="0.2">
      <c r="A5087" s="9">
        <v>46262</v>
      </c>
      <c r="B5087" t="s">
        <v>297</v>
      </c>
      <c r="C5087" t="s">
        <v>298</v>
      </c>
      <c r="D5087" t="s">
        <v>36</v>
      </c>
      <c r="E5087" t="s">
        <v>647</v>
      </c>
      <c r="F5087" t="s">
        <v>667</v>
      </c>
      <c r="G5087" s="10">
        <v>11</v>
      </c>
      <c r="H5087" s="10">
        <v>7558</v>
      </c>
      <c r="I5087" s="10">
        <v>83138</v>
      </c>
      <c r="J5087" t="s">
        <v>37</v>
      </c>
      <c r="K5087" s="11">
        <v>648.20000000000005</v>
      </c>
      <c r="L5087" s="12">
        <v>128.26</v>
      </c>
    </row>
    <row r="5088" spans="1:12" x14ac:dyDescent="0.2">
      <c r="A5088" s="9">
        <v>46262</v>
      </c>
      <c r="B5088" t="s">
        <v>300</v>
      </c>
      <c r="C5088" t="s">
        <v>301</v>
      </c>
      <c r="D5088" t="s">
        <v>41</v>
      </c>
      <c r="E5088" t="s">
        <v>660</v>
      </c>
      <c r="F5088" t="s">
        <v>661</v>
      </c>
      <c r="G5088" s="10">
        <v>14</v>
      </c>
      <c r="H5088" s="10">
        <v>20981</v>
      </c>
      <c r="I5088" s="10">
        <v>293734</v>
      </c>
      <c r="J5088" t="s">
        <v>42</v>
      </c>
      <c r="K5088" s="11">
        <v>3145.8</v>
      </c>
      <c r="L5088" s="12">
        <v>93.37</v>
      </c>
    </row>
    <row r="5089" spans="1:12" x14ac:dyDescent="0.2">
      <c r="A5089" s="9">
        <v>46262</v>
      </c>
      <c r="B5089" t="s">
        <v>309</v>
      </c>
      <c r="C5089" t="s">
        <v>310</v>
      </c>
      <c r="D5089" t="s">
        <v>41</v>
      </c>
      <c r="E5089" t="s">
        <v>647</v>
      </c>
      <c r="F5089" t="s">
        <v>648</v>
      </c>
      <c r="G5089" s="10">
        <v>7</v>
      </c>
      <c r="H5089" s="10">
        <v>81398</v>
      </c>
      <c r="I5089" s="10">
        <v>569786</v>
      </c>
      <c r="J5089" t="s">
        <v>42</v>
      </c>
      <c r="K5089" s="11">
        <v>3145.8</v>
      </c>
      <c r="L5089" s="12">
        <v>181.13</v>
      </c>
    </row>
    <row r="5090" spans="1:12" x14ac:dyDescent="0.2">
      <c r="A5090" s="9">
        <v>46262</v>
      </c>
      <c r="B5090" t="s">
        <v>309</v>
      </c>
      <c r="C5090" t="s">
        <v>310</v>
      </c>
      <c r="D5090" t="s">
        <v>41</v>
      </c>
      <c r="E5090" t="s">
        <v>647</v>
      </c>
      <c r="F5090" t="s">
        <v>648</v>
      </c>
      <c r="G5090" s="10">
        <v>104</v>
      </c>
      <c r="H5090" s="10">
        <v>76460</v>
      </c>
      <c r="I5090" s="10">
        <v>7951840</v>
      </c>
      <c r="J5090" t="s">
        <v>42</v>
      </c>
      <c r="K5090" s="11">
        <v>3145.8</v>
      </c>
      <c r="L5090" s="12">
        <v>2527.7600000000002</v>
      </c>
    </row>
    <row r="5091" spans="1:12" x14ac:dyDescent="0.2">
      <c r="A5091" s="9">
        <v>46262</v>
      </c>
      <c r="B5091" t="s">
        <v>312</v>
      </c>
      <c r="C5091" t="s">
        <v>313</v>
      </c>
      <c r="D5091" t="s">
        <v>41</v>
      </c>
      <c r="E5091" t="s">
        <v>647</v>
      </c>
      <c r="F5091" t="s">
        <v>648</v>
      </c>
      <c r="G5091" s="10">
        <v>2</v>
      </c>
      <c r="H5091" s="10">
        <v>80144</v>
      </c>
      <c r="I5091" s="10">
        <v>160288</v>
      </c>
      <c r="J5091" t="s">
        <v>42</v>
      </c>
      <c r="K5091" s="11">
        <v>3145.8</v>
      </c>
      <c r="L5091" s="12">
        <v>50.95</v>
      </c>
    </row>
    <row r="5092" spans="1:12" x14ac:dyDescent="0.2">
      <c r="A5092" s="9">
        <v>46262</v>
      </c>
      <c r="B5092" t="s">
        <v>312</v>
      </c>
      <c r="C5092" t="s">
        <v>313</v>
      </c>
      <c r="D5092" t="s">
        <v>41</v>
      </c>
      <c r="E5092" t="s">
        <v>647</v>
      </c>
      <c r="F5092" t="s">
        <v>648</v>
      </c>
      <c r="G5092" s="10">
        <v>14</v>
      </c>
      <c r="H5092" s="10">
        <v>76612</v>
      </c>
      <c r="I5092" s="10">
        <v>1072568</v>
      </c>
      <c r="J5092" t="s">
        <v>42</v>
      </c>
      <c r="K5092" s="11">
        <v>3145.8</v>
      </c>
      <c r="L5092" s="12">
        <v>340.95</v>
      </c>
    </row>
    <row r="5093" spans="1:12" x14ac:dyDescent="0.2">
      <c r="A5093" s="9">
        <v>46262</v>
      </c>
      <c r="B5093" t="s">
        <v>315</v>
      </c>
      <c r="C5093" t="s">
        <v>316</v>
      </c>
      <c r="D5093" t="s">
        <v>46</v>
      </c>
      <c r="E5093" t="s">
        <v>647</v>
      </c>
      <c r="F5093" t="s">
        <v>667</v>
      </c>
      <c r="G5093" s="10">
        <v>24</v>
      </c>
      <c r="H5093" s="10">
        <v>7321</v>
      </c>
      <c r="I5093" s="10">
        <v>175704</v>
      </c>
      <c r="J5093" t="s">
        <v>37</v>
      </c>
      <c r="K5093" s="11">
        <v>648.20000000000005</v>
      </c>
      <c r="L5093" s="12">
        <v>271.06</v>
      </c>
    </row>
    <row r="5094" spans="1:12" x14ac:dyDescent="0.2">
      <c r="A5094" s="9">
        <v>46262</v>
      </c>
      <c r="B5094" t="s">
        <v>315</v>
      </c>
      <c r="C5094" t="s">
        <v>316</v>
      </c>
      <c r="D5094" t="s">
        <v>46</v>
      </c>
      <c r="E5094" t="s">
        <v>651</v>
      </c>
      <c r="F5094" t="s">
        <v>657</v>
      </c>
      <c r="G5094" s="10">
        <v>16</v>
      </c>
      <c r="H5094" s="10">
        <v>6622</v>
      </c>
      <c r="I5094" s="10">
        <v>105952</v>
      </c>
      <c r="J5094" t="s">
        <v>37</v>
      </c>
      <c r="K5094" s="11">
        <v>648.20000000000005</v>
      </c>
      <c r="L5094" s="12">
        <v>163.46</v>
      </c>
    </row>
    <row r="5095" spans="1:12" x14ac:dyDescent="0.2">
      <c r="A5095" s="9">
        <v>46262</v>
      </c>
      <c r="B5095" t="s">
        <v>315</v>
      </c>
      <c r="C5095" t="s">
        <v>316</v>
      </c>
      <c r="D5095" t="s">
        <v>46</v>
      </c>
      <c r="E5095" t="s">
        <v>655</v>
      </c>
      <c r="F5095" t="s">
        <v>665</v>
      </c>
      <c r="G5095" s="10">
        <v>23</v>
      </c>
      <c r="H5095" s="10">
        <v>708</v>
      </c>
      <c r="I5095" s="10">
        <v>16284</v>
      </c>
      <c r="J5095" t="s">
        <v>37</v>
      </c>
      <c r="K5095" s="11">
        <v>648.20000000000005</v>
      </c>
      <c r="L5095" s="12">
        <v>25.12</v>
      </c>
    </row>
    <row r="5096" spans="1:12" x14ac:dyDescent="0.2">
      <c r="A5096" s="9">
        <v>46262</v>
      </c>
      <c r="B5096" t="s">
        <v>318</v>
      </c>
      <c r="C5096" t="s">
        <v>319</v>
      </c>
      <c r="D5096" t="s">
        <v>41</v>
      </c>
      <c r="E5096" t="s">
        <v>651</v>
      </c>
      <c r="F5096" t="s">
        <v>652</v>
      </c>
      <c r="G5096" s="10">
        <v>1</v>
      </c>
      <c r="H5096" s="10">
        <v>47506</v>
      </c>
      <c r="I5096" s="10">
        <v>47506</v>
      </c>
      <c r="J5096" t="s">
        <v>42</v>
      </c>
      <c r="K5096" s="11">
        <v>3145.8</v>
      </c>
      <c r="L5096" s="12">
        <v>15.1</v>
      </c>
    </row>
    <row r="5097" spans="1:12" x14ac:dyDescent="0.2">
      <c r="A5097" s="9">
        <v>46262</v>
      </c>
      <c r="B5097" t="s">
        <v>318</v>
      </c>
      <c r="C5097" t="s">
        <v>319</v>
      </c>
      <c r="D5097" t="s">
        <v>41</v>
      </c>
      <c r="E5097" t="s">
        <v>647</v>
      </c>
      <c r="F5097" t="s">
        <v>648</v>
      </c>
      <c r="G5097" s="10">
        <v>31</v>
      </c>
      <c r="H5097" s="10">
        <v>79107</v>
      </c>
      <c r="I5097" s="10">
        <v>2452317</v>
      </c>
      <c r="J5097" t="s">
        <v>42</v>
      </c>
      <c r="K5097" s="11">
        <v>3145.8</v>
      </c>
      <c r="L5097" s="12">
        <v>779.55</v>
      </c>
    </row>
    <row r="5098" spans="1:12" x14ac:dyDescent="0.2">
      <c r="A5098" s="9">
        <v>46262</v>
      </c>
      <c r="B5098" t="s">
        <v>324</v>
      </c>
      <c r="C5098" t="s">
        <v>325</v>
      </c>
      <c r="D5098" t="s">
        <v>46</v>
      </c>
      <c r="E5098" t="s">
        <v>653</v>
      </c>
      <c r="F5098" t="s">
        <v>666</v>
      </c>
      <c r="G5098" s="10">
        <v>4</v>
      </c>
      <c r="H5098" s="10">
        <v>1467</v>
      </c>
      <c r="I5098" s="10">
        <v>5868</v>
      </c>
      <c r="J5098" t="s">
        <v>37</v>
      </c>
      <c r="K5098" s="11">
        <v>648.20000000000005</v>
      </c>
      <c r="L5098" s="12">
        <v>9.0500000000000007</v>
      </c>
    </row>
    <row r="5099" spans="1:12" x14ac:dyDescent="0.2">
      <c r="A5099" s="9">
        <v>46262</v>
      </c>
      <c r="B5099" t="s">
        <v>327</v>
      </c>
      <c r="C5099" t="s">
        <v>328</v>
      </c>
      <c r="D5099" t="s">
        <v>46</v>
      </c>
      <c r="E5099" t="s">
        <v>647</v>
      </c>
      <c r="F5099" t="s">
        <v>648</v>
      </c>
      <c r="G5099" s="10">
        <v>1</v>
      </c>
      <c r="H5099" s="10">
        <v>16229</v>
      </c>
      <c r="I5099" s="10">
        <v>16229</v>
      </c>
      <c r="J5099" t="s">
        <v>37</v>
      </c>
      <c r="K5099" s="11">
        <v>648.20000000000005</v>
      </c>
      <c r="L5099" s="12">
        <v>25.04</v>
      </c>
    </row>
    <row r="5100" spans="1:12" x14ac:dyDescent="0.2">
      <c r="A5100" s="9">
        <v>46262</v>
      </c>
      <c r="B5100" t="s">
        <v>327</v>
      </c>
      <c r="C5100" t="s">
        <v>328</v>
      </c>
      <c r="D5100" t="s">
        <v>46</v>
      </c>
      <c r="E5100" t="s">
        <v>655</v>
      </c>
      <c r="F5100" t="s">
        <v>656</v>
      </c>
      <c r="G5100" s="10">
        <v>4</v>
      </c>
      <c r="H5100" s="10">
        <v>594</v>
      </c>
      <c r="I5100" s="10">
        <v>2376</v>
      </c>
      <c r="J5100" t="s">
        <v>37</v>
      </c>
      <c r="K5100" s="11">
        <v>648.20000000000005</v>
      </c>
      <c r="L5100" s="12">
        <v>3.67</v>
      </c>
    </row>
    <row r="5101" spans="1:12" x14ac:dyDescent="0.2">
      <c r="A5101" s="9">
        <v>46262</v>
      </c>
      <c r="B5101" t="s">
        <v>330</v>
      </c>
      <c r="C5101" t="s">
        <v>331</v>
      </c>
      <c r="D5101" t="s">
        <v>68</v>
      </c>
      <c r="E5101" t="s">
        <v>660</v>
      </c>
      <c r="F5101" t="s">
        <v>661</v>
      </c>
      <c r="G5101" s="10">
        <v>26</v>
      </c>
      <c r="H5101" s="10">
        <v>4184</v>
      </c>
      <c r="I5101" s="10">
        <v>108784</v>
      </c>
      <c r="J5101" t="s">
        <v>51</v>
      </c>
      <c r="K5101" s="11">
        <v>648.20000000000005</v>
      </c>
      <c r="L5101" s="12">
        <v>167.82</v>
      </c>
    </row>
    <row r="5102" spans="1:12" x14ac:dyDescent="0.2">
      <c r="A5102" s="9">
        <v>46262</v>
      </c>
      <c r="B5102" t="s">
        <v>330</v>
      </c>
      <c r="C5102" t="s">
        <v>331</v>
      </c>
      <c r="D5102" t="s">
        <v>68</v>
      </c>
      <c r="E5102" t="s">
        <v>647</v>
      </c>
      <c r="F5102" t="s">
        <v>667</v>
      </c>
      <c r="G5102" s="10">
        <v>17</v>
      </c>
      <c r="H5102" s="10">
        <v>7202</v>
      </c>
      <c r="I5102" s="10">
        <v>122434</v>
      </c>
      <c r="J5102" t="s">
        <v>51</v>
      </c>
      <c r="K5102" s="11">
        <v>648.20000000000005</v>
      </c>
      <c r="L5102" s="12">
        <v>188.88</v>
      </c>
    </row>
    <row r="5103" spans="1:12" x14ac:dyDescent="0.2">
      <c r="A5103" s="9">
        <v>46262</v>
      </c>
      <c r="B5103" t="s">
        <v>342</v>
      </c>
      <c r="C5103" t="s">
        <v>343</v>
      </c>
      <c r="D5103" t="s">
        <v>41</v>
      </c>
      <c r="E5103" t="s">
        <v>653</v>
      </c>
      <c r="F5103" t="s">
        <v>658</v>
      </c>
      <c r="G5103" s="10">
        <v>46</v>
      </c>
      <c r="H5103" s="10">
        <v>13613</v>
      </c>
      <c r="I5103" s="10">
        <v>626198</v>
      </c>
      <c r="J5103" t="s">
        <v>42</v>
      </c>
      <c r="K5103" s="11">
        <v>3145.8</v>
      </c>
      <c r="L5103" s="12">
        <v>199.06</v>
      </c>
    </row>
    <row r="5104" spans="1:12" x14ac:dyDescent="0.2">
      <c r="A5104" s="9">
        <v>46262</v>
      </c>
      <c r="B5104" t="s">
        <v>342</v>
      </c>
      <c r="C5104" t="s">
        <v>343</v>
      </c>
      <c r="D5104" t="s">
        <v>41</v>
      </c>
      <c r="E5104" t="s">
        <v>651</v>
      </c>
      <c r="F5104" t="s">
        <v>652</v>
      </c>
      <c r="G5104" s="10">
        <v>5</v>
      </c>
      <c r="H5104" s="10">
        <v>46144</v>
      </c>
      <c r="I5104" s="10">
        <v>230720</v>
      </c>
      <c r="J5104" t="s">
        <v>42</v>
      </c>
      <c r="K5104" s="11">
        <v>3145.8</v>
      </c>
      <c r="L5104" s="12">
        <v>73.34</v>
      </c>
    </row>
    <row r="5105" spans="1:12" x14ac:dyDescent="0.2">
      <c r="A5105" s="9">
        <v>46262</v>
      </c>
      <c r="B5105" t="s">
        <v>342</v>
      </c>
      <c r="C5105" t="s">
        <v>343</v>
      </c>
      <c r="D5105" t="s">
        <v>41</v>
      </c>
      <c r="E5105" t="s">
        <v>653</v>
      </c>
      <c r="F5105" t="s">
        <v>666</v>
      </c>
      <c r="G5105" s="10">
        <v>26</v>
      </c>
      <c r="H5105" s="10">
        <v>7497</v>
      </c>
      <c r="I5105" s="10">
        <v>194922</v>
      </c>
      <c r="J5105" t="s">
        <v>42</v>
      </c>
      <c r="K5105" s="11">
        <v>3145.8</v>
      </c>
      <c r="L5105" s="12">
        <v>61.96</v>
      </c>
    </row>
    <row r="5106" spans="1:12" x14ac:dyDescent="0.2">
      <c r="A5106" s="9">
        <v>46262</v>
      </c>
      <c r="B5106" t="s">
        <v>342</v>
      </c>
      <c r="C5106" t="s">
        <v>343</v>
      </c>
      <c r="D5106" t="s">
        <v>41</v>
      </c>
      <c r="E5106" t="s">
        <v>647</v>
      </c>
      <c r="F5106" t="s">
        <v>667</v>
      </c>
      <c r="G5106" s="10">
        <v>10</v>
      </c>
      <c r="H5106" s="10">
        <v>34192</v>
      </c>
      <c r="I5106" s="10">
        <v>341920</v>
      </c>
      <c r="J5106" t="s">
        <v>42</v>
      </c>
      <c r="K5106" s="11">
        <v>3145.8</v>
      </c>
      <c r="L5106" s="12">
        <v>108.69</v>
      </c>
    </row>
    <row r="5107" spans="1:12" x14ac:dyDescent="0.2">
      <c r="A5107" s="9">
        <v>46262</v>
      </c>
      <c r="B5107" t="s">
        <v>348</v>
      </c>
      <c r="C5107" t="s">
        <v>349</v>
      </c>
      <c r="D5107" t="s">
        <v>36</v>
      </c>
      <c r="E5107" t="s">
        <v>660</v>
      </c>
      <c r="F5107" t="s">
        <v>669</v>
      </c>
      <c r="G5107" s="10">
        <v>17</v>
      </c>
      <c r="H5107" s="10">
        <v>2520</v>
      </c>
      <c r="I5107" s="10">
        <v>42840</v>
      </c>
      <c r="J5107" t="s">
        <v>37</v>
      </c>
      <c r="K5107" s="11">
        <v>648.20000000000005</v>
      </c>
      <c r="L5107" s="12">
        <v>66.09</v>
      </c>
    </row>
    <row r="5108" spans="1:12" x14ac:dyDescent="0.2">
      <c r="A5108" s="9">
        <v>46262</v>
      </c>
      <c r="B5108" t="s">
        <v>348</v>
      </c>
      <c r="C5108" t="s">
        <v>349</v>
      </c>
      <c r="D5108" t="s">
        <v>36</v>
      </c>
      <c r="E5108" t="s">
        <v>647</v>
      </c>
      <c r="F5108" t="s">
        <v>667</v>
      </c>
      <c r="G5108" s="10">
        <v>7</v>
      </c>
      <c r="H5108" s="10">
        <v>7283</v>
      </c>
      <c r="I5108" s="10">
        <v>50981</v>
      </c>
      <c r="J5108" t="s">
        <v>37</v>
      </c>
      <c r="K5108" s="11">
        <v>648.20000000000005</v>
      </c>
      <c r="L5108" s="12">
        <v>78.650000000000006</v>
      </c>
    </row>
    <row r="5109" spans="1:12" x14ac:dyDescent="0.2">
      <c r="A5109" s="9">
        <v>46262</v>
      </c>
      <c r="B5109" t="s">
        <v>351</v>
      </c>
      <c r="C5109" t="s">
        <v>352</v>
      </c>
      <c r="D5109" t="s">
        <v>41</v>
      </c>
      <c r="E5109" t="s">
        <v>653</v>
      </c>
      <c r="F5109" t="s">
        <v>666</v>
      </c>
      <c r="G5109" s="10">
        <v>4</v>
      </c>
      <c r="H5109" s="10">
        <v>7215</v>
      </c>
      <c r="I5109" s="10">
        <v>28860</v>
      </c>
      <c r="J5109" t="s">
        <v>42</v>
      </c>
      <c r="K5109" s="11">
        <v>3145.8</v>
      </c>
      <c r="L5109" s="12">
        <v>9.17</v>
      </c>
    </row>
    <row r="5110" spans="1:12" x14ac:dyDescent="0.2">
      <c r="A5110" s="9">
        <v>46262</v>
      </c>
      <c r="B5110" t="s">
        <v>351</v>
      </c>
      <c r="C5110" t="s">
        <v>352</v>
      </c>
      <c r="D5110" t="s">
        <v>41</v>
      </c>
      <c r="E5110" t="s">
        <v>660</v>
      </c>
      <c r="F5110" t="s">
        <v>670</v>
      </c>
      <c r="G5110" s="10">
        <v>3</v>
      </c>
      <c r="H5110" s="10">
        <v>68527</v>
      </c>
      <c r="I5110" s="10">
        <v>205581</v>
      </c>
      <c r="J5110" t="s">
        <v>42</v>
      </c>
      <c r="K5110" s="11">
        <v>3145.8</v>
      </c>
      <c r="L5110" s="12">
        <v>65.349999999999994</v>
      </c>
    </row>
    <row r="5111" spans="1:12" x14ac:dyDescent="0.2">
      <c r="A5111" s="9">
        <v>46262</v>
      </c>
      <c r="B5111" t="s">
        <v>351</v>
      </c>
      <c r="C5111" t="s">
        <v>352</v>
      </c>
      <c r="D5111" t="s">
        <v>41</v>
      </c>
      <c r="E5111" t="s">
        <v>653</v>
      </c>
      <c r="F5111" t="s">
        <v>654</v>
      </c>
      <c r="G5111" s="10">
        <v>3</v>
      </c>
      <c r="H5111" s="10">
        <v>27592</v>
      </c>
      <c r="I5111" s="10">
        <v>82776</v>
      </c>
      <c r="J5111" t="s">
        <v>42</v>
      </c>
      <c r="K5111" s="11">
        <v>3145.8</v>
      </c>
      <c r="L5111" s="12">
        <v>26.31</v>
      </c>
    </row>
    <row r="5112" spans="1:12" x14ac:dyDescent="0.2">
      <c r="A5112" s="9">
        <v>46262</v>
      </c>
      <c r="B5112" t="s">
        <v>357</v>
      </c>
      <c r="C5112" t="s">
        <v>358</v>
      </c>
      <c r="D5112" t="s">
        <v>36</v>
      </c>
      <c r="E5112" t="s">
        <v>660</v>
      </c>
      <c r="F5112" t="s">
        <v>669</v>
      </c>
      <c r="G5112" s="10">
        <v>24</v>
      </c>
      <c r="H5112" s="10">
        <v>2539</v>
      </c>
      <c r="I5112" s="10">
        <v>60936</v>
      </c>
      <c r="J5112" t="s">
        <v>37</v>
      </c>
      <c r="K5112" s="11">
        <v>648.20000000000005</v>
      </c>
      <c r="L5112" s="12">
        <v>94.01</v>
      </c>
    </row>
    <row r="5113" spans="1:12" x14ac:dyDescent="0.2">
      <c r="A5113" s="9">
        <v>46262</v>
      </c>
      <c r="B5113" t="s">
        <v>357</v>
      </c>
      <c r="C5113" t="s">
        <v>358</v>
      </c>
      <c r="D5113" t="s">
        <v>36</v>
      </c>
      <c r="E5113" t="s">
        <v>647</v>
      </c>
      <c r="F5113" t="s">
        <v>668</v>
      </c>
      <c r="G5113" s="10">
        <v>25</v>
      </c>
      <c r="H5113" s="10">
        <v>25636</v>
      </c>
      <c r="I5113" s="10">
        <v>640900</v>
      </c>
      <c r="J5113" t="s">
        <v>37</v>
      </c>
      <c r="K5113" s="11">
        <v>648.20000000000005</v>
      </c>
      <c r="L5113" s="12">
        <v>988.74</v>
      </c>
    </row>
    <row r="5114" spans="1:12" x14ac:dyDescent="0.2">
      <c r="A5114" s="9">
        <v>46262</v>
      </c>
      <c r="B5114" t="s">
        <v>357</v>
      </c>
      <c r="C5114" t="s">
        <v>358</v>
      </c>
      <c r="D5114" t="s">
        <v>36</v>
      </c>
      <c r="E5114" t="s">
        <v>655</v>
      </c>
      <c r="F5114" t="s">
        <v>665</v>
      </c>
      <c r="G5114" s="10">
        <v>273</v>
      </c>
      <c r="H5114" s="10">
        <v>703</v>
      </c>
      <c r="I5114" s="10">
        <v>191919</v>
      </c>
      <c r="J5114" t="s">
        <v>37</v>
      </c>
      <c r="K5114" s="11">
        <v>648.20000000000005</v>
      </c>
      <c r="L5114" s="12">
        <v>296.08</v>
      </c>
    </row>
    <row r="5115" spans="1:12" x14ac:dyDescent="0.2">
      <c r="A5115" s="9">
        <v>46262</v>
      </c>
      <c r="B5115" t="s">
        <v>363</v>
      </c>
      <c r="C5115" t="s">
        <v>364</v>
      </c>
      <c r="D5115" t="s">
        <v>46</v>
      </c>
      <c r="E5115" t="s">
        <v>653</v>
      </c>
      <c r="F5115" t="s">
        <v>666</v>
      </c>
      <c r="G5115" s="10">
        <v>93</v>
      </c>
      <c r="H5115" s="10">
        <v>1514</v>
      </c>
      <c r="I5115" s="10">
        <v>140802</v>
      </c>
      <c r="J5115" t="s">
        <v>37</v>
      </c>
      <c r="K5115" s="11">
        <v>648.20000000000005</v>
      </c>
      <c r="L5115" s="12">
        <v>217.22</v>
      </c>
    </row>
    <row r="5116" spans="1:12" x14ac:dyDescent="0.2">
      <c r="A5116" s="9">
        <v>46262</v>
      </c>
      <c r="B5116" t="s">
        <v>363</v>
      </c>
      <c r="C5116" t="s">
        <v>364</v>
      </c>
      <c r="D5116" t="s">
        <v>46</v>
      </c>
      <c r="E5116" t="s">
        <v>649</v>
      </c>
      <c r="F5116" t="s">
        <v>650</v>
      </c>
      <c r="G5116" s="10">
        <v>38</v>
      </c>
      <c r="H5116" s="10">
        <v>18549</v>
      </c>
      <c r="I5116" s="10">
        <v>704862</v>
      </c>
      <c r="J5116" t="s">
        <v>37</v>
      </c>
      <c r="K5116" s="11">
        <v>648.20000000000005</v>
      </c>
      <c r="L5116" s="12">
        <v>1087.4100000000001</v>
      </c>
    </row>
    <row r="5117" spans="1:12" x14ac:dyDescent="0.2">
      <c r="A5117" s="9">
        <v>46262</v>
      </c>
      <c r="B5117" t="s">
        <v>363</v>
      </c>
      <c r="C5117" t="s">
        <v>364</v>
      </c>
      <c r="D5117" t="s">
        <v>46</v>
      </c>
      <c r="E5117" t="s">
        <v>649</v>
      </c>
      <c r="F5117" t="s">
        <v>659</v>
      </c>
      <c r="G5117" s="10">
        <v>23</v>
      </c>
      <c r="H5117" s="10">
        <v>8966</v>
      </c>
      <c r="I5117" s="10">
        <v>206218</v>
      </c>
      <c r="J5117" t="s">
        <v>37</v>
      </c>
      <c r="K5117" s="11">
        <v>648.20000000000005</v>
      </c>
      <c r="L5117" s="12">
        <v>318.14</v>
      </c>
    </row>
    <row r="5118" spans="1:12" x14ac:dyDescent="0.2">
      <c r="A5118" s="9">
        <v>46262</v>
      </c>
      <c r="B5118" t="s">
        <v>363</v>
      </c>
      <c r="C5118" t="s">
        <v>364</v>
      </c>
      <c r="D5118" t="s">
        <v>46</v>
      </c>
      <c r="E5118" t="s">
        <v>660</v>
      </c>
      <c r="F5118" t="s">
        <v>661</v>
      </c>
      <c r="G5118" s="10">
        <v>33</v>
      </c>
      <c r="H5118" s="10">
        <v>4031</v>
      </c>
      <c r="I5118" s="10">
        <v>133023</v>
      </c>
      <c r="J5118" t="s">
        <v>37</v>
      </c>
      <c r="K5118" s="11">
        <v>648.20000000000005</v>
      </c>
      <c r="L5118" s="12">
        <v>205.22</v>
      </c>
    </row>
    <row r="5119" spans="1:12" x14ac:dyDescent="0.2">
      <c r="A5119" s="9">
        <v>46262</v>
      </c>
      <c r="B5119" t="s">
        <v>363</v>
      </c>
      <c r="C5119" t="s">
        <v>364</v>
      </c>
      <c r="D5119" t="s">
        <v>46</v>
      </c>
      <c r="E5119" t="s">
        <v>647</v>
      </c>
      <c r="F5119" t="s">
        <v>668</v>
      </c>
      <c r="G5119" s="10">
        <v>25</v>
      </c>
      <c r="H5119" s="10">
        <v>25902</v>
      </c>
      <c r="I5119" s="10">
        <v>647550</v>
      </c>
      <c r="J5119" t="s">
        <v>37</v>
      </c>
      <c r="K5119" s="11">
        <v>648.20000000000005</v>
      </c>
      <c r="L5119" s="12">
        <v>999</v>
      </c>
    </row>
    <row r="5120" spans="1:12" x14ac:dyDescent="0.2">
      <c r="A5120" s="9">
        <v>46262</v>
      </c>
      <c r="B5120" t="s">
        <v>366</v>
      </c>
      <c r="C5120" t="s">
        <v>367</v>
      </c>
      <c r="D5120" t="s">
        <v>41</v>
      </c>
      <c r="E5120" t="s">
        <v>655</v>
      </c>
      <c r="F5120" t="s">
        <v>665</v>
      </c>
      <c r="G5120" s="10">
        <v>2</v>
      </c>
      <c r="H5120" s="10">
        <v>3267</v>
      </c>
      <c r="I5120" s="10">
        <v>6534</v>
      </c>
      <c r="J5120" t="s">
        <v>42</v>
      </c>
      <c r="K5120" s="11">
        <v>3145.8</v>
      </c>
      <c r="L5120" s="12">
        <v>2.08</v>
      </c>
    </row>
    <row r="5121" spans="1:12" x14ac:dyDescent="0.2">
      <c r="A5121" s="9">
        <v>46262</v>
      </c>
      <c r="B5121" t="s">
        <v>369</v>
      </c>
      <c r="C5121" t="s">
        <v>370</v>
      </c>
      <c r="D5121" t="s">
        <v>36</v>
      </c>
      <c r="E5121" t="s">
        <v>647</v>
      </c>
      <c r="F5121" t="s">
        <v>648</v>
      </c>
      <c r="G5121" s="10">
        <v>5</v>
      </c>
      <c r="H5121" s="10">
        <v>16117</v>
      </c>
      <c r="I5121" s="10">
        <v>80585</v>
      </c>
      <c r="J5121" t="s">
        <v>37</v>
      </c>
      <c r="K5121" s="11">
        <v>648.20000000000005</v>
      </c>
      <c r="L5121" s="12">
        <v>124.32</v>
      </c>
    </row>
    <row r="5122" spans="1:12" x14ac:dyDescent="0.2">
      <c r="A5122" s="9">
        <v>46262</v>
      </c>
      <c r="B5122" t="s">
        <v>372</v>
      </c>
      <c r="C5122" t="s">
        <v>373</v>
      </c>
      <c r="D5122" t="s">
        <v>75</v>
      </c>
      <c r="E5122" t="s">
        <v>649</v>
      </c>
      <c r="F5122" t="s">
        <v>659</v>
      </c>
      <c r="G5122" s="10">
        <v>40</v>
      </c>
      <c r="H5122" s="10">
        <v>44279</v>
      </c>
      <c r="I5122" s="10">
        <v>1771160</v>
      </c>
      <c r="J5122" t="s">
        <v>42</v>
      </c>
      <c r="K5122" s="11">
        <v>3145.8</v>
      </c>
      <c r="L5122" s="12">
        <v>563.02</v>
      </c>
    </row>
    <row r="5123" spans="1:12" x14ac:dyDescent="0.2">
      <c r="A5123" s="9">
        <v>46262</v>
      </c>
      <c r="B5123" t="s">
        <v>375</v>
      </c>
      <c r="C5123" t="s">
        <v>376</v>
      </c>
      <c r="D5123" t="s">
        <v>36</v>
      </c>
      <c r="E5123" t="s">
        <v>647</v>
      </c>
      <c r="F5123" t="s">
        <v>667</v>
      </c>
      <c r="G5123" s="10">
        <v>3</v>
      </c>
      <c r="H5123" s="10">
        <v>7432</v>
      </c>
      <c r="I5123" s="10">
        <v>22296</v>
      </c>
      <c r="J5123" t="s">
        <v>37</v>
      </c>
      <c r="K5123" s="11">
        <v>648.20000000000005</v>
      </c>
      <c r="L5123" s="12">
        <v>34.4</v>
      </c>
    </row>
    <row r="5124" spans="1:12" x14ac:dyDescent="0.2">
      <c r="A5124" s="9">
        <v>46262</v>
      </c>
      <c r="B5124" t="s">
        <v>378</v>
      </c>
      <c r="C5124" t="s">
        <v>379</v>
      </c>
      <c r="D5124" t="s">
        <v>50</v>
      </c>
      <c r="E5124" t="s">
        <v>651</v>
      </c>
      <c r="F5124" t="s">
        <v>652</v>
      </c>
      <c r="G5124" s="10">
        <v>1</v>
      </c>
      <c r="H5124" s="10">
        <v>9932</v>
      </c>
      <c r="I5124" s="10">
        <v>9932</v>
      </c>
      <c r="J5124" t="s">
        <v>51</v>
      </c>
      <c r="K5124" s="11">
        <v>648.20000000000005</v>
      </c>
      <c r="L5124" s="12">
        <v>15.32</v>
      </c>
    </row>
    <row r="5125" spans="1:12" x14ac:dyDescent="0.2">
      <c r="A5125" s="9">
        <v>46262</v>
      </c>
      <c r="B5125" t="s">
        <v>378</v>
      </c>
      <c r="C5125" t="s">
        <v>379</v>
      </c>
      <c r="D5125" t="s">
        <v>50</v>
      </c>
      <c r="E5125" t="s">
        <v>649</v>
      </c>
      <c r="F5125" t="s">
        <v>659</v>
      </c>
      <c r="G5125" s="10">
        <v>21</v>
      </c>
      <c r="H5125" s="10">
        <v>9080</v>
      </c>
      <c r="I5125" s="10">
        <v>190680</v>
      </c>
      <c r="J5125" t="s">
        <v>51</v>
      </c>
      <c r="K5125" s="11">
        <v>648.20000000000005</v>
      </c>
      <c r="L5125" s="12">
        <v>294.17</v>
      </c>
    </row>
    <row r="5126" spans="1:12" x14ac:dyDescent="0.2">
      <c r="A5126" s="9">
        <v>46262</v>
      </c>
      <c r="B5126" t="s">
        <v>381</v>
      </c>
      <c r="C5126" t="s">
        <v>382</v>
      </c>
      <c r="D5126" t="s">
        <v>36</v>
      </c>
      <c r="E5126" t="s">
        <v>660</v>
      </c>
      <c r="F5126" t="s">
        <v>669</v>
      </c>
      <c r="G5126" s="10">
        <v>1</v>
      </c>
      <c r="H5126" s="10">
        <v>2626</v>
      </c>
      <c r="I5126" s="10">
        <v>2626</v>
      </c>
      <c r="J5126" t="s">
        <v>37</v>
      </c>
      <c r="K5126" s="11">
        <v>648.20000000000005</v>
      </c>
      <c r="L5126" s="12">
        <v>4.05</v>
      </c>
    </row>
    <row r="5127" spans="1:12" x14ac:dyDescent="0.2">
      <c r="A5127" s="9">
        <v>46262</v>
      </c>
      <c r="B5127" t="s">
        <v>384</v>
      </c>
      <c r="C5127" t="s">
        <v>385</v>
      </c>
      <c r="D5127" t="s">
        <v>46</v>
      </c>
      <c r="E5127" t="s">
        <v>651</v>
      </c>
      <c r="F5127" t="s">
        <v>664</v>
      </c>
      <c r="G5127" s="10">
        <v>11</v>
      </c>
      <c r="H5127" s="10">
        <v>11657</v>
      </c>
      <c r="I5127" s="10">
        <v>128227</v>
      </c>
      <c r="J5127" t="s">
        <v>37</v>
      </c>
      <c r="K5127" s="11">
        <v>648.20000000000005</v>
      </c>
      <c r="L5127" s="12">
        <v>197.82</v>
      </c>
    </row>
    <row r="5128" spans="1:12" x14ac:dyDescent="0.2">
      <c r="A5128" s="9">
        <v>46262</v>
      </c>
      <c r="B5128" t="s">
        <v>384</v>
      </c>
      <c r="C5128" t="s">
        <v>385</v>
      </c>
      <c r="D5128" t="s">
        <v>46</v>
      </c>
      <c r="E5128" t="s">
        <v>655</v>
      </c>
      <c r="F5128" t="s">
        <v>665</v>
      </c>
      <c r="G5128" s="10">
        <v>32</v>
      </c>
      <c r="H5128" s="10">
        <v>698</v>
      </c>
      <c r="I5128" s="10">
        <v>22336</v>
      </c>
      <c r="J5128" t="s">
        <v>37</v>
      </c>
      <c r="K5128" s="11">
        <v>648.20000000000005</v>
      </c>
      <c r="L5128" s="12">
        <v>34.46</v>
      </c>
    </row>
    <row r="5129" spans="1:12" x14ac:dyDescent="0.2">
      <c r="A5129" s="9">
        <v>46262</v>
      </c>
      <c r="B5129" t="s">
        <v>387</v>
      </c>
      <c r="C5129" t="s">
        <v>388</v>
      </c>
      <c r="D5129" t="s">
        <v>50</v>
      </c>
      <c r="E5129" t="s">
        <v>651</v>
      </c>
      <c r="F5129" t="s">
        <v>652</v>
      </c>
      <c r="G5129" s="10">
        <v>5</v>
      </c>
      <c r="H5129" s="10">
        <v>9407</v>
      </c>
      <c r="I5129" s="10">
        <v>47035</v>
      </c>
      <c r="J5129" t="s">
        <v>51</v>
      </c>
      <c r="K5129" s="11">
        <v>648.20000000000005</v>
      </c>
      <c r="L5129" s="12">
        <v>72.56</v>
      </c>
    </row>
    <row r="5130" spans="1:12" x14ac:dyDescent="0.2">
      <c r="A5130" s="9">
        <v>46262</v>
      </c>
      <c r="B5130" t="s">
        <v>390</v>
      </c>
      <c r="C5130" t="s">
        <v>391</v>
      </c>
      <c r="D5130" t="s">
        <v>46</v>
      </c>
      <c r="E5130" t="s">
        <v>647</v>
      </c>
      <c r="F5130" t="s">
        <v>668</v>
      </c>
      <c r="G5130" s="10">
        <v>11</v>
      </c>
      <c r="H5130" s="10">
        <v>25389</v>
      </c>
      <c r="I5130" s="10">
        <v>279279</v>
      </c>
      <c r="J5130" t="s">
        <v>37</v>
      </c>
      <c r="K5130" s="11">
        <v>648.20000000000005</v>
      </c>
      <c r="L5130" s="12">
        <v>430.85</v>
      </c>
    </row>
    <row r="5131" spans="1:12" x14ac:dyDescent="0.2">
      <c r="A5131" s="9">
        <v>46262</v>
      </c>
      <c r="B5131" t="s">
        <v>393</v>
      </c>
      <c r="C5131" t="s">
        <v>307</v>
      </c>
      <c r="D5131" t="s">
        <v>68</v>
      </c>
      <c r="E5131" t="s">
        <v>660</v>
      </c>
      <c r="F5131" t="s">
        <v>669</v>
      </c>
      <c r="G5131" s="10">
        <v>39</v>
      </c>
      <c r="H5131" s="10">
        <v>2588</v>
      </c>
      <c r="I5131" s="10">
        <v>100932</v>
      </c>
      <c r="J5131" t="s">
        <v>51</v>
      </c>
      <c r="K5131" s="11">
        <v>648.20000000000005</v>
      </c>
      <c r="L5131" s="12">
        <v>155.71</v>
      </c>
    </row>
    <row r="5132" spans="1:12" x14ac:dyDescent="0.2">
      <c r="A5132" s="9">
        <v>46262</v>
      </c>
      <c r="B5132" t="s">
        <v>393</v>
      </c>
      <c r="C5132" t="s">
        <v>307</v>
      </c>
      <c r="D5132" t="s">
        <v>68</v>
      </c>
      <c r="E5132" t="s">
        <v>653</v>
      </c>
      <c r="F5132" t="s">
        <v>654</v>
      </c>
      <c r="G5132" s="10">
        <v>173</v>
      </c>
      <c r="H5132" s="10">
        <v>5625</v>
      </c>
      <c r="I5132" s="10">
        <v>973125</v>
      </c>
      <c r="J5132" t="s">
        <v>51</v>
      </c>
      <c r="K5132" s="11">
        <v>648.20000000000005</v>
      </c>
      <c r="L5132" s="12">
        <v>1501.27</v>
      </c>
    </row>
    <row r="5133" spans="1:12" x14ac:dyDescent="0.2">
      <c r="A5133" s="9">
        <v>46262</v>
      </c>
      <c r="B5133" t="s">
        <v>398</v>
      </c>
      <c r="C5133" t="s">
        <v>399</v>
      </c>
      <c r="D5133" t="s">
        <v>46</v>
      </c>
      <c r="E5133" t="s">
        <v>651</v>
      </c>
      <c r="F5133" t="s">
        <v>652</v>
      </c>
      <c r="G5133" s="10">
        <v>7</v>
      </c>
      <c r="H5133" s="10">
        <v>9880</v>
      </c>
      <c r="I5133" s="10">
        <v>69160</v>
      </c>
      <c r="J5133" t="s">
        <v>37</v>
      </c>
      <c r="K5133" s="11">
        <v>648.20000000000005</v>
      </c>
      <c r="L5133" s="12">
        <v>106.7</v>
      </c>
    </row>
    <row r="5134" spans="1:12" x14ac:dyDescent="0.2">
      <c r="A5134" s="9">
        <v>46262</v>
      </c>
      <c r="B5134" t="s">
        <v>398</v>
      </c>
      <c r="C5134" t="s">
        <v>399</v>
      </c>
      <c r="D5134" t="s">
        <v>46</v>
      </c>
      <c r="E5134" t="s">
        <v>660</v>
      </c>
      <c r="F5134" t="s">
        <v>661</v>
      </c>
      <c r="G5134" s="10">
        <v>34</v>
      </c>
      <c r="H5134" s="10">
        <v>4035</v>
      </c>
      <c r="I5134" s="10">
        <v>137190</v>
      </c>
      <c r="J5134" t="s">
        <v>37</v>
      </c>
      <c r="K5134" s="11">
        <v>648.20000000000005</v>
      </c>
      <c r="L5134" s="12">
        <v>211.65</v>
      </c>
    </row>
    <row r="5135" spans="1:12" x14ac:dyDescent="0.2">
      <c r="A5135" s="9">
        <v>46262</v>
      </c>
      <c r="B5135" t="s">
        <v>398</v>
      </c>
      <c r="C5135" t="s">
        <v>399</v>
      </c>
      <c r="D5135" t="s">
        <v>46</v>
      </c>
      <c r="E5135" t="s">
        <v>660</v>
      </c>
      <c r="F5135" t="s">
        <v>661</v>
      </c>
      <c r="G5135" s="10">
        <v>26</v>
      </c>
      <c r="H5135" s="10">
        <v>4231</v>
      </c>
      <c r="I5135" s="10">
        <v>110006</v>
      </c>
      <c r="J5135" t="s">
        <v>37</v>
      </c>
      <c r="K5135" s="11">
        <v>648.20000000000005</v>
      </c>
      <c r="L5135" s="12">
        <v>169.71</v>
      </c>
    </row>
    <row r="5136" spans="1:12" x14ac:dyDescent="0.2">
      <c r="A5136" s="9">
        <v>46262</v>
      </c>
      <c r="B5136" t="s">
        <v>398</v>
      </c>
      <c r="C5136" t="s">
        <v>399</v>
      </c>
      <c r="D5136" t="s">
        <v>46</v>
      </c>
      <c r="E5136" t="s">
        <v>647</v>
      </c>
      <c r="F5136" t="s">
        <v>668</v>
      </c>
      <c r="G5136" s="10">
        <v>33</v>
      </c>
      <c r="H5136" s="10">
        <v>24584</v>
      </c>
      <c r="I5136" s="10">
        <v>811272</v>
      </c>
      <c r="J5136" t="s">
        <v>37</v>
      </c>
      <c r="K5136" s="11">
        <v>648.20000000000005</v>
      </c>
      <c r="L5136" s="12">
        <v>1251.58</v>
      </c>
    </row>
    <row r="5137" spans="1:12" x14ac:dyDescent="0.2">
      <c r="A5137" s="9">
        <v>46262</v>
      </c>
      <c r="B5137" t="s">
        <v>398</v>
      </c>
      <c r="C5137" t="s">
        <v>399</v>
      </c>
      <c r="D5137" t="s">
        <v>46</v>
      </c>
      <c r="E5137" t="s">
        <v>647</v>
      </c>
      <c r="F5137" t="s">
        <v>668</v>
      </c>
      <c r="G5137" s="10">
        <v>6</v>
      </c>
      <c r="H5137" s="10">
        <v>26074</v>
      </c>
      <c r="I5137" s="10">
        <v>156444</v>
      </c>
      <c r="J5137" t="s">
        <v>37</v>
      </c>
      <c r="K5137" s="11">
        <v>648.20000000000005</v>
      </c>
      <c r="L5137" s="12">
        <v>241.35</v>
      </c>
    </row>
    <row r="5138" spans="1:12" x14ac:dyDescent="0.2">
      <c r="A5138" s="9">
        <v>46262</v>
      </c>
      <c r="B5138" t="s">
        <v>401</v>
      </c>
      <c r="C5138" t="s">
        <v>402</v>
      </c>
      <c r="D5138" t="s">
        <v>36</v>
      </c>
      <c r="E5138" t="s">
        <v>660</v>
      </c>
      <c r="F5138" t="s">
        <v>661</v>
      </c>
      <c r="G5138" s="10">
        <v>16</v>
      </c>
      <c r="H5138" s="10">
        <v>4062</v>
      </c>
      <c r="I5138" s="10">
        <v>64992</v>
      </c>
      <c r="J5138" t="s">
        <v>37</v>
      </c>
      <c r="K5138" s="11">
        <v>648.20000000000005</v>
      </c>
      <c r="L5138" s="12">
        <v>100.27</v>
      </c>
    </row>
    <row r="5139" spans="1:12" x14ac:dyDescent="0.2">
      <c r="A5139" s="9">
        <v>46262</v>
      </c>
      <c r="B5139" t="s">
        <v>401</v>
      </c>
      <c r="C5139" t="s">
        <v>402</v>
      </c>
      <c r="D5139" t="s">
        <v>36</v>
      </c>
      <c r="E5139" t="s">
        <v>647</v>
      </c>
      <c r="F5139" t="s">
        <v>668</v>
      </c>
      <c r="G5139" s="10">
        <v>17</v>
      </c>
      <c r="H5139" s="10">
        <v>25166</v>
      </c>
      <c r="I5139" s="10">
        <v>427822</v>
      </c>
      <c r="J5139" t="s">
        <v>37</v>
      </c>
      <c r="K5139" s="11">
        <v>648.20000000000005</v>
      </c>
      <c r="L5139" s="12">
        <v>660.02</v>
      </c>
    </row>
    <row r="5140" spans="1:12" x14ac:dyDescent="0.2">
      <c r="A5140" s="9">
        <v>46262</v>
      </c>
      <c r="B5140" t="s">
        <v>404</v>
      </c>
      <c r="C5140" t="s">
        <v>405</v>
      </c>
      <c r="D5140" t="s">
        <v>46</v>
      </c>
      <c r="E5140" t="s">
        <v>660</v>
      </c>
      <c r="F5140" t="s">
        <v>669</v>
      </c>
      <c r="G5140" s="10">
        <v>6</v>
      </c>
      <c r="H5140" s="10">
        <v>2541</v>
      </c>
      <c r="I5140" s="10">
        <v>15246</v>
      </c>
      <c r="J5140" t="s">
        <v>37</v>
      </c>
      <c r="K5140" s="11">
        <v>648.20000000000005</v>
      </c>
      <c r="L5140" s="12">
        <v>23.52</v>
      </c>
    </row>
    <row r="5141" spans="1:12" x14ac:dyDescent="0.2">
      <c r="A5141" s="9">
        <v>46262</v>
      </c>
      <c r="B5141" t="s">
        <v>404</v>
      </c>
      <c r="C5141" t="s">
        <v>405</v>
      </c>
      <c r="D5141" t="s">
        <v>46</v>
      </c>
      <c r="E5141" t="s">
        <v>660</v>
      </c>
      <c r="F5141" t="s">
        <v>670</v>
      </c>
      <c r="G5141" s="10">
        <v>5</v>
      </c>
      <c r="H5141" s="10">
        <v>14087</v>
      </c>
      <c r="I5141" s="10">
        <v>70435</v>
      </c>
      <c r="J5141" t="s">
        <v>37</v>
      </c>
      <c r="K5141" s="11">
        <v>648.20000000000005</v>
      </c>
      <c r="L5141" s="12">
        <v>108.66</v>
      </c>
    </row>
    <row r="5142" spans="1:12" x14ac:dyDescent="0.2">
      <c r="A5142" s="9">
        <v>46262</v>
      </c>
      <c r="B5142" t="s">
        <v>404</v>
      </c>
      <c r="C5142" t="s">
        <v>405</v>
      </c>
      <c r="D5142" t="s">
        <v>46</v>
      </c>
      <c r="E5142" t="s">
        <v>660</v>
      </c>
      <c r="F5142" t="s">
        <v>670</v>
      </c>
      <c r="G5142" s="10">
        <v>7</v>
      </c>
      <c r="H5142" s="10">
        <v>15027</v>
      </c>
      <c r="I5142" s="10">
        <v>105189</v>
      </c>
      <c r="J5142" t="s">
        <v>37</v>
      </c>
      <c r="K5142" s="11">
        <v>648.20000000000005</v>
      </c>
      <c r="L5142" s="12">
        <v>162.28</v>
      </c>
    </row>
    <row r="5143" spans="1:12" x14ac:dyDescent="0.2">
      <c r="A5143" s="9">
        <v>46262</v>
      </c>
      <c r="B5143" t="s">
        <v>404</v>
      </c>
      <c r="C5143" t="s">
        <v>405</v>
      </c>
      <c r="D5143" t="s">
        <v>46</v>
      </c>
      <c r="E5143" t="s">
        <v>647</v>
      </c>
      <c r="F5143" t="s">
        <v>668</v>
      </c>
      <c r="G5143" s="10">
        <v>50</v>
      </c>
      <c r="H5143" s="10">
        <v>24427</v>
      </c>
      <c r="I5143" s="10">
        <v>1221350</v>
      </c>
      <c r="J5143" t="s">
        <v>37</v>
      </c>
      <c r="K5143" s="11">
        <v>648.20000000000005</v>
      </c>
      <c r="L5143" s="12">
        <v>1884.22</v>
      </c>
    </row>
    <row r="5144" spans="1:12" x14ac:dyDescent="0.2">
      <c r="A5144" s="9">
        <v>46262</v>
      </c>
      <c r="B5144" t="s">
        <v>410</v>
      </c>
      <c r="C5144" t="s">
        <v>411</v>
      </c>
      <c r="D5144" t="s">
        <v>46</v>
      </c>
      <c r="E5144" t="s">
        <v>651</v>
      </c>
      <c r="F5144" t="s">
        <v>664</v>
      </c>
      <c r="G5144" s="10">
        <v>157</v>
      </c>
      <c r="H5144" s="10">
        <v>11739</v>
      </c>
      <c r="I5144" s="10">
        <v>1843023</v>
      </c>
      <c r="J5144" t="s">
        <v>37</v>
      </c>
      <c r="K5144" s="11">
        <v>648.20000000000005</v>
      </c>
      <c r="L5144" s="12">
        <v>2843.29</v>
      </c>
    </row>
    <row r="5145" spans="1:12" x14ac:dyDescent="0.2">
      <c r="A5145" s="9">
        <v>46262</v>
      </c>
      <c r="B5145" t="s">
        <v>413</v>
      </c>
      <c r="C5145" t="s">
        <v>414</v>
      </c>
      <c r="D5145" t="s">
        <v>41</v>
      </c>
      <c r="E5145" t="s">
        <v>649</v>
      </c>
      <c r="F5145" t="s">
        <v>650</v>
      </c>
      <c r="G5145" s="10">
        <v>15</v>
      </c>
      <c r="H5145" s="10">
        <v>96146</v>
      </c>
      <c r="I5145" s="10">
        <v>1442190</v>
      </c>
      <c r="J5145" t="s">
        <v>42</v>
      </c>
      <c r="K5145" s="11">
        <v>3145.8</v>
      </c>
      <c r="L5145" s="12">
        <v>458.45</v>
      </c>
    </row>
    <row r="5146" spans="1:12" x14ac:dyDescent="0.2">
      <c r="A5146" s="9">
        <v>46262</v>
      </c>
      <c r="B5146" t="s">
        <v>416</v>
      </c>
      <c r="C5146" t="s">
        <v>417</v>
      </c>
      <c r="D5146" t="s">
        <v>36</v>
      </c>
      <c r="E5146" t="s">
        <v>655</v>
      </c>
      <c r="F5146" t="s">
        <v>665</v>
      </c>
      <c r="G5146" s="10">
        <v>2</v>
      </c>
      <c r="H5146" s="10">
        <v>674</v>
      </c>
      <c r="I5146" s="10">
        <v>1348</v>
      </c>
      <c r="J5146" t="s">
        <v>37</v>
      </c>
      <c r="K5146" s="11">
        <v>648.20000000000005</v>
      </c>
      <c r="L5146" s="12">
        <v>2.08</v>
      </c>
    </row>
    <row r="5147" spans="1:12" x14ac:dyDescent="0.2">
      <c r="A5147" s="9">
        <v>46262</v>
      </c>
      <c r="B5147" t="s">
        <v>419</v>
      </c>
      <c r="C5147" t="s">
        <v>420</v>
      </c>
      <c r="D5147" t="s">
        <v>46</v>
      </c>
      <c r="E5147" t="s">
        <v>651</v>
      </c>
      <c r="F5147" t="s">
        <v>664</v>
      </c>
      <c r="G5147" s="10">
        <v>30</v>
      </c>
      <c r="H5147" s="10">
        <v>12340</v>
      </c>
      <c r="I5147" s="10">
        <v>370200</v>
      </c>
      <c r="J5147" t="s">
        <v>37</v>
      </c>
      <c r="K5147" s="11">
        <v>648.20000000000005</v>
      </c>
      <c r="L5147" s="12">
        <v>571.12</v>
      </c>
    </row>
    <row r="5148" spans="1:12" x14ac:dyDescent="0.2">
      <c r="A5148" s="9">
        <v>46262</v>
      </c>
      <c r="B5148" t="s">
        <v>431</v>
      </c>
      <c r="C5148" t="s">
        <v>432</v>
      </c>
      <c r="D5148" t="s">
        <v>36</v>
      </c>
      <c r="E5148" t="s">
        <v>660</v>
      </c>
      <c r="F5148" t="s">
        <v>661</v>
      </c>
      <c r="G5148" s="10">
        <v>10</v>
      </c>
      <c r="H5148" s="10">
        <v>4343</v>
      </c>
      <c r="I5148" s="10">
        <v>43430</v>
      </c>
      <c r="J5148" t="s">
        <v>37</v>
      </c>
      <c r="K5148" s="11">
        <v>648.20000000000005</v>
      </c>
      <c r="L5148" s="12">
        <v>67</v>
      </c>
    </row>
    <row r="5149" spans="1:12" x14ac:dyDescent="0.2">
      <c r="A5149" s="9">
        <v>46262</v>
      </c>
      <c r="B5149" t="s">
        <v>431</v>
      </c>
      <c r="C5149" t="s">
        <v>432</v>
      </c>
      <c r="D5149" t="s">
        <v>36</v>
      </c>
      <c r="E5149" t="s">
        <v>647</v>
      </c>
      <c r="F5149" t="s">
        <v>648</v>
      </c>
      <c r="G5149" s="10">
        <v>1</v>
      </c>
      <c r="H5149" s="10">
        <v>15694</v>
      </c>
      <c r="I5149" s="10">
        <v>15694</v>
      </c>
      <c r="J5149" t="s">
        <v>37</v>
      </c>
      <c r="K5149" s="11">
        <v>648.20000000000005</v>
      </c>
      <c r="L5149" s="12">
        <v>24.21</v>
      </c>
    </row>
    <row r="5150" spans="1:12" x14ac:dyDescent="0.2">
      <c r="A5150" s="9">
        <v>46262</v>
      </c>
      <c r="B5150" t="s">
        <v>439</v>
      </c>
      <c r="C5150" t="s">
        <v>440</v>
      </c>
      <c r="D5150" t="s">
        <v>50</v>
      </c>
      <c r="E5150" t="s">
        <v>655</v>
      </c>
      <c r="F5150" t="s">
        <v>662</v>
      </c>
      <c r="G5150" s="10">
        <v>3</v>
      </c>
      <c r="H5150" s="10">
        <v>1102</v>
      </c>
      <c r="I5150" s="10">
        <v>3306</v>
      </c>
      <c r="J5150" t="s">
        <v>51</v>
      </c>
      <c r="K5150" s="11">
        <v>648.20000000000005</v>
      </c>
      <c r="L5150" s="12">
        <v>5.0999999999999996</v>
      </c>
    </row>
    <row r="5151" spans="1:12" x14ac:dyDescent="0.2">
      <c r="A5151" s="9">
        <v>46262</v>
      </c>
      <c r="B5151" t="s">
        <v>439</v>
      </c>
      <c r="C5151" t="s">
        <v>440</v>
      </c>
      <c r="D5151" t="s">
        <v>50</v>
      </c>
      <c r="E5151" t="s">
        <v>653</v>
      </c>
      <c r="F5151" t="s">
        <v>654</v>
      </c>
      <c r="G5151" s="10">
        <v>32</v>
      </c>
      <c r="H5151" s="10">
        <v>5486</v>
      </c>
      <c r="I5151" s="10">
        <v>175552</v>
      </c>
      <c r="J5151" t="s">
        <v>51</v>
      </c>
      <c r="K5151" s="11">
        <v>648.20000000000005</v>
      </c>
      <c r="L5151" s="12">
        <v>270.83</v>
      </c>
    </row>
    <row r="5152" spans="1:12" x14ac:dyDescent="0.2">
      <c r="A5152" s="9">
        <v>46262</v>
      </c>
      <c r="B5152" t="s">
        <v>448</v>
      </c>
      <c r="C5152" t="s">
        <v>449</v>
      </c>
      <c r="D5152" t="s">
        <v>75</v>
      </c>
      <c r="E5152" t="s">
        <v>653</v>
      </c>
      <c r="F5152" t="s">
        <v>654</v>
      </c>
      <c r="G5152" s="10">
        <v>13</v>
      </c>
      <c r="H5152" s="10">
        <v>28383</v>
      </c>
      <c r="I5152" s="10">
        <v>368979</v>
      </c>
      <c r="J5152" t="s">
        <v>42</v>
      </c>
      <c r="K5152" s="11">
        <v>3145.8</v>
      </c>
      <c r="L5152" s="12">
        <v>117.29</v>
      </c>
    </row>
    <row r="5153" spans="1:12" x14ac:dyDescent="0.2">
      <c r="A5153" s="9">
        <v>46262</v>
      </c>
      <c r="B5153" t="s">
        <v>457</v>
      </c>
      <c r="C5153" t="s">
        <v>458</v>
      </c>
      <c r="D5153" t="s">
        <v>46</v>
      </c>
      <c r="E5153" t="s">
        <v>653</v>
      </c>
      <c r="F5153" t="s">
        <v>658</v>
      </c>
      <c r="G5153" s="10">
        <v>7</v>
      </c>
      <c r="H5153" s="10">
        <v>2715</v>
      </c>
      <c r="I5153" s="10">
        <v>19005</v>
      </c>
      <c r="J5153" t="s">
        <v>37</v>
      </c>
      <c r="K5153" s="11">
        <v>648.20000000000005</v>
      </c>
      <c r="L5153" s="12">
        <v>29.32</v>
      </c>
    </row>
    <row r="5154" spans="1:12" x14ac:dyDescent="0.2">
      <c r="A5154" s="9">
        <v>46262</v>
      </c>
      <c r="B5154" t="s">
        <v>457</v>
      </c>
      <c r="C5154" t="s">
        <v>458</v>
      </c>
      <c r="D5154" t="s">
        <v>46</v>
      </c>
      <c r="E5154" t="s">
        <v>660</v>
      </c>
      <c r="F5154" t="s">
        <v>661</v>
      </c>
      <c r="G5154" s="10">
        <v>31</v>
      </c>
      <c r="H5154" s="10">
        <v>4242</v>
      </c>
      <c r="I5154" s="10">
        <v>131502</v>
      </c>
      <c r="J5154" t="s">
        <v>37</v>
      </c>
      <c r="K5154" s="11">
        <v>648.20000000000005</v>
      </c>
      <c r="L5154" s="12">
        <v>202.87</v>
      </c>
    </row>
    <row r="5155" spans="1:12" x14ac:dyDescent="0.2">
      <c r="A5155" s="9">
        <v>46262</v>
      </c>
      <c r="B5155" t="s">
        <v>460</v>
      </c>
      <c r="C5155" t="s">
        <v>461</v>
      </c>
      <c r="D5155" t="s">
        <v>75</v>
      </c>
      <c r="E5155" t="s">
        <v>660</v>
      </c>
      <c r="F5155" t="s">
        <v>669</v>
      </c>
      <c r="G5155" s="10">
        <v>24</v>
      </c>
      <c r="H5155" s="10">
        <v>12732</v>
      </c>
      <c r="I5155" s="10">
        <v>305568</v>
      </c>
      <c r="J5155" t="s">
        <v>42</v>
      </c>
      <c r="K5155" s="11">
        <v>3145.8</v>
      </c>
      <c r="L5155" s="12">
        <v>97.14</v>
      </c>
    </row>
    <row r="5156" spans="1:12" x14ac:dyDescent="0.2">
      <c r="A5156" s="9">
        <v>46262</v>
      </c>
      <c r="B5156" t="s">
        <v>460</v>
      </c>
      <c r="C5156" t="s">
        <v>461</v>
      </c>
      <c r="D5156" t="s">
        <v>75</v>
      </c>
      <c r="E5156" t="s">
        <v>660</v>
      </c>
      <c r="F5156" t="s">
        <v>669</v>
      </c>
      <c r="G5156" s="10">
        <v>17</v>
      </c>
      <c r="H5156" s="10">
        <v>12578</v>
      </c>
      <c r="I5156" s="10">
        <v>213826</v>
      </c>
      <c r="J5156" t="s">
        <v>42</v>
      </c>
      <c r="K5156" s="11">
        <v>3145.8</v>
      </c>
      <c r="L5156" s="12">
        <v>67.97</v>
      </c>
    </row>
    <row r="5157" spans="1:12" x14ac:dyDescent="0.2">
      <c r="A5157" s="9">
        <v>46262</v>
      </c>
      <c r="B5157" t="s">
        <v>463</v>
      </c>
      <c r="C5157" t="s">
        <v>464</v>
      </c>
      <c r="D5157" t="s">
        <v>36</v>
      </c>
      <c r="E5157" t="s">
        <v>660</v>
      </c>
      <c r="F5157" t="s">
        <v>669</v>
      </c>
      <c r="G5157" s="10">
        <v>4</v>
      </c>
      <c r="H5157" s="10">
        <v>2590</v>
      </c>
      <c r="I5157" s="10">
        <v>10360</v>
      </c>
      <c r="J5157" t="s">
        <v>37</v>
      </c>
      <c r="K5157" s="11">
        <v>648.20000000000005</v>
      </c>
      <c r="L5157" s="12">
        <v>15.98</v>
      </c>
    </row>
    <row r="5158" spans="1:12" x14ac:dyDescent="0.2">
      <c r="A5158" s="9">
        <v>46262</v>
      </c>
      <c r="B5158" t="s">
        <v>469</v>
      </c>
      <c r="C5158" t="s">
        <v>470</v>
      </c>
      <c r="D5158" t="s">
        <v>41</v>
      </c>
      <c r="E5158" t="s">
        <v>660</v>
      </c>
      <c r="F5158" t="s">
        <v>661</v>
      </c>
      <c r="G5158" s="10">
        <v>6</v>
      </c>
      <c r="H5158" s="10">
        <v>20837</v>
      </c>
      <c r="I5158" s="10">
        <v>125022</v>
      </c>
      <c r="J5158" t="s">
        <v>42</v>
      </c>
      <c r="K5158" s="11">
        <v>3145.8</v>
      </c>
      <c r="L5158" s="12">
        <v>39.74</v>
      </c>
    </row>
    <row r="5159" spans="1:12" x14ac:dyDescent="0.2">
      <c r="A5159" s="9">
        <v>46262</v>
      </c>
      <c r="B5159" t="s">
        <v>469</v>
      </c>
      <c r="C5159" t="s">
        <v>470</v>
      </c>
      <c r="D5159" t="s">
        <v>41</v>
      </c>
      <c r="E5159" t="s">
        <v>647</v>
      </c>
      <c r="F5159" t="s">
        <v>668</v>
      </c>
      <c r="G5159" s="10">
        <v>7</v>
      </c>
      <c r="H5159" s="10">
        <v>118861</v>
      </c>
      <c r="I5159" s="10">
        <v>832027</v>
      </c>
      <c r="J5159" t="s">
        <v>42</v>
      </c>
      <c r="K5159" s="11">
        <v>3145.8</v>
      </c>
      <c r="L5159" s="12">
        <v>264.49</v>
      </c>
    </row>
    <row r="5160" spans="1:12" x14ac:dyDescent="0.2">
      <c r="A5160" s="9">
        <v>46262</v>
      </c>
      <c r="B5160" t="s">
        <v>469</v>
      </c>
      <c r="C5160" t="s">
        <v>470</v>
      </c>
      <c r="D5160" t="s">
        <v>41</v>
      </c>
      <c r="E5160" t="s">
        <v>647</v>
      </c>
      <c r="F5160" t="s">
        <v>668</v>
      </c>
      <c r="G5160" s="10">
        <v>12</v>
      </c>
      <c r="H5160" s="10">
        <v>123296</v>
      </c>
      <c r="I5160" s="10">
        <v>1479552</v>
      </c>
      <c r="J5160" t="s">
        <v>42</v>
      </c>
      <c r="K5160" s="11">
        <v>3145.8</v>
      </c>
      <c r="L5160" s="12">
        <v>470.33</v>
      </c>
    </row>
    <row r="5161" spans="1:12" x14ac:dyDescent="0.2">
      <c r="A5161" s="9">
        <v>46262</v>
      </c>
      <c r="B5161" t="s">
        <v>469</v>
      </c>
      <c r="C5161" t="s">
        <v>470</v>
      </c>
      <c r="D5161" t="s">
        <v>41</v>
      </c>
      <c r="E5161" t="s">
        <v>655</v>
      </c>
      <c r="F5161" t="s">
        <v>656</v>
      </c>
      <c r="G5161" s="10">
        <v>13</v>
      </c>
      <c r="H5161" s="10">
        <v>2847</v>
      </c>
      <c r="I5161" s="10">
        <v>37011</v>
      </c>
      <c r="J5161" t="s">
        <v>42</v>
      </c>
      <c r="K5161" s="11">
        <v>3145.8</v>
      </c>
      <c r="L5161" s="12">
        <v>11.77</v>
      </c>
    </row>
    <row r="5162" spans="1:12" x14ac:dyDescent="0.2">
      <c r="A5162" s="9">
        <v>46262</v>
      </c>
      <c r="B5162" t="s">
        <v>472</v>
      </c>
      <c r="C5162" t="s">
        <v>473</v>
      </c>
      <c r="D5162" t="s">
        <v>68</v>
      </c>
      <c r="E5162" t="s">
        <v>660</v>
      </c>
      <c r="F5162" t="s">
        <v>661</v>
      </c>
      <c r="G5162" s="10">
        <v>16</v>
      </c>
      <c r="H5162" s="10">
        <v>4324</v>
      </c>
      <c r="I5162" s="10">
        <v>69184</v>
      </c>
      <c r="J5162" t="s">
        <v>51</v>
      </c>
      <c r="K5162" s="11">
        <v>648.20000000000005</v>
      </c>
      <c r="L5162" s="12">
        <v>106.73</v>
      </c>
    </row>
    <row r="5163" spans="1:12" x14ac:dyDescent="0.2">
      <c r="A5163" s="9">
        <v>46262</v>
      </c>
      <c r="B5163" t="s">
        <v>472</v>
      </c>
      <c r="C5163" t="s">
        <v>473</v>
      </c>
      <c r="D5163" t="s">
        <v>68</v>
      </c>
      <c r="E5163" t="s">
        <v>647</v>
      </c>
      <c r="F5163" t="s">
        <v>668</v>
      </c>
      <c r="G5163" s="10">
        <v>6</v>
      </c>
      <c r="H5163" s="10">
        <v>24235</v>
      </c>
      <c r="I5163" s="10">
        <v>145410</v>
      </c>
      <c r="J5163" t="s">
        <v>51</v>
      </c>
      <c r="K5163" s="11">
        <v>648.20000000000005</v>
      </c>
      <c r="L5163" s="12">
        <v>224.33</v>
      </c>
    </row>
    <row r="5164" spans="1:12" x14ac:dyDescent="0.2">
      <c r="A5164" s="9">
        <v>46262</v>
      </c>
      <c r="B5164" t="s">
        <v>475</v>
      </c>
      <c r="C5164" t="s">
        <v>476</v>
      </c>
      <c r="D5164" t="s">
        <v>75</v>
      </c>
      <c r="E5164" t="s">
        <v>649</v>
      </c>
      <c r="F5164" t="s">
        <v>650</v>
      </c>
      <c r="G5164" s="10">
        <v>49</v>
      </c>
      <c r="H5164" s="10">
        <v>90164</v>
      </c>
      <c r="I5164" s="10">
        <v>4418036</v>
      </c>
      <c r="J5164" t="s">
        <v>42</v>
      </c>
      <c r="K5164" s="11">
        <v>3145.8</v>
      </c>
      <c r="L5164" s="12">
        <v>1404.42</v>
      </c>
    </row>
    <row r="5165" spans="1:12" x14ac:dyDescent="0.2">
      <c r="A5165" s="9">
        <v>46262</v>
      </c>
      <c r="B5165" t="s">
        <v>475</v>
      </c>
      <c r="C5165" t="s">
        <v>476</v>
      </c>
      <c r="D5165" t="s">
        <v>75</v>
      </c>
      <c r="E5165" t="s">
        <v>660</v>
      </c>
      <c r="F5165" t="s">
        <v>669</v>
      </c>
      <c r="G5165" s="10">
        <v>11</v>
      </c>
      <c r="H5165" s="10">
        <v>12410</v>
      </c>
      <c r="I5165" s="10">
        <v>136510</v>
      </c>
      <c r="J5165" t="s">
        <v>42</v>
      </c>
      <c r="K5165" s="11">
        <v>3145.8</v>
      </c>
      <c r="L5165" s="12">
        <v>43.39</v>
      </c>
    </row>
    <row r="5166" spans="1:12" x14ac:dyDescent="0.2">
      <c r="A5166" s="9">
        <v>46262</v>
      </c>
      <c r="B5166" t="s">
        <v>475</v>
      </c>
      <c r="C5166" t="s">
        <v>476</v>
      </c>
      <c r="D5166" t="s">
        <v>75</v>
      </c>
      <c r="E5166" t="s">
        <v>660</v>
      </c>
      <c r="F5166" t="s">
        <v>670</v>
      </c>
      <c r="G5166" s="10">
        <v>34</v>
      </c>
      <c r="H5166" s="10">
        <v>70173</v>
      </c>
      <c r="I5166" s="10">
        <v>2385882</v>
      </c>
      <c r="J5166" t="s">
        <v>42</v>
      </c>
      <c r="K5166" s="11">
        <v>3145.8</v>
      </c>
      <c r="L5166" s="12">
        <v>758.43</v>
      </c>
    </row>
    <row r="5167" spans="1:12" x14ac:dyDescent="0.2">
      <c r="A5167" s="9">
        <v>46262</v>
      </c>
      <c r="B5167" t="s">
        <v>475</v>
      </c>
      <c r="C5167" t="s">
        <v>476</v>
      </c>
      <c r="D5167" t="s">
        <v>75</v>
      </c>
      <c r="E5167" t="s">
        <v>655</v>
      </c>
      <c r="F5167" t="s">
        <v>656</v>
      </c>
      <c r="G5167" s="10">
        <v>21</v>
      </c>
      <c r="H5167" s="10">
        <v>2810</v>
      </c>
      <c r="I5167" s="10">
        <v>59010</v>
      </c>
      <c r="J5167" t="s">
        <v>42</v>
      </c>
      <c r="K5167" s="11">
        <v>3145.8</v>
      </c>
      <c r="L5167" s="12">
        <v>18.760000000000002</v>
      </c>
    </row>
    <row r="5168" spans="1:12" x14ac:dyDescent="0.2">
      <c r="A5168" s="9">
        <v>46262</v>
      </c>
      <c r="B5168" t="s">
        <v>483</v>
      </c>
      <c r="C5168" t="s">
        <v>340</v>
      </c>
      <c r="D5168" t="s">
        <v>46</v>
      </c>
      <c r="E5168" t="s">
        <v>651</v>
      </c>
      <c r="F5168" t="s">
        <v>664</v>
      </c>
      <c r="G5168" s="10">
        <v>1</v>
      </c>
      <c r="H5168" s="10">
        <v>12282</v>
      </c>
      <c r="I5168" s="10">
        <v>12282</v>
      </c>
      <c r="J5168" t="s">
        <v>37</v>
      </c>
      <c r="K5168" s="11">
        <v>648.20000000000005</v>
      </c>
      <c r="L5168" s="12">
        <v>18.95</v>
      </c>
    </row>
    <row r="5169" spans="1:12" x14ac:dyDescent="0.2">
      <c r="A5169" s="9">
        <v>46262</v>
      </c>
      <c r="B5169" t="s">
        <v>485</v>
      </c>
      <c r="C5169" t="s">
        <v>486</v>
      </c>
      <c r="D5169" t="s">
        <v>41</v>
      </c>
      <c r="E5169" t="s">
        <v>649</v>
      </c>
      <c r="F5169" t="s">
        <v>663</v>
      </c>
      <c r="G5169" s="10">
        <v>6</v>
      </c>
      <c r="H5169" s="10">
        <v>9667</v>
      </c>
      <c r="I5169" s="10">
        <v>58002</v>
      </c>
      <c r="J5169" t="s">
        <v>42</v>
      </c>
      <c r="K5169" s="11">
        <v>3145.8</v>
      </c>
      <c r="L5169" s="12">
        <v>18.440000000000001</v>
      </c>
    </row>
    <row r="5170" spans="1:12" x14ac:dyDescent="0.2">
      <c r="A5170" s="9">
        <v>46262</v>
      </c>
      <c r="B5170" t="s">
        <v>488</v>
      </c>
      <c r="C5170" t="s">
        <v>489</v>
      </c>
      <c r="D5170" t="s">
        <v>46</v>
      </c>
      <c r="E5170" t="s">
        <v>647</v>
      </c>
      <c r="F5170" t="s">
        <v>648</v>
      </c>
      <c r="G5170" s="10">
        <v>13</v>
      </c>
      <c r="H5170" s="10">
        <v>16388</v>
      </c>
      <c r="I5170" s="10">
        <v>213044</v>
      </c>
      <c r="J5170" t="s">
        <v>37</v>
      </c>
      <c r="K5170" s="11">
        <v>648.20000000000005</v>
      </c>
      <c r="L5170" s="12">
        <v>328.67</v>
      </c>
    </row>
    <row r="5171" spans="1:12" x14ac:dyDescent="0.2">
      <c r="A5171" s="9">
        <v>46262</v>
      </c>
      <c r="B5171" t="s">
        <v>491</v>
      </c>
      <c r="C5171" t="s">
        <v>125</v>
      </c>
      <c r="D5171" t="s">
        <v>75</v>
      </c>
      <c r="E5171" t="s">
        <v>647</v>
      </c>
      <c r="F5171" t="s">
        <v>648</v>
      </c>
      <c r="G5171" s="10">
        <v>6</v>
      </c>
      <c r="H5171" s="10">
        <v>78048</v>
      </c>
      <c r="I5171" s="10">
        <v>468288</v>
      </c>
      <c r="J5171" t="s">
        <v>42</v>
      </c>
      <c r="K5171" s="11">
        <v>3145.8</v>
      </c>
      <c r="L5171" s="12">
        <v>148.86000000000001</v>
      </c>
    </row>
    <row r="5172" spans="1:12" x14ac:dyDescent="0.2">
      <c r="A5172" s="9">
        <v>46262</v>
      </c>
      <c r="B5172" t="s">
        <v>502</v>
      </c>
      <c r="C5172" t="s">
        <v>503</v>
      </c>
      <c r="D5172" t="s">
        <v>41</v>
      </c>
      <c r="E5172" t="s">
        <v>653</v>
      </c>
      <c r="F5172" t="s">
        <v>658</v>
      </c>
      <c r="G5172" s="10">
        <v>27</v>
      </c>
      <c r="H5172" s="10">
        <v>13186</v>
      </c>
      <c r="I5172" s="10">
        <v>356022</v>
      </c>
      <c r="J5172" t="s">
        <v>42</v>
      </c>
      <c r="K5172" s="11">
        <v>3145.8</v>
      </c>
      <c r="L5172" s="12">
        <v>113.17</v>
      </c>
    </row>
    <row r="5173" spans="1:12" x14ac:dyDescent="0.2">
      <c r="A5173" s="9">
        <v>46262</v>
      </c>
      <c r="B5173" t="s">
        <v>505</v>
      </c>
      <c r="C5173" t="s">
        <v>506</v>
      </c>
      <c r="D5173" t="s">
        <v>36</v>
      </c>
      <c r="E5173" t="s">
        <v>649</v>
      </c>
      <c r="F5173" t="s">
        <v>650</v>
      </c>
      <c r="G5173" s="10">
        <v>10</v>
      </c>
      <c r="H5173" s="10">
        <v>19745</v>
      </c>
      <c r="I5173" s="10">
        <v>197450</v>
      </c>
      <c r="J5173" t="s">
        <v>37</v>
      </c>
      <c r="K5173" s="11">
        <v>648.20000000000005</v>
      </c>
      <c r="L5173" s="12">
        <v>304.61</v>
      </c>
    </row>
    <row r="5174" spans="1:12" x14ac:dyDescent="0.2">
      <c r="A5174" s="9">
        <v>46262</v>
      </c>
      <c r="B5174" t="s">
        <v>508</v>
      </c>
      <c r="C5174" t="s">
        <v>509</v>
      </c>
      <c r="D5174" t="s">
        <v>68</v>
      </c>
      <c r="E5174" t="s">
        <v>653</v>
      </c>
      <c r="F5174" t="s">
        <v>654</v>
      </c>
      <c r="G5174" s="10">
        <v>13</v>
      </c>
      <c r="H5174" s="10">
        <v>5856</v>
      </c>
      <c r="I5174" s="10">
        <v>76128</v>
      </c>
      <c r="J5174" t="s">
        <v>51</v>
      </c>
      <c r="K5174" s="11">
        <v>648.20000000000005</v>
      </c>
      <c r="L5174" s="12">
        <v>117.45</v>
      </c>
    </row>
    <row r="5175" spans="1:12" x14ac:dyDescent="0.2">
      <c r="A5175" s="9">
        <v>46262</v>
      </c>
      <c r="B5175" t="s">
        <v>511</v>
      </c>
      <c r="C5175" t="s">
        <v>512</v>
      </c>
      <c r="D5175" t="s">
        <v>75</v>
      </c>
      <c r="E5175" t="s">
        <v>649</v>
      </c>
      <c r="F5175" t="s">
        <v>663</v>
      </c>
      <c r="G5175" s="10">
        <v>5</v>
      </c>
      <c r="H5175" s="10">
        <v>9877</v>
      </c>
      <c r="I5175" s="10">
        <v>49385</v>
      </c>
      <c r="J5175" t="s">
        <v>42</v>
      </c>
      <c r="K5175" s="11">
        <v>3145.8</v>
      </c>
      <c r="L5175" s="12">
        <v>15.7</v>
      </c>
    </row>
    <row r="5176" spans="1:12" x14ac:dyDescent="0.2">
      <c r="A5176" s="9">
        <v>46262</v>
      </c>
      <c r="B5176" t="s">
        <v>511</v>
      </c>
      <c r="C5176" t="s">
        <v>512</v>
      </c>
      <c r="D5176" t="s">
        <v>75</v>
      </c>
      <c r="E5176" t="s">
        <v>655</v>
      </c>
      <c r="F5176" t="s">
        <v>656</v>
      </c>
      <c r="G5176" s="10">
        <v>34</v>
      </c>
      <c r="H5176" s="10">
        <v>2711</v>
      </c>
      <c r="I5176" s="10">
        <v>92174</v>
      </c>
      <c r="J5176" t="s">
        <v>42</v>
      </c>
      <c r="K5176" s="11">
        <v>3145.8</v>
      </c>
      <c r="L5176" s="12">
        <v>29.3</v>
      </c>
    </row>
    <row r="5177" spans="1:12" x14ac:dyDescent="0.2">
      <c r="A5177" s="9">
        <v>46262</v>
      </c>
      <c r="B5177" t="s">
        <v>517</v>
      </c>
      <c r="C5177" t="s">
        <v>518</v>
      </c>
      <c r="D5177" t="s">
        <v>41</v>
      </c>
      <c r="E5177" t="s">
        <v>647</v>
      </c>
      <c r="F5177" t="s">
        <v>668</v>
      </c>
      <c r="G5177" s="10">
        <v>52</v>
      </c>
      <c r="H5177" s="10">
        <v>117488</v>
      </c>
      <c r="I5177" s="10">
        <v>6109376</v>
      </c>
      <c r="J5177" t="s">
        <v>42</v>
      </c>
      <c r="K5177" s="11">
        <v>3145.8</v>
      </c>
      <c r="L5177" s="12">
        <v>1942.07</v>
      </c>
    </row>
    <row r="5178" spans="1:12" x14ac:dyDescent="0.2">
      <c r="A5178" s="9">
        <v>46262</v>
      </c>
      <c r="B5178" t="s">
        <v>522</v>
      </c>
      <c r="C5178" t="s">
        <v>523</v>
      </c>
      <c r="D5178" t="s">
        <v>50</v>
      </c>
      <c r="E5178" t="s">
        <v>647</v>
      </c>
      <c r="F5178" t="s">
        <v>648</v>
      </c>
      <c r="G5178" s="10">
        <v>46</v>
      </c>
      <c r="H5178" s="10">
        <v>16441</v>
      </c>
      <c r="I5178" s="10">
        <v>756286</v>
      </c>
      <c r="J5178" t="s">
        <v>51</v>
      </c>
      <c r="K5178" s="11">
        <v>648.20000000000005</v>
      </c>
      <c r="L5178" s="12">
        <v>1166.75</v>
      </c>
    </row>
    <row r="5179" spans="1:12" x14ac:dyDescent="0.2">
      <c r="A5179" s="9">
        <v>46262</v>
      </c>
      <c r="B5179" t="s">
        <v>528</v>
      </c>
      <c r="C5179" t="s">
        <v>529</v>
      </c>
      <c r="D5179" t="s">
        <v>46</v>
      </c>
      <c r="E5179" t="s">
        <v>655</v>
      </c>
      <c r="F5179" t="s">
        <v>656</v>
      </c>
      <c r="G5179" s="10">
        <v>172</v>
      </c>
      <c r="H5179" s="10">
        <v>576</v>
      </c>
      <c r="I5179" s="10">
        <v>99072</v>
      </c>
      <c r="J5179" t="s">
        <v>37</v>
      </c>
      <c r="K5179" s="11">
        <v>648.20000000000005</v>
      </c>
      <c r="L5179" s="12">
        <v>152.84</v>
      </c>
    </row>
    <row r="5180" spans="1:12" x14ac:dyDescent="0.2">
      <c r="A5180" s="9">
        <v>46262</v>
      </c>
      <c r="B5180" t="s">
        <v>531</v>
      </c>
      <c r="C5180" t="s">
        <v>532</v>
      </c>
      <c r="D5180" t="s">
        <v>50</v>
      </c>
      <c r="E5180" t="s">
        <v>655</v>
      </c>
      <c r="F5180" t="s">
        <v>662</v>
      </c>
      <c r="G5180" s="10">
        <v>42</v>
      </c>
      <c r="H5180" s="10">
        <v>1088</v>
      </c>
      <c r="I5180" s="10">
        <v>45696</v>
      </c>
      <c r="J5180" t="s">
        <v>51</v>
      </c>
      <c r="K5180" s="11">
        <v>648.20000000000005</v>
      </c>
      <c r="L5180" s="12">
        <v>70.5</v>
      </c>
    </row>
    <row r="5181" spans="1:12" x14ac:dyDescent="0.2">
      <c r="A5181" s="9">
        <v>46262</v>
      </c>
      <c r="B5181" t="s">
        <v>531</v>
      </c>
      <c r="C5181" t="s">
        <v>532</v>
      </c>
      <c r="D5181" t="s">
        <v>50</v>
      </c>
      <c r="E5181" t="s">
        <v>660</v>
      </c>
      <c r="F5181" t="s">
        <v>669</v>
      </c>
      <c r="G5181" s="10">
        <v>107</v>
      </c>
      <c r="H5181" s="10">
        <v>2628</v>
      </c>
      <c r="I5181" s="10">
        <v>281196</v>
      </c>
      <c r="J5181" t="s">
        <v>51</v>
      </c>
      <c r="K5181" s="11">
        <v>648.20000000000005</v>
      </c>
      <c r="L5181" s="12">
        <v>433.81</v>
      </c>
    </row>
    <row r="5182" spans="1:12" x14ac:dyDescent="0.2">
      <c r="A5182" s="9">
        <v>46262</v>
      </c>
      <c r="B5182" t="s">
        <v>531</v>
      </c>
      <c r="C5182" t="s">
        <v>532</v>
      </c>
      <c r="D5182" t="s">
        <v>50</v>
      </c>
      <c r="E5182" t="s">
        <v>660</v>
      </c>
      <c r="F5182" t="s">
        <v>670</v>
      </c>
      <c r="G5182" s="10">
        <v>42</v>
      </c>
      <c r="H5182" s="10">
        <v>14166</v>
      </c>
      <c r="I5182" s="10">
        <v>594972</v>
      </c>
      <c r="J5182" t="s">
        <v>51</v>
      </c>
      <c r="K5182" s="11">
        <v>648.20000000000005</v>
      </c>
      <c r="L5182" s="12">
        <v>917.88</v>
      </c>
    </row>
    <row r="5183" spans="1:12" x14ac:dyDescent="0.2">
      <c r="A5183" s="9">
        <v>46262</v>
      </c>
      <c r="B5183" t="s">
        <v>531</v>
      </c>
      <c r="C5183" t="s">
        <v>532</v>
      </c>
      <c r="D5183" t="s">
        <v>50</v>
      </c>
      <c r="E5183" t="s">
        <v>660</v>
      </c>
      <c r="F5183" t="s">
        <v>661</v>
      </c>
      <c r="G5183" s="10">
        <v>215</v>
      </c>
      <c r="H5183" s="10">
        <v>4131</v>
      </c>
      <c r="I5183" s="10">
        <v>888165</v>
      </c>
      <c r="J5183" t="s">
        <v>51</v>
      </c>
      <c r="K5183" s="11">
        <v>648.20000000000005</v>
      </c>
      <c r="L5183" s="12">
        <v>1370.2</v>
      </c>
    </row>
    <row r="5184" spans="1:12" x14ac:dyDescent="0.2">
      <c r="A5184" s="9">
        <v>46262</v>
      </c>
      <c r="B5184" t="s">
        <v>531</v>
      </c>
      <c r="C5184" t="s">
        <v>532</v>
      </c>
      <c r="D5184" t="s">
        <v>50</v>
      </c>
      <c r="E5184" t="s">
        <v>647</v>
      </c>
      <c r="F5184" t="s">
        <v>667</v>
      </c>
      <c r="G5184" s="10">
        <v>45</v>
      </c>
      <c r="H5184" s="10">
        <v>7322</v>
      </c>
      <c r="I5184" s="10">
        <v>329490</v>
      </c>
      <c r="J5184" t="s">
        <v>51</v>
      </c>
      <c r="K5184" s="11">
        <v>648.20000000000005</v>
      </c>
      <c r="L5184" s="12">
        <v>508.32</v>
      </c>
    </row>
    <row r="5185" spans="1:12" x14ac:dyDescent="0.2">
      <c r="A5185" s="9">
        <v>46262</v>
      </c>
      <c r="B5185" t="s">
        <v>534</v>
      </c>
      <c r="C5185" t="s">
        <v>535</v>
      </c>
      <c r="D5185" t="s">
        <v>36</v>
      </c>
      <c r="E5185" t="s">
        <v>655</v>
      </c>
      <c r="F5185" t="s">
        <v>662</v>
      </c>
      <c r="G5185" s="10">
        <v>1</v>
      </c>
      <c r="H5185" s="10">
        <v>1133</v>
      </c>
      <c r="I5185" s="10">
        <v>1133</v>
      </c>
      <c r="J5185" t="s">
        <v>37</v>
      </c>
      <c r="K5185" s="11">
        <v>648.20000000000005</v>
      </c>
      <c r="L5185" s="12">
        <v>1.75</v>
      </c>
    </row>
    <row r="5186" spans="1:12" x14ac:dyDescent="0.2">
      <c r="A5186" s="9">
        <v>46262</v>
      </c>
      <c r="B5186" t="s">
        <v>537</v>
      </c>
      <c r="C5186" t="s">
        <v>538</v>
      </c>
      <c r="D5186" t="s">
        <v>68</v>
      </c>
      <c r="E5186" t="s">
        <v>647</v>
      </c>
      <c r="F5186" t="s">
        <v>668</v>
      </c>
      <c r="G5186" s="10">
        <v>41</v>
      </c>
      <c r="H5186" s="10">
        <v>24575</v>
      </c>
      <c r="I5186" s="10">
        <v>1007575</v>
      </c>
      <c r="J5186" t="s">
        <v>51</v>
      </c>
      <c r="K5186" s="11">
        <v>648.20000000000005</v>
      </c>
      <c r="L5186" s="12">
        <v>1554.42</v>
      </c>
    </row>
    <row r="5187" spans="1:12" x14ac:dyDescent="0.2">
      <c r="A5187" s="9">
        <v>46262</v>
      </c>
      <c r="B5187" t="s">
        <v>540</v>
      </c>
      <c r="C5187" t="s">
        <v>541</v>
      </c>
      <c r="D5187" t="s">
        <v>41</v>
      </c>
      <c r="E5187" t="s">
        <v>660</v>
      </c>
      <c r="F5187" t="s">
        <v>669</v>
      </c>
      <c r="G5187" s="10">
        <v>16</v>
      </c>
      <c r="H5187" s="10">
        <v>13025</v>
      </c>
      <c r="I5187" s="10">
        <v>208400</v>
      </c>
      <c r="J5187" t="s">
        <v>42</v>
      </c>
      <c r="K5187" s="11">
        <v>3145.8</v>
      </c>
      <c r="L5187" s="12">
        <v>66.25</v>
      </c>
    </row>
    <row r="5188" spans="1:12" x14ac:dyDescent="0.2">
      <c r="A5188" s="9">
        <v>46262</v>
      </c>
      <c r="B5188" t="s">
        <v>540</v>
      </c>
      <c r="C5188" t="s">
        <v>541</v>
      </c>
      <c r="D5188" t="s">
        <v>41</v>
      </c>
      <c r="E5188" t="s">
        <v>655</v>
      </c>
      <c r="F5188" t="s">
        <v>665</v>
      </c>
      <c r="G5188" s="10">
        <v>17</v>
      </c>
      <c r="H5188" s="10">
        <v>3283</v>
      </c>
      <c r="I5188" s="10">
        <v>55811</v>
      </c>
      <c r="J5188" t="s">
        <v>42</v>
      </c>
      <c r="K5188" s="11">
        <v>3145.8</v>
      </c>
      <c r="L5188" s="12">
        <v>17.739999999999998</v>
      </c>
    </row>
    <row r="5189" spans="1:12" x14ac:dyDescent="0.2">
      <c r="A5189" s="9">
        <v>46262</v>
      </c>
      <c r="B5189" t="s">
        <v>543</v>
      </c>
      <c r="C5189" t="s">
        <v>544</v>
      </c>
      <c r="D5189" t="s">
        <v>68</v>
      </c>
      <c r="E5189" t="s">
        <v>647</v>
      </c>
      <c r="F5189" t="s">
        <v>667</v>
      </c>
      <c r="G5189" s="10">
        <v>19</v>
      </c>
      <c r="H5189" s="10">
        <v>7371</v>
      </c>
      <c r="I5189" s="10">
        <v>140049</v>
      </c>
      <c r="J5189" t="s">
        <v>51</v>
      </c>
      <c r="K5189" s="11">
        <v>648.20000000000005</v>
      </c>
      <c r="L5189" s="12">
        <v>216.06</v>
      </c>
    </row>
    <row r="5190" spans="1:12" x14ac:dyDescent="0.2">
      <c r="A5190" s="9">
        <v>46262</v>
      </c>
      <c r="B5190" t="s">
        <v>546</v>
      </c>
      <c r="C5190" t="s">
        <v>547</v>
      </c>
      <c r="D5190" t="s">
        <v>41</v>
      </c>
      <c r="E5190" t="s">
        <v>653</v>
      </c>
      <c r="F5190" t="s">
        <v>658</v>
      </c>
      <c r="G5190" s="10">
        <v>4</v>
      </c>
      <c r="H5190" s="10">
        <v>13035</v>
      </c>
      <c r="I5190" s="10">
        <v>52140</v>
      </c>
      <c r="J5190" t="s">
        <v>42</v>
      </c>
      <c r="K5190" s="11">
        <v>3145.8</v>
      </c>
      <c r="L5190" s="12">
        <v>16.57</v>
      </c>
    </row>
    <row r="5191" spans="1:12" x14ac:dyDescent="0.2">
      <c r="A5191" s="9">
        <v>46262</v>
      </c>
      <c r="B5191" t="s">
        <v>546</v>
      </c>
      <c r="C5191" t="s">
        <v>547</v>
      </c>
      <c r="D5191" t="s">
        <v>41</v>
      </c>
      <c r="E5191" t="s">
        <v>655</v>
      </c>
      <c r="F5191" t="s">
        <v>665</v>
      </c>
      <c r="G5191" s="10">
        <v>9</v>
      </c>
      <c r="H5191" s="10">
        <v>3433</v>
      </c>
      <c r="I5191" s="10">
        <v>30897</v>
      </c>
      <c r="J5191" t="s">
        <v>42</v>
      </c>
      <c r="K5191" s="11">
        <v>3145.8</v>
      </c>
      <c r="L5191" s="12">
        <v>9.82</v>
      </c>
    </row>
    <row r="5192" spans="1:12" x14ac:dyDescent="0.2">
      <c r="A5192" s="9">
        <v>46262</v>
      </c>
      <c r="B5192" t="s">
        <v>552</v>
      </c>
      <c r="C5192" t="s">
        <v>553</v>
      </c>
      <c r="D5192" t="s">
        <v>41</v>
      </c>
      <c r="E5192" t="s">
        <v>651</v>
      </c>
      <c r="F5192" t="s">
        <v>652</v>
      </c>
      <c r="G5192" s="10">
        <v>8</v>
      </c>
      <c r="H5192" s="10">
        <v>46615</v>
      </c>
      <c r="I5192" s="10">
        <v>372920</v>
      </c>
      <c r="J5192" t="s">
        <v>42</v>
      </c>
      <c r="K5192" s="11">
        <v>3145.8</v>
      </c>
      <c r="L5192" s="12">
        <v>118.55</v>
      </c>
    </row>
    <row r="5193" spans="1:12" x14ac:dyDescent="0.2">
      <c r="A5193" s="9">
        <v>46262</v>
      </c>
      <c r="B5193" t="s">
        <v>552</v>
      </c>
      <c r="C5193" t="s">
        <v>553</v>
      </c>
      <c r="D5193" t="s">
        <v>41</v>
      </c>
      <c r="E5193" t="s">
        <v>649</v>
      </c>
      <c r="F5193" t="s">
        <v>663</v>
      </c>
      <c r="G5193" s="10">
        <v>6</v>
      </c>
      <c r="H5193" s="10">
        <v>9907</v>
      </c>
      <c r="I5193" s="10">
        <v>59442</v>
      </c>
      <c r="J5193" t="s">
        <v>42</v>
      </c>
      <c r="K5193" s="11">
        <v>3145.8</v>
      </c>
      <c r="L5193" s="12">
        <v>18.899999999999999</v>
      </c>
    </row>
    <row r="5194" spans="1:12" x14ac:dyDescent="0.2">
      <c r="A5194" s="9">
        <v>46262</v>
      </c>
      <c r="B5194" t="s">
        <v>552</v>
      </c>
      <c r="C5194" t="s">
        <v>553</v>
      </c>
      <c r="D5194" t="s">
        <v>41</v>
      </c>
      <c r="E5194" t="s">
        <v>655</v>
      </c>
      <c r="F5194" t="s">
        <v>662</v>
      </c>
      <c r="G5194" s="10">
        <v>25</v>
      </c>
      <c r="H5194" s="10">
        <v>5526</v>
      </c>
      <c r="I5194" s="10">
        <v>138150</v>
      </c>
      <c r="J5194" t="s">
        <v>42</v>
      </c>
      <c r="K5194" s="11">
        <v>3145.8</v>
      </c>
      <c r="L5194" s="12">
        <v>43.92</v>
      </c>
    </row>
    <row r="5195" spans="1:12" x14ac:dyDescent="0.2">
      <c r="A5195" s="9">
        <v>46262</v>
      </c>
      <c r="B5195" t="s">
        <v>552</v>
      </c>
      <c r="C5195" t="s">
        <v>553</v>
      </c>
      <c r="D5195" t="s">
        <v>41</v>
      </c>
      <c r="E5195" t="s">
        <v>651</v>
      </c>
      <c r="F5195" t="s">
        <v>664</v>
      </c>
      <c r="G5195" s="10">
        <v>6</v>
      </c>
      <c r="H5195" s="10">
        <v>57542</v>
      </c>
      <c r="I5195" s="10">
        <v>345252</v>
      </c>
      <c r="J5195" t="s">
        <v>42</v>
      </c>
      <c r="K5195" s="11">
        <v>3145.8</v>
      </c>
      <c r="L5195" s="12">
        <v>109.75</v>
      </c>
    </row>
    <row r="5196" spans="1:12" x14ac:dyDescent="0.2">
      <c r="A5196" s="9">
        <v>46262</v>
      </c>
      <c r="B5196" t="s">
        <v>555</v>
      </c>
      <c r="C5196" t="s">
        <v>556</v>
      </c>
      <c r="D5196" t="s">
        <v>41</v>
      </c>
      <c r="E5196" t="s">
        <v>660</v>
      </c>
      <c r="F5196" t="s">
        <v>670</v>
      </c>
      <c r="G5196" s="10">
        <v>6</v>
      </c>
      <c r="H5196" s="10">
        <v>71797</v>
      </c>
      <c r="I5196" s="10">
        <v>430782</v>
      </c>
      <c r="J5196" t="s">
        <v>42</v>
      </c>
      <c r="K5196" s="11">
        <v>3145.8</v>
      </c>
      <c r="L5196" s="12">
        <v>136.94</v>
      </c>
    </row>
    <row r="5197" spans="1:12" x14ac:dyDescent="0.2">
      <c r="A5197" s="9">
        <v>46262</v>
      </c>
      <c r="B5197" t="s">
        <v>558</v>
      </c>
      <c r="C5197" t="s">
        <v>559</v>
      </c>
      <c r="D5197" t="s">
        <v>75</v>
      </c>
      <c r="E5197" t="s">
        <v>651</v>
      </c>
      <c r="F5197" t="s">
        <v>652</v>
      </c>
      <c r="G5197" s="10">
        <v>4</v>
      </c>
      <c r="H5197" s="10">
        <v>47133</v>
      </c>
      <c r="I5197" s="10">
        <v>188532</v>
      </c>
      <c r="J5197" t="s">
        <v>42</v>
      </c>
      <c r="K5197" s="11">
        <v>3145.8</v>
      </c>
      <c r="L5197" s="12">
        <v>59.93</v>
      </c>
    </row>
    <row r="5198" spans="1:12" x14ac:dyDescent="0.2">
      <c r="A5198" s="9">
        <v>46262</v>
      </c>
      <c r="B5198" t="s">
        <v>561</v>
      </c>
      <c r="C5198" t="s">
        <v>562</v>
      </c>
      <c r="D5198" t="s">
        <v>46</v>
      </c>
      <c r="E5198" t="s">
        <v>649</v>
      </c>
      <c r="F5198" t="s">
        <v>659</v>
      </c>
      <c r="G5198" s="10">
        <v>5</v>
      </c>
      <c r="H5198" s="10">
        <v>9224</v>
      </c>
      <c r="I5198" s="10">
        <v>46120</v>
      </c>
      <c r="J5198" t="s">
        <v>37</v>
      </c>
      <c r="K5198" s="11">
        <v>648.20000000000005</v>
      </c>
      <c r="L5198" s="12">
        <v>71.150000000000006</v>
      </c>
    </row>
    <row r="5199" spans="1:12" x14ac:dyDescent="0.2">
      <c r="A5199" s="9">
        <v>46262</v>
      </c>
      <c r="B5199" t="s">
        <v>561</v>
      </c>
      <c r="C5199" t="s">
        <v>562</v>
      </c>
      <c r="D5199" t="s">
        <v>46</v>
      </c>
      <c r="E5199" t="s">
        <v>660</v>
      </c>
      <c r="F5199" t="s">
        <v>661</v>
      </c>
      <c r="G5199" s="10">
        <v>12</v>
      </c>
      <c r="H5199" s="10">
        <v>4075</v>
      </c>
      <c r="I5199" s="10">
        <v>48900</v>
      </c>
      <c r="J5199" t="s">
        <v>37</v>
      </c>
      <c r="K5199" s="11">
        <v>648.20000000000005</v>
      </c>
      <c r="L5199" s="12">
        <v>75.44</v>
      </c>
    </row>
    <row r="5200" spans="1:12" x14ac:dyDescent="0.2">
      <c r="A5200" s="9">
        <v>46262</v>
      </c>
      <c r="B5200" t="s">
        <v>564</v>
      </c>
      <c r="C5200" t="s">
        <v>565</v>
      </c>
      <c r="D5200" t="s">
        <v>41</v>
      </c>
      <c r="E5200" t="s">
        <v>649</v>
      </c>
      <c r="F5200" t="s">
        <v>659</v>
      </c>
      <c r="G5200" s="10">
        <v>29</v>
      </c>
      <c r="H5200" s="10">
        <v>42195</v>
      </c>
      <c r="I5200" s="10">
        <v>1223655</v>
      </c>
      <c r="J5200" t="s">
        <v>42</v>
      </c>
      <c r="K5200" s="11">
        <v>3145.8</v>
      </c>
      <c r="L5200" s="12">
        <v>388.98</v>
      </c>
    </row>
    <row r="5201" spans="1:12" x14ac:dyDescent="0.2">
      <c r="A5201" s="9">
        <v>46262</v>
      </c>
      <c r="B5201" t="s">
        <v>564</v>
      </c>
      <c r="C5201" t="s">
        <v>565</v>
      </c>
      <c r="D5201" t="s">
        <v>41</v>
      </c>
      <c r="E5201" t="s">
        <v>655</v>
      </c>
      <c r="F5201" t="s">
        <v>665</v>
      </c>
      <c r="G5201" s="10">
        <v>141</v>
      </c>
      <c r="H5201" s="10">
        <v>3208</v>
      </c>
      <c r="I5201" s="10">
        <v>452328</v>
      </c>
      <c r="J5201" t="s">
        <v>42</v>
      </c>
      <c r="K5201" s="11">
        <v>3145.8</v>
      </c>
      <c r="L5201" s="12">
        <v>143.79</v>
      </c>
    </row>
    <row r="5202" spans="1:12" x14ac:dyDescent="0.2">
      <c r="A5202" s="9">
        <v>46262</v>
      </c>
      <c r="B5202" t="s">
        <v>567</v>
      </c>
      <c r="C5202" t="s">
        <v>568</v>
      </c>
      <c r="D5202" t="s">
        <v>41</v>
      </c>
      <c r="E5202" t="s">
        <v>649</v>
      </c>
      <c r="F5202" t="s">
        <v>650</v>
      </c>
      <c r="G5202" s="10">
        <v>24</v>
      </c>
      <c r="H5202" s="10">
        <v>97016</v>
      </c>
      <c r="I5202" s="10">
        <v>2328384</v>
      </c>
      <c r="J5202" t="s">
        <v>42</v>
      </c>
      <c r="K5202" s="11">
        <v>3145.8</v>
      </c>
      <c r="L5202" s="12">
        <v>740.16</v>
      </c>
    </row>
    <row r="5203" spans="1:12" x14ac:dyDescent="0.2">
      <c r="A5203" s="9">
        <v>46262</v>
      </c>
      <c r="B5203" t="s">
        <v>567</v>
      </c>
      <c r="C5203" t="s">
        <v>568</v>
      </c>
      <c r="D5203" t="s">
        <v>41</v>
      </c>
      <c r="E5203" t="s">
        <v>649</v>
      </c>
      <c r="F5203" t="s">
        <v>663</v>
      </c>
      <c r="G5203" s="10">
        <v>15</v>
      </c>
      <c r="H5203" s="10">
        <v>10119</v>
      </c>
      <c r="I5203" s="10">
        <v>151785</v>
      </c>
      <c r="J5203" t="s">
        <v>42</v>
      </c>
      <c r="K5203" s="11">
        <v>3145.8</v>
      </c>
      <c r="L5203" s="12">
        <v>48.25</v>
      </c>
    </row>
    <row r="5204" spans="1:12" x14ac:dyDescent="0.2">
      <c r="A5204" s="9">
        <v>46262</v>
      </c>
      <c r="B5204" t="s">
        <v>573</v>
      </c>
      <c r="C5204" t="s">
        <v>574</v>
      </c>
      <c r="D5204" t="s">
        <v>41</v>
      </c>
      <c r="E5204" t="s">
        <v>651</v>
      </c>
      <c r="F5204" t="s">
        <v>664</v>
      </c>
      <c r="G5204" s="10">
        <v>2</v>
      </c>
      <c r="H5204" s="10">
        <v>56149</v>
      </c>
      <c r="I5204" s="10">
        <v>112298</v>
      </c>
      <c r="J5204" t="s">
        <v>42</v>
      </c>
      <c r="K5204" s="11">
        <v>3145.8</v>
      </c>
      <c r="L5204" s="12">
        <v>35.700000000000003</v>
      </c>
    </row>
    <row r="5205" spans="1:12" x14ac:dyDescent="0.2">
      <c r="A5205" s="9">
        <v>46262</v>
      </c>
      <c r="B5205" t="s">
        <v>582</v>
      </c>
      <c r="C5205" t="s">
        <v>583</v>
      </c>
      <c r="D5205" t="s">
        <v>36</v>
      </c>
      <c r="E5205" t="s">
        <v>655</v>
      </c>
      <c r="F5205" t="s">
        <v>662</v>
      </c>
      <c r="G5205" s="10">
        <v>18</v>
      </c>
      <c r="H5205" s="10">
        <v>1121</v>
      </c>
      <c r="I5205" s="10">
        <v>20178</v>
      </c>
      <c r="J5205" t="s">
        <v>37</v>
      </c>
      <c r="K5205" s="11">
        <v>648.20000000000005</v>
      </c>
      <c r="L5205" s="12">
        <v>31.13</v>
      </c>
    </row>
    <row r="5206" spans="1:12" x14ac:dyDescent="0.2">
      <c r="A5206" s="9">
        <v>46262</v>
      </c>
      <c r="B5206" t="s">
        <v>582</v>
      </c>
      <c r="C5206" t="s">
        <v>583</v>
      </c>
      <c r="D5206" t="s">
        <v>36</v>
      </c>
      <c r="E5206" t="s">
        <v>655</v>
      </c>
      <c r="F5206" t="s">
        <v>665</v>
      </c>
      <c r="G5206" s="10">
        <v>6</v>
      </c>
      <c r="H5206" s="10">
        <v>681</v>
      </c>
      <c r="I5206" s="10">
        <v>4086</v>
      </c>
      <c r="J5206" t="s">
        <v>37</v>
      </c>
      <c r="K5206" s="11">
        <v>648.20000000000005</v>
      </c>
      <c r="L5206" s="12">
        <v>6.3</v>
      </c>
    </row>
    <row r="5207" spans="1:12" x14ac:dyDescent="0.2">
      <c r="A5207" s="9">
        <v>46262</v>
      </c>
      <c r="B5207" t="s">
        <v>590</v>
      </c>
      <c r="C5207" t="s">
        <v>591</v>
      </c>
      <c r="D5207" t="s">
        <v>41</v>
      </c>
      <c r="E5207" t="s">
        <v>653</v>
      </c>
      <c r="F5207" t="s">
        <v>666</v>
      </c>
      <c r="G5207" s="10">
        <v>58</v>
      </c>
      <c r="H5207" s="10">
        <v>7020</v>
      </c>
      <c r="I5207" s="10">
        <v>407160</v>
      </c>
      <c r="J5207" t="s">
        <v>42</v>
      </c>
      <c r="K5207" s="11">
        <v>3145.8</v>
      </c>
      <c r="L5207" s="12">
        <v>129.43</v>
      </c>
    </row>
    <row r="5208" spans="1:12" x14ac:dyDescent="0.2">
      <c r="A5208" s="9">
        <v>46262</v>
      </c>
      <c r="B5208" t="s">
        <v>590</v>
      </c>
      <c r="C5208" t="s">
        <v>591</v>
      </c>
      <c r="D5208" t="s">
        <v>41</v>
      </c>
      <c r="E5208" t="s">
        <v>655</v>
      </c>
      <c r="F5208" t="s">
        <v>656</v>
      </c>
      <c r="G5208" s="10">
        <v>12</v>
      </c>
      <c r="H5208" s="10">
        <v>2851</v>
      </c>
      <c r="I5208" s="10">
        <v>34212</v>
      </c>
      <c r="J5208" t="s">
        <v>42</v>
      </c>
      <c r="K5208" s="11">
        <v>3145.8</v>
      </c>
      <c r="L5208" s="12">
        <v>10.88</v>
      </c>
    </row>
    <row r="5209" spans="1:12" x14ac:dyDescent="0.2">
      <c r="A5209" s="9">
        <v>46262</v>
      </c>
      <c r="B5209" t="s">
        <v>593</v>
      </c>
      <c r="C5209" t="s">
        <v>594</v>
      </c>
      <c r="D5209" t="s">
        <v>50</v>
      </c>
      <c r="E5209" t="s">
        <v>649</v>
      </c>
      <c r="F5209" t="s">
        <v>650</v>
      </c>
      <c r="G5209" s="10">
        <v>3</v>
      </c>
      <c r="H5209" s="10">
        <v>18992</v>
      </c>
      <c r="I5209" s="10">
        <v>56976</v>
      </c>
      <c r="J5209" t="s">
        <v>51</v>
      </c>
      <c r="K5209" s="11">
        <v>648.20000000000005</v>
      </c>
      <c r="L5209" s="12">
        <v>87.9</v>
      </c>
    </row>
    <row r="5210" spans="1:12" x14ac:dyDescent="0.2">
      <c r="A5210" s="9">
        <v>46262</v>
      </c>
      <c r="B5210" t="s">
        <v>593</v>
      </c>
      <c r="C5210" t="s">
        <v>594</v>
      </c>
      <c r="D5210" t="s">
        <v>50</v>
      </c>
      <c r="E5210" t="s">
        <v>647</v>
      </c>
      <c r="F5210" t="s">
        <v>648</v>
      </c>
      <c r="G5210" s="10">
        <v>4</v>
      </c>
      <c r="H5210" s="10">
        <v>16573</v>
      </c>
      <c r="I5210" s="10">
        <v>66292</v>
      </c>
      <c r="J5210" t="s">
        <v>51</v>
      </c>
      <c r="K5210" s="11">
        <v>648.20000000000005</v>
      </c>
      <c r="L5210" s="12">
        <v>102.27</v>
      </c>
    </row>
    <row r="5211" spans="1:12" x14ac:dyDescent="0.2">
      <c r="A5211" s="9">
        <v>46262</v>
      </c>
      <c r="B5211" t="s">
        <v>611</v>
      </c>
      <c r="C5211" t="s">
        <v>612</v>
      </c>
      <c r="D5211" t="s">
        <v>41</v>
      </c>
      <c r="E5211" t="s">
        <v>660</v>
      </c>
      <c r="F5211" t="s">
        <v>669</v>
      </c>
      <c r="G5211" s="10">
        <v>2</v>
      </c>
      <c r="H5211" s="10">
        <v>12805</v>
      </c>
      <c r="I5211" s="10">
        <v>25610</v>
      </c>
      <c r="J5211" t="s">
        <v>42</v>
      </c>
      <c r="K5211" s="11">
        <v>3145.8</v>
      </c>
      <c r="L5211" s="12">
        <v>8.14</v>
      </c>
    </row>
    <row r="5212" spans="1:12" x14ac:dyDescent="0.2">
      <c r="A5212" s="9">
        <v>46262</v>
      </c>
      <c r="B5212" t="s">
        <v>617</v>
      </c>
      <c r="C5212" t="s">
        <v>618</v>
      </c>
      <c r="D5212" t="s">
        <v>75</v>
      </c>
      <c r="E5212" t="s">
        <v>653</v>
      </c>
      <c r="F5212" t="s">
        <v>654</v>
      </c>
      <c r="G5212" s="10">
        <v>11</v>
      </c>
      <c r="H5212" s="10">
        <v>26791</v>
      </c>
      <c r="I5212" s="10">
        <v>294701</v>
      </c>
      <c r="J5212" t="s">
        <v>42</v>
      </c>
      <c r="K5212" s="11">
        <v>3145.8</v>
      </c>
      <c r="L5212" s="12">
        <v>93.68</v>
      </c>
    </row>
    <row r="5213" spans="1:12" x14ac:dyDescent="0.2">
      <c r="A5213" s="9">
        <v>46262</v>
      </c>
      <c r="B5213" t="s">
        <v>617</v>
      </c>
      <c r="C5213" t="s">
        <v>618</v>
      </c>
      <c r="D5213" t="s">
        <v>75</v>
      </c>
      <c r="E5213" t="s">
        <v>647</v>
      </c>
      <c r="F5213" t="s">
        <v>667</v>
      </c>
      <c r="G5213" s="10">
        <v>5</v>
      </c>
      <c r="H5213" s="10">
        <v>34903</v>
      </c>
      <c r="I5213" s="10">
        <v>174515</v>
      </c>
      <c r="J5213" t="s">
        <v>42</v>
      </c>
      <c r="K5213" s="11">
        <v>3145.8</v>
      </c>
      <c r="L5213" s="12">
        <v>55.48</v>
      </c>
    </row>
    <row r="5214" spans="1:12" x14ac:dyDescent="0.2">
      <c r="A5214" s="9">
        <v>46262</v>
      </c>
      <c r="B5214" t="s">
        <v>620</v>
      </c>
      <c r="C5214" t="s">
        <v>621</v>
      </c>
      <c r="D5214" t="s">
        <v>50</v>
      </c>
      <c r="E5214" t="s">
        <v>660</v>
      </c>
      <c r="F5214" t="s">
        <v>670</v>
      </c>
      <c r="G5214" s="10">
        <v>1</v>
      </c>
      <c r="H5214" s="10">
        <v>14876</v>
      </c>
      <c r="I5214" s="10">
        <v>14876</v>
      </c>
      <c r="J5214" t="s">
        <v>51</v>
      </c>
      <c r="K5214" s="11">
        <v>648.20000000000005</v>
      </c>
      <c r="L5214" s="12">
        <v>22.95</v>
      </c>
    </row>
    <row r="5215" spans="1:12" x14ac:dyDescent="0.2">
      <c r="A5215" s="9">
        <v>46262</v>
      </c>
      <c r="B5215" t="s">
        <v>620</v>
      </c>
      <c r="C5215" t="s">
        <v>621</v>
      </c>
      <c r="D5215" t="s">
        <v>50</v>
      </c>
      <c r="E5215" t="s">
        <v>647</v>
      </c>
      <c r="F5215" t="s">
        <v>668</v>
      </c>
      <c r="G5215" s="10">
        <v>1</v>
      </c>
      <c r="H5215" s="10">
        <v>25680</v>
      </c>
      <c r="I5215" s="10">
        <v>25680</v>
      </c>
      <c r="J5215" t="s">
        <v>51</v>
      </c>
      <c r="K5215" s="11">
        <v>648.20000000000005</v>
      </c>
      <c r="L5215" s="12">
        <v>39.619999999999997</v>
      </c>
    </row>
    <row r="5216" spans="1:12" x14ac:dyDescent="0.2">
      <c r="A5216" s="9">
        <v>46262</v>
      </c>
      <c r="B5216" t="s">
        <v>623</v>
      </c>
      <c r="C5216" t="s">
        <v>624</v>
      </c>
      <c r="D5216" t="s">
        <v>68</v>
      </c>
      <c r="E5216" t="s">
        <v>660</v>
      </c>
      <c r="F5216" t="s">
        <v>661</v>
      </c>
      <c r="G5216" s="10">
        <v>131</v>
      </c>
      <c r="H5216" s="10">
        <v>4276</v>
      </c>
      <c r="I5216" s="10">
        <v>560156</v>
      </c>
      <c r="J5216" t="s">
        <v>51</v>
      </c>
      <c r="K5216" s="11">
        <v>648.20000000000005</v>
      </c>
      <c r="L5216" s="12">
        <v>864.17</v>
      </c>
    </row>
    <row r="5217" spans="1:12" x14ac:dyDescent="0.2">
      <c r="A5217" s="9">
        <v>46262</v>
      </c>
      <c r="B5217" t="s">
        <v>626</v>
      </c>
      <c r="C5217" t="s">
        <v>627</v>
      </c>
      <c r="D5217" t="s">
        <v>50</v>
      </c>
      <c r="E5217" t="s">
        <v>651</v>
      </c>
      <c r="F5217" t="s">
        <v>652</v>
      </c>
      <c r="G5217" s="10">
        <v>1</v>
      </c>
      <c r="H5217" s="10">
        <v>9627</v>
      </c>
      <c r="I5217" s="10">
        <v>9627</v>
      </c>
      <c r="J5217" t="s">
        <v>51</v>
      </c>
      <c r="K5217" s="11">
        <v>648.20000000000005</v>
      </c>
      <c r="L5217" s="12">
        <v>14.85</v>
      </c>
    </row>
    <row r="5218" spans="1:12" x14ac:dyDescent="0.2">
      <c r="A5218" s="9">
        <v>46262</v>
      </c>
      <c r="B5218" t="s">
        <v>626</v>
      </c>
      <c r="C5218" t="s">
        <v>627</v>
      </c>
      <c r="D5218" t="s">
        <v>50</v>
      </c>
      <c r="E5218" t="s">
        <v>660</v>
      </c>
      <c r="F5218" t="s">
        <v>670</v>
      </c>
      <c r="G5218" s="10">
        <v>16</v>
      </c>
      <c r="H5218" s="10">
        <v>14229</v>
      </c>
      <c r="I5218" s="10">
        <v>227664</v>
      </c>
      <c r="J5218" t="s">
        <v>51</v>
      </c>
      <c r="K5218" s="11">
        <v>648.20000000000005</v>
      </c>
      <c r="L5218" s="12">
        <v>351.22</v>
      </c>
    </row>
    <row r="5219" spans="1:12" x14ac:dyDescent="0.2">
      <c r="A5219" s="9">
        <v>46262</v>
      </c>
      <c r="B5219" t="s">
        <v>626</v>
      </c>
      <c r="C5219" t="s">
        <v>627</v>
      </c>
      <c r="D5219" t="s">
        <v>50</v>
      </c>
      <c r="E5219" t="s">
        <v>647</v>
      </c>
      <c r="F5219" t="s">
        <v>667</v>
      </c>
      <c r="G5219" s="10">
        <v>7</v>
      </c>
      <c r="H5219" s="10">
        <v>7284</v>
      </c>
      <c r="I5219" s="10">
        <v>50988</v>
      </c>
      <c r="J5219" t="s">
        <v>51</v>
      </c>
      <c r="K5219" s="11">
        <v>648.20000000000005</v>
      </c>
      <c r="L5219" s="12">
        <v>78.66</v>
      </c>
    </row>
    <row r="5220" spans="1:12" x14ac:dyDescent="0.2">
      <c r="A5220" s="9">
        <v>46262</v>
      </c>
      <c r="B5220" t="s">
        <v>626</v>
      </c>
      <c r="C5220" t="s">
        <v>627</v>
      </c>
      <c r="D5220" t="s">
        <v>50</v>
      </c>
      <c r="E5220" t="s">
        <v>647</v>
      </c>
      <c r="F5220" t="s">
        <v>667</v>
      </c>
      <c r="G5220" s="10">
        <v>6</v>
      </c>
      <c r="H5220" s="10">
        <v>7112</v>
      </c>
      <c r="I5220" s="10">
        <v>42672</v>
      </c>
      <c r="J5220" t="s">
        <v>51</v>
      </c>
      <c r="K5220" s="11">
        <v>648.20000000000005</v>
      </c>
      <c r="L5220" s="12">
        <v>65.83</v>
      </c>
    </row>
    <row r="5221" spans="1:12" x14ac:dyDescent="0.2">
      <c r="A5221" s="9">
        <v>46262</v>
      </c>
      <c r="B5221" t="s">
        <v>629</v>
      </c>
      <c r="C5221" t="s">
        <v>630</v>
      </c>
      <c r="D5221" t="s">
        <v>46</v>
      </c>
      <c r="E5221" t="s">
        <v>653</v>
      </c>
      <c r="F5221" t="s">
        <v>658</v>
      </c>
      <c r="G5221" s="10">
        <v>14</v>
      </c>
      <c r="H5221" s="10">
        <v>2755</v>
      </c>
      <c r="I5221" s="10">
        <v>38570</v>
      </c>
      <c r="J5221" t="s">
        <v>37</v>
      </c>
      <c r="K5221" s="11">
        <v>648.20000000000005</v>
      </c>
      <c r="L5221" s="12">
        <v>59.5</v>
      </c>
    </row>
    <row r="5222" spans="1:12" x14ac:dyDescent="0.2">
      <c r="A5222" s="9">
        <v>46262</v>
      </c>
      <c r="B5222" t="s">
        <v>632</v>
      </c>
      <c r="C5222" t="s">
        <v>633</v>
      </c>
      <c r="D5222" t="s">
        <v>68</v>
      </c>
      <c r="E5222" t="s">
        <v>647</v>
      </c>
      <c r="F5222" t="s">
        <v>668</v>
      </c>
      <c r="G5222" s="10">
        <v>2</v>
      </c>
      <c r="H5222" s="10">
        <v>24386</v>
      </c>
      <c r="I5222" s="10">
        <v>48772</v>
      </c>
      <c r="J5222" t="s">
        <v>51</v>
      </c>
      <c r="K5222" s="11">
        <v>648.20000000000005</v>
      </c>
      <c r="L5222" s="12">
        <v>75.239999999999995</v>
      </c>
    </row>
    <row r="5223" spans="1:12" x14ac:dyDescent="0.2">
      <c r="A5223" s="9">
        <v>46262</v>
      </c>
      <c r="B5223" t="s">
        <v>635</v>
      </c>
      <c r="C5223" t="s">
        <v>636</v>
      </c>
      <c r="D5223" t="s">
        <v>41</v>
      </c>
      <c r="E5223" t="s">
        <v>653</v>
      </c>
      <c r="F5223" t="s">
        <v>658</v>
      </c>
      <c r="G5223" s="10">
        <v>22</v>
      </c>
      <c r="H5223" s="10">
        <v>13298</v>
      </c>
      <c r="I5223" s="10">
        <v>292556</v>
      </c>
      <c r="J5223" t="s">
        <v>42</v>
      </c>
      <c r="K5223" s="11">
        <v>3145.8</v>
      </c>
      <c r="L5223" s="12">
        <v>93</v>
      </c>
    </row>
    <row r="5224" spans="1:12" x14ac:dyDescent="0.2">
      <c r="A5224" s="9">
        <v>46263</v>
      </c>
      <c r="B5224" t="s">
        <v>34</v>
      </c>
      <c r="C5224" t="s">
        <v>35</v>
      </c>
      <c r="D5224" t="s">
        <v>36</v>
      </c>
      <c r="E5224" t="s">
        <v>660</v>
      </c>
      <c r="F5224" t="s">
        <v>661</v>
      </c>
      <c r="G5224" s="10">
        <v>36</v>
      </c>
      <c r="H5224" s="10">
        <v>4211</v>
      </c>
      <c r="I5224" s="10">
        <v>151596</v>
      </c>
      <c r="J5224" t="s">
        <v>37</v>
      </c>
      <c r="K5224" s="11">
        <v>648.20000000000005</v>
      </c>
      <c r="L5224" s="12">
        <v>233.87</v>
      </c>
    </row>
    <row r="5225" spans="1:12" x14ac:dyDescent="0.2">
      <c r="A5225" s="9">
        <v>46263</v>
      </c>
      <c r="B5225" t="s">
        <v>44</v>
      </c>
      <c r="C5225" t="s">
        <v>45</v>
      </c>
      <c r="D5225" t="s">
        <v>46</v>
      </c>
      <c r="E5225" t="s">
        <v>649</v>
      </c>
      <c r="F5225" t="s">
        <v>650</v>
      </c>
      <c r="G5225" s="10">
        <v>54</v>
      </c>
      <c r="H5225" s="10">
        <v>19401</v>
      </c>
      <c r="I5225" s="10">
        <v>1047654</v>
      </c>
      <c r="J5225" t="s">
        <v>37</v>
      </c>
      <c r="K5225" s="11">
        <v>648.20000000000005</v>
      </c>
      <c r="L5225" s="12">
        <v>1616.25</v>
      </c>
    </row>
    <row r="5226" spans="1:12" x14ac:dyDescent="0.2">
      <c r="A5226" s="9">
        <v>46263</v>
      </c>
      <c r="B5226" t="s">
        <v>56</v>
      </c>
      <c r="C5226" t="s">
        <v>57</v>
      </c>
      <c r="D5226" t="s">
        <v>46</v>
      </c>
      <c r="E5226" t="s">
        <v>649</v>
      </c>
      <c r="F5226" t="s">
        <v>663</v>
      </c>
      <c r="G5226" s="10">
        <v>2</v>
      </c>
      <c r="H5226" s="10">
        <v>1959</v>
      </c>
      <c r="I5226" s="10">
        <v>3918</v>
      </c>
      <c r="J5226" t="s">
        <v>37</v>
      </c>
      <c r="K5226" s="11">
        <v>648.20000000000005</v>
      </c>
      <c r="L5226" s="12">
        <v>6.04</v>
      </c>
    </row>
    <row r="5227" spans="1:12" x14ac:dyDescent="0.2">
      <c r="A5227" s="9">
        <v>46263</v>
      </c>
      <c r="B5227" t="s">
        <v>56</v>
      </c>
      <c r="C5227" t="s">
        <v>57</v>
      </c>
      <c r="D5227" t="s">
        <v>46</v>
      </c>
      <c r="E5227" t="s">
        <v>647</v>
      </c>
      <c r="F5227" t="s">
        <v>668</v>
      </c>
      <c r="G5227" s="10">
        <v>8</v>
      </c>
      <c r="H5227" s="10">
        <v>24490</v>
      </c>
      <c r="I5227" s="10">
        <v>195920</v>
      </c>
      <c r="J5227" t="s">
        <v>37</v>
      </c>
      <c r="K5227" s="11">
        <v>648.20000000000005</v>
      </c>
      <c r="L5227" s="12">
        <v>302.25</v>
      </c>
    </row>
    <row r="5228" spans="1:12" x14ac:dyDescent="0.2">
      <c r="A5228" s="9">
        <v>46263</v>
      </c>
      <c r="B5228" t="s">
        <v>60</v>
      </c>
      <c r="C5228" t="s">
        <v>61</v>
      </c>
      <c r="D5228" t="s">
        <v>41</v>
      </c>
      <c r="E5228" t="s">
        <v>660</v>
      </c>
      <c r="F5228" t="s">
        <v>661</v>
      </c>
      <c r="G5228" s="10">
        <v>1</v>
      </c>
      <c r="H5228" s="10">
        <v>19776</v>
      </c>
      <c r="I5228" s="10">
        <v>19776</v>
      </c>
      <c r="J5228" t="s">
        <v>42</v>
      </c>
      <c r="K5228" s="11">
        <v>3145.8</v>
      </c>
      <c r="L5228" s="12">
        <v>6.29</v>
      </c>
    </row>
    <row r="5229" spans="1:12" x14ac:dyDescent="0.2">
      <c r="A5229" s="9">
        <v>46263</v>
      </c>
      <c r="B5229" t="s">
        <v>63</v>
      </c>
      <c r="C5229" t="s">
        <v>64</v>
      </c>
      <c r="D5229" t="s">
        <v>50</v>
      </c>
      <c r="E5229" t="s">
        <v>651</v>
      </c>
      <c r="F5229" t="s">
        <v>664</v>
      </c>
      <c r="G5229" s="10">
        <v>9</v>
      </c>
      <c r="H5229" s="10">
        <v>11917</v>
      </c>
      <c r="I5229" s="10">
        <v>107253</v>
      </c>
      <c r="J5229" t="s">
        <v>51</v>
      </c>
      <c r="K5229" s="11">
        <v>648.20000000000005</v>
      </c>
      <c r="L5229" s="12">
        <v>165.46</v>
      </c>
    </row>
    <row r="5230" spans="1:12" x14ac:dyDescent="0.2">
      <c r="A5230" s="9">
        <v>46263</v>
      </c>
      <c r="B5230" t="s">
        <v>73</v>
      </c>
      <c r="C5230" t="s">
        <v>74</v>
      </c>
      <c r="D5230" t="s">
        <v>75</v>
      </c>
      <c r="E5230" t="s">
        <v>653</v>
      </c>
      <c r="F5230" t="s">
        <v>666</v>
      </c>
      <c r="G5230" s="10">
        <v>45</v>
      </c>
      <c r="H5230" s="10">
        <v>7030</v>
      </c>
      <c r="I5230" s="10">
        <v>316350</v>
      </c>
      <c r="J5230" t="s">
        <v>42</v>
      </c>
      <c r="K5230" s="11">
        <v>3145.8</v>
      </c>
      <c r="L5230" s="12">
        <v>100.56</v>
      </c>
    </row>
    <row r="5231" spans="1:12" x14ac:dyDescent="0.2">
      <c r="A5231" s="9">
        <v>46263</v>
      </c>
      <c r="B5231" t="s">
        <v>73</v>
      </c>
      <c r="C5231" t="s">
        <v>74</v>
      </c>
      <c r="D5231" t="s">
        <v>75</v>
      </c>
      <c r="E5231" t="s">
        <v>647</v>
      </c>
      <c r="F5231" t="s">
        <v>648</v>
      </c>
      <c r="G5231" s="10">
        <v>39</v>
      </c>
      <c r="H5231" s="10">
        <v>80346</v>
      </c>
      <c r="I5231" s="10">
        <v>3133494</v>
      </c>
      <c r="J5231" t="s">
        <v>42</v>
      </c>
      <c r="K5231" s="11">
        <v>3145.8</v>
      </c>
      <c r="L5231" s="12">
        <v>996.09</v>
      </c>
    </row>
    <row r="5232" spans="1:12" x14ac:dyDescent="0.2">
      <c r="A5232" s="9">
        <v>46263</v>
      </c>
      <c r="B5232" t="s">
        <v>77</v>
      </c>
      <c r="C5232" t="s">
        <v>78</v>
      </c>
      <c r="D5232" t="s">
        <v>50</v>
      </c>
      <c r="E5232" t="s">
        <v>653</v>
      </c>
      <c r="F5232" t="s">
        <v>658</v>
      </c>
      <c r="G5232" s="10">
        <v>11</v>
      </c>
      <c r="H5232" s="10">
        <v>2626</v>
      </c>
      <c r="I5232" s="10">
        <v>28886</v>
      </c>
      <c r="J5232" t="s">
        <v>51</v>
      </c>
      <c r="K5232" s="11">
        <v>648.20000000000005</v>
      </c>
      <c r="L5232" s="12">
        <v>44.56</v>
      </c>
    </row>
    <row r="5233" spans="1:12" x14ac:dyDescent="0.2">
      <c r="A5233" s="9">
        <v>46263</v>
      </c>
      <c r="B5233" t="s">
        <v>80</v>
      </c>
      <c r="C5233" t="s">
        <v>81</v>
      </c>
      <c r="D5233" t="s">
        <v>46</v>
      </c>
      <c r="E5233" t="s">
        <v>655</v>
      </c>
      <c r="F5233" t="s">
        <v>665</v>
      </c>
      <c r="G5233" s="10">
        <v>24</v>
      </c>
      <c r="H5233" s="10">
        <v>674</v>
      </c>
      <c r="I5233" s="10">
        <v>16176</v>
      </c>
      <c r="J5233" t="s">
        <v>37</v>
      </c>
      <c r="K5233" s="11">
        <v>648.20000000000005</v>
      </c>
      <c r="L5233" s="12">
        <v>24.96</v>
      </c>
    </row>
    <row r="5234" spans="1:12" x14ac:dyDescent="0.2">
      <c r="A5234" s="9">
        <v>46263</v>
      </c>
      <c r="B5234" t="s">
        <v>86</v>
      </c>
      <c r="C5234" t="s">
        <v>87</v>
      </c>
      <c r="D5234" t="s">
        <v>50</v>
      </c>
      <c r="E5234" t="s">
        <v>647</v>
      </c>
      <c r="F5234" t="s">
        <v>667</v>
      </c>
      <c r="G5234" s="10">
        <v>3</v>
      </c>
      <c r="H5234" s="10">
        <v>7560</v>
      </c>
      <c r="I5234" s="10">
        <v>22680</v>
      </c>
      <c r="J5234" t="s">
        <v>51</v>
      </c>
      <c r="K5234" s="11">
        <v>648.20000000000005</v>
      </c>
      <c r="L5234" s="12">
        <v>34.99</v>
      </c>
    </row>
    <row r="5235" spans="1:12" x14ac:dyDescent="0.2">
      <c r="A5235" s="9">
        <v>46263</v>
      </c>
      <c r="B5235" t="s">
        <v>108</v>
      </c>
      <c r="C5235" t="s">
        <v>109</v>
      </c>
      <c r="D5235" t="s">
        <v>36</v>
      </c>
      <c r="E5235" t="s">
        <v>647</v>
      </c>
      <c r="F5235" t="s">
        <v>667</v>
      </c>
      <c r="G5235" s="10">
        <v>4</v>
      </c>
      <c r="H5235" s="10">
        <v>7575</v>
      </c>
      <c r="I5235" s="10">
        <v>30300</v>
      </c>
      <c r="J5235" t="s">
        <v>37</v>
      </c>
      <c r="K5235" s="11">
        <v>648.20000000000005</v>
      </c>
      <c r="L5235" s="12">
        <v>46.74</v>
      </c>
    </row>
    <row r="5236" spans="1:12" x14ac:dyDescent="0.2">
      <c r="A5236" s="9">
        <v>46263</v>
      </c>
      <c r="B5236" t="s">
        <v>111</v>
      </c>
      <c r="C5236" t="s">
        <v>112</v>
      </c>
      <c r="D5236" t="s">
        <v>41</v>
      </c>
      <c r="E5236" t="s">
        <v>647</v>
      </c>
      <c r="F5236" t="s">
        <v>668</v>
      </c>
      <c r="G5236" s="10">
        <v>47</v>
      </c>
      <c r="H5236" s="10">
        <v>118010</v>
      </c>
      <c r="I5236" s="10">
        <v>5546470</v>
      </c>
      <c r="J5236" t="s">
        <v>42</v>
      </c>
      <c r="K5236" s="11">
        <v>3145.8</v>
      </c>
      <c r="L5236" s="12">
        <v>1763.13</v>
      </c>
    </row>
    <row r="5237" spans="1:12" x14ac:dyDescent="0.2">
      <c r="A5237" s="9">
        <v>46263</v>
      </c>
      <c r="B5237" t="s">
        <v>127</v>
      </c>
      <c r="C5237" t="s">
        <v>128</v>
      </c>
      <c r="D5237" t="s">
        <v>41</v>
      </c>
      <c r="E5237" t="s">
        <v>655</v>
      </c>
      <c r="F5237" t="s">
        <v>665</v>
      </c>
      <c r="G5237" s="10">
        <v>1</v>
      </c>
      <c r="H5237" s="10">
        <v>3353</v>
      </c>
      <c r="I5237" s="10">
        <v>3353</v>
      </c>
      <c r="J5237" t="s">
        <v>42</v>
      </c>
      <c r="K5237" s="11">
        <v>3145.8</v>
      </c>
      <c r="L5237" s="12">
        <v>1.07</v>
      </c>
    </row>
    <row r="5238" spans="1:12" x14ac:dyDescent="0.2">
      <c r="A5238" s="9">
        <v>46263</v>
      </c>
      <c r="B5238" t="s">
        <v>133</v>
      </c>
      <c r="C5238" t="s">
        <v>134</v>
      </c>
      <c r="D5238" t="s">
        <v>41</v>
      </c>
      <c r="E5238" t="s">
        <v>660</v>
      </c>
      <c r="F5238" t="s">
        <v>670</v>
      </c>
      <c r="G5238" s="10">
        <v>2</v>
      </c>
      <c r="H5238" s="10">
        <v>71581</v>
      </c>
      <c r="I5238" s="10">
        <v>143162</v>
      </c>
      <c r="J5238" t="s">
        <v>42</v>
      </c>
      <c r="K5238" s="11">
        <v>3145.8</v>
      </c>
      <c r="L5238" s="12">
        <v>45.51</v>
      </c>
    </row>
    <row r="5239" spans="1:12" x14ac:dyDescent="0.2">
      <c r="A5239" s="9">
        <v>46263</v>
      </c>
      <c r="B5239" t="s">
        <v>136</v>
      </c>
      <c r="C5239" t="s">
        <v>137</v>
      </c>
      <c r="D5239" t="s">
        <v>41</v>
      </c>
      <c r="E5239" t="s">
        <v>653</v>
      </c>
      <c r="F5239" t="s">
        <v>658</v>
      </c>
      <c r="G5239" s="10">
        <v>24</v>
      </c>
      <c r="H5239" s="10">
        <v>12892</v>
      </c>
      <c r="I5239" s="10">
        <v>309408</v>
      </c>
      <c r="J5239" t="s">
        <v>42</v>
      </c>
      <c r="K5239" s="11">
        <v>3145.8</v>
      </c>
      <c r="L5239" s="12">
        <v>98.36</v>
      </c>
    </row>
    <row r="5240" spans="1:12" x14ac:dyDescent="0.2">
      <c r="A5240" s="9">
        <v>46263</v>
      </c>
      <c r="B5240" t="s">
        <v>136</v>
      </c>
      <c r="C5240" t="s">
        <v>137</v>
      </c>
      <c r="D5240" t="s">
        <v>41</v>
      </c>
      <c r="E5240" t="s">
        <v>660</v>
      </c>
      <c r="F5240" t="s">
        <v>670</v>
      </c>
      <c r="G5240" s="10">
        <v>12</v>
      </c>
      <c r="H5240" s="10">
        <v>71597</v>
      </c>
      <c r="I5240" s="10">
        <v>859164</v>
      </c>
      <c r="J5240" t="s">
        <v>42</v>
      </c>
      <c r="K5240" s="11">
        <v>3145.8</v>
      </c>
      <c r="L5240" s="12">
        <v>273.11</v>
      </c>
    </row>
    <row r="5241" spans="1:12" x14ac:dyDescent="0.2">
      <c r="A5241" s="9">
        <v>46263</v>
      </c>
      <c r="B5241" t="s">
        <v>142</v>
      </c>
      <c r="C5241" t="s">
        <v>143</v>
      </c>
      <c r="D5241" t="s">
        <v>75</v>
      </c>
      <c r="E5241" t="s">
        <v>660</v>
      </c>
      <c r="F5241" t="s">
        <v>670</v>
      </c>
      <c r="G5241" s="10">
        <v>18</v>
      </c>
      <c r="H5241" s="10">
        <v>72261</v>
      </c>
      <c r="I5241" s="10">
        <v>1300698</v>
      </c>
      <c r="J5241" t="s">
        <v>42</v>
      </c>
      <c r="K5241" s="11">
        <v>3145.8</v>
      </c>
      <c r="L5241" s="12">
        <v>413.47</v>
      </c>
    </row>
    <row r="5242" spans="1:12" x14ac:dyDescent="0.2">
      <c r="A5242" s="9">
        <v>46263</v>
      </c>
      <c r="B5242" t="s">
        <v>142</v>
      </c>
      <c r="C5242" t="s">
        <v>143</v>
      </c>
      <c r="D5242" t="s">
        <v>75</v>
      </c>
      <c r="E5242" t="s">
        <v>647</v>
      </c>
      <c r="F5242" t="s">
        <v>667</v>
      </c>
      <c r="G5242" s="10">
        <v>18</v>
      </c>
      <c r="H5242" s="10">
        <v>35695</v>
      </c>
      <c r="I5242" s="10">
        <v>642510</v>
      </c>
      <c r="J5242" t="s">
        <v>42</v>
      </c>
      <c r="K5242" s="11">
        <v>3145.8</v>
      </c>
      <c r="L5242" s="12">
        <v>204.24</v>
      </c>
    </row>
    <row r="5243" spans="1:12" x14ac:dyDescent="0.2">
      <c r="A5243" s="9">
        <v>46263</v>
      </c>
      <c r="B5243" t="s">
        <v>142</v>
      </c>
      <c r="C5243" t="s">
        <v>143</v>
      </c>
      <c r="D5243" t="s">
        <v>75</v>
      </c>
      <c r="E5243" t="s">
        <v>655</v>
      </c>
      <c r="F5243" t="s">
        <v>656</v>
      </c>
      <c r="G5243" s="10">
        <v>8</v>
      </c>
      <c r="H5243" s="10">
        <v>2903</v>
      </c>
      <c r="I5243" s="10">
        <v>23224</v>
      </c>
      <c r="J5243" t="s">
        <v>42</v>
      </c>
      <c r="K5243" s="11">
        <v>3145.8</v>
      </c>
      <c r="L5243" s="12">
        <v>7.38</v>
      </c>
    </row>
    <row r="5244" spans="1:12" x14ac:dyDescent="0.2">
      <c r="A5244" s="9">
        <v>46263</v>
      </c>
      <c r="B5244" t="s">
        <v>145</v>
      </c>
      <c r="C5244" t="s">
        <v>146</v>
      </c>
      <c r="D5244" t="s">
        <v>68</v>
      </c>
      <c r="E5244" t="s">
        <v>647</v>
      </c>
      <c r="F5244" t="s">
        <v>668</v>
      </c>
      <c r="G5244" s="10">
        <v>6</v>
      </c>
      <c r="H5244" s="10">
        <v>24573</v>
      </c>
      <c r="I5244" s="10">
        <v>147438</v>
      </c>
      <c r="J5244" t="s">
        <v>51</v>
      </c>
      <c r="K5244" s="11">
        <v>648.20000000000005</v>
      </c>
      <c r="L5244" s="12">
        <v>227.46</v>
      </c>
    </row>
    <row r="5245" spans="1:12" x14ac:dyDescent="0.2">
      <c r="A5245" s="9">
        <v>46263</v>
      </c>
      <c r="B5245" t="s">
        <v>149</v>
      </c>
      <c r="C5245" t="s">
        <v>150</v>
      </c>
      <c r="D5245" t="s">
        <v>50</v>
      </c>
      <c r="E5245" t="s">
        <v>647</v>
      </c>
      <c r="F5245" t="s">
        <v>668</v>
      </c>
      <c r="G5245" s="10">
        <v>3</v>
      </c>
      <c r="H5245" s="10">
        <v>25847</v>
      </c>
      <c r="I5245" s="10">
        <v>77541</v>
      </c>
      <c r="J5245" t="s">
        <v>51</v>
      </c>
      <c r="K5245" s="11">
        <v>648.20000000000005</v>
      </c>
      <c r="L5245" s="12">
        <v>119.63</v>
      </c>
    </row>
    <row r="5246" spans="1:12" x14ac:dyDescent="0.2">
      <c r="A5246" s="9">
        <v>46263</v>
      </c>
      <c r="B5246" t="s">
        <v>152</v>
      </c>
      <c r="C5246" t="s">
        <v>153</v>
      </c>
      <c r="D5246" t="s">
        <v>75</v>
      </c>
      <c r="E5246" t="s">
        <v>649</v>
      </c>
      <c r="F5246" t="s">
        <v>659</v>
      </c>
      <c r="G5246" s="10">
        <v>10</v>
      </c>
      <c r="H5246" s="10">
        <v>44615</v>
      </c>
      <c r="I5246" s="10">
        <v>446150</v>
      </c>
      <c r="J5246" t="s">
        <v>42</v>
      </c>
      <c r="K5246" s="11">
        <v>3145.8</v>
      </c>
      <c r="L5246" s="12">
        <v>141.82</v>
      </c>
    </row>
    <row r="5247" spans="1:12" x14ac:dyDescent="0.2">
      <c r="A5247" s="9">
        <v>46263</v>
      </c>
      <c r="B5247" t="s">
        <v>161</v>
      </c>
      <c r="C5247" t="s">
        <v>67</v>
      </c>
      <c r="D5247" t="s">
        <v>41</v>
      </c>
      <c r="E5247" t="s">
        <v>649</v>
      </c>
      <c r="F5247" t="s">
        <v>659</v>
      </c>
      <c r="G5247" s="10">
        <v>27</v>
      </c>
      <c r="H5247" s="10">
        <v>42442</v>
      </c>
      <c r="I5247" s="10">
        <v>1145934</v>
      </c>
      <c r="J5247" t="s">
        <v>42</v>
      </c>
      <c r="K5247" s="11">
        <v>3145.8</v>
      </c>
      <c r="L5247" s="12">
        <v>364.27</v>
      </c>
    </row>
    <row r="5248" spans="1:12" x14ac:dyDescent="0.2">
      <c r="A5248" s="9">
        <v>46263</v>
      </c>
      <c r="B5248" t="s">
        <v>161</v>
      </c>
      <c r="C5248" t="s">
        <v>67</v>
      </c>
      <c r="D5248" t="s">
        <v>41</v>
      </c>
      <c r="E5248" t="s">
        <v>660</v>
      </c>
      <c r="F5248" t="s">
        <v>670</v>
      </c>
      <c r="G5248" s="10">
        <v>3</v>
      </c>
      <c r="H5248" s="10">
        <v>71259</v>
      </c>
      <c r="I5248" s="10">
        <v>213777</v>
      </c>
      <c r="J5248" t="s">
        <v>42</v>
      </c>
      <c r="K5248" s="11">
        <v>3145.8</v>
      </c>
      <c r="L5248" s="12">
        <v>67.959999999999994</v>
      </c>
    </row>
    <row r="5249" spans="1:12" x14ac:dyDescent="0.2">
      <c r="A5249" s="9">
        <v>46263</v>
      </c>
      <c r="B5249" t="s">
        <v>161</v>
      </c>
      <c r="C5249" t="s">
        <v>67</v>
      </c>
      <c r="D5249" t="s">
        <v>41</v>
      </c>
      <c r="E5249" t="s">
        <v>660</v>
      </c>
      <c r="F5249" t="s">
        <v>670</v>
      </c>
      <c r="G5249" s="10">
        <v>24</v>
      </c>
      <c r="H5249" s="10">
        <v>72086</v>
      </c>
      <c r="I5249" s="10">
        <v>1730064</v>
      </c>
      <c r="J5249" t="s">
        <v>42</v>
      </c>
      <c r="K5249" s="11">
        <v>3145.8</v>
      </c>
      <c r="L5249" s="12">
        <v>549.96</v>
      </c>
    </row>
    <row r="5250" spans="1:12" x14ac:dyDescent="0.2">
      <c r="A5250" s="9">
        <v>46263</v>
      </c>
      <c r="B5250" t="s">
        <v>166</v>
      </c>
      <c r="C5250" t="s">
        <v>167</v>
      </c>
      <c r="D5250" t="s">
        <v>46</v>
      </c>
      <c r="E5250" t="s">
        <v>660</v>
      </c>
      <c r="F5250" t="s">
        <v>669</v>
      </c>
      <c r="G5250" s="10">
        <v>2</v>
      </c>
      <c r="H5250" s="10">
        <v>2564</v>
      </c>
      <c r="I5250" s="10">
        <v>5128</v>
      </c>
      <c r="J5250" t="s">
        <v>37</v>
      </c>
      <c r="K5250" s="11">
        <v>648.20000000000005</v>
      </c>
      <c r="L5250" s="12">
        <v>7.91</v>
      </c>
    </row>
    <row r="5251" spans="1:12" x14ac:dyDescent="0.2">
      <c r="A5251" s="9">
        <v>46263</v>
      </c>
      <c r="B5251" t="s">
        <v>166</v>
      </c>
      <c r="C5251" t="s">
        <v>167</v>
      </c>
      <c r="D5251" t="s">
        <v>46</v>
      </c>
      <c r="E5251" t="s">
        <v>660</v>
      </c>
      <c r="F5251" t="s">
        <v>669</v>
      </c>
      <c r="G5251" s="10">
        <v>4</v>
      </c>
      <c r="H5251" s="10">
        <v>2640</v>
      </c>
      <c r="I5251" s="10">
        <v>10560</v>
      </c>
      <c r="J5251" t="s">
        <v>37</v>
      </c>
      <c r="K5251" s="11">
        <v>648.20000000000005</v>
      </c>
      <c r="L5251" s="12">
        <v>16.29</v>
      </c>
    </row>
    <row r="5252" spans="1:12" x14ac:dyDescent="0.2">
      <c r="A5252" s="9">
        <v>46263</v>
      </c>
      <c r="B5252" t="s">
        <v>169</v>
      </c>
      <c r="C5252" t="s">
        <v>170</v>
      </c>
      <c r="D5252" t="s">
        <v>41</v>
      </c>
      <c r="E5252" t="s">
        <v>655</v>
      </c>
      <c r="F5252" t="s">
        <v>662</v>
      </c>
      <c r="G5252" s="10">
        <v>7</v>
      </c>
      <c r="H5252" s="10">
        <v>5667</v>
      </c>
      <c r="I5252" s="10">
        <v>39669</v>
      </c>
      <c r="J5252" t="s">
        <v>42</v>
      </c>
      <c r="K5252" s="11">
        <v>3145.8</v>
      </c>
      <c r="L5252" s="12">
        <v>12.61</v>
      </c>
    </row>
    <row r="5253" spans="1:12" x14ac:dyDescent="0.2">
      <c r="A5253" s="9">
        <v>46263</v>
      </c>
      <c r="B5253" t="s">
        <v>169</v>
      </c>
      <c r="C5253" t="s">
        <v>170</v>
      </c>
      <c r="D5253" t="s">
        <v>41</v>
      </c>
      <c r="E5253" t="s">
        <v>647</v>
      </c>
      <c r="F5253" t="s">
        <v>668</v>
      </c>
      <c r="G5253" s="10">
        <v>79</v>
      </c>
      <c r="H5253" s="10">
        <v>126001</v>
      </c>
      <c r="I5253" s="10">
        <v>9954079</v>
      </c>
      <c r="J5253" t="s">
        <v>42</v>
      </c>
      <c r="K5253" s="11">
        <v>3145.8</v>
      </c>
      <c r="L5253" s="12">
        <v>3164.24</v>
      </c>
    </row>
    <row r="5254" spans="1:12" x14ac:dyDescent="0.2">
      <c r="A5254" s="9">
        <v>46263</v>
      </c>
      <c r="B5254" t="s">
        <v>169</v>
      </c>
      <c r="C5254" t="s">
        <v>170</v>
      </c>
      <c r="D5254" t="s">
        <v>41</v>
      </c>
      <c r="E5254" t="s">
        <v>647</v>
      </c>
      <c r="F5254" t="s">
        <v>648</v>
      </c>
      <c r="G5254" s="10">
        <v>11</v>
      </c>
      <c r="H5254" s="10">
        <v>80873</v>
      </c>
      <c r="I5254" s="10">
        <v>889603</v>
      </c>
      <c r="J5254" t="s">
        <v>42</v>
      </c>
      <c r="K5254" s="11">
        <v>3145.8</v>
      </c>
      <c r="L5254" s="12">
        <v>282.79000000000002</v>
      </c>
    </row>
    <row r="5255" spans="1:12" x14ac:dyDescent="0.2">
      <c r="A5255" s="9">
        <v>46263</v>
      </c>
      <c r="B5255" t="s">
        <v>175</v>
      </c>
      <c r="C5255" t="s">
        <v>176</v>
      </c>
      <c r="D5255" t="s">
        <v>50</v>
      </c>
      <c r="E5255" t="s">
        <v>655</v>
      </c>
      <c r="F5255" t="s">
        <v>662</v>
      </c>
      <c r="G5255" s="10">
        <v>10</v>
      </c>
      <c r="H5255" s="10">
        <v>1143</v>
      </c>
      <c r="I5255" s="10">
        <v>11430</v>
      </c>
      <c r="J5255" t="s">
        <v>51</v>
      </c>
      <c r="K5255" s="11">
        <v>648.20000000000005</v>
      </c>
      <c r="L5255" s="12">
        <v>17.63</v>
      </c>
    </row>
    <row r="5256" spans="1:12" x14ac:dyDescent="0.2">
      <c r="A5256" s="9">
        <v>46263</v>
      </c>
      <c r="B5256" t="s">
        <v>175</v>
      </c>
      <c r="C5256" t="s">
        <v>176</v>
      </c>
      <c r="D5256" t="s">
        <v>50</v>
      </c>
      <c r="E5256" t="s">
        <v>647</v>
      </c>
      <c r="F5256" t="s">
        <v>667</v>
      </c>
      <c r="G5256" s="10">
        <v>30</v>
      </c>
      <c r="H5256" s="10">
        <v>7459</v>
      </c>
      <c r="I5256" s="10">
        <v>223770</v>
      </c>
      <c r="J5256" t="s">
        <v>51</v>
      </c>
      <c r="K5256" s="11">
        <v>648.20000000000005</v>
      </c>
      <c r="L5256" s="12">
        <v>345.22</v>
      </c>
    </row>
    <row r="5257" spans="1:12" x14ac:dyDescent="0.2">
      <c r="A5257" s="9">
        <v>46263</v>
      </c>
      <c r="B5257" t="s">
        <v>181</v>
      </c>
      <c r="C5257" t="s">
        <v>182</v>
      </c>
      <c r="D5257" t="s">
        <v>41</v>
      </c>
      <c r="E5257" t="s">
        <v>649</v>
      </c>
      <c r="F5257" t="s">
        <v>663</v>
      </c>
      <c r="G5257" s="10">
        <v>2</v>
      </c>
      <c r="H5257" s="10">
        <v>9865</v>
      </c>
      <c r="I5257" s="10">
        <v>19730</v>
      </c>
      <c r="J5257" t="s">
        <v>42</v>
      </c>
      <c r="K5257" s="11">
        <v>3145.8</v>
      </c>
      <c r="L5257" s="12">
        <v>6.27</v>
      </c>
    </row>
    <row r="5258" spans="1:12" x14ac:dyDescent="0.2">
      <c r="A5258" s="9">
        <v>46263</v>
      </c>
      <c r="B5258" t="s">
        <v>181</v>
      </c>
      <c r="C5258" t="s">
        <v>182</v>
      </c>
      <c r="D5258" t="s">
        <v>41</v>
      </c>
      <c r="E5258" t="s">
        <v>649</v>
      </c>
      <c r="F5258" t="s">
        <v>659</v>
      </c>
      <c r="G5258" s="10">
        <v>1</v>
      </c>
      <c r="H5258" s="10">
        <v>43045</v>
      </c>
      <c r="I5258" s="10">
        <v>43045</v>
      </c>
      <c r="J5258" t="s">
        <v>42</v>
      </c>
      <c r="K5258" s="11">
        <v>3145.8</v>
      </c>
      <c r="L5258" s="12">
        <v>13.68</v>
      </c>
    </row>
    <row r="5259" spans="1:12" x14ac:dyDescent="0.2">
      <c r="A5259" s="9">
        <v>46263</v>
      </c>
      <c r="B5259" t="s">
        <v>181</v>
      </c>
      <c r="C5259" t="s">
        <v>182</v>
      </c>
      <c r="D5259" t="s">
        <v>41</v>
      </c>
      <c r="E5259" t="s">
        <v>647</v>
      </c>
      <c r="F5259" t="s">
        <v>668</v>
      </c>
      <c r="G5259" s="10">
        <v>3</v>
      </c>
      <c r="H5259" s="10">
        <v>119746</v>
      </c>
      <c r="I5259" s="10">
        <v>359238</v>
      </c>
      <c r="J5259" t="s">
        <v>42</v>
      </c>
      <c r="K5259" s="11">
        <v>3145.8</v>
      </c>
      <c r="L5259" s="12">
        <v>114.2</v>
      </c>
    </row>
    <row r="5260" spans="1:12" x14ac:dyDescent="0.2">
      <c r="A5260" s="9">
        <v>46263</v>
      </c>
      <c r="B5260" t="s">
        <v>187</v>
      </c>
      <c r="C5260" t="s">
        <v>188</v>
      </c>
      <c r="D5260" t="s">
        <v>75</v>
      </c>
      <c r="E5260" t="s">
        <v>655</v>
      </c>
      <c r="F5260" t="s">
        <v>665</v>
      </c>
      <c r="G5260" s="10">
        <v>22</v>
      </c>
      <c r="H5260" s="10">
        <v>3204</v>
      </c>
      <c r="I5260" s="10">
        <v>70488</v>
      </c>
      <c r="J5260" t="s">
        <v>42</v>
      </c>
      <c r="K5260" s="11">
        <v>3145.8</v>
      </c>
      <c r="L5260" s="12">
        <v>22.41</v>
      </c>
    </row>
    <row r="5261" spans="1:12" x14ac:dyDescent="0.2">
      <c r="A5261" s="9">
        <v>46263</v>
      </c>
      <c r="B5261" t="s">
        <v>190</v>
      </c>
      <c r="C5261" t="s">
        <v>191</v>
      </c>
      <c r="D5261" t="s">
        <v>68</v>
      </c>
      <c r="E5261" t="s">
        <v>655</v>
      </c>
      <c r="F5261" t="s">
        <v>662</v>
      </c>
      <c r="G5261" s="10">
        <v>7</v>
      </c>
      <c r="H5261" s="10">
        <v>1141</v>
      </c>
      <c r="I5261" s="10">
        <v>7987</v>
      </c>
      <c r="J5261" t="s">
        <v>51</v>
      </c>
      <c r="K5261" s="11">
        <v>648.20000000000005</v>
      </c>
      <c r="L5261" s="12">
        <v>12.32</v>
      </c>
    </row>
    <row r="5262" spans="1:12" x14ac:dyDescent="0.2">
      <c r="A5262" s="9">
        <v>46263</v>
      </c>
      <c r="B5262" t="s">
        <v>193</v>
      </c>
      <c r="C5262" t="s">
        <v>194</v>
      </c>
      <c r="D5262" t="s">
        <v>68</v>
      </c>
      <c r="E5262" t="s">
        <v>651</v>
      </c>
      <c r="F5262" t="s">
        <v>664</v>
      </c>
      <c r="G5262" s="10">
        <v>25</v>
      </c>
      <c r="H5262" s="10">
        <v>12355</v>
      </c>
      <c r="I5262" s="10">
        <v>308875</v>
      </c>
      <c r="J5262" t="s">
        <v>51</v>
      </c>
      <c r="K5262" s="11">
        <v>648.20000000000005</v>
      </c>
      <c r="L5262" s="12">
        <v>476.51</v>
      </c>
    </row>
    <row r="5263" spans="1:12" x14ac:dyDescent="0.2">
      <c r="A5263" s="9">
        <v>46263</v>
      </c>
      <c r="B5263" t="s">
        <v>196</v>
      </c>
      <c r="C5263" t="s">
        <v>197</v>
      </c>
      <c r="D5263" t="s">
        <v>46</v>
      </c>
      <c r="E5263" t="s">
        <v>649</v>
      </c>
      <c r="F5263" t="s">
        <v>659</v>
      </c>
      <c r="G5263" s="10">
        <v>72</v>
      </c>
      <c r="H5263" s="10">
        <v>8885</v>
      </c>
      <c r="I5263" s="10">
        <v>639720</v>
      </c>
      <c r="J5263" t="s">
        <v>37</v>
      </c>
      <c r="K5263" s="11">
        <v>648.20000000000005</v>
      </c>
      <c r="L5263" s="12">
        <v>986.92</v>
      </c>
    </row>
    <row r="5264" spans="1:12" x14ac:dyDescent="0.2">
      <c r="A5264" s="9">
        <v>46263</v>
      </c>
      <c r="B5264" t="s">
        <v>199</v>
      </c>
      <c r="C5264" t="s">
        <v>200</v>
      </c>
      <c r="D5264" t="s">
        <v>46</v>
      </c>
      <c r="E5264" t="s">
        <v>660</v>
      </c>
      <c r="F5264" t="s">
        <v>661</v>
      </c>
      <c r="G5264" s="10">
        <v>18</v>
      </c>
      <c r="H5264" s="10">
        <v>4301</v>
      </c>
      <c r="I5264" s="10">
        <v>77418</v>
      </c>
      <c r="J5264" t="s">
        <v>37</v>
      </c>
      <c r="K5264" s="11">
        <v>648.20000000000005</v>
      </c>
      <c r="L5264" s="12">
        <v>119.44</v>
      </c>
    </row>
    <row r="5265" spans="1:12" x14ac:dyDescent="0.2">
      <c r="A5265" s="9">
        <v>46263</v>
      </c>
      <c r="B5265" t="s">
        <v>199</v>
      </c>
      <c r="C5265" t="s">
        <v>200</v>
      </c>
      <c r="D5265" t="s">
        <v>46</v>
      </c>
      <c r="E5265" t="s">
        <v>660</v>
      </c>
      <c r="F5265" t="s">
        <v>661</v>
      </c>
      <c r="G5265" s="10">
        <v>64</v>
      </c>
      <c r="H5265" s="10">
        <v>4354</v>
      </c>
      <c r="I5265" s="10">
        <v>278656</v>
      </c>
      <c r="J5265" t="s">
        <v>37</v>
      </c>
      <c r="K5265" s="11">
        <v>648.20000000000005</v>
      </c>
      <c r="L5265" s="12">
        <v>429.89</v>
      </c>
    </row>
    <row r="5266" spans="1:12" x14ac:dyDescent="0.2">
      <c r="A5266" s="9">
        <v>46263</v>
      </c>
      <c r="B5266" t="s">
        <v>202</v>
      </c>
      <c r="C5266" t="s">
        <v>203</v>
      </c>
      <c r="D5266" t="s">
        <v>68</v>
      </c>
      <c r="E5266" t="s">
        <v>647</v>
      </c>
      <c r="F5266" t="s">
        <v>648</v>
      </c>
      <c r="G5266" s="10">
        <v>39</v>
      </c>
      <c r="H5266" s="10">
        <v>16551</v>
      </c>
      <c r="I5266" s="10">
        <v>645489</v>
      </c>
      <c r="J5266" t="s">
        <v>51</v>
      </c>
      <c r="K5266" s="11">
        <v>648.20000000000005</v>
      </c>
      <c r="L5266" s="12">
        <v>995.82</v>
      </c>
    </row>
    <row r="5267" spans="1:12" x14ac:dyDescent="0.2">
      <c r="A5267" s="9">
        <v>46263</v>
      </c>
      <c r="B5267" t="s">
        <v>205</v>
      </c>
      <c r="C5267" t="s">
        <v>206</v>
      </c>
      <c r="D5267" t="s">
        <v>50</v>
      </c>
      <c r="E5267" t="s">
        <v>653</v>
      </c>
      <c r="F5267" t="s">
        <v>658</v>
      </c>
      <c r="G5267" s="10">
        <v>7</v>
      </c>
      <c r="H5267" s="10">
        <v>2789</v>
      </c>
      <c r="I5267" s="10">
        <v>19523</v>
      </c>
      <c r="J5267" t="s">
        <v>51</v>
      </c>
      <c r="K5267" s="11">
        <v>648.20000000000005</v>
      </c>
      <c r="L5267" s="12">
        <v>30.12</v>
      </c>
    </row>
    <row r="5268" spans="1:12" x14ac:dyDescent="0.2">
      <c r="A5268" s="9">
        <v>46263</v>
      </c>
      <c r="B5268" t="s">
        <v>208</v>
      </c>
      <c r="C5268" t="s">
        <v>209</v>
      </c>
      <c r="D5268" t="s">
        <v>46</v>
      </c>
      <c r="E5268" t="s">
        <v>653</v>
      </c>
      <c r="F5268" t="s">
        <v>654</v>
      </c>
      <c r="G5268" s="10">
        <v>3</v>
      </c>
      <c r="H5268" s="10">
        <v>5599</v>
      </c>
      <c r="I5268" s="10">
        <v>16797</v>
      </c>
      <c r="J5268" t="s">
        <v>37</v>
      </c>
      <c r="K5268" s="11">
        <v>648.20000000000005</v>
      </c>
      <c r="L5268" s="12">
        <v>25.91</v>
      </c>
    </row>
    <row r="5269" spans="1:12" x14ac:dyDescent="0.2">
      <c r="A5269" s="9">
        <v>46263</v>
      </c>
      <c r="B5269" t="s">
        <v>211</v>
      </c>
      <c r="C5269" t="s">
        <v>212</v>
      </c>
      <c r="D5269" t="s">
        <v>46</v>
      </c>
      <c r="E5269" t="s">
        <v>653</v>
      </c>
      <c r="F5269" t="s">
        <v>658</v>
      </c>
      <c r="G5269" s="10">
        <v>38</v>
      </c>
      <c r="H5269" s="10">
        <v>2737</v>
      </c>
      <c r="I5269" s="10">
        <v>104006</v>
      </c>
      <c r="J5269" t="s">
        <v>37</v>
      </c>
      <c r="K5269" s="11">
        <v>648.20000000000005</v>
      </c>
      <c r="L5269" s="12">
        <v>160.44999999999999</v>
      </c>
    </row>
    <row r="5270" spans="1:12" x14ac:dyDescent="0.2">
      <c r="A5270" s="9">
        <v>46263</v>
      </c>
      <c r="B5270" t="s">
        <v>211</v>
      </c>
      <c r="C5270" t="s">
        <v>212</v>
      </c>
      <c r="D5270" t="s">
        <v>46</v>
      </c>
      <c r="E5270" t="s">
        <v>649</v>
      </c>
      <c r="F5270" t="s">
        <v>650</v>
      </c>
      <c r="G5270" s="10">
        <v>54</v>
      </c>
      <c r="H5270" s="10">
        <v>19822</v>
      </c>
      <c r="I5270" s="10">
        <v>1070388</v>
      </c>
      <c r="J5270" t="s">
        <v>37</v>
      </c>
      <c r="K5270" s="11">
        <v>648.20000000000005</v>
      </c>
      <c r="L5270" s="12">
        <v>1651.32</v>
      </c>
    </row>
    <row r="5271" spans="1:12" x14ac:dyDescent="0.2">
      <c r="A5271" s="9">
        <v>46263</v>
      </c>
      <c r="B5271" t="s">
        <v>211</v>
      </c>
      <c r="C5271" t="s">
        <v>212</v>
      </c>
      <c r="D5271" t="s">
        <v>46</v>
      </c>
      <c r="E5271" t="s">
        <v>647</v>
      </c>
      <c r="F5271" t="s">
        <v>668</v>
      </c>
      <c r="G5271" s="10">
        <v>16</v>
      </c>
      <c r="H5271" s="10">
        <v>25105</v>
      </c>
      <c r="I5271" s="10">
        <v>401680</v>
      </c>
      <c r="J5271" t="s">
        <v>37</v>
      </c>
      <c r="K5271" s="11">
        <v>648.20000000000005</v>
      </c>
      <c r="L5271" s="12">
        <v>619.69000000000005</v>
      </c>
    </row>
    <row r="5272" spans="1:12" x14ac:dyDescent="0.2">
      <c r="A5272" s="9">
        <v>46263</v>
      </c>
      <c r="B5272" t="s">
        <v>211</v>
      </c>
      <c r="C5272" t="s">
        <v>212</v>
      </c>
      <c r="D5272" t="s">
        <v>46</v>
      </c>
      <c r="E5272" t="s">
        <v>651</v>
      </c>
      <c r="F5272" t="s">
        <v>657</v>
      </c>
      <c r="G5272" s="10">
        <v>10</v>
      </c>
      <c r="H5272" s="10">
        <v>6524</v>
      </c>
      <c r="I5272" s="10">
        <v>65240</v>
      </c>
      <c r="J5272" t="s">
        <v>37</v>
      </c>
      <c r="K5272" s="11">
        <v>648.20000000000005</v>
      </c>
      <c r="L5272" s="12">
        <v>100.65</v>
      </c>
    </row>
    <row r="5273" spans="1:12" x14ac:dyDescent="0.2">
      <c r="A5273" s="9">
        <v>46263</v>
      </c>
      <c r="B5273" t="s">
        <v>214</v>
      </c>
      <c r="C5273" t="s">
        <v>215</v>
      </c>
      <c r="D5273" t="s">
        <v>46</v>
      </c>
      <c r="E5273" t="s">
        <v>653</v>
      </c>
      <c r="F5273" t="s">
        <v>666</v>
      </c>
      <c r="G5273" s="10">
        <v>15</v>
      </c>
      <c r="H5273" s="10">
        <v>1529</v>
      </c>
      <c r="I5273" s="10">
        <v>22935</v>
      </c>
      <c r="J5273" t="s">
        <v>37</v>
      </c>
      <c r="K5273" s="11">
        <v>648.20000000000005</v>
      </c>
      <c r="L5273" s="12">
        <v>35.380000000000003</v>
      </c>
    </row>
    <row r="5274" spans="1:12" x14ac:dyDescent="0.2">
      <c r="A5274" s="9">
        <v>46263</v>
      </c>
      <c r="B5274" t="s">
        <v>214</v>
      </c>
      <c r="C5274" t="s">
        <v>215</v>
      </c>
      <c r="D5274" t="s">
        <v>46</v>
      </c>
      <c r="E5274" t="s">
        <v>653</v>
      </c>
      <c r="F5274" t="s">
        <v>666</v>
      </c>
      <c r="G5274" s="10">
        <v>23</v>
      </c>
      <c r="H5274" s="10">
        <v>1536</v>
      </c>
      <c r="I5274" s="10">
        <v>35328</v>
      </c>
      <c r="J5274" t="s">
        <v>37</v>
      </c>
      <c r="K5274" s="11">
        <v>648.20000000000005</v>
      </c>
      <c r="L5274" s="12">
        <v>54.5</v>
      </c>
    </row>
    <row r="5275" spans="1:12" x14ac:dyDescent="0.2">
      <c r="A5275" s="9">
        <v>46263</v>
      </c>
      <c r="B5275" t="s">
        <v>214</v>
      </c>
      <c r="C5275" t="s">
        <v>215</v>
      </c>
      <c r="D5275" t="s">
        <v>46</v>
      </c>
      <c r="E5275" t="s">
        <v>660</v>
      </c>
      <c r="F5275" t="s">
        <v>669</v>
      </c>
      <c r="G5275" s="10">
        <v>12</v>
      </c>
      <c r="H5275" s="10">
        <v>2554</v>
      </c>
      <c r="I5275" s="10">
        <v>30648</v>
      </c>
      <c r="J5275" t="s">
        <v>37</v>
      </c>
      <c r="K5275" s="11">
        <v>648.20000000000005</v>
      </c>
      <c r="L5275" s="12">
        <v>47.28</v>
      </c>
    </row>
    <row r="5276" spans="1:12" x14ac:dyDescent="0.2">
      <c r="A5276" s="9">
        <v>46263</v>
      </c>
      <c r="B5276" t="s">
        <v>214</v>
      </c>
      <c r="C5276" t="s">
        <v>215</v>
      </c>
      <c r="D5276" t="s">
        <v>46</v>
      </c>
      <c r="E5276" t="s">
        <v>647</v>
      </c>
      <c r="F5276" t="s">
        <v>648</v>
      </c>
      <c r="G5276" s="10">
        <v>4</v>
      </c>
      <c r="H5276" s="10">
        <v>16439</v>
      </c>
      <c r="I5276" s="10">
        <v>65756</v>
      </c>
      <c r="J5276" t="s">
        <v>37</v>
      </c>
      <c r="K5276" s="11">
        <v>648.20000000000005</v>
      </c>
      <c r="L5276" s="12">
        <v>101.44</v>
      </c>
    </row>
    <row r="5277" spans="1:12" x14ac:dyDescent="0.2">
      <c r="A5277" s="9">
        <v>46263</v>
      </c>
      <c r="B5277" t="s">
        <v>226</v>
      </c>
      <c r="C5277" t="s">
        <v>227</v>
      </c>
      <c r="D5277" t="s">
        <v>41</v>
      </c>
      <c r="E5277" t="s">
        <v>653</v>
      </c>
      <c r="F5277" t="s">
        <v>666</v>
      </c>
      <c r="G5277" s="10">
        <v>48</v>
      </c>
      <c r="H5277" s="10">
        <v>7138</v>
      </c>
      <c r="I5277" s="10">
        <v>342624</v>
      </c>
      <c r="J5277" t="s">
        <v>42</v>
      </c>
      <c r="K5277" s="11">
        <v>3145.8</v>
      </c>
      <c r="L5277" s="12">
        <v>108.91</v>
      </c>
    </row>
    <row r="5278" spans="1:12" x14ac:dyDescent="0.2">
      <c r="A5278" s="9">
        <v>46263</v>
      </c>
      <c r="B5278" t="s">
        <v>226</v>
      </c>
      <c r="C5278" t="s">
        <v>227</v>
      </c>
      <c r="D5278" t="s">
        <v>41</v>
      </c>
      <c r="E5278" t="s">
        <v>655</v>
      </c>
      <c r="F5278" t="s">
        <v>662</v>
      </c>
      <c r="G5278" s="10">
        <v>2</v>
      </c>
      <c r="H5278" s="10">
        <v>5308</v>
      </c>
      <c r="I5278" s="10">
        <v>10616</v>
      </c>
      <c r="J5278" t="s">
        <v>42</v>
      </c>
      <c r="K5278" s="11">
        <v>3145.8</v>
      </c>
      <c r="L5278" s="12">
        <v>3.37</v>
      </c>
    </row>
    <row r="5279" spans="1:12" x14ac:dyDescent="0.2">
      <c r="A5279" s="9">
        <v>46263</v>
      </c>
      <c r="B5279" t="s">
        <v>226</v>
      </c>
      <c r="C5279" t="s">
        <v>227</v>
      </c>
      <c r="D5279" t="s">
        <v>41</v>
      </c>
      <c r="E5279" t="s">
        <v>653</v>
      </c>
      <c r="F5279" t="s">
        <v>654</v>
      </c>
      <c r="G5279" s="10">
        <v>18</v>
      </c>
      <c r="H5279" s="10">
        <v>26556</v>
      </c>
      <c r="I5279" s="10">
        <v>478008</v>
      </c>
      <c r="J5279" t="s">
        <v>42</v>
      </c>
      <c r="K5279" s="11">
        <v>3145.8</v>
      </c>
      <c r="L5279" s="12">
        <v>151.94999999999999</v>
      </c>
    </row>
    <row r="5280" spans="1:12" x14ac:dyDescent="0.2">
      <c r="A5280" s="9">
        <v>46263</v>
      </c>
      <c r="B5280" t="s">
        <v>229</v>
      </c>
      <c r="C5280" t="s">
        <v>230</v>
      </c>
      <c r="D5280" t="s">
        <v>36</v>
      </c>
      <c r="E5280" t="s">
        <v>647</v>
      </c>
      <c r="F5280" t="s">
        <v>667</v>
      </c>
      <c r="G5280" s="10">
        <v>12</v>
      </c>
      <c r="H5280" s="10">
        <v>7585</v>
      </c>
      <c r="I5280" s="10">
        <v>91020</v>
      </c>
      <c r="J5280" t="s">
        <v>37</v>
      </c>
      <c r="K5280" s="11">
        <v>648.20000000000005</v>
      </c>
      <c r="L5280" s="12">
        <v>140.41999999999999</v>
      </c>
    </row>
    <row r="5281" spans="1:12" x14ac:dyDescent="0.2">
      <c r="A5281" s="9">
        <v>46263</v>
      </c>
      <c r="B5281" t="s">
        <v>235</v>
      </c>
      <c r="C5281" t="s">
        <v>236</v>
      </c>
      <c r="D5281" t="s">
        <v>50</v>
      </c>
      <c r="E5281" t="s">
        <v>655</v>
      </c>
      <c r="F5281" t="s">
        <v>662</v>
      </c>
      <c r="G5281" s="10">
        <v>48</v>
      </c>
      <c r="H5281" s="10">
        <v>1133</v>
      </c>
      <c r="I5281" s="10">
        <v>54384</v>
      </c>
      <c r="J5281" t="s">
        <v>51</v>
      </c>
      <c r="K5281" s="11">
        <v>648.20000000000005</v>
      </c>
      <c r="L5281" s="12">
        <v>83.9</v>
      </c>
    </row>
    <row r="5282" spans="1:12" x14ac:dyDescent="0.2">
      <c r="A5282" s="9">
        <v>46263</v>
      </c>
      <c r="B5282" t="s">
        <v>235</v>
      </c>
      <c r="C5282" t="s">
        <v>236</v>
      </c>
      <c r="D5282" t="s">
        <v>50</v>
      </c>
      <c r="E5282" t="s">
        <v>660</v>
      </c>
      <c r="F5282" t="s">
        <v>669</v>
      </c>
      <c r="G5282" s="10">
        <v>30</v>
      </c>
      <c r="H5282" s="10">
        <v>2586</v>
      </c>
      <c r="I5282" s="10">
        <v>77580</v>
      </c>
      <c r="J5282" t="s">
        <v>51</v>
      </c>
      <c r="K5282" s="11">
        <v>648.20000000000005</v>
      </c>
      <c r="L5282" s="12">
        <v>119.69</v>
      </c>
    </row>
    <row r="5283" spans="1:12" x14ac:dyDescent="0.2">
      <c r="A5283" s="9">
        <v>46263</v>
      </c>
      <c r="B5283" t="s">
        <v>235</v>
      </c>
      <c r="C5283" t="s">
        <v>236</v>
      </c>
      <c r="D5283" t="s">
        <v>50</v>
      </c>
      <c r="E5283" t="s">
        <v>647</v>
      </c>
      <c r="F5283" t="s">
        <v>667</v>
      </c>
      <c r="G5283" s="10">
        <v>52</v>
      </c>
      <c r="H5283" s="10">
        <v>7448</v>
      </c>
      <c r="I5283" s="10">
        <v>387296</v>
      </c>
      <c r="J5283" t="s">
        <v>51</v>
      </c>
      <c r="K5283" s="11">
        <v>648.20000000000005</v>
      </c>
      <c r="L5283" s="12">
        <v>597.49</v>
      </c>
    </row>
    <row r="5284" spans="1:12" x14ac:dyDescent="0.2">
      <c r="A5284" s="9">
        <v>46263</v>
      </c>
      <c r="B5284" t="s">
        <v>238</v>
      </c>
      <c r="C5284" t="s">
        <v>239</v>
      </c>
      <c r="D5284" t="s">
        <v>68</v>
      </c>
      <c r="E5284" t="s">
        <v>647</v>
      </c>
      <c r="F5284" t="s">
        <v>667</v>
      </c>
      <c r="G5284" s="10">
        <v>5</v>
      </c>
      <c r="H5284" s="10">
        <v>7354</v>
      </c>
      <c r="I5284" s="10">
        <v>36770</v>
      </c>
      <c r="J5284" t="s">
        <v>51</v>
      </c>
      <c r="K5284" s="11">
        <v>648.20000000000005</v>
      </c>
      <c r="L5284" s="12">
        <v>56.73</v>
      </c>
    </row>
    <row r="5285" spans="1:12" x14ac:dyDescent="0.2">
      <c r="A5285" s="9">
        <v>46263</v>
      </c>
      <c r="B5285" t="s">
        <v>241</v>
      </c>
      <c r="C5285" t="s">
        <v>242</v>
      </c>
      <c r="D5285" t="s">
        <v>46</v>
      </c>
      <c r="E5285" t="s">
        <v>647</v>
      </c>
      <c r="F5285" t="s">
        <v>648</v>
      </c>
      <c r="G5285" s="10">
        <v>8</v>
      </c>
      <c r="H5285" s="10">
        <v>16756</v>
      </c>
      <c r="I5285" s="10">
        <v>134048</v>
      </c>
      <c r="J5285" t="s">
        <v>37</v>
      </c>
      <c r="K5285" s="11">
        <v>648.20000000000005</v>
      </c>
      <c r="L5285" s="12">
        <v>206.8</v>
      </c>
    </row>
    <row r="5286" spans="1:12" x14ac:dyDescent="0.2">
      <c r="A5286" s="9">
        <v>46263</v>
      </c>
      <c r="B5286" t="s">
        <v>244</v>
      </c>
      <c r="C5286" t="s">
        <v>245</v>
      </c>
      <c r="D5286" t="s">
        <v>75</v>
      </c>
      <c r="E5286" t="s">
        <v>647</v>
      </c>
      <c r="F5286" t="s">
        <v>668</v>
      </c>
      <c r="G5286" s="10">
        <v>12</v>
      </c>
      <c r="H5286" s="10">
        <v>122049</v>
      </c>
      <c r="I5286" s="10">
        <v>1464588</v>
      </c>
      <c r="J5286" t="s">
        <v>42</v>
      </c>
      <c r="K5286" s="11">
        <v>3145.8</v>
      </c>
      <c r="L5286" s="12">
        <v>465.57</v>
      </c>
    </row>
    <row r="5287" spans="1:12" x14ac:dyDescent="0.2">
      <c r="A5287" s="9">
        <v>46263</v>
      </c>
      <c r="B5287" t="s">
        <v>247</v>
      </c>
      <c r="C5287" t="s">
        <v>248</v>
      </c>
      <c r="D5287" t="s">
        <v>75</v>
      </c>
      <c r="E5287" t="s">
        <v>647</v>
      </c>
      <c r="F5287" t="s">
        <v>667</v>
      </c>
      <c r="G5287" s="10">
        <v>4</v>
      </c>
      <c r="H5287" s="10">
        <v>35414</v>
      </c>
      <c r="I5287" s="10">
        <v>141656</v>
      </c>
      <c r="J5287" t="s">
        <v>42</v>
      </c>
      <c r="K5287" s="11">
        <v>3145.8</v>
      </c>
      <c r="L5287" s="12">
        <v>45.03</v>
      </c>
    </row>
    <row r="5288" spans="1:12" x14ac:dyDescent="0.2">
      <c r="A5288" s="9">
        <v>46263</v>
      </c>
      <c r="B5288" t="s">
        <v>253</v>
      </c>
      <c r="C5288" t="s">
        <v>254</v>
      </c>
      <c r="D5288" t="s">
        <v>50</v>
      </c>
      <c r="E5288" t="s">
        <v>647</v>
      </c>
      <c r="F5288" t="s">
        <v>648</v>
      </c>
      <c r="G5288" s="10">
        <v>12</v>
      </c>
      <c r="H5288" s="10">
        <v>15948</v>
      </c>
      <c r="I5288" s="10">
        <v>191376</v>
      </c>
      <c r="J5288" t="s">
        <v>51</v>
      </c>
      <c r="K5288" s="11">
        <v>648.20000000000005</v>
      </c>
      <c r="L5288" s="12">
        <v>295.24</v>
      </c>
    </row>
    <row r="5289" spans="1:12" x14ac:dyDescent="0.2">
      <c r="A5289" s="9">
        <v>46263</v>
      </c>
      <c r="B5289" t="s">
        <v>256</v>
      </c>
      <c r="C5289" t="s">
        <v>182</v>
      </c>
      <c r="D5289" t="s">
        <v>50</v>
      </c>
      <c r="E5289" t="s">
        <v>660</v>
      </c>
      <c r="F5289" t="s">
        <v>661</v>
      </c>
      <c r="G5289" s="10">
        <v>4</v>
      </c>
      <c r="H5289" s="10">
        <v>4254</v>
      </c>
      <c r="I5289" s="10">
        <v>17016</v>
      </c>
      <c r="J5289" t="s">
        <v>51</v>
      </c>
      <c r="K5289" s="11">
        <v>648.20000000000005</v>
      </c>
      <c r="L5289" s="12">
        <v>26.25</v>
      </c>
    </row>
    <row r="5290" spans="1:12" x14ac:dyDescent="0.2">
      <c r="A5290" s="9">
        <v>46263</v>
      </c>
      <c r="B5290" t="s">
        <v>256</v>
      </c>
      <c r="C5290" t="s">
        <v>182</v>
      </c>
      <c r="D5290" t="s">
        <v>50</v>
      </c>
      <c r="E5290" t="s">
        <v>660</v>
      </c>
      <c r="F5290" t="s">
        <v>661</v>
      </c>
      <c r="G5290" s="10">
        <v>6</v>
      </c>
      <c r="H5290" s="10">
        <v>4237</v>
      </c>
      <c r="I5290" s="10">
        <v>25422</v>
      </c>
      <c r="J5290" t="s">
        <v>51</v>
      </c>
      <c r="K5290" s="11">
        <v>648.20000000000005</v>
      </c>
      <c r="L5290" s="12">
        <v>39.22</v>
      </c>
    </row>
    <row r="5291" spans="1:12" x14ac:dyDescent="0.2">
      <c r="A5291" s="9">
        <v>46263</v>
      </c>
      <c r="B5291" t="s">
        <v>261</v>
      </c>
      <c r="C5291" t="s">
        <v>262</v>
      </c>
      <c r="D5291" t="s">
        <v>41</v>
      </c>
      <c r="E5291" t="s">
        <v>653</v>
      </c>
      <c r="F5291" t="s">
        <v>666</v>
      </c>
      <c r="G5291" s="10">
        <v>56</v>
      </c>
      <c r="H5291" s="10">
        <v>7518</v>
      </c>
      <c r="I5291" s="10">
        <v>421008</v>
      </c>
      <c r="J5291" t="s">
        <v>42</v>
      </c>
      <c r="K5291" s="11">
        <v>3145.8</v>
      </c>
      <c r="L5291" s="12">
        <v>133.83000000000001</v>
      </c>
    </row>
    <row r="5292" spans="1:12" x14ac:dyDescent="0.2">
      <c r="A5292" s="9">
        <v>46263</v>
      </c>
      <c r="B5292" t="s">
        <v>264</v>
      </c>
      <c r="C5292" t="s">
        <v>265</v>
      </c>
      <c r="D5292" t="s">
        <v>41</v>
      </c>
      <c r="E5292" t="s">
        <v>649</v>
      </c>
      <c r="F5292" t="s">
        <v>663</v>
      </c>
      <c r="G5292" s="10">
        <v>1</v>
      </c>
      <c r="H5292" s="10">
        <v>9981</v>
      </c>
      <c r="I5292" s="10">
        <v>9981</v>
      </c>
      <c r="J5292" t="s">
        <v>42</v>
      </c>
      <c r="K5292" s="11">
        <v>3145.8</v>
      </c>
      <c r="L5292" s="12">
        <v>3.17</v>
      </c>
    </row>
    <row r="5293" spans="1:12" x14ac:dyDescent="0.2">
      <c r="A5293" s="9">
        <v>46263</v>
      </c>
      <c r="B5293" t="s">
        <v>264</v>
      </c>
      <c r="C5293" t="s">
        <v>265</v>
      </c>
      <c r="D5293" t="s">
        <v>41</v>
      </c>
      <c r="E5293" t="s">
        <v>660</v>
      </c>
      <c r="F5293" t="s">
        <v>661</v>
      </c>
      <c r="G5293" s="10">
        <v>2</v>
      </c>
      <c r="H5293" s="10">
        <v>20134</v>
      </c>
      <c r="I5293" s="10">
        <v>40268</v>
      </c>
      <c r="J5293" t="s">
        <v>42</v>
      </c>
      <c r="K5293" s="11">
        <v>3145.8</v>
      </c>
      <c r="L5293" s="12">
        <v>12.8</v>
      </c>
    </row>
    <row r="5294" spans="1:12" x14ac:dyDescent="0.2">
      <c r="A5294" s="9">
        <v>46263</v>
      </c>
      <c r="B5294" t="s">
        <v>264</v>
      </c>
      <c r="C5294" t="s">
        <v>265</v>
      </c>
      <c r="D5294" t="s">
        <v>41</v>
      </c>
      <c r="E5294" t="s">
        <v>651</v>
      </c>
      <c r="F5294" t="s">
        <v>657</v>
      </c>
      <c r="G5294" s="10">
        <v>11</v>
      </c>
      <c r="H5294" s="10">
        <v>29953</v>
      </c>
      <c r="I5294" s="10">
        <v>329483</v>
      </c>
      <c r="J5294" t="s">
        <v>42</v>
      </c>
      <c r="K5294" s="11">
        <v>3145.8</v>
      </c>
      <c r="L5294" s="12">
        <v>104.74</v>
      </c>
    </row>
    <row r="5295" spans="1:12" x14ac:dyDescent="0.2">
      <c r="A5295" s="9">
        <v>46263</v>
      </c>
      <c r="B5295" t="s">
        <v>267</v>
      </c>
      <c r="C5295" t="s">
        <v>268</v>
      </c>
      <c r="D5295" t="s">
        <v>46</v>
      </c>
      <c r="E5295" t="s">
        <v>660</v>
      </c>
      <c r="F5295" t="s">
        <v>670</v>
      </c>
      <c r="G5295" s="10">
        <v>17</v>
      </c>
      <c r="H5295" s="10">
        <v>13970</v>
      </c>
      <c r="I5295" s="10">
        <v>237490</v>
      </c>
      <c r="J5295" t="s">
        <v>37</v>
      </c>
      <c r="K5295" s="11">
        <v>648.20000000000005</v>
      </c>
      <c r="L5295" s="12">
        <v>366.38</v>
      </c>
    </row>
    <row r="5296" spans="1:12" x14ac:dyDescent="0.2">
      <c r="A5296" s="9">
        <v>46263</v>
      </c>
      <c r="B5296" t="s">
        <v>267</v>
      </c>
      <c r="C5296" t="s">
        <v>268</v>
      </c>
      <c r="D5296" t="s">
        <v>46</v>
      </c>
      <c r="E5296" t="s">
        <v>647</v>
      </c>
      <c r="F5296" t="s">
        <v>667</v>
      </c>
      <c r="G5296" s="10">
        <v>12</v>
      </c>
      <c r="H5296" s="10">
        <v>7166</v>
      </c>
      <c r="I5296" s="10">
        <v>85992</v>
      </c>
      <c r="J5296" t="s">
        <v>37</v>
      </c>
      <c r="K5296" s="11">
        <v>648.20000000000005</v>
      </c>
      <c r="L5296" s="12">
        <v>132.66</v>
      </c>
    </row>
    <row r="5297" spans="1:12" x14ac:dyDescent="0.2">
      <c r="A5297" s="9">
        <v>46263</v>
      </c>
      <c r="B5297" t="s">
        <v>270</v>
      </c>
      <c r="C5297" t="s">
        <v>271</v>
      </c>
      <c r="D5297" t="s">
        <v>75</v>
      </c>
      <c r="E5297" t="s">
        <v>660</v>
      </c>
      <c r="F5297" t="s">
        <v>669</v>
      </c>
      <c r="G5297" s="10">
        <v>35</v>
      </c>
      <c r="H5297" s="10">
        <v>12199</v>
      </c>
      <c r="I5297" s="10">
        <v>426965</v>
      </c>
      <c r="J5297" t="s">
        <v>42</v>
      </c>
      <c r="K5297" s="11">
        <v>3145.8</v>
      </c>
      <c r="L5297" s="12">
        <v>135.72999999999999</v>
      </c>
    </row>
    <row r="5298" spans="1:12" x14ac:dyDescent="0.2">
      <c r="A5298" s="9">
        <v>46263</v>
      </c>
      <c r="B5298" t="s">
        <v>282</v>
      </c>
      <c r="C5298" t="s">
        <v>283</v>
      </c>
      <c r="D5298" t="s">
        <v>41</v>
      </c>
      <c r="E5298" t="s">
        <v>653</v>
      </c>
      <c r="F5298" t="s">
        <v>654</v>
      </c>
      <c r="G5298" s="10">
        <v>9</v>
      </c>
      <c r="H5298" s="10">
        <v>28317</v>
      </c>
      <c r="I5298" s="10">
        <v>254853</v>
      </c>
      <c r="J5298" t="s">
        <v>42</v>
      </c>
      <c r="K5298" s="11">
        <v>3145.8</v>
      </c>
      <c r="L5298" s="12">
        <v>81.010000000000005</v>
      </c>
    </row>
    <row r="5299" spans="1:12" x14ac:dyDescent="0.2">
      <c r="A5299" s="9">
        <v>46263</v>
      </c>
      <c r="B5299" t="s">
        <v>288</v>
      </c>
      <c r="C5299" t="s">
        <v>289</v>
      </c>
      <c r="D5299" t="s">
        <v>41</v>
      </c>
      <c r="E5299" t="s">
        <v>653</v>
      </c>
      <c r="F5299" t="s">
        <v>658</v>
      </c>
      <c r="G5299" s="10">
        <v>40</v>
      </c>
      <c r="H5299" s="10">
        <v>12964</v>
      </c>
      <c r="I5299" s="10">
        <v>518560</v>
      </c>
      <c r="J5299" t="s">
        <v>42</v>
      </c>
      <c r="K5299" s="11">
        <v>3145.8</v>
      </c>
      <c r="L5299" s="12">
        <v>164.84</v>
      </c>
    </row>
    <row r="5300" spans="1:12" x14ac:dyDescent="0.2">
      <c r="A5300" s="9">
        <v>46263</v>
      </c>
      <c r="B5300" t="s">
        <v>288</v>
      </c>
      <c r="C5300" t="s">
        <v>289</v>
      </c>
      <c r="D5300" t="s">
        <v>41</v>
      </c>
      <c r="E5300" t="s">
        <v>649</v>
      </c>
      <c r="F5300" t="s">
        <v>659</v>
      </c>
      <c r="G5300" s="10">
        <v>35</v>
      </c>
      <c r="H5300" s="10">
        <v>43297</v>
      </c>
      <c r="I5300" s="10">
        <v>1515395</v>
      </c>
      <c r="J5300" t="s">
        <v>42</v>
      </c>
      <c r="K5300" s="11">
        <v>3145.8</v>
      </c>
      <c r="L5300" s="12">
        <v>481.72</v>
      </c>
    </row>
    <row r="5301" spans="1:12" x14ac:dyDescent="0.2">
      <c r="A5301" s="9">
        <v>46263</v>
      </c>
      <c r="B5301" t="s">
        <v>297</v>
      </c>
      <c r="C5301" t="s">
        <v>298</v>
      </c>
      <c r="D5301" t="s">
        <v>36</v>
      </c>
      <c r="E5301" t="s">
        <v>649</v>
      </c>
      <c r="F5301" t="s">
        <v>650</v>
      </c>
      <c r="G5301" s="10">
        <v>32</v>
      </c>
      <c r="H5301" s="10">
        <v>19303</v>
      </c>
      <c r="I5301" s="10">
        <v>617696</v>
      </c>
      <c r="J5301" t="s">
        <v>37</v>
      </c>
      <c r="K5301" s="11">
        <v>648.20000000000005</v>
      </c>
      <c r="L5301" s="12">
        <v>952.94</v>
      </c>
    </row>
    <row r="5302" spans="1:12" x14ac:dyDescent="0.2">
      <c r="A5302" s="9">
        <v>46263</v>
      </c>
      <c r="B5302" t="s">
        <v>297</v>
      </c>
      <c r="C5302" t="s">
        <v>298</v>
      </c>
      <c r="D5302" t="s">
        <v>36</v>
      </c>
      <c r="E5302" t="s">
        <v>649</v>
      </c>
      <c r="F5302" t="s">
        <v>659</v>
      </c>
      <c r="G5302" s="10">
        <v>3</v>
      </c>
      <c r="H5302" s="10">
        <v>8726</v>
      </c>
      <c r="I5302" s="10">
        <v>26178</v>
      </c>
      <c r="J5302" t="s">
        <v>37</v>
      </c>
      <c r="K5302" s="11">
        <v>648.20000000000005</v>
      </c>
      <c r="L5302" s="12">
        <v>40.39</v>
      </c>
    </row>
    <row r="5303" spans="1:12" x14ac:dyDescent="0.2">
      <c r="A5303" s="9">
        <v>46263</v>
      </c>
      <c r="B5303" t="s">
        <v>297</v>
      </c>
      <c r="C5303" t="s">
        <v>298</v>
      </c>
      <c r="D5303" t="s">
        <v>36</v>
      </c>
      <c r="E5303" t="s">
        <v>660</v>
      </c>
      <c r="F5303" t="s">
        <v>661</v>
      </c>
      <c r="G5303" s="10">
        <v>9</v>
      </c>
      <c r="H5303" s="10">
        <v>4179</v>
      </c>
      <c r="I5303" s="10">
        <v>37611</v>
      </c>
      <c r="J5303" t="s">
        <v>37</v>
      </c>
      <c r="K5303" s="11">
        <v>648.20000000000005</v>
      </c>
      <c r="L5303" s="12">
        <v>58.02</v>
      </c>
    </row>
    <row r="5304" spans="1:12" x14ac:dyDescent="0.2">
      <c r="A5304" s="9">
        <v>46263</v>
      </c>
      <c r="B5304" t="s">
        <v>303</v>
      </c>
      <c r="C5304" t="s">
        <v>304</v>
      </c>
      <c r="D5304" t="s">
        <v>36</v>
      </c>
      <c r="E5304" t="s">
        <v>647</v>
      </c>
      <c r="F5304" t="s">
        <v>668</v>
      </c>
      <c r="G5304" s="10">
        <v>3</v>
      </c>
      <c r="H5304" s="10">
        <v>25926</v>
      </c>
      <c r="I5304" s="10">
        <v>77778</v>
      </c>
      <c r="J5304" t="s">
        <v>37</v>
      </c>
      <c r="K5304" s="11">
        <v>648.20000000000005</v>
      </c>
      <c r="L5304" s="12">
        <v>119.99</v>
      </c>
    </row>
    <row r="5305" spans="1:12" x14ac:dyDescent="0.2">
      <c r="A5305" s="9">
        <v>46263</v>
      </c>
      <c r="B5305" t="s">
        <v>306</v>
      </c>
      <c r="C5305" t="s">
        <v>307</v>
      </c>
      <c r="D5305" t="s">
        <v>36</v>
      </c>
      <c r="E5305" t="s">
        <v>647</v>
      </c>
      <c r="F5305" t="s">
        <v>667</v>
      </c>
      <c r="G5305" s="10">
        <v>3</v>
      </c>
      <c r="H5305" s="10">
        <v>7187</v>
      </c>
      <c r="I5305" s="10">
        <v>21561</v>
      </c>
      <c r="J5305" t="s">
        <v>37</v>
      </c>
      <c r="K5305" s="11">
        <v>648.20000000000005</v>
      </c>
      <c r="L5305" s="12">
        <v>33.26</v>
      </c>
    </row>
    <row r="5306" spans="1:12" x14ac:dyDescent="0.2">
      <c r="A5306" s="9">
        <v>46263</v>
      </c>
      <c r="B5306" t="s">
        <v>309</v>
      </c>
      <c r="C5306" t="s">
        <v>310</v>
      </c>
      <c r="D5306" t="s">
        <v>41</v>
      </c>
      <c r="E5306" t="s">
        <v>647</v>
      </c>
      <c r="F5306" t="s">
        <v>667</v>
      </c>
      <c r="G5306" s="10">
        <v>4</v>
      </c>
      <c r="H5306" s="10">
        <v>36717</v>
      </c>
      <c r="I5306" s="10">
        <v>146868</v>
      </c>
      <c r="J5306" t="s">
        <v>42</v>
      </c>
      <c r="K5306" s="11">
        <v>3145.8</v>
      </c>
      <c r="L5306" s="12">
        <v>46.69</v>
      </c>
    </row>
    <row r="5307" spans="1:12" x14ac:dyDescent="0.2">
      <c r="A5307" s="9">
        <v>46263</v>
      </c>
      <c r="B5307" t="s">
        <v>309</v>
      </c>
      <c r="C5307" t="s">
        <v>310</v>
      </c>
      <c r="D5307" t="s">
        <v>41</v>
      </c>
      <c r="E5307" t="s">
        <v>647</v>
      </c>
      <c r="F5307" t="s">
        <v>667</v>
      </c>
      <c r="G5307" s="10">
        <v>5</v>
      </c>
      <c r="H5307" s="10">
        <v>34706</v>
      </c>
      <c r="I5307" s="10">
        <v>173530</v>
      </c>
      <c r="J5307" t="s">
        <v>42</v>
      </c>
      <c r="K5307" s="11">
        <v>3145.8</v>
      </c>
      <c r="L5307" s="12">
        <v>55.16</v>
      </c>
    </row>
    <row r="5308" spans="1:12" x14ac:dyDescent="0.2">
      <c r="A5308" s="9">
        <v>46263</v>
      </c>
      <c r="B5308" t="s">
        <v>312</v>
      </c>
      <c r="C5308" t="s">
        <v>313</v>
      </c>
      <c r="D5308" t="s">
        <v>41</v>
      </c>
      <c r="E5308" t="s">
        <v>655</v>
      </c>
      <c r="F5308" t="s">
        <v>656</v>
      </c>
      <c r="G5308" s="10">
        <v>18</v>
      </c>
      <c r="H5308" s="10">
        <v>2701</v>
      </c>
      <c r="I5308" s="10">
        <v>48618</v>
      </c>
      <c r="J5308" t="s">
        <v>42</v>
      </c>
      <c r="K5308" s="11">
        <v>3145.8</v>
      </c>
      <c r="L5308" s="12">
        <v>15.45</v>
      </c>
    </row>
    <row r="5309" spans="1:12" x14ac:dyDescent="0.2">
      <c r="A5309" s="9">
        <v>46263</v>
      </c>
      <c r="B5309" t="s">
        <v>318</v>
      </c>
      <c r="C5309" t="s">
        <v>319</v>
      </c>
      <c r="D5309" t="s">
        <v>41</v>
      </c>
      <c r="E5309" t="s">
        <v>660</v>
      </c>
      <c r="F5309" t="s">
        <v>661</v>
      </c>
      <c r="G5309" s="10">
        <v>1</v>
      </c>
      <c r="H5309" s="10">
        <v>19884</v>
      </c>
      <c r="I5309" s="10">
        <v>19884</v>
      </c>
      <c r="J5309" t="s">
        <v>42</v>
      </c>
      <c r="K5309" s="11">
        <v>3145.8</v>
      </c>
      <c r="L5309" s="12">
        <v>6.32</v>
      </c>
    </row>
    <row r="5310" spans="1:12" x14ac:dyDescent="0.2">
      <c r="A5310" s="9">
        <v>46263</v>
      </c>
      <c r="B5310" t="s">
        <v>321</v>
      </c>
      <c r="C5310" t="s">
        <v>322</v>
      </c>
      <c r="D5310" t="s">
        <v>41</v>
      </c>
      <c r="E5310" t="s">
        <v>649</v>
      </c>
      <c r="F5310" t="s">
        <v>663</v>
      </c>
      <c r="G5310" s="10">
        <v>24</v>
      </c>
      <c r="H5310" s="10">
        <v>9738</v>
      </c>
      <c r="I5310" s="10">
        <v>233712</v>
      </c>
      <c r="J5310" t="s">
        <v>42</v>
      </c>
      <c r="K5310" s="11">
        <v>3145.8</v>
      </c>
      <c r="L5310" s="12">
        <v>74.290000000000006</v>
      </c>
    </row>
    <row r="5311" spans="1:12" x14ac:dyDescent="0.2">
      <c r="A5311" s="9">
        <v>46263</v>
      </c>
      <c r="B5311" t="s">
        <v>321</v>
      </c>
      <c r="C5311" t="s">
        <v>322</v>
      </c>
      <c r="D5311" t="s">
        <v>41</v>
      </c>
      <c r="E5311" t="s">
        <v>655</v>
      </c>
      <c r="F5311" t="s">
        <v>656</v>
      </c>
      <c r="G5311" s="10">
        <v>11</v>
      </c>
      <c r="H5311" s="10">
        <v>2860</v>
      </c>
      <c r="I5311" s="10">
        <v>31460</v>
      </c>
      <c r="J5311" t="s">
        <v>42</v>
      </c>
      <c r="K5311" s="11">
        <v>3145.8</v>
      </c>
      <c r="L5311" s="12">
        <v>10</v>
      </c>
    </row>
    <row r="5312" spans="1:12" x14ac:dyDescent="0.2">
      <c r="A5312" s="9">
        <v>46263</v>
      </c>
      <c r="B5312" t="s">
        <v>324</v>
      </c>
      <c r="C5312" t="s">
        <v>325</v>
      </c>
      <c r="D5312" t="s">
        <v>46</v>
      </c>
      <c r="E5312" t="s">
        <v>649</v>
      </c>
      <c r="F5312" t="s">
        <v>650</v>
      </c>
      <c r="G5312" s="10">
        <v>5</v>
      </c>
      <c r="H5312" s="10">
        <v>18670</v>
      </c>
      <c r="I5312" s="10">
        <v>93350</v>
      </c>
      <c r="J5312" t="s">
        <v>37</v>
      </c>
      <c r="K5312" s="11">
        <v>648.20000000000005</v>
      </c>
      <c r="L5312" s="12">
        <v>144.01</v>
      </c>
    </row>
    <row r="5313" spans="1:12" x14ac:dyDescent="0.2">
      <c r="A5313" s="9">
        <v>46263</v>
      </c>
      <c r="B5313" t="s">
        <v>327</v>
      </c>
      <c r="C5313" t="s">
        <v>328</v>
      </c>
      <c r="D5313" t="s">
        <v>46</v>
      </c>
      <c r="E5313" t="s">
        <v>660</v>
      </c>
      <c r="F5313" t="s">
        <v>670</v>
      </c>
      <c r="G5313" s="10">
        <v>13</v>
      </c>
      <c r="H5313" s="10">
        <v>13981</v>
      </c>
      <c r="I5313" s="10">
        <v>181753</v>
      </c>
      <c r="J5313" t="s">
        <v>37</v>
      </c>
      <c r="K5313" s="11">
        <v>648.20000000000005</v>
      </c>
      <c r="L5313" s="12">
        <v>280.39999999999998</v>
      </c>
    </row>
    <row r="5314" spans="1:12" x14ac:dyDescent="0.2">
      <c r="A5314" s="9">
        <v>46263</v>
      </c>
      <c r="B5314" t="s">
        <v>330</v>
      </c>
      <c r="C5314" t="s">
        <v>331</v>
      </c>
      <c r="D5314" t="s">
        <v>68</v>
      </c>
      <c r="E5314" t="s">
        <v>649</v>
      </c>
      <c r="F5314" t="s">
        <v>659</v>
      </c>
      <c r="G5314" s="10">
        <v>11</v>
      </c>
      <c r="H5314" s="10">
        <v>8767</v>
      </c>
      <c r="I5314" s="10">
        <v>96437</v>
      </c>
      <c r="J5314" t="s">
        <v>51</v>
      </c>
      <c r="K5314" s="11">
        <v>648.20000000000005</v>
      </c>
      <c r="L5314" s="12">
        <v>148.78</v>
      </c>
    </row>
    <row r="5315" spans="1:12" x14ac:dyDescent="0.2">
      <c r="A5315" s="9">
        <v>46263</v>
      </c>
      <c r="B5315" t="s">
        <v>336</v>
      </c>
      <c r="C5315" t="s">
        <v>337</v>
      </c>
      <c r="D5315" t="s">
        <v>68</v>
      </c>
      <c r="E5315" t="s">
        <v>660</v>
      </c>
      <c r="F5315" t="s">
        <v>669</v>
      </c>
      <c r="G5315" s="10">
        <v>3</v>
      </c>
      <c r="H5315" s="10">
        <v>2581</v>
      </c>
      <c r="I5315" s="10">
        <v>7743</v>
      </c>
      <c r="J5315" t="s">
        <v>51</v>
      </c>
      <c r="K5315" s="11">
        <v>648.20000000000005</v>
      </c>
      <c r="L5315" s="12">
        <v>11.95</v>
      </c>
    </row>
    <row r="5316" spans="1:12" x14ac:dyDescent="0.2">
      <c r="A5316" s="9">
        <v>46263</v>
      </c>
      <c r="B5316" t="s">
        <v>342</v>
      </c>
      <c r="C5316" t="s">
        <v>343</v>
      </c>
      <c r="D5316" t="s">
        <v>41</v>
      </c>
      <c r="E5316" t="s">
        <v>660</v>
      </c>
      <c r="F5316" t="s">
        <v>670</v>
      </c>
      <c r="G5316" s="10">
        <v>6</v>
      </c>
      <c r="H5316" s="10">
        <v>70574</v>
      </c>
      <c r="I5316" s="10">
        <v>423444</v>
      </c>
      <c r="J5316" t="s">
        <v>42</v>
      </c>
      <c r="K5316" s="11">
        <v>3145.8</v>
      </c>
      <c r="L5316" s="12">
        <v>134.61000000000001</v>
      </c>
    </row>
    <row r="5317" spans="1:12" x14ac:dyDescent="0.2">
      <c r="A5317" s="9">
        <v>46263</v>
      </c>
      <c r="B5317" t="s">
        <v>345</v>
      </c>
      <c r="C5317" t="s">
        <v>346</v>
      </c>
      <c r="D5317" t="s">
        <v>68</v>
      </c>
      <c r="E5317" t="s">
        <v>647</v>
      </c>
      <c r="F5317" t="s">
        <v>648</v>
      </c>
      <c r="G5317" s="10">
        <v>8</v>
      </c>
      <c r="H5317" s="10">
        <v>16441</v>
      </c>
      <c r="I5317" s="10">
        <v>131528</v>
      </c>
      <c r="J5317" t="s">
        <v>51</v>
      </c>
      <c r="K5317" s="11">
        <v>648.20000000000005</v>
      </c>
      <c r="L5317" s="12">
        <v>202.91</v>
      </c>
    </row>
    <row r="5318" spans="1:12" x14ac:dyDescent="0.2">
      <c r="A5318" s="9">
        <v>46263</v>
      </c>
      <c r="B5318" t="s">
        <v>348</v>
      </c>
      <c r="C5318" t="s">
        <v>349</v>
      </c>
      <c r="D5318" t="s">
        <v>36</v>
      </c>
      <c r="E5318" t="s">
        <v>649</v>
      </c>
      <c r="F5318" t="s">
        <v>659</v>
      </c>
      <c r="G5318" s="10">
        <v>12</v>
      </c>
      <c r="H5318" s="10">
        <v>9141</v>
      </c>
      <c r="I5318" s="10">
        <v>109692</v>
      </c>
      <c r="J5318" t="s">
        <v>37</v>
      </c>
      <c r="K5318" s="11">
        <v>648.20000000000005</v>
      </c>
      <c r="L5318" s="12">
        <v>169.23</v>
      </c>
    </row>
    <row r="5319" spans="1:12" x14ac:dyDescent="0.2">
      <c r="A5319" s="9">
        <v>46263</v>
      </c>
      <c r="B5319" t="s">
        <v>348</v>
      </c>
      <c r="C5319" t="s">
        <v>349</v>
      </c>
      <c r="D5319" t="s">
        <v>36</v>
      </c>
      <c r="E5319" t="s">
        <v>647</v>
      </c>
      <c r="F5319" t="s">
        <v>667</v>
      </c>
      <c r="G5319" s="10">
        <v>86</v>
      </c>
      <c r="H5319" s="10">
        <v>7463</v>
      </c>
      <c r="I5319" s="10">
        <v>641818</v>
      </c>
      <c r="J5319" t="s">
        <v>37</v>
      </c>
      <c r="K5319" s="11">
        <v>648.20000000000005</v>
      </c>
      <c r="L5319" s="12">
        <v>990.15</v>
      </c>
    </row>
    <row r="5320" spans="1:12" x14ac:dyDescent="0.2">
      <c r="A5320" s="9">
        <v>46263</v>
      </c>
      <c r="B5320" t="s">
        <v>351</v>
      </c>
      <c r="C5320" t="s">
        <v>352</v>
      </c>
      <c r="D5320" t="s">
        <v>41</v>
      </c>
      <c r="E5320" t="s">
        <v>653</v>
      </c>
      <c r="F5320" t="s">
        <v>654</v>
      </c>
      <c r="G5320" s="10">
        <v>3</v>
      </c>
      <c r="H5320" s="10">
        <v>27218</v>
      </c>
      <c r="I5320" s="10">
        <v>81654</v>
      </c>
      <c r="J5320" t="s">
        <v>42</v>
      </c>
      <c r="K5320" s="11">
        <v>3145.8</v>
      </c>
      <c r="L5320" s="12">
        <v>25.96</v>
      </c>
    </row>
    <row r="5321" spans="1:12" x14ac:dyDescent="0.2">
      <c r="A5321" s="9">
        <v>46263</v>
      </c>
      <c r="B5321" t="s">
        <v>357</v>
      </c>
      <c r="C5321" t="s">
        <v>358</v>
      </c>
      <c r="D5321" t="s">
        <v>36</v>
      </c>
      <c r="E5321" t="s">
        <v>653</v>
      </c>
      <c r="F5321" t="s">
        <v>654</v>
      </c>
      <c r="G5321" s="10">
        <v>131</v>
      </c>
      <c r="H5321" s="10">
        <v>5614</v>
      </c>
      <c r="I5321" s="10">
        <v>735434</v>
      </c>
      <c r="J5321" t="s">
        <v>37</v>
      </c>
      <c r="K5321" s="11">
        <v>648.20000000000005</v>
      </c>
      <c r="L5321" s="12">
        <v>1134.58</v>
      </c>
    </row>
    <row r="5322" spans="1:12" x14ac:dyDescent="0.2">
      <c r="A5322" s="9">
        <v>46263</v>
      </c>
      <c r="B5322" t="s">
        <v>363</v>
      </c>
      <c r="C5322" t="s">
        <v>364</v>
      </c>
      <c r="D5322" t="s">
        <v>46</v>
      </c>
      <c r="E5322" t="s">
        <v>649</v>
      </c>
      <c r="F5322" t="s">
        <v>650</v>
      </c>
      <c r="G5322" s="10">
        <v>12</v>
      </c>
      <c r="H5322" s="10">
        <v>18486</v>
      </c>
      <c r="I5322" s="10">
        <v>221832</v>
      </c>
      <c r="J5322" t="s">
        <v>37</v>
      </c>
      <c r="K5322" s="11">
        <v>648.20000000000005</v>
      </c>
      <c r="L5322" s="12">
        <v>342.23</v>
      </c>
    </row>
    <row r="5323" spans="1:12" x14ac:dyDescent="0.2">
      <c r="A5323" s="9">
        <v>46263</v>
      </c>
      <c r="B5323" t="s">
        <v>363</v>
      </c>
      <c r="C5323" t="s">
        <v>364</v>
      </c>
      <c r="D5323" t="s">
        <v>46</v>
      </c>
      <c r="E5323" t="s">
        <v>660</v>
      </c>
      <c r="F5323" t="s">
        <v>669</v>
      </c>
      <c r="G5323" s="10">
        <v>60</v>
      </c>
      <c r="H5323" s="10">
        <v>2503</v>
      </c>
      <c r="I5323" s="10">
        <v>150180</v>
      </c>
      <c r="J5323" t="s">
        <v>37</v>
      </c>
      <c r="K5323" s="11">
        <v>648.20000000000005</v>
      </c>
      <c r="L5323" s="12">
        <v>231.69</v>
      </c>
    </row>
    <row r="5324" spans="1:12" x14ac:dyDescent="0.2">
      <c r="A5324" s="9">
        <v>46263</v>
      </c>
      <c r="B5324" t="s">
        <v>363</v>
      </c>
      <c r="C5324" t="s">
        <v>364</v>
      </c>
      <c r="D5324" t="s">
        <v>46</v>
      </c>
      <c r="E5324" t="s">
        <v>647</v>
      </c>
      <c r="F5324" t="s">
        <v>667</v>
      </c>
      <c r="G5324" s="10">
        <v>41</v>
      </c>
      <c r="H5324" s="10">
        <v>7478</v>
      </c>
      <c r="I5324" s="10">
        <v>306598</v>
      </c>
      <c r="J5324" t="s">
        <v>37</v>
      </c>
      <c r="K5324" s="11">
        <v>648.20000000000005</v>
      </c>
      <c r="L5324" s="12">
        <v>473</v>
      </c>
    </row>
    <row r="5325" spans="1:12" x14ac:dyDescent="0.2">
      <c r="A5325" s="9">
        <v>46263</v>
      </c>
      <c r="B5325" t="s">
        <v>369</v>
      </c>
      <c r="C5325" t="s">
        <v>370</v>
      </c>
      <c r="D5325" t="s">
        <v>36</v>
      </c>
      <c r="E5325" t="s">
        <v>655</v>
      </c>
      <c r="F5325" t="s">
        <v>662</v>
      </c>
      <c r="G5325" s="10">
        <v>1</v>
      </c>
      <c r="H5325" s="10">
        <v>1129</v>
      </c>
      <c r="I5325" s="10">
        <v>1129</v>
      </c>
      <c r="J5325" t="s">
        <v>37</v>
      </c>
      <c r="K5325" s="11">
        <v>648.20000000000005</v>
      </c>
      <c r="L5325" s="12">
        <v>1.74</v>
      </c>
    </row>
    <row r="5326" spans="1:12" x14ac:dyDescent="0.2">
      <c r="A5326" s="9">
        <v>46263</v>
      </c>
      <c r="B5326" t="s">
        <v>375</v>
      </c>
      <c r="C5326" t="s">
        <v>376</v>
      </c>
      <c r="D5326" t="s">
        <v>36</v>
      </c>
      <c r="E5326" t="s">
        <v>660</v>
      </c>
      <c r="F5326" t="s">
        <v>669</v>
      </c>
      <c r="G5326" s="10">
        <v>88</v>
      </c>
      <c r="H5326" s="10">
        <v>2685</v>
      </c>
      <c r="I5326" s="10">
        <v>236280</v>
      </c>
      <c r="J5326" t="s">
        <v>37</v>
      </c>
      <c r="K5326" s="11">
        <v>648.20000000000005</v>
      </c>
      <c r="L5326" s="12">
        <v>364.52</v>
      </c>
    </row>
    <row r="5327" spans="1:12" x14ac:dyDescent="0.2">
      <c r="A5327" s="9">
        <v>46263</v>
      </c>
      <c r="B5327" t="s">
        <v>378</v>
      </c>
      <c r="C5327" t="s">
        <v>379</v>
      </c>
      <c r="D5327" t="s">
        <v>50</v>
      </c>
      <c r="E5327" t="s">
        <v>653</v>
      </c>
      <c r="F5327" t="s">
        <v>654</v>
      </c>
      <c r="G5327" s="10">
        <v>3</v>
      </c>
      <c r="H5327" s="10">
        <v>5835</v>
      </c>
      <c r="I5327" s="10">
        <v>17505</v>
      </c>
      <c r="J5327" t="s">
        <v>51</v>
      </c>
      <c r="K5327" s="11">
        <v>648.20000000000005</v>
      </c>
      <c r="L5327" s="12">
        <v>27.01</v>
      </c>
    </row>
    <row r="5328" spans="1:12" x14ac:dyDescent="0.2">
      <c r="A5328" s="9">
        <v>46263</v>
      </c>
      <c r="B5328" t="s">
        <v>393</v>
      </c>
      <c r="C5328" t="s">
        <v>307</v>
      </c>
      <c r="D5328" t="s">
        <v>68</v>
      </c>
      <c r="E5328" t="s">
        <v>649</v>
      </c>
      <c r="F5328" t="s">
        <v>650</v>
      </c>
      <c r="G5328" s="10">
        <v>59</v>
      </c>
      <c r="H5328" s="10">
        <v>18699</v>
      </c>
      <c r="I5328" s="10">
        <v>1103241</v>
      </c>
      <c r="J5328" t="s">
        <v>51</v>
      </c>
      <c r="K5328" s="11">
        <v>648.20000000000005</v>
      </c>
      <c r="L5328" s="12">
        <v>1702.01</v>
      </c>
    </row>
    <row r="5329" spans="1:12" x14ac:dyDescent="0.2">
      <c r="A5329" s="9">
        <v>46263</v>
      </c>
      <c r="B5329" t="s">
        <v>393</v>
      </c>
      <c r="C5329" t="s">
        <v>307</v>
      </c>
      <c r="D5329" t="s">
        <v>68</v>
      </c>
      <c r="E5329" t="s">
        <v>649</v>
      </c>
      <c r="F5329" t="s">
        <v>650</v>
      </c>
      <c r="G5329" s="10">
        <v>142</v>
      </c>
      <c r="H5329" s="10">
        <v>18992</v>
      </c>
      <c r="I5329" s="10">
        <v>2696864</v>
      </c>
      <c r="J5329" t="s">
        <v>51</v>
      </c>
      <c r="K5329" s="11">
        <v>648.20000000000005</v>
      </c>
      <c r="L5329" s="12">
        <v>4160.54</v>
      </c>
    </row>
    <row r="5330" spans="1:12" x14ac:dyDescent="0.2">
      <c r="A5330" s="9">
        <v>46263</v>
      </c>
      <c r="B5330" t="s">
        <v>395</v>
      </c>
      <c r="C5330" t="s">
        <v>396</v>
      </c>
      <c r="D5330" t="s">
        <v>46</v>
      </c>
      <c r="E5330" t="s">
        <v>651</v>
      </c>
      <c r="F5330" t="s">
        <v>652</v>
      </c>
      <c r="G5330" s="10">
        <v>5</v>
      </c>
      <c r="H5330" s="10">
        <v>9600</v>
      </c>
      <c r="I5330" s="10">
        <v>48000</v>
      </c>
      <c r="J5330" t="s">
        <v>37</v>
      </c>
      <c r="K5330" s="11">
        <v>648.20000000000005</v>
      </c>
      <c r="L5330" s="12">
        <v>74.05</v>
      </c>
    </row>
    <row r="5331" spans="1:12" x14ac:dyDescent="0.2">
      <c r="A5331" s="9">
        <v>46263</v>
      </c>
      <c r="B5331" t="s">
        <v>395</v>
      </c>
      <c r="C5331" t="s">
        <v>396</v>
      </c>
      <c r="D5331" t="s">
        <v>46</v>
      </c>
      <c r="E5331" t="s">
        <v>660</v>
      </c>
      <c r="F5331" t="s">
        <v>669</v>
      </c>
      <c r="G5331" s="10">
        <v>2</v>
      </c>
      <c r="H5331" s="10">
        <v>2575</v>
      </c>
      <c r="I5331" s="10">
        <v>5150</v>
      </c>
      <c r="J5331" t="s">
        <v>37</v>
      </c>
      <c r="K5331" s="11">
        <v>648.20000000000005</v>
      </c>
      <c r="L5331" s="12">
        <v>7.95</v>
      </c>
    </row>
    <row r="5332" spans="1:12" x14ac:dyDescent="0.2">
      <c r="A5332" s="9">
        <v>46263</v>
      </c>
      <c r="B5332" t="s">
        <v>398</v>
      </c>
      <c r="C5332" t="s">
        <v>399</v>
      </c>
      <c r="D5332" t="s">
        <v>46</v>
      </c>
      <c r="E5332" t="s">
        <v>660</v>
      </c>
      <c r="F5332" t="s">
        <v>661</v>
      </c>
      <c r="G5332" s="10">
        <v>51</v>
      </c>
      <c r="H5332" s="10">
        <v>4115</v>
      </c>
      <c r="I5332" s="10">
        <v>209865</v>
      </c>
      <c r="J5332" t="s">
        <v>37</v>
      </c>
      <c r="K5332" s="11">
        <v>648.20000000000005</v>
      </c>
      <c r="L5332" s="12">
        <v>323.77</v>
      </c>
    </row>
    <row r="5333" spans="1:12" x14ac:dyDescent="0.2">
      <c r="A5333" s="9">
        <v>46263</v>
      </c>
      <c r="B5333" t="s">
        <v>401</v>
      </c>
      <c r="C5333" t="s">
        <v>402</v>
      </c>
      <c r="D5333" t="s">
        <v>36</v>
      </c>
      <c r="E5333" t="s">
        <v>647</v>
      </c>
      <c r="F5333" t="s">
        <v>668</v>
      </c>
      <c r="G5333" s="10">
        <v>38</v>
      </c>
      <c r="H5333" s="10">
        <v>25671</v>
      </c>
      <c r="I5333" s="10">
        <v>975498</v>
      </c>
      <c r="J5333" t="s">
        <v>37</v>
      </c>
      <c r="K5333" s="11">
        <v>648.20000000000005</v>
      </c>
      <c r="L5333" s="12">
        <v>1504.93</v>
      </c>
    </row>
    <row r="5334" spans="1:12" x14ac:dyDescent="0.2">
      <c r="A5334" s="9">
        <v>46263</v>
      </c>
      <c r="B5334" t="s">
        <v>404</v>
      </c>
      <c r="C5334" t="s">
        <v>405</v>
      </c>
      <c r="D5334" t="s">
        <v>46</v>
      </c>
      <c r="E5334" t="s">
        <v>647</v>
      </c>
      <c r="F5334" t="s">
        <v>648</v>
      </c>
      <c r="G5334" s="10">
        <v>28</v>
      </c>
      <c r="H5334" s="10">
        <v>15994</v>
      </c>
      <c r="I5334" s="10">
        <v>447832</v>
      </c>
      <c r="J5334" t="s">
        <v>37</v>
      </c>
      <c r="K5334" s="11">
        <v>648.20000000000005</v>
      </c>
      <c r="L5334" s="12">
        <v>690.89</v>
      </c>
    </row>
    <row r="5335" spans="1:12" x14ac:dyDescent="0.2">
      <c r="A5335" s="9">
        <v>46263</v>
      </c>
      <c r="B5335" t="s">
        <v>410</v>
      </c>
      <c r="C5335" t="s">
        <v>411</v>
      </c>
      <c r="D5335" t="s">
        <v>46</v>
      </c>
      <c r="E5335" t="s">
        <v>655</v>
      </c>
      <c r="F5335" t="s">
        <v>656</v>
      </c>
      <c r="G5335" s="10">
        <v>10</v>
      </c>
      <c r="H5335" s="10">
        <v>572</v>
      </c>
      <c r="I5335" s="10">
        <v>5720</v>
      </c>
      <c r="J5335" t="s">
        <v>37</v>
      </c>
      <c r="K5335" s="11">
        <v>648.20000000000005</v>
      </c>
      <c r="L5335" s="12">
        <v>8.82</v>
      </c>
    </row>
    <row r="5336" spans="1:12" x14ac:dyDescent="0.2">
      <c r="A5336" s="9">
        <v>46263</v>
      </c>
      <c r="B5336" t="s">
        <v>416</v>
      </c>
      <c r="C5336" t="s">
        <v>417</v>
      </c>
      <c r="D5336" t="s">
        <v>36</v>
      </c>
      <c r="E5336" t="s">
        <v>647</v>
      </c>
      <c r="F5336" t="s">
        <v>668</v>
      </c>
      <c r="G5336" s="10">
        <v>3</v>
      </c>
      <c r="H5336" s="10">
        <v>24590</v>
      </c>
      <c r="I5336" s="10">
        <v>73770</v>
      </c>
      <c r="J5336" t="s">
        <v>37</v>
      </c>
      <c r="K5336" s="11">
        <v>648.20000000000005</v>
      </c>
      <c r="L5336" s="12">
        <v>113.81</v>
      </c>
    </row>
    <row r="5337" spans="1:12" x14ac:dyDescent="0.2">
      <c r="A5337" s="9">
        <v>46263</v>
      </c>
      <c r="B5337" t="s">
        <v>419</v>
      </c>
      <c r="C5337" t="s">
        <v>420</v>
      </c>
      <c r="D5337" t="s">
        <v>46</v>
      </c>
      <c r="E5337" t="s">
        <v>647</v>
      </c>
      <c r="F5337" t="s">
        <v>668</v>
      </c>
      <c r="G5337" s="10">
        <v>28</v>
      </c>
      <c r="H5337" s="10">
        <v>24259</v>
      </c>
      <c r="I5337" s="10">
        <v>679252</v>
      </c>
      <c r="J5337" t="s">
        <v>37</v>
      </c>
      <c r="K5337" s="11">
        <v>648.20000000000005</v>
      </c>
      <c r="L5337" s="12">
        <v>1047.9000000000001</v>
      </c>
    </row>
    <row r="5338" spans="1:12" x14ac:dyDescent="0.2">
      <c r="A5338" s="9">
        <v>46263</v>
      </c>
      <c r="B5338" t="s">
        <v>439</v>
      </c>
      <c r="C5338" t="s">
        <v>440</v>
      </c>
      <c r="D5338" t="s">
        <v>50</v>
      </c>
      <c r="E5338" t="s">
        <v>660</v>
      </c>
      <c r="F5338" t="s">
        <v>669</v>
      </c>
      <c r="G5338" s="10">
        <v>15</v>
      </c>
      <c r="H5338" s="10">
        <v>2586</v>
      </c>
      <c r="I5338" s="10">
        <v>38790</v>
      </c>
      <c r="J5338" t="s">
        <v>51</v>
      </c>
      <c r="K5338" s="11">
        <v>648.20000000000005</v>
      </c>
      <c r="L5338" s="12">
        <v>59.84</v>
      </c>
    </row>
    <row r="5339" spans="1:12" x14ac:dyDescent="0.2">
      <c r="A5339" s="9">
        <v>46263</v>
      </c>
      <c r="B5339" t="s">
        <v>442</v>
      </c>
      <c r="C5339" t="s">
        <v>443</v>
      </c>
      <c r="D5339" t="s">
        <v>41</v>
      </c>
      <c r="E5339" t="s">
        <v>660</v>
      </c>
      <c r="F5339" t="s">
        <v>669</v>
      </c>
      <c r="G5339" s="10">
        <v>7</v>
      </c>
      <c r="H5339" s="10">
        <v>12167</v>
      </c>
      <c r="I5339" s="10">
        <v>85169</v>
      </c>
      <c r="J5339" t="s">
        <v>42</v>
      </c>
      <c r="K5339" s="11">
        <v>3145.8</v>
      </c>
      <c r="L5339" s="12">
        <v>27.07</v>
      </c>
    </row>
    <row r="5340" spans="1:12" x14ac:dyDescent="0.2">
      <c r="A5340" s="9">
        <v>46263</v>
      </c>
      <c r="B5340" t="s">
        <v>445</v>
      </c>
      <c r="C5340" t="s">
        <v>446</v>
      </c>
      <c r="D5340" t="s">
        <v>68</v>
      </c>
      <c r="E5340" t="s">
        <v>660</v>
      </c>
      <c r="F5340" t="s">
        <v>669</v>
      </c>
      <c r="G5340" s="10">
        <v>34</v>
      </c>
      <c r="H5340" s="10">
        <v>2588</v>
      </c>
      <c r="I5340" s="10">
        <v>87992</v>
      </c>
      <c r="J5340" t="s">
        <v>51</v>
      </c>
      <c r="K5340" s="11">
        <v>648.20000000000005</v>
      </c>
      <c r="L5340" s="12">
        <v>135.75</v>
      </c>
    </row>
    <row r="5341" spans="1:12" x14ac:dyDescent="0.2">
      <c r="A5341" s="9">
        <v>46263</v>
      </c>
      <c r="B5341" t="s">
        <v>451</v>
      </c>
      <c r="C5341" t="s">
        <v>452</v>
      </c>
      <c r="D5341" t="s">
        <v>68</v>
      </c>
      <c r="E5341" t="s">
        <v>647</v>
      </c>
      <c r="F5341" t="s">
        <v>668</v>
      </c>
      <c r="G5341" s="10">
        <v>2</v>
      </c>
      <c r="H5341" s="10">
        <v>24309</v>
      </c>
      <c r="I5341" s="10">
        <v>48618</v>
      </c>
      <c r="J5341" t="s">
        <v>51</v>
      </c>
      <c r="K5341" s="11">
        <v>648.20000000000005</v>
      </c>
      <c r="L5341" s="12">
        <v>75</v>
      </c>
    </row>
    <row r="5342" spans="1:12" x14ac:dyDescent="0.2">
      <c r="A5342" s="9">
        <v>46263</v>
      </c>
      <c r="B5342" t="s">
        <v>454</v>
      </c>
      <c r="C5342" t="s">
        <v>455</v>
      </c>
      <c r="D5342" t="s">
        <v>41</v>
      </c>
      <c r="E5342" t="s">
        <v>653</v>
      </c>
      <c r="F5342" t="s">
        <v>666</v>
      </c>
      <c r="G5342" s="10">
        <v>25</v>
      </c>
      <c r="H5342" s="10">
        <v>7163</v>
      </c>
      <c r="I5342" s="10">
        <v>179075</v>
      </c>
      <c r="J5342" t="s">
        <v>42</v>
      </c>
      <c r="K5342" s="11">
        <v>3145.8</v>
      </c>
      <c r="L5342" s="12">
        <v>56.93</v>
      </c>
    </row>
    <row r="5343" spans="1:12" x14ac:dyDescent="0.2">
      <c r="A5343" s="9">
        <v>46263</v>
      </c>
      <c r="B5343" t="s">
        <v>457</v>
      </c>
      <c r="C5343" t="s">
        <v>458</v>
      </c>
      <c r="D5343" t="s">
        <v>46</v>
      </c>
      <c r="E5343" t="s">
        <v>651</v>
      </c>
      <c r="F5343" t="s">
        <v>652</v>
      </c>
      <c r="G5343" s="10">
        <v>10</v>
      </c>
      <c r="H5343" s="10">
        <v>9587</v>
      </c>
      <c r="I5343" s="10">
        <v>95870</v>
      </c>
      <c r="J5343" t="s">
        <v>37</v>
      </c>
      <c r="K5343" s="11">
        <v>648.20000000000005</v>
      </c>
      <c r="L5343" s="12">
        <v>147.9</v>
      </c>
    </row>
    <row r="5344" spans="1:12" x14ac:dyDescent="0.2">
      <c r="A5344" s="9">
        <v>46263</v>
      </c>
      <c r="B5344" t="s">
        <v>457</v>
      </c>
      <c r="C5344" t="s">
        <v>458</v>
      </c>
      <c r="D5344" t="s">
        <v>46</v>
      </c>
      <c r="E5344" t="s">
        <v>651</v>
      </c>
      <c r="F5344" t="s">
        <v>652</v>
      </c>
      <c r="G5344" s="10">
        <v>30</v>
      </c>
      <c r="H5344" s="10">
        <v>9501</v>
      </c>
      <c r="I5344" s="10">
        <v>285030</v>
      </c>
      <c r="J5344" t="s">
        <v>37</v>
      </c>
      <c r="K5344" s="11">
        <v>648.20000000000005</v>
      </c>
      <c r="L5344" s="12">
        <v>439.73</v>
      </c>
    </row>
    <row r="5345" spans="1:12" x14ac:dyDescent="0.2">
      <c r="A5345" s="9">
        <v>46263</v>
      </c>
      <c r="B5345" t="s">
        <v>460</v>
      </c>
      <c r="C5345" t="s">
        <v>461</v>
      </c>
      <c r="D5345" t="s">
        <v>75</v>
      </c>
      <c r="E5345" t="s">
        <v>649</v>
      </c>
      <c r="F5345" t="s">
        <v>650</v>
      </c>
      <c r="G5345" s="10">
        <v>8</v>
      </c>
      <c r="H5345" s="10">
        <v>90348</v>
      </c>
      <c r="I5345" s="10">
        <v>722784</v>
      </c>
      <c r="J5345" t="s">
        <v>42</v>
      </c>
      <c r="K5345" s="11">
        <v>3145.8</v>
      </c>
      <c r="L5345" s="12">
        <v>229.76</v>
      </c>
    </row>
    <row r="5346" spans="1:12" x14ac:dyDescent="0.2">
      <c r="A5346" s="9">
        <v>46263</v>
      </c>
      <c r="B5346" t="s">
        <v>463</v>
      </c>
      <c r="C5346" t="s">
        <v>464</v>
      </c>
      <c r="D5346" t="s">
        <v>36</v>
      </c>
      <c r="E5346" t="s">
        <v>647</v>
      </c>
      <c r="F5346" t="s">
        <v>668</v>
      </c>
      <c r="G5346" s="10">
        <v>7</v>
      </c>
      <c r="H5346" s="10">
        <v>25218</v>
      </c>
      <c r="I5346" s="10">
        <v>176526</v>
      </c>
      <c r="J5346" t="s">
        <v>37</v>
      </c>
      <c r="K5346" s="11">
        <v>648.20000000000005</v>
      </c>
      <c r="L5346" s="12">
        <v>272.33</v>
      </c>
    </row>
    <row r="5347" spans="1:12" x14ac:dyDescent="0.2">
      <c r="A5347" s="9">
        <v>46263</v>
      </c>
      <c r="B5347" t="s">
        <v>466</v>
      </c>
      <c r="C5347" t="s">
        <v>467</v>
      </c>
      <c r="D5347" t="s">
        <v>50</v>
      </c>
      <c r="E5347" t="s">
        <v>649</v>
      </c>
      <c r="F5347" t="s">
        <v>659</v>
      </c>
      <c r="G5347" s="10">
        <v>46</v>
      </c>
      <c r="H5347" s="10">
        <v>8619</v>
      </c>
      <c r="I5347" s="10">
        <v>396474</v>
      </c>
      <c r="J5347" t="s">
        <v>51</v>
      </c>
      <c r="K5347" s="11">
        <v>648.20000000000005</v>
      </c>
      <c r="L5347" s="12">
        <v>611.65</v>
      </c>
    </row>
    <row r="5348" spans="1:12" x14ac:dyDescent="0.2">
      <c r="A5348" s="9">
        <v>46263</v>
      </c>
      <c r="B5348" t="s">
        <v>469</v>
      </c>
      <c r="C5348" t="s">
        <v>470</v>
      </c>
      <c r="D5348" t="s">
        <v>41</v>
      </c>
      <c r="E5348" t="s">
        <v>647</v>
      </c>
      <c r="F5348" t="s">
        <v>668</v>
      </c>
      <c r="G5348" s="10">
        <v>11</v>
      </c>
      <c r="H5348" s="10">
        <v>121294</v>
      </c>
      <c r="I5348" s="10">
        <v>1334234</v>
      </c>
      <c r="J5348" t="s">
        <v>42</v>
      </c>
      <c r="K5348" s="11">
        <v>3145.8</v>
      </c>
      <c r="L5348" s="12">
        <v>424.13</v>
      </c>
    </row>
    <row r="5349" spans="1:12" x14ac:dyDescent="0.2">
      <c r="A5349" s="9">
        <v>46263</v>
      </c>
      <c r="B5349" t="s">
        <v>469</v>
      </c>
      <c r="C5349" t="s">
        <v>470</v>
      </c>
      <c r="D5349" t="s">
        <v>41</v>
      </c>
      <c r="E5349" t="s">
        <v>655</v>
      </c>
      <c r="F5349" t="s">
        <v>665</v>
      </c>
      <c r="G5349" s="10">
        <v>71</v>
      </c>
      <c r="H5349" s="10">
        <v>3404</v>
      </c>
      <c r="I5349" s="10">
        <v>241684</v>
      </c>
      <c r="J5349" t="s">
        <v>42</v>
      </c>
      <c r="K5349" s="11">
        <v>3145.8</v>
      </c>
      <c r="L5349" s="12">
        <v>76.83</v>
      </c>
    </row>
    <row r="5350" spans="1:12" x14ac:dyDescent="0.2">
      <c r="A5350" s="9">
        <v>46263</v>
      </c>
      <c r="B5350" t="s">
        <v>472</v>
      </c>
      <c r="C5350" t="s">
        <v>473</v>
      </c>
      <c r="D5350" t="s">
        <v>68</v>
      </c>
      <c r="E5350" t="s">
        <v>653</v>
      </c>
      <c r="F5350" t="s">
        <v>666</v>
      </c>
      <c r="G5350" s="10">
        <v>9</v>
      </c>
      <c r="H5350" s="10">
        <v>1547</v>
      </c>
      <c r="I5350" s="10">
        <v>13923</v>
      </c>
      <c r="J5350" t="s">
        <v>51</v>
      </c>
      <c r="K5350" s="11">
        <v>648.20000000000005</v>
      </c>
      <c r="L5350" s="12">
        <v>21.48</v>
      </c>
    </row>
    <row r="5351" spans="1:12" x14ac:dyDescent="0.2">
      <c r="A5351" s="9">
        <v>46263</v>
      </c>
      <c r="B5351" t="s">
        <v>472</v>
      </c>
      <c r="C5351" t="s">
        <v>473</v>
      </c>
      <c r="D5351" t="s">
        <v>68</v>
      </c>
      <c r="E5351" t="s">
        <v>660</v>
      </c>
      <c r="F5351" t="s">
        <v>669</v>
      </c>
      <c r="G5351" s="10">
        <v>5</v>
      </c>
      <c r="H5351" s="10">
        <v>2505</v>
      </c>
      <c r="I5351" s="10">
        <v>12525</v>
      </c>
      <c r="J5351" t="s">
        <v>51</v>
      </c>
      <c r="K5351" s="11">
        <v>648.20000000000005</v>
      </c>
      <c r="L5351" s="12">
        <v>19.32</v>
      </c>
    </row>
    <row r="5352" spans="1:12" x14ac:dyDescent="0.2">
      <c r="A5352" s="9">
        <v>46263</v>
      </c>
      <c r="B5352" t="s">
        <v>472</v>
      </c>
      <c r="C5352" t="s">
        <v>473</v>
      </c>
      <c r="D5352" t="s">
        <v>68</v>
      </c>
      <c r="E5352" t="s">
        <v>653</v>
      </c>
      <c r="F5352" t="s">
        <v>654</v>
      </c>
      <c r="G5352" s="10">
        <v>15</v>
      </c>
      <c r="H5352" s="10">
        <v>5542</v>
      </c>
      <c r="I5352" s="10">
        <v>83130</v>
      </c>
      <c r="J5352" t="s">
        <v>51</v>
      </c>
      <c r="K5352" s="11">
        <v>648.20000000000005</v>
      </c>
      <c r="L5352" s="12">
        <v>128.25</v>
      </c>
    </row>
    <row r="5353" spans="1:12" x14ac:dyDescent="0.2">
      <c r="A5353" s="9">
        <v>46263</v>
      </c>
      <c r="B5353" t="s">
        <v>472</v>
      </c>
      <c r="C5353" t="s">
        <v>473</v>
      </c>
      <c r="D5353" t="s">
        <v>68</v>
      </c>
      <c r="E5353" t="s">
        <v>647</v>
      </c>
      <c r="F5353" t="s">
        <v>667</v>
      </c>
      <c r="G5353" s="10">
        <v>1</v>
      </c>
      <c r="H5353" s="10">
        <v>7128</v>
      </c>
      <c r="I5353" s="10">
        <v>7128</v>
      </c>
      <c r="J5353" t="s">
        <v>51</v>
      </c>
      <c r="K5353" s="11">
        <v>648.20000000000005</v>
      </c>
      <c r="L5353" s="12">
        <v>11</v>
      </c>
    </row>
    <row r="5354" spans="1:12" x14ac:dyDescent="0.2">
      <c r="A5354" s="9">
        <v>46263</v>
      </c>
      <c r="B5354" t="s">
        <v>475</v>
      </c>
      <c r="C5354" t="s">
        <v>476</v>
      </c>
      <c r="D5354" t="s">
        <v>75</v>
      </c>
      <c r="E5354" t="s">
        <v>653</v>
      </c>
      <c r="F5354" t="s">
        <v>658</v>
      </c>
      <c r="G5354" s="10">
        <v>14</v>
      </c>
      <c r="H5354" s="10">
        <v>13091</v>
      </c>
      <c r="I5354" s="10">
        <v>183274</v>
      </c>
      <c r="J5354" t="s">
        <v>42</v>
      </c>
      <c r="K5354" s="11">
        <v>3145.8</v>
      </c>
      <c r="L5354" s="12">
        <v>58.26</v>
      </c>
    </row>
    <row r="5355" spans="1:12" x14ac:dyDescent="0.2">
      <c r="A5355" s="9">
        <v>46263</v>
      </c>
      <c r="B5355" t="s">
        <v>481</v>
      </c>
      <c r="C5355" t="s">
        <v>78</v>
      </c>
      <c r="D5355" t="s">
        <v>41</v>
      </c>
      <c r="E5355" t="s">
        <v>647</v>
      </c>
      <c r="F5355" t="s">
        <v>667</v>
      </c>
      <c r="G5355" s="10">
        <v>111</v>
      </c>
      <c r="H5355" s="10">
        <v>35152</v>
      </c>
      <c r="I5355" s="10">
        <v>3901872</v>
      </c>
      <c r="J5355" t="s">
        <v>42</v>
      </c>
      <c r="K5355" s="11">
        <v>3145.8</v>
      </c>
      <c r="L5355" s="12">
        <v>1240.3399999999999</v>
      </c>
    </row>
    <row r="5356" spans="1:12" x14ac:dyDescent="0.2">
      <c r="A5356" s="9">
        <v>46263</v>
      </c>
      <c r="B5356" t="s">
        <v>483</v>
      </c>
      <c r="C5356" t="s">
        <v>340</v>
      </c>
      <c r="D5356" t="s">
        <v>46</v>
      </c>
      <c r="E5356" t="s">
        <v>653</v>
      </c>
      <c r="F5356" t="s">
        <v>654</v>
      </c>
      <c r="G5356" s="10">
        <v>23</v>
      </c>
      <c r="H5356" s="10">
        <v>5747</v>
      </c>
      <c r="I5356" s="10">
        <v>132181</v>
      </c>
      <c r="J5356" t="s">
        <v>37</v>
      </c>
      <c r="K5356" s="11">
        <v>648.20000000000005</v>
      </c>
      <c r="L5356" s="12">
        <v>203.92</v>
      </c>
    </row>
    <row r="5357" spans="1:12" x14ac:dyDescent="0.2">
      <c r="A5357" s="9">
        <v>46263</v>
      </c>
      <c r="B5357" t="s">
        <v>483</v>
      </c>
      <c r="C5357" t="s">
        <v>340</v>
      </c>
      <c r="D5357" t="s">
        <v>46</v>
      </c>
      <c r="E5357" t="s">
        <v>647</v>
      </c>
      <c r="F5357" t="s">
        <v>648</v>
      </c>
      <c r="G5357" s="10">
        <v>12</v>
      </c>
      <c r="H5357" s="10">
        <v>16769</v>
      </c>
      <c r="I5357" s="10">
        <v>201228</v>
      </c>
      <c r="J5357" t="s">
        <v>37</v>
      </c>
      <c r="K5357" s="11">
        <v>648.20000000000005</v>
      </c>
      <c r="L5357" s="12">
        <v>310.44</v>
      </c>
    </row>
    <row r="5358" spans="1:12" x14ac:dyDescent="0.2">
      <c r="A5358" s="9">
        <v>46263</v>
      </c>
      <c r="B5358" t="s">
        <v>485</v>
      </c>
      <c r="C5358" t="s">
        <v>486</v>
      </c>
      <c r="D5358" t="s">
        <v>41</v>
      </c>
      <c r="E5358" t="s">
        <v>651</v>
      </c>
      <c r="F5358" t="s">
        <v>652</v>
      </c>
      <c r="G5358" s="10">
        <v>10</v>
      </c>
      <c r="H5358" s="10">
        <v>46388</v>
      </c>
      <c r="I5358" s="10">
        <v>463880</v>
      </c>
      <c r="J5358" t="s">
        <v>42</v>
      </c>
      <c r="K5358" s="11">
        <v>3145.8</v>
      </c>
      <c r="L5358" s="12">
        <v>147.46</v>
      </c>
    </row>
    <row r="5359" spans="1:12" x14ac:dyDescent="0.2">
      <c r="A5359" s="9">
        <v>46263</v>
      </c>
      <c r="B5359" t="s">
        <v>485</v>
      </c>
      <c r="C5359" t="s">
        <v>486</v>
      </c>
      <c r="D5359" t="s">
        <v>41</v>
      </c>
      <c r="E5359" t="s">
        <v>649</v>
      </c>
      <c r="F5359" t="s">
        <v>659</v>
      </c>
      <c r="G5359" s="10">
        <v>1</v>
      </c>
      <c r="H5359" s="10">
        <v>43901</v>
      </c>
      <c r="I5359" s="10">
        <v>43901</v>
      </c>
      <c r="J5359" t="s">
        <v>42</v>
      </c>
      <c r="K5359" s="11">
        <v>3145.8</v>
      </c>
      <c r="L5359" s="12">
        <v>13.96</v>
      </c>
    </row>
    <row r="5360" spans="1:12" x14ac:dyDescent="0.2">
      <c r="A5360" s="9">
        <v>46263</v>
      </c>
      <c r="B5360" t="s">
        <v>485</v>
      </c>
      <c r="C5360" t="s">
        <v>486</v>
      </c>
      <c r="D5360" t="s">
        <v>41</v>
      </c>
      <c r="E5360" t="s">
        <v>647</v>
      </c>
      <c r="F5360" t="s">
        <v>668</v>
      </c>
      <c r="G5360" s="10">
        <v>8</v>
      </c>
      <c r="H5360" s="10">
        <v>118047</v>
      </c>
      <c r="I5360" s="10">
        <v>944376</v>
      </c>
      <c r="J5360" t="s">
        <v>42</v>
      </c>
      <c r="K5360" s="11">
        <v>3145.8</v>
      </c>
      <c r="L5360" s="12">
        <v>300.2</v>
      </c>
    </row>
    <row r="5361" spans="1:12" x14ac:dyDescent="0.2">
      <c r="A5361" s="9">
        <v>46263</v>
      </c>
      <c r="B5361" t="s">
        <v>485</v>
      </c>
      <c r="C5361" t="s">
        <v>486</v>
      </c>
      <c r="D5361" t="s">
        <v>41</v>
      </c>
      <c r="E5361" t="s">
        <v>655</v>
      </c>
      <c r="F5361" t="s">
        <v>665</v>
      </c>
      <c r="G5361" s="10">
        <v>3</v>
      </c>
      <c r="H5361" s="10">
        <v>3331</v>
      </c>
      <c r="I5361" s="10">
        <v>9993</v>
      </c>
      <c r="J5361" t="s">
        <v>42</v>
      </c>
      <c r="K5361" s="11">
        <v>3145.8</v>
      </c>
      <c r="L5361" s="12">
        <v>3.18</v>
      </c>
    </row>
    <row r="5362" spans="1:12" x14ac:dyDescent="0.2">
      <c r="A5362" s="9">
        <v>46263</v>
      </c>
      <c r="B5362" t="s">
        <v>488</v>
      </c>
      <c r="C5362" t="s">
        <v>489</v>
      </c>
      <c r="D5362" t="s">
        <v>46</v>
      </c>
      <c r="E5362" t="s">
        <v>649</v>
      </c>
      <c r="F5362" t="s">
        <v>663</v>
      </c>
      <c r="G5362" s="10">
        <v>6</v>
      </c>
      <c r="H5362" s="10">
        <v>2009</v>
      </c>
      <c r="I5362" s="10">
        <v>12054</v>
      </c>
      <c r="J5362" t="s">
        <v>37</v>
      </c>
      <c r="K5362" s="11">
        <v>648.20000000000005</v>
      </c>
      <c r="L5362" s="12">
        <v>18.600000000000001</v>
      </c>
    </row>
    <row r="5363" spans="1:12" x14ac:dyDescent="0.2">
      <c r="A5363" s="9">
        <v>46263</v>
      </c>
      <c r="B5363" t="s">
        <v>491</v>
      </c>
      <c r="C5363" t="s">
        <v>125</v>
      </c>
      <c r="D5363" t="s">
        <v>75</v>
      </c>
      <c r="E5363" t="s">
        <v>649</v>
      </c>
      <c r="F5363" t="s">
        <v>659</v>
      </c>
      <c r="G5363" s="10">
        <v>9</v>
      </c>
      <c r="H5363" s="10">
        <v>44528</v>
      </c>
      <c r="I5363" s="10">
        <v>400752</v>
      </c>
      <c r="J5363" t="s">
        <v>42</v>
      </c>
      <c r="K5363" s="11">
        <v>3145.8</v>
      </c>
      <c r="L5363" s="12">
        <v>127.39</v>
      </c>
    </row>
    <row r="5364" spans="1:12" x14ac:dyDescent="0.2">
      <c r="A5364" s="9">
        <v>46263</v>
      </c>
      <c r="B5364" t="s">
        <v>491</v>
      </c>
      <c r="C5364" t="s">
        <v>125</v>
      </c>
      <c r="D5364" t="s">
        <v>75</v>
      </c>
      <c r="E5364" t="s">
        <v>647</v>
      </c>
      <c r="F5364" t="s">
        <v>667</v>
      </c>
      <c r="G5364" s="10">
        <v>4</v>
      </c>
      <c r="H5364" s="10">
        <v>35338</v>
      </c>
      <c r="I5364" s="10">
        <v>141352</v>
      </c>
      <c r="J5364" t="s">
        <v>42</v>
      </c>
      <c r="K5364" s="11">
        <v>3145.8</v>
      </c>
      <c r="L5364" s="12">
        <v>44.93</v>
      </c>
    </row>
    <row r="5365" spans="1:12" x14ac:dyDescent="0.2">
      <c r="A5365" s="9">
        <v>46263</v>
      </c>
      <c r="B5365" t="s">
        <v>496</v>
      </c>
      <c r="C5365" t="s">
        <v>497</v>
      </c>
      <c r="D5365" t="s">
        <v>41</v>
      </c>
      <c r="E5365" t="s">
        <v>660</v>
      </c>
      <c r="F5365" t="s">
        <v>669</v>
      </c>
      <c r="G5365" s="10">
        <v>6</v>
      </c>
      <c r="H5365" s="10">
        <v>12950</v>
      </c>
      <c r="I5365" s="10">
        <v>77700</v>
      </c>
      <c r="J5365" t="s">
        <v>42</v>
      </c>
      <c r="K5365" s="11">
        <v>3145.8</v>
      </c>
      <c r="L5365" s="12">
        <v>24.7</v>
      </c>
    </row>
    <row r="5366" spans="1:12" x14ac:dyDescent="0.2">
      <c r="A5366" s="9">
        <v>46263</v>
      </c>
      <c r="B5366" t="s">
        <v>496</v>
      </c>
      <c r="C5366" t="s">
        <v>497</v>
      </c>
      <c r="D5366" t="s">
        <v>41</v>
      </c>
      <c r="E5366" t="s">
        <v>647</v>
      </c>
      <c r="F5366" t="s">
        <v>667</v>
      </c>
      <c r="G5366" s="10">
        <v>16</v>
      </c>
      <c r="H5366" s="10">
        <v>35638</v>
      </c>
      <c r="I5366" s="10">
        <v>570208</v>
      </c>
      <c r="J5366" t="s">
        <v>42</v>
      </c>
      <c r="K5366" s="11">
        <v>3145.8</v>
      </c>
      <c r="L5366" s="12">
        <v>181.26</v>
      </c>
    </row>
    <row r="5367" spans="1:12" x14ac:dyDescent="0.2">
      <c r="A5367" s="9">
        <v>46263</v>
      </c>
      <c r="B5367" t="s">
        <v>499</v>
      </c>
      <c r="C5367" t="s">
        <v>500</v>
      </c>
      <c r="D5367" t="s">
        <v>41</v>
      </c>
      <c r="E5367" t="s">
        <v>653</v>
      </c>
      <c r="F5367" t="s">
        <v>666</v>
      </c>
      <c r="G5367" s="10">
        <v>13</v>
      </c>
      <c r="H5367" s="10">
        <v>7425</v>
      </c>
      <c r="I5367" s="10">
        <v>96525</v>
      </c>
      <c r="J5367" t="s">
        <v>42</v>
      </c>
      <c r="K5367" s="11">
        <v>3145.8</v>
      </c>
      <c r="L5367" s="12">
        <v>30.68</v>
      </c>
    </row>
    <row r="5368" spans="1:12" x14ac:dyDescent="0.2">
      <c r="A5368" s="9">
        <v>46263</v>
      </c>
      <c r="B5368" t="s">
        <v>499</v>
      </c>
      <c r="C5368" t="s">
        <v>500</v>
      </c>
      <c r="D5368" t="s">
        <v>41</v>
      </c>
      <c r="E5368" t="s">
        <v>649</v>
      </c>
      <c r="F5368" t="s">
        <v>663</v>
      </c>
      <c r="G5368" s="10">
        <v>14</v>
      </c>
      <c r="H5368" s="10">
        <v>10045</v>
      </c>
      <c r="I5368" s="10">
        <v>140630</v>
      </c>
      <c r="J5368" t="s">
        <v>42</v>
      </c>
      <c r="K5368" s="11">
        <v>3145.8</v>
      </c>
      <c r="L5368" s="12">
        <v>44.7</v>
      </c>
    </row>
    <row r="5369" spans="1:12" x14ac:dyDescent="0.2">
      <c r="A5369" s="9">
        <v>46263</v>
      </c>
      <c r="B5369" t="s">
        <v>499</v>
      </c>
      <c r="C5369" t="s">
        <v>500</v>
      </c>
      <c r="D5369" t="s">
        <v>41</v>
      </c>
      <c r="E5369" t="s">
        <v>651</v>
      </c>
      <c r="F5369" t="s">
        <v>664</v>
      </c>
      <c r="G5369" s="10">
        <v>10</v>
      </c>
      <c r="H5369" s="10">
        <v>58589</v>
      </c>
      <c r="I5369" s="10">
        <v>585890</v>
      </c>
      <c r="J5369" t="s">
        <v>42</v>
      </c>
      <c r="K5369" s="11">
        <v>3145.8</v>
      </c>
      <c r="L5369" s="12">
        <v>186.25</v>
      </c>
    </row>
    <row r="5370" spans="1:12" x14ac:dyDescent="0.2">
      <c r="A5370" s="9">
        <v>46263</v>
      </c>
      <c r="B5370" t="s">
        <v>502</v>
      </c>
      <c r="C5370" t="s">
        <v>503</v>
      </c>
      <c r="D5370" t="s">
        <v>41</v>
      </c>
      <c r="E5370" t="s">
        <v>647</v>
      </c>
      <c r="F5370" t="s">
        <v>667</v>
      </c>
      <c r="G5370" s="10">
        <v>2</v>
      </c>
      <c r="H5370" s="10">
        <v>36147</v>
      </c>
      <c r="I5370" s="10">
        <v>72294</v>
      </c>
      <c r="J5370" t="s">
        <v>42</v>
      </c>
      <c r="K5370" s="11">
        <v>3145.8</v>
      </c>
      <c r="L5370" s="12">
        <v>22.98</v>
      </c>
    </row>
    <row r="5371" spans="1:12" x14ac:dyDescent="0.2">
      <c r="A5371" s="9">
        <v>46263</v>
      </c>
      <c r="B5371" t="s">
        <v>502</v>
      </c>
      <c r="C5371" t="s">
        <v>503</v>
      </c>
      <c r="D5371" t="s">
        <v>41</v>
      </c>
      <c r="E5371" t="s">
        <v>655</v>
      </c>
      <c r="F5371" t="s">
        <v>665</v>
      </c>
      <c r="G5371" s="10">
        <v>2</v>
      </c>
      <c r="H5371" s="10">
        <v>3235</v>
      </c>
      <c r="I5371" s="10">
        <v>6470</v>
      </c>
      <c r="J5371" t="s">
        <v>42</v>
      </c>
      <c r="K5371" s="11">
        <v>3145.8</v>
      </c>
      <c r="L5371" s="12">
        <v>2.06</v>
      </c>
    </row>
    <row r="5372" spans="1:12" x14ac:dyDescent="0.2">
      <c r="A5372" s="9">
        <v>46263</v>
      </c>
      <c r="B5372" t="s">
        <v>505</v>
      </c>
      <c r="C5372" t="s">
        <v>506</v>
      </c>
      <c r="D5372" t="s">
        <v>36</v>
      </c>
      <c r="E5372" t="s">
        <v>649</v>
      </c>
      <c r="F5372" t="s">
        <v>650</v>
      </c>
      <c r="G5372" s="10">
        <v>5</v>
      </c>
      <c r="H5372" s="10">
        <v>19130</v>
      </c>
      <c r="I5372" s="10">
        <v>95650</v>
      </c>
      <c r="J5372" t="s">
        <v>37</v>
      </c>
      <c r="K5372" s="11">
        <v>648.20000000000005</v>
      </c>
      <c r="L5372" s="12">
        <v>147.56</v>
      </c>
    </row>
    <row r="5373" spans="1:12" x14ac:dyDescent="0.2">
      <c r="A5373" s="9">
        <v>46263</v>
      </c>
      <c r="B5373" t="s">
        <v>505</v>
      </c>
      <c r="C5373" t="s">
        <v>506</v>
      </c>
      <c r="D5373" t="s">
        <v>36</v>
      </c>
      <c r="E5373" t="s">
        <v>660</v>
      </c>
      <c r="F5373" t="s">
        <v>669</v>
      </c>
      <c r="G5373" s="10">
        <v>3</v>
      </c>
      <c r="H5373" s="10">
        <v>2676</v>
      </c>
      <c r="I5373" s="10">
        <v>8028</v>
      </c>
      <c r="J5373" t="s">
        <v>37</v>
      </c>
      <c r="K5373" s="11">
        <v>648.20000000000005</v>
      </c>
      <c r="L5373" s="12">
        <v>12.39</v>
      </c>
    </row>
    <row r="5374" spans="1:12" x14ac:dyDescent="0.2">
      <c r="A5374" s="9">
        <v>46263</v>
      </c>
      <c r="B5374" t="s">
        <v>508</v>
      </c>
      <c r="C5374" t="s">
        <v>509</v>
      </c>
      <c r="D5374" t="s">
        <v>68</v>
      </c>
      <c r="E5374" t="s">
        <v>653</v>
      </c>
      <c r="F5374" t="s">
        <v>666</v>
      </c>
      <c r="G5374" s="10">
        <v>4</v>
      </c>
      <c r="H5374" s="10">
        <v>1512</v>
      </c>
      <c r="I5374" s="10">
        <v>6048</v>
      </c>
      <c r="J5374" t="s">
        <v>51</v>
      </c>
      <c r="K5374" s="11">
        <v>648.20000000000005</v>
      </c>
      <c r="L5374" s="12">
        <v>9.33</v>
      </c>
    </row>
    <row r="5375" spans="1:12" x14ac:dyDescent="0.2">
      <c r="A5375" s="9">
        <v>46263</v>
      </c>
      <c r="B5375" t="s">
        <v>522</v>
      </c>
      <c r="C5375" t="s">
        <v>523</v>
      </c>
      <c r="D5375" t="s">
        <v>50</v>
      </c>
      <c r="E5375" t="s">
        <v>647</v>
      </c>
      <c r="F5375" t="s">
        <v>668</v>
      </c>
      <c r="G5375" s="10">
        <v>12</v>
      </c>
      <c r="H5375" s="10">
        <v>25637</v>
      </c>
      <c r="I5375" s="10">
        <v>307644</v>
      </c>
      <c r="J5375" t="s">
        <v>51</v>
      </c>
      <c r="K5375" s="11">
        <v>648.20000000000005</v>
      </c>
      <c r="L5375" s="12">
        <v>474.61</v>
      </c>
    </row>
    <row r="5376" spans="1:12" x14ac:dyDescent="0.2">
      <c r="A5376" s="9">
        <v>46263</v>
      </c>
      <c r="B5376" t="s">
        <v>528</v>
      </c>
      <c r="C5376" t="s">
        <v>529</v>
      </c>
      <c r="D5376" t="s">
        <v>46</v>
      </c>
      <c r="E5376" t="s">
        <v>651</v>
      </c>
      <c r="F5376" t="s">
        <v>657</v>
      </c>
      <c r="G5376" s="10">
        <v>203</v>
      </c>
      <c r="H5376" s="10">
        <v>6498</v>
      </c>
      <c r="I5376" s="10">
        <v>1319094</v>
      </c>
      <c r="J5376" t="s">
        <v>37</v>
      </c>
      <c r="K5376" s="11">
        <v>648.20000000000005</v>
      </c>
      <c r="L5376" s="12">
        <v>2035.01</v>
      </c>
    </row>
    <row r="5377" spans="1:12" x14ac:dyDescent="0.2">
      <c r="A5377" s="9">
        <v>46263</v>
      </c>
      <c r="B5377" t="s">
        <v>531</v>
      </c>
      <c r="C5377" t="s">
        <v>532</v>
      </c>
      <c r="D5377" t="s">
        <v>50</v>
      </c>
      <c r="E5377" t="s">
        <v>647</v>
      </c>
      <c r="F5377" t="s">
        <v>648</v>
      </c>
      <c r="G5377" s="10">
        <v>56</v>
      </c>
      <c r="H5377" s="10">
        <v>16459</v>
      </c>
      <c r="I5377" s="10">
        <v>921704</v>
      </c>
      <c r="J5377" t="s">
        <v>51</v>
      </c>
      <c r="K5377" s="11">
        <v>648.20000000000005</v>
      </c>
      <c r="L5377" s="12">
        <v>1421.94</v>
      </c>
    </row>
    <row r="5378" spans="1:12" x14ac:dyDescent="0.2">
      <c r="A5378" s="9">
        <v>46263</v>
      </c>
      <c r="B5378" t="s">
        <v>534</v>
      </c>
      <c r="C5378" t="s">
        <v>535</v>
      </c>
      <c r="D5378" t="s">
        <v>36</v>
      </c>
      <c r="E5378" t="s">
        <v>649</v>
      </c>
      <c r="F5378" t="s">
        <v>650</v>
      </c>
      <c r="G5378" s="10">
        <v>6</v>
      </c>
      <c r="H5378" s="10">
        <v>19027</v>
      </c>
      <c r="I5378" s="10">
        <v>114162</v>
      </c>
      <c r="J5378" t="s">
        <v>37</v>
      </c>
      <c r="K5378" s="11">
        <v>648.20000000000005</v>
      </c>
      <c r="L5378" s="12">
        <v>176.12</v>
      </c>
    </row>
    <row r="5379" spans="1:12" x14ac:dyDescent="0.2">
      <c r="A5379" s="9">
        <v>46263</v>
      </c>
      <c r="B5379" t="s">
        <v>537</v>
      </c>
      <c r="C5379" t="s">
        <v>538</v>
      </c>
      <c r="D5379" t="s">
        <v>68</v>
      </c>
      <c r="E5379" t="s">
        <v>647</v>
      </c>
      <c r="F5379" t="s">
        <v>667</v>
      </c>
      <c r="G5379" s="10">
        <v>44</v>
      </c>
      <c r="H5379" s="10">
        <v>7380</v>
      </c>
      <c r="I5379" s="10">
        <v>324720</v>
      </c>
      <c r="J5379" t="s">
        <v>51</v>
      </c>
      <c r="K5379" s="11">
        <v>648.20000000000005</v>
      </c>
      <c r="L5379" s="12">
        <v>500.96</v>
      </c>
    </row>
    <row r="5380" spans="1:12" x14ac:dyDescent="0.2">
      <c r="A5380" s="9">
        <v>46263</v>
      </c>
      <c r="B5380" t="s">
        <v>543</v>
      </c>
      <c r="C5380" t="s">
        <v>544</v>
      </c>
      <c r="D5380" t="s">
        <v>68</v>
      </c>
      <c r="E5380" t="s">
        <v>647</v>
      </c>
      <c r="F5380" t="s">
        <v>648</v>
      </c>
      <c r="G5380" s="10">
        <v>5</v>
      </c>
      <c r="H5380" s="10">
        <v>16016</v>
      </c>
      <c r="I5380" s="10">
        <v>80080</v>
      </c>
      <c r="J5380" t="s">
        <v>51</v>
      </c>
      <c r="K5380" s="11">
        <v>648.20000000000005</v>
      </c>
      <c r="L5380" s="12">
        <v>123.54</v>
      </c>
    </row>
    <row r="5381" spans="1:12" x14ac:dyDescent="0.2">
      <c r="A5381" s="9">
        <v>46263</v>
      </c>
      <c r="B5381" t="s">
        <v>552</v>
      </c>
      <c r="C5381" t="s">
        <v>553</v>
      </c>
      <c r="D5381" t="s">
        <v>41</v>
      </c>
      <c r="E5381" t="s">
        <v>647</v>
      </c>
      <c r="F5381" t="s">
        <v>668</v>
      </c>
      <c r="G5381" s="10">
        <v>11</v>
      </c>
      <c r="H5381" s="10">
        <v>120826</v>
      </c>
      <c r="I5381" s="10">
        <v>1329086</v>
      </c>
      <c r="J5381" t="s">
        <v>42</v>
      </c>
      <c r="K5381" s="11">
        <v>3145.8</v>
      </c>
      <c r="L5381" s="12">
        <v>422.5</v>
      </c>
    </row>
    <row r="5382" spans="1:12" x14ac:dyDescent="0.2">
      <c r="A5382" s="9">
        <v>46263</v>
      </c>
      <c r="B5382" t="s">
        <v>558</v>
      </c>
      <c r="C5382" t="s">
        <v>559</v>
      </c>
      <c r="D5382" t="s">
        <v>75</v>
      </c>
      <c r="E5382" t="s">
        <v>653</v>
      </c>
      <c r="F5382" t="s">
        <v>658</v>
      </c>
      <c r="G5382" s="10">
        <v>5</v>
      </c>
      <c r="H5382" s="10">
        <v>13038</v>
      </c>
      <c r="I5382" s="10">
        <v>65190</v>
      </c>
      <c r="J5382" t="s">
        <v>42</v>
      </c>
      <c r="K5382" s="11">
        <v>3145.8</v>
      </c>
      <c r="L5382" s="12">
        <v>20.72</v>
      </c>
    </row>
    <row r="5383" spans="1:12" x14ac:dyDescent="0.2">
      <c r="A5383" s="9">
        <v>46263</v>
      </c>
      <c r="B5383" t="s">
        <v>558</v>
      </c>
      <c r="C5383" t="s">
        <v>559</v>
      </c>
      <c r="D5383" t="s">
        <v>75</v>
      </c>
      <c r="E5383" t="s">
        <v>660</v>
      </c>
      <c r="F5383" t="s">
        <v>669</v>
      </c>
      <c r="G5383" s="10">
        <v>1</v>
      </c>
      <c r="H5383" s="10">
        <v>12264</v>
      </c>
      <c r="I5383" s="10">
        <v>12264</v>
      </c>
      <c r="J5383" t="s">
        <v>42</v>
      </c>
      <c r="K5383" s="11">
        <v>3145.8</v>
      </c>
      <c r="L5383" s="12">
        <v>3.9</v>
      </c>
    </row>
    <row r="5384" spans="1:12" x14ac:dyDescent="0.2">
      <c r="A5384" s="9">
        <v>46263</v>
      </c>
      <c r="B5384" t="s">
        <v>561</v>
      </c>
      <c r="C5384" t="s">
        <v>562</v>
      </c>
      <c r="D5384" t="s">
        <v>46</v>
      </c>
      <c r="E5384" t="s">
        <v>653</v>
      </c>
      <c r="F5384" t="s">
        <v>666</v>
      </c>
      <c r="G5384" s="10">
        <v>110</v>
      </c>
      <c r="H5384" s="10">
        <v>1478</v>
      </c>
      <c r="I5384" s="10">
        <v>162580</v>
      </c>
      <c r="J5384" t="s">
        <v>37</v>
      </c>
      <c r="K5384" s="11">
        <v>648.20000000000005</v>
      </c>
      <c r="L5384" s="12">
        <v>250.82</v>
      </c>
    </row>
    <row r="5385" spans="1:12" x14ac:dyDescent="0.2">
      <c r="A5385" s="9">
        <v>46263</v>
      </c>
      <c r="B5385" t="s">
        <v>561</v>
      </c>
      <c r="C5385" t="s">
        <v>562</v>
      </c>
      <c r="D5385" t="s">
        <v>46</v>
      </c>
      <c r="E5385" t="s">
        <v>649</v>
      </c>
      <c r="F5385" t="s">
        <v>659</v>
      </c>
      <c r="G5385" s="10">
        <v>16</v>
      </c>
      <c r="H5385" s="10">
        <v>9254</v>
      </c>
      <c r="I5385" s="10">
        <v>148064</v>
      </c>
      <c r="J5385" t="s">
        <v>37</v>
      </c>
      <c r="K5385" s="11">
        <v>648.20000000000005</v>
      </c>
      <c r="L5385" s="12">
        <v>228.42</v>
      </c>
    </row>
    <row r="5386" spans="1:12" x14ac:dyDescent="0.2">
      <c r="A5386" s="9">
        <v>46263</v>
      </c>
      <c r="B5386" t="s">
        <v>564</v>
      </c>
      <c r="C5386" t="s">
        <v>565</v>
      </c>
      <c r="D5386" t="s">
        <v>41</v>
      </c>
      <c r="E5386" t="s">
        <v>649</v>
      </c>
      <c r="F5386" t="s">
        <v>659</v>
      </c>
      <c r="G5386" s="10">
        <v>64</v>
      </c>
      <c r="H5386" s="10">
        <v>42224</v>
      </c>
      <c r="I5386" s="10">
        <v>2702336</v>
      </c>
      <c r="J5386" t="s">
        <v>42</v>
      </c>
      <c r="K5386" s="11">
        <v>3145.8</v>
      </c>
      <c r="L5386" s="12">
        <v>859.03</v>
      </c>
    </row>
    <row r="5387" spans="1:12" x14ac:dyDescent="0.2">
      <c r="A5387" s="9">
        <v>46263</v>
      </c>
      <c r="B5387" t="s">
        <v>564</v>
      </c>
      <c r="C5387" t="s">
        <v>565</v>
      </c>
      <c r="D5387" t="s">
        <v>41</v>
      </c>
      <c r="E5387" t="s">
        <v>653</v>
      </c>
      <c r="F5387" t="s">
        <v>654</v>
      </c>
      <c r="G5387" s="10">
        <v>18</v>
      </c>
      <c r="H5387" s="10">
        <v>27603</v>
      </c>
      <c r="I5387" s="10">
        <v>496854</v>
      </c>
      <c r="J5387" t="s">
        <v>42</v>
      </c>
      <c r="K5387" s="11">
        <v>3145.8</v>
      </c>
      <c r="L5387" s="12">
        <v>157.94</v>
      </c>
    </row>
    <row r="5388" spans="1:12" x14ac:dyDescent="0.2">
      <c r="A5388" s="9">
        <v>46263</v>
      </c>
      <c r="B5388" t="s">
        <v>564</v>
      </c>
      <c r="C5388" t="s">
        <v>565</v>
      </c>
      <c r="D5388" t="s">
        <v>41</v>
      </c>
      <c r="E5388" t="s">
        <v>647</v>
      </c>
      <c r="F5388" t="s">
        <v>667</v>
      </c>
      <c r="G5388" s="10">
        <v>52</v>
      </c>
      <c r="H5388" s="10">
        <v>36991</v>
      </c>
      <c r="I5388" s="10">
        <v>1923532</v>
      </c>
      <c r="J5388" t="s">
        <v>42</v>
      </c>
      <c r="K5388" s="11">
        <v>3145.8</v>
      </c>
      <c r="L5388" s="12">
        <v>611.46</v>
      </c>
    </row>
    <row r="5389" spans="1:12" x14ac:dyDescent="0.2">
      <c r="A5389" s="9">
        <v>46263</v>
      </c>
      <c r="B5389" t="s">
        <v>567</v>
      </c>
      <c r="C5389" t="s">
        <v>568</v>
      </c>
      <c r="D5389" t="s">
        <v>41</v>
      </c>
      <c r="E5389" t="s">
        <v>649</v>
      </c>
      <c r="F5389" t="s">
        <v>650</v>
      </c>
      <c r="G5389" s="10">
        <v>25</v>
      </c>
      <c r="H5389" s="10">
        <v>89759</v>
      </c>
      <c r="I5389" s="10">
        <v>2243975</v>
      </c>
      <c r="J5389" t="s">
        <v>42</v>
      </c>
      <c r="K5389" s="11">
        <v>3145.8</v>
      </c>
      <c r="L5389" s="12">
        <v>713.32</v>
      </c>
    </row>
    <row r="5390" spans="1:12" x14ac:dyDescent="0.2">
      <c r="A5390" s="9">
        <v>46263</v>
      </c>
      <c r="B5390" t="s">
        <v>567</v>
      </c>
      <c r="C5390" t="s">
        <v>568</v>
      </c>
      <c r="D5390" t="s">
        <v>41</v>
      </c>
      <c r="E5390" t="s">
        <v>647</v>
      </c>
      <c r="F5390" t="s">
        <v>668</v>
      </c>
      <c r="G5390" s="10">
        <v>31</v>
      </c>
      <c r="H5390" s="10">
        <v>122389</v>
      </c>
      <c r="I5390" s="10">
        <v>3794059</v>
      </c>
      <c r="J5390" t="s">
        <v>42</v>
      </c>
      <c r="K5390" s="11">
        <v>3145.8</v>
      </c>
      <c r="L5390" s="12">
        <v>1206.07</v>
      </c>
    </row>
    <row r="5391" spans="1:12" x14ac:dyDescent="0.2">
      <c r="A5391" s="9">
        <v>46263</v>
      </c>
      <c r="B5391" t="s">
        <v>567</v>
      </c>
      <c r="C5391" t="s">
        <v>568</v>
      </c>
      <c r="D5391" t="s">
        <v>41</v>
      </c>
      <c r="E5391" t="s">
        <v>655</v>
      </c>
      <c r="F5391" t="s">
        <v>656</v>
      </c>
      <c r="G5391" s="10">
        <v>9</v>
      </c>
      <c r="H5391" s="10">
        <v>2769</v>
      </c>
      <c r="I5391" s="10">
        <v>24921</v>
      </c>
      <c r="J5391" t="s">
        <v>42</v>
      </c>
      <c r="K5391" s="11">
        <v>3145.8</v>
      </c>
      <c r="L5391" s="12">
        <v>7.92</v>
      </c>
    </row>
    <row r="5392" spans="1:12" x14ac:dyDescent="0.2">
      <c r="A5392" s="9">
        <v>46263</v>
      </c>
      <c r="B5392" t="s">
        <v>573</v>
      </c>
      <c r="C5392" t="s">
        <v>574</v>
      </c>
      <c r="D5392" t="s">
        <v>41</v>
      </c>
      <c r="E5392" t="s">
        <v>651</v>
      </c>
      <c r="F5392" t="s">
        <v>657</v>
      </c>
      <c r="G5392" s="10">
        <v>7</v>
      </c>
      <c r="H5392" s="10">
        <v>31989</v>
      </c>
      <c r="I5392" s="10">
        <v>223923</v>
      </c>
      <c r="J5392" t="s">
        <v>42</v>
      </c>
      <c r="K5392" s="11">
        <v>3145.8</v>
      </c>
      <c r="L5392" s="12">
        <v>71.180000000000007</v>
      </c>
    </row>
    <row r="5393" spans="1:12" x14ac:dyDescent="0.2">
      <c r="A5393" s="9">
        <v>46263</v>
      </c>
      <c r="B5393" t="s">
        <v>573</v>
      </c>
      <c r="C5393" t="s">
        <v>574</v>
      </c>
      <c r="D5393" t="s">
        <v>41</v>
      </c>
      <c r="E5393" t="s">
        <v>655</v>
      </c>
      <c r="F5393" t="s">
        <v>665</v>
      </c>
      <c r="G5393" s="10">
        <v>9</v>
      </c>
      <c r="H5393" s="10">
        <v>3449</v>
      </c>
      <c r="I5393" s="10">
        <v>31041</v>
      </c>
      <c r="J5393" t="s">
        <v>42</v>
      </c>
      <c r="K5393" s="11">
        <v>3145.8</v>
      </c>
      <c r="L5393" s="12">
        <v>9.8699999999999992</v>
      </c>
    </row>
    <row r="5394" spans="1:12" x14ac:dyDescent="0.2">
      <c r="A5394" s="9">
        <v>46263</v>
      </c>
      <c r="B5394" t="s">
        <v>576</v>
      </c>
      <c r="C5394" t="s">
        <v>577</v>
      </c>
      <c r="D5394" t="s">
        <v>50</v>
      </c>
      <c r="E5394" t="s">
        <v>649</v>
      </c>
      <c r="F5394" t="s">
        <v>650</v>
      </c>
      <c r="G5394" s="10">
        <v>3</v>
      </c>
      <c r="H5394" s="10">
        <v>18720</v>
      </c>
      <c r="I5394" s="10">
        <v>56160</v>
      </c>
      <c r="J5394" t="s">
        <v>51</v>
      </c>
      <c r="K5394" s="11">
        <v>648.20000000000005</v>
      </c>
      <c r="L5394" s="12">
        <v>86.64</v>
      </c>
    </row>
    <row r="5395" spans="1:12" x14ac:dyDescent="0.2">
      <c r="A5395" s="9">
        <v>46263</v>
      </c>
      <c r="B5395" t="s">
        <v>579</v>
      </c>
      <c r="C5395" t="s">
        <v>580</v>
      </c>
      <c r="D5395" t="s">
        <v>75</v>
      </c>
      <c r="E5395" t="s">
        <v>653</v>
      </c>
      <c r="F5395" t="s">
        <v>658</v>
      </c>
      <c r="G5395" s="10">
        <v>3</v>
      </c>
      <c r="H5395" s="10">
        <v>13629</v>
      </c>
      <c r="I5395" s="10">
        <v>40887</v>
      </c>
      <c r="J5395" t="s">
        <v>42</v>
      </c>
      <c r="K5395" s="11">
        <v>3145.8</v>
      </c>
      <c r="L5395" s="12">
        <v>13</v>
      </c>
    </row>
    <row r="5396" spans="1:12" x14ac:dyDescent="0.2">
      <c r="A5396" s="9">
        <v>46263</v>
      </c>
      <c r="B5396" t="s">
        <v>579</v>
      </c>
      <c r="C5396" t="s">
        <v>580</v>
      </c>
      <c r="D5396" t="s">
        <v>75</v>
      </c>
      <c r="E5396" t="s">
        <v>649</v>
      </c>
      <c r="F5396" t="s">
        <v>659</v>
      </c>
      <c r="G5396" s="10">
        <v>16</v>
      </c>
      <c r="H5396" s="10">
        <v>44079</v>
      </c>
      <c r="I5396" s="10">
        <v>705264</v>
      </c>
      <c r="J5396" t="s">
        <v>42</v>
      </c>
      <c r="K5396" s="11">
        <v>3145.8</v>
      </c>
      <c r="L5396" s="12">
        <v>224.19</v>
      </c>
    </row>
    <row r="5397" spans="1:12" x14ac:dyDescent="0.2">
      <c r="A5397" s="9">
        <v>46263</v>
      </c>
      <c r="B5397" t="s">
        <v>579</v>
      </c>
      <c r="C5397" t="s">
        <v>580</v>
      </c>
      <c r="D5397" t="s">
        <v>75</v>
      </c>
      <c r="E5397" t="s">
        <v>647</v>
      </c>
      <c r="F5397" t="s">
        <v>667</v>
      </c>
      <c r="G5397" s="10">
        <v>17</v>
      </c>
      <c r="H5397" s="10">
        <v>36465</v>
      </c>
      <c r="I5397" s="10">
        <v>619905</v>
      </c>
      <c r="J5397" t="s">
        <v>42</v>
      </c>
      <c r="K5397" s="11">
        <v>3145.8</v>
      </c>
      <c r="L5397" s="12">
        <v>197.06</v>
      </c>
    </row>
    <row r="5398" spans="1:12" x14ac:dyDescent="0.2">
      <c r="A5398" s="9">
        <v>46263</v>
      </c>
      <c r="B5398" t="s">
        <v>579</v>
      </c>
      <c r="C5398" t="s">
        <v>580</v>
      </c>
      <c r="D5398" t="s">
        <v>75</v>
      </c>
      <c r="E5398" t="s">
        <v>655</v>
      </c>
      <c r="F5398" t="s">
        <v>665</v>
      </c>
      <c r="G5398" s="10">
        <v>17</v>
      </c>
      <c r="H5398" s="10">
        <v>3325</v>
      </c>
      <c r="I5398" s="10">
        <v>56525</v>
      </c>
      <c r="J5398" t="s">
        <v>42</v>
      </c>
      <c r="K5398" s="11">
        <v>3145.8</v>
      </c>
      <c r="L5398" s="12">
        <v>17.97</v>
      </c>
    </row>
    <row r="5399" spans="1:12" x14ac:dyDescent="0.2">
      <c r="A5399" s="9">
        <v>46263</v>
      </c>
      <c r="B5399" t="s">
        <v>593</v>
      </c>
      <c r="C5399" t="s">
        <v>594</v>
      </c>
      <c r="D5399" t="s">
        <v>50</v>
      </c>
      <c r="E5399" t="s">
        <v>649</v>
      </c>
      <c r="F5399" t="s">
        <v>650</v>
      </c>
      <c r="G5399" s="10">
        <v>11</v>
      </c>
      <c r="H5399" s="10">
        <v>19975</v>
      </c>
      <c r="I5399" s="10">
        <v>219725</v>
      </c>
      <c r="J5399" t="s">
        <v>51</v>
      </c>
      <c r="K5399" s="11">
        <v>648.20000000000005</v>
      </c>
      <c r="L5399" s="12">
        <v>338.98</v>
      </c>
    </row>
    <row r="5400" spans="1:12" x14ac:dyDescent="0.2">
      <c r="A5400" s="9">
        <v>46263</v>
      </c>
      <c r="B5400" t="s">
        <v>593</v>
      </c>
      <c r="C5400" t="s">
        <v>594</v>
      </c>
      <c r="D5400" t="s">
        <v>50</v>
      </c>
      <c r="E5400" t="s">
        <v>651</v>
      </c>
      <c r="F5400" t="s">
        <v>657</v>
      </c>
      <c r="G5400" s="10">
        <v>2</v>
      </c>
      <c r="H5400" s="10">
        <v>6577</v>
      </c>
      <c r="I5400" s="10">
        <v>13154</v>
      </c>
      <c r="J5400" t="s">
        <v>51</v>
      </c>
      <c r="K5400" s="11">
        <v>648.20000000000005</v>
      </c>
      <c r="L5400" s="12">
        <v>20.29</v>
      </c>
    </row>
    <row r="5401" spans="1:12" x14ac:dyDescent="0.2">
      <c r="A5401" s="9">
        <v>46263</v>
      </c>
      <c r="B5401" t="s">
        <v>599</v>
      </c>
      <c r="C5401" t="s">
        <v>600</v>
      </c>
      <c r="D5401" t="s">
        <v>75</v>
      </c>
      <c r="E5401" t="s">
        <v>655</v>
      </c>
      <c r="F5401" t="s">
        <v>656</v>
      </c>
      <c r="G5401" s="10">
        <v>8</v>
      </c>
      <c r="H5401" s="10">
        <v>2725</v>
      </c>
      <c r="I5401" s="10">
        <v>21800</v>
      </c>
      <c r="J5401" t="s">
        <v>42</v>
      </c>
      <c r="K5401" s="11">
        <v>3145.8</v>
      </c>
      <c r="L5401" s="12">
        <v>6.93</v>
      </c>
    </row>
    <row r="5402" spans="1:12" x14ac:dyDescent="0.2">
      <c r="A5402" s="9">
        <v>46263</v>
      </c>
      <c r="B5402" t="s">
        <v>602</v>
      </c>
      <c r="C5402" t="s">
        <v>603</v>
      </c>
      <c r="D5402" t="s">
        <v>50</v>
      </c>
      <c r="E5402" t="s">
        <v>660</v>
      </c>
      <c r="F5402" t="s">
        <v>669</v>
      </c>
      <c r="G5402" s="10">
        <v>4</v>
      </c>
      <c r="H5402" s="10">
        <v>2625</v>
      </c>
      <c r="I5402" s="10">
        <v>10500</v>
      </c>
      <c r="J5402" t="s">
        <v>51</v>
      </c>
      <c r="K5402" s="11">
        <v>648.20000000000005</v>
      </c>
      <c r="L5402" s="12">
        <v>16.2</v>
      </c>
    </row>
    <row r="5403" spans="1:12" x14ac:dyDescent="0.2">
      <c r="A5403" s="9">
        <v>46263</v>
      </c>
      <c r="B5403" t="s">
        <v>605</v>
      </c>
      <c r="C5403" t="s">
        <v>606</v>
      </c>
      <c r="D5403" t="s">
        <v>68</v>
      </c>
      <c r="E5403" t="s">
        <v>655</v>
      </c>
      <c r="F5403" t="s">
        <v>662</v>
      </c>
      <c r="G5403" s="10">
        <v>137</v>
      </c>
      <c r="H5403" s="10">
        <v>1135</v>
      </c>
      <c r="I5403" s="10">
        <v>155495</v>
      </c>
      <c r="J5403" t="s">
        <v>51</v>
      </c>
      <c r="K5403" s="11">
        <v>648.20000000000005</v>
      </c>
      <c r="L5403" s="12">
        <v>239.89</v>
      </c>
    </row>
    <row r="5404" spans="1:12" x14ac:dyDescent="0.2">
      <c r="A5404" s="9">
        <v>46263</v>
      </c>
      <c r="B5404" t="s">
        <v>620</v>
      </c>
      <c r="C5404" t="s">
        <v>621</v>
      </c>
      <c r="D5404" t="s">
        <v>50</v>
      </c>
      <c r="E5404" t="s">
        <v>660</v>
      </c>
      <c r="F5404" t="s">
        <v>670</v>
      </c>
      <c r="G5404" s="10">
        <v>12</v>
      </c>
      <c r="H5404" s="10">
        <v>14007</v>
      </c>
      <c r="I5404" s="10">
        <v>168084</v>
      </c>
      <c r="J5404" t="s">
        <v>51</v>
      </c>
      <c r="K5404" s="11">
        <v>648.20000000000005</v>
      </c>
      <c r="L5404" s="12">
        <v>259.31</v>
      </c>
    </row>
    <row r="5405" spans="1:12" x14ac:dyDescent="0.2">
      <c r="A5405" s="9">
        <v>46263</v>
      </c>
      <c r="B5405" t="s">
        <v>620</v>
      </c>
      <c r="C5405" t="s">
        <v>621</v>
      </c>
      <c r="D5405" t="s">
        <v>50</v>
      </c>
      <c r="E5405" t="s">
        <v>660</v>
      </c>
      <c r="F5405" t="s">
        <v>661</v>
      </c>
      <c r="G5405" s="10">
        <v>8</v>
      </c>
      <c r="H5405" s="10">
        <v>4075</v>
      </c>
      <c r="I5405" s="10">
        <v>32600</v>
      </c>
      <c r="J5405" t="s">
        <v>51</v>
      </c>
      <c r="K5405" s="11">
        <v>648.20000000000005</v>
      </c>
      <c r="L5405" s="12">
        <v>50.29</v>
      </c>
    </row>
    <row r="5406" spans="1:12" x14ac:dyDescent="0.2">
      <c r="A5406" s="9">
        <v>46263</v>
      </c>
      <c r="B5406" t="s">
        <v>623</v>
      </c>
      <c r="C5406" t="s">
        <v>624</v>
      </c>
      <c r="D5406" t="s">
        <v>68</v>
      </c>
      <c r="E5406" t="s">
        <v>649</v>
      </c>
      <c r="F5406" t="s">
        <v>659</v>
      </c>
      <c r="G5406" s="10">
        <v>98</v>
      </c>
      <c r="H5406" s="10">
        <v>8687</v>
      </c>
      <c r="I5406" s="10">
        <v>851326</v>
      </c>
      <c r="J5406" t="s">
        <v>51</v>
      </c>
      <c r="K5406" s="11">
        <v>648.20000000000005</v>
      </c>
      <c r="L5406" s="12">
        <v>1313.37</v>
      </c>
    </row>
    <row r="5407" spans="1:12" x14ac:dyDescent="0.2">
      <c r="A5407" s="9">
        <v>46263</v>
      </c>
      <c r="B5407" t="s">
        <v>623</v>
      </c>
      <c r="C5407" t="s">
        <v>624</v>
      </c>
      <c r="D5407" t="s">
        <v>68</v>
      </c>
      <c r="E5407" t="s">
        <v>647</v>
      </c>
      <c r="F5407" t="s">
        <v>667</v>
      </c>
      <c r="G5407" s="10">
        <v>55</v>
      </c>
      <c r="H5407" s="10">
        <v>7596</v>
      </c>
      <c r="I5407" s="10">
        <v>417780</v>
      </c>
      <c r="J5407" t="s">
        <v>51</v>
      </c>
      <c r="K5407" s="11">
        <v>648.20000000000005</v>
      </c>
      <c r="L5407" s="12">
        <v>644.52</v>
      </c>
    </row>
    <row r="5408" spans="1:12" x14ac:dyDescent="0.2">
      <c r="A5408" s="9">
        <v>46263</v>
      </c>
      <c r="B5408" t="s">
        <v>632</v>
      </c>
      <c r="C5408" t="s">
        <v>633</v>
      </c>
      <c r="D5408" t="s">
        <v>68</v>
      </c>
      <c r="E5408" t="s">
        <v>660</v>
      </c>
      <c r="F5408" t="s">
        <v>670</v>
      </c>
      <c r="G5408" s="10">
        <v>2</v>
      </c>
      <c r="H5408" s="10">
        <v>14021</v>
      </c>
      <c r="I5408" s="10">
        <v>28042</v>
      </c>
      <c r="J5408" t="s">
        <v>51</v>
      </c>
      <c r="K5408" s="11">
        <v>648.20000000000005</v>
      </c>
      <c r="L5408" s="12">
        <v>43.26</v>
      </c>
    </row>
    <row r="5409" spans="1:12" x14ac:dyDescent="0.2">
      <c r="A5409" s="9">
        <v>46263</v>
      </c>
      <c r="B5409" t="s">
        <v>632</v>
      </c>
      <c r="C5409" t="s">
        <v>633</v>
      </c>
      <c r="D5409" t="s">
        <v>68</v>
      </c>
      <c r="E5409" t="s">
        <v>660</v>
      </c>
      <c r="F5409" t="s">
        <v>661</v>
      </c>
      <c r="G5409" s="10">
        <v>6</v>
      </c>
      <c r="H5409" s="10">
        <v>4307</v>
      </c>
      <c r="I5409" s="10">
        <v>25842</v>
      </c>
      <c r="J5409" t="s">
        <v>51</v>
      </c>
      <c r="K5409" s="11">
        <v>648.20000000000005</v>
      </c>
      <c r="L5409" s="12">
        <v>39.869999999999997</v>
      </c>
    </row>
    <row r="5410" spans="1:12" x14ac:dyDescent="0.2">
      <c r="A5410" s="9">
        <v>46263</v>
      </c>
      <c r="B5410" t="s">
        <v>632</v>
      </c>
      <c r="C5410" t="s">
        <v>633</v>
      </c>
      <c r="D5410" t="s">
        <v>68</v>
      </c>
      <c r="E5410" t="s">
        <v>647</v>
      </c>
      <c r="F5410" t="s">
        <v>648</v>
      </c>
      <c r="G5410" s="10">
        <v>17</v>
      </c>
      <c r="H5410" s="10">
        <v>16087</v>
      </c>
      <c r="I5410" s="10">
        <v>273479</v>
      </c>
      <c r="J5410" t="s">
        <v>51</v>
      </c>
      <c r="K5410" s="11">
        <v>648.20000000000005</v>
      </c>
      <c r="L5410" s="12">
        <v>421.91</v>
      </c>
    </row>
    <row r="5411" spans="1:12" x14ac:dyDescent="0.2">
      <c r="A5411" s="9">
        <v>46263</v>
      </c>
      <c r="B5411" t="s">
        <v>635</v>
      </c>
      <c r="C5411" t="s">
        <v>636</v>
      </c>
      <c r="D5411" t="s">
        <v>41</v>
      </c>
      <c r="E5411" t="s">
        <v>660</v>
      </c>
      <c r="F5411" t="s">
        <v>670</v>
      </c>
      <c r="G5411" s="10">
        <v>12</v>
      </c>
      <c r="H5411" s="10">
        <v>69574</v>
      </c>
      <c r="I5411" s="10">
        <v>834888</v>
      </c>
      <c r="J5411" t="s">
        <v>42</v>
      </c>
      <c r="K5411" s="11">
        <v>3145.8</v>
      </c>
      <c r="L5411" s="12">
        <v>265.39999999999998</v>
      </c>
    </row>
    <row r="5412" spans="1:12" x14ac:dyDescent="0.2">
      <c r="A5412" s="9">
        <v>46263</v>
      </c>
      <c r="B5412" t="s">
        <v>635</v>
      </c>
      <c r="C5412" t="s">
        <v>636</v>
      </c>
      <c r="D5412" t="s">
        <v>41</v>
      </c>
      <c r="E5412" t="s">
        <v>660</v>
      </c>
      <c r="F5412" t="s">
        <v>661</v>
      </c>
      <c r="G5412" s="10">
        <v>32</v>
      </c>
      <c r="H5412" s="10">
        <v>20384</v>
      </c>
      <c r="I5412" s="10">
        <v>652288</v>
      </c>
      <c r="J5412" t="s">
        <v>42</v>
      </c>
      <c r="K5412" s="11">
        <v>3145.8</v>
      </c>
      <c r="L5412" s="12">
        <v>207.35</v>
      </c>
    </row>
    <row r="5413" spans="1:12" x14ac:dyDescent="0.2">
      <c r="A5413" s="9">
        <v>46265</v>
      </c>
      <c r="B5413" t="s">
        <v>34</v>
      </c>
      <c r="C5413" t="s">
        <v>35</v>
      </c>
      <c r="D5413" t="s">
        <v>36</v>
      </c>
      <c r="E5413" t="s">
        <v>651</v>
      </c>
      <c r="F5413" t="s">
        <v>657</v>
      </c>
      <c r="G5413" s="10">
        <v>8</v>
      </c>
      <c r="H5413" s="10">
        <v>6370</v>
      </c>
      <c r="I5413" s="10">
        <v>50960</v>
      </c>
      <c r="J5413" t="s">
        <v>37</v>
      </c>
      <c r="K5413" s="11">
        <v>648.20000000000005</v>
      </c>
      <c r="L5413" s="12">
        <v>78.62</v>
      </c>
    </row>
    <row r="5414" spans="1:12" x14ac:dyDescent="0.2">
      <c r="A5414" s="9">
        <v>46265</v>
      </c>
      <c r="B5414" t="s">
        <v>44</v>
      </c>
      <c r="C5414" t="s">
        <v>45</v>
      </c>
      <c r="D5414" t="s">
        <v>46</v>
      </c>
      <c r="E5414" t="s">
        <v>647</v>
      </c>
      <c r="F5414" t="s">
        <v>668</v>
      </c>
      <c r="G5414" s="10">
        <v>17</v>
      </c>
      <c r="H5414" s="10">
        <v>25825</v>
      </c>
      <c r="I5414" s="10">
        <v>439025</v>
      </c>
      <c r="J5414" t="s">
        <v>37</v>
      </c>
      <c r="K5414" s="11">
        <v>648.20000000000005</v>
      </c>
      <c r="L5414" s="12">
        <v>677.3</v>
      </c>
    </row>
    <row r="5415" spans="1:12" x14ac:dyDescent="0.2">
      <c r="A5415" s="9">
        <v>46265</v>
      </c>
      <c r="B5415" t="s">
        <v>44</v>
      </c>
      <c r="C5415" t="s">
        <v>45</v>
      </c>
      <c r="D5415" t="s">
        <v>46</v>
      </c>
      <c r="E5415" t="s">
        <v>647</v>
      </c>
      <c r="F5415" t="s">
        <v>668</v>
      </c>
      <c r="G5415" s="10">
        <v>21</v>
      </c>
      <c r="H5415" s="10">
        <v>24781</v>
      </c>
      <c r="I5415" s="10">
        <v>520401</v>
      </c>
      <c r="J5415" t="s">
        <v>37</v>
      </c>
      <c r="K5415" s="11">
        <v>648.20000000000005</v>
      </c>
      <c r="L5415" s="12">
        <v>802.84</v>
      </c>
    </row>
    <row r="5416" spans="1:12" x14ac:dyDescent="0.2">
      <c r="A5416" s="9">
        <v>46265</v>
      </c>
      <c r="B5416" t="s">
        <v>44</v>
      </c>
      <c r="C5416" t="s">
        <v>45</v>
      </c>
      <c r="D5416" t="s">
        <v>46</v>
      </c>
      <c r="E5416" t="s">
        <v>655</v>
      </c>
      <c r="F5416" t="s">
        <v>656</v>
      </c>
      <c r="G5416" s="10">
        <v>2</v>
      </c>
      <c r="H5416" s="10">
        <v>578</v>
      </c>
      <c r="I5416" s="10">
        <v>1156</v>
      </c>
      <c r="J5416" t="s">
        <v>37</v>
      </c>
      <c r="K5416" s="11">
        <v>648.20000000000005</v>
      </c>
      <c r="L5416" s="12">
        <v>1.78</v>
      </c>
    </row>
    <row r="5417" spans="1:12" x14ac:dyDescent="0.2">
      <c r="A5417" s="9">
        <v>46265</v>
      </c>
      <c r="B5417" t="s">
        <v>48</v>
      </c>
      <c r="C5417" t="s">
        <v>49</v>
      </c>
      <c r="D5417" t="s">
        <v>50</v>
      </c>
      <c r="E5417" t="s">
        <v>651</v>
      </c>
      <c r="F5417" t="s">
        <v>652</v>
      </c>
      <c r="G5417" s="10">
        <v>3</v>
      </c>
      <c r="H5417" s="10">
        <v>9779</v>
      </c>
      <c r="I5417" s="10">
        <v>29337</v>
      </c>
      <c r="J5417" t="s">
        <v>51</v>
      </c>
      <c r="K5417" s="11">
        <v>648.20000000000005</v>
      </c>
      <c r="L5417" s="12">
        <v>45.26</v>
      </c>
    </row>
    <row r="5418" spans="1:12" x14ac:dyDescent="0.2">
      <c r="A5418" s="9">
        <v>46265</v>
      </c>
      <c r="B5418" t="s">
        <v>53</v>
      </c>
      <c r="C5418" t="s">
        <v>54</v>
      </c>
      <c r="D5418" t="s">
        <v>41</v>
      </c>
      <c r="E5418" t="s">
        <v>653</v>
      </c>
      <c r="F5418" t="s">
        <v>654</v>
      </c>
      <c r="G5418" s="10">
        <v>12</v>
      </c>
      <c r="H5418" s="10">
        <v>27574</v>
      </c>
      <c r="I5418" s="10">
        <v>330888</v>
      </c>
      <c r="J5418" t="s">
        <v>42</v>
      </c>
      <c r="K5418" s="11">
        <v>3145.8</v>
      </c>
      <c r="L5418" s="12">
        <v>105.18</v>
      </c>
    </row>
    <row r="5419" spans="1:12" x14ac:dyDescent="0.2">
      <c r="A5419" s="9">
        <v>46265</v>
      </c>
      <c r="B5419" t="s">
        <v>56</v>
      </c>
      <c r="C5419" t="s">
        <v>57</v>
      </c>
      <c r="D5419" t="s">
        <v>46</v>
      </c>
      <c r="E5419" t="s">
        <v>660</v>
      </c>
      <c r="F5419" t="s">
        <v>669</v>
      </c>
      <c r="G5419" s="10">
        <v>4</v>
      </c>
      <c r="H5419" s="10">
        <v>2613</v>
      </c>
      <c r="I5419" s="10">
        <v>10452</v>
      </c>
      <c r="J5419" t="s">
        <v>37</v>
      </c>
      <c r="K5419" s="11">
        <v>648.20000000000005</v>
      </c>
      <c r="L5419" s="12">
        <v>16.12</v>
      </c>
    </row>
    <row r="5420" spans="1:12" x14ac:dyDescent="0.2">
      <c r="A5420" s="9">
        <v>46265</v>
      </c>
      <c r="B5420" t="s">
        <v>63</v>
      </c>
      <c r="C5420" t="s">
        <v>64</v>
      </c>
      <c r="D5420" t="s">
        <v>50</v>
      </c>
      <c r="E5420" t="s">
        <v>649</v>
      </c>
      <c r="F5420" t="s">
        <v>663</v>
      </c>
      <c r="G5420" s="10">
        <v>10</v>
      </c>
      <c r="H5420" s="10">
        <v>2021</v>
      </c>
      <c r="I5420" s="10">
        <v>20210</v>
      </c>
      <c r="J5420" t="s">
        <v>51</v>
      </c>
      <c r="K5420" s="11">
        <v>648.20000000000005</v>
      </c>
      <c r="L5420" s="12">
        <v>31.18</v>
      </c>
    </row>
    <row r="5421" spans="1:12" x14ac:dyDescent="0.2">
      <c r="A5421" s="9">
        <v>46265</v>
      </c>
      <c r="B5421" t="s">
        <v>63</v>
      </c>
      <c r="C5421" t="s">
        <v>64</v>
      </c>
      <c r="D5421" t="s">
        <v>50</v>
      </c>
      <c r="E5421" t="s">
        <v>653</v>
      </c>
      <c r="F5421" t="s">
        <v>654</v>
      </c>
      <c r="G5421" s="10">
        <v>5</v>
      </c>
      <c r="H5421" s="10">
        <v>5763</v>
      </c>
      <c r="I5421" s="10">
        <v>28815</v>
      </c>
      <c r="J5421" t="s">
        <v>51</v>
      </c>
      <c r="K5421" s="11">
        <v>648.20000000000005</v>
      </c>
      <c r="L5421" s="12">
        <v>44.45</v>
      </c>
    </row>
    <row r="5422" spans="1:12" x14ac:dyDescent="0.2">
      <c r="A5422" s="9">
        <v>46265</v>
      </c>
      <c r="B5422" t="s">
        <v>73</v>
      </c>
      <c r="C5422" t="s">
        <v>74</v>
      </c>
      <c r="D5422" t="s">
        <v>75</v>
      </c>
      <c r="E5422" t="s">
        <v>649</v>
      </c>
      <c r="F5422" t="s">
        <v>659</v>
      </c>
      <c r="G5422" s="10">
        <v>25</v>
      </c>
      <c r="H5422" s="10">
        <v>44205</v>
      </c>
      <c r="I5422" s="10">
        <v>1105125</v>
      </c>
      <c r="J5422" t="s">
        <v>42</v>
      </c>
      <c r="K5422" s="11">
        <v>3145.8</v>
      </c>
      <c r="L5422" s="12">
        <v>351.3</v>
      </c>
    </row>
    <row r="5423" spans="1:12" x14ac:dyDescent="0.2">
      <c r="A5423" s="9">
        <v>46265</v>
      </c>
      <c r="B5423" t="s">
        <v>73</v>
      </c>
      <c r="C5423" t="s">
        <v>74</v>
      </c>
      <c r="D5423" t="s">
        <v>75</v>
      </c>
      <c r="E5423" t="s">
        <v>655</v>
      </c>
      <c r="F5423" t="s">
        <v>656</v>
      </c>
      <c r="G5423" s="10">
        <v>21</v>
      </c>
      <c r="H5423" s="10">
        <v>2815</v>
      </c>
      <c r="I5423" s="10">
        <v>59115</v>
      </c>
      <c r="J5423" t="s">
        <v>42</v>
      </c>
      <c r="K5423" s="11">
        <v>3145.8</v>
      </c>
      <c r="L5423" s="12">
        <v>18.79</v>
      </c>
    </row>
    <row r="5424" spans="1:12" x14ac:dyDescent="0.2">
      <c r="A5424" s="9">
        <v>46265</v>
      </c>
      <c r="B5424" t="s">
        <v>86</v>
      </c>
      <c r="C5424" t="s">
        <v>87</v>
      </c>
      <c r="D5424" t="s">
        <v>50</v>
      </c>
      <c r="E5424" t="s">
        <v>653</v>
      </c>
      <c r="F5424" t="s">
        <v>666</v>
      </c>
      <c r="G5424" s="10">
        <v>3</v>
      </c>
      <c r="H5424" s="10">
        <v>1530</v>
      </c>
      <c r="I5424" s="10">
        <v>4590</v>
      </c>
      <c r="J5424" t="s">
        <v>51</v>
      </c>
      <c r="K5424" s="11">
        <v>648.20000000000005</v>
      </c>
      <c r="L5424" s="12">
        <v>7.08</v>
      </c>
    </row>
    <row r="5425" spans="1:12" x14ac:dyDescent="0.2">
      <c r="A5425" s="9">
        <v>46265</v>
      </c>
      <c r="B5425" t="s">
        <v>86</v>
      </c>
      <c r="C5425" t="s">
        <v>87</v>
      </c>
      <c r="D5425" t="s">
        <v>50</v>
      </c>
      <c r="E5425" t="s">
        <v>660</v>
      </c>
      <c r="F5425" t="s">
        <v>661</v>
      </c>
      <c r="G5425" s="10">
        <v>12</v>
      </c>
      <c r="H5425" s="10">
        <v>4131</v>
      </c>
      <c r="I5425" s="10">
        <v>49572</v>
      </c>
      <c r="J5425" t="s">
        <v>51</v>
      </c>
      <c r="K5425" s="11">
        <v>648.20000000000005</v>
      </c>
      <c r="L5425" s="12">
        <v>76.48</v>
      </c>
    </row>
    <row r="5426" spans="1:12" x14ac:dyDescent="0.2">
      <c r="A5426" s="9">
        <v>46265</v>
      </c>
      <c r="B5426" t="s">
        <v>86</v>
      </c>
      <c r="C5426" t="s">
        <v>87</v>
      </c>
      <c r="D5426" t="s">
        <v>50</v>
      </c>
      <c r="E5426" t="s">
        <v>647</v>
      </c>
      <c r="F5426" t="s">
        <v>668</v>
      </c>
      <c r="G5426" s="10">
        <v>24</v>
      </c>
      <c r="H5426" s="10">
        <v>26182</v>
      </c>
      <c r="I5426" s="10">
        <v>628368</v>
      </c>
      <c r="J5426" t="s">
        <v>51</v>
      </c>
      <c r="K5426" s="11">
        <v>648.20000000000005</v>
      </c>
      <c r="L5426" s="12">
        <v>969.4</v>
      </c>
    </row>
    <row r="5427" spans="1:12" x14ac:dyDescent="0.2">
      <c r="A5427" s="9">
        <v>46265</v>
      </c>
      <c r="B5427" t="s">
        <v>89</v>
      </c>
      <c r="C5427" t="s">
        <v>90</v>
      </c>
      <c r="D5427" t="s">
        <v>68</v>
      </c>
      <c r="E5427" t="s">
        <v>647</v>
      </c>
      <c r="F5427" t="s">
        <v>648</v>
      </c>
      <c r="G5427" s="10">
        <v>13</v>
      </c>
      <c r="H5427" s="10">
        <v>16695</v>
      </c>
      <c r="I5427" s="10">
        <v>217035</v>
      </c>
      <c r="J5427" t="s">
        <v>51</v>
      </c>
      <c r="K5427" s="11">
        <v>648.20000000000005</v>
      </c>
      <c r="L5427" s="12">
        <v>334.83</v>
      </c>
    </row>
    <row r="5428" spans="1:12" x14ac:dyDescent="0.2">
      <c r="A5428" s="9">
        <v>46265</v>
      </c>
      <c r="B5428" t="s">
        <v>96</v>
      </c>
      <c r="C5428" t="s">
        <v>97</v>
      </c>
      <c r="D5428" t="s">
        <v>41</v>
      </c>
      <c r="E5428" t="s">
        <v>651</v>
      </c>
      <c r="F5428" t="s">
        <v>652</v>
      </c>
      <c r="G5428" s="10">
        <v>7</v>
      </c>
      <c r="H5428" s="10">
        <v>46859</v>
      </c>
      <c r="I5428" s="10">
        <v>328013</v>
      </c>
      <c r="J5428" t="s">
        <v>42</v>
      </c>
      <c r="K5428" s="11">
        <v>3145.8</v>
      </c>
      <c r="L5428" s="12">
        <v>104.27</v>
      </c>
    </row>
    <row r="5429" spans="1:12" x14ac:dyDescent="0.2">
      <c r="A5429" s="9">
        <v>46265</v>
      </c>
      <c r="B5429" t="s">
        <v>96</v>
      </c>
      <c r="C5429" t="s">
        <v>97</v>
      </c>
      <c r="D5429" t="s">
        <v>41</v>
      </c>
      <c r="E5429" t="s">
        <v>649</v>
      </c>
      <c r="F5429" t="s">
        <v>663</v>
      </c>
      <c r="G5429" s="10">
        <v>7</v>
      </c>
      <c r="H5429" s="10">
        <v>9551</v>
      </c>
      <c r="I5429" s="10">
        <v>66857</v>
      </c>
      <c r="J5429" t="s">
        <v>42</v>
      </c>
      <c r="K5429" s="11">
        <v>3145.8</v>
      </c>
      <c r="L5429" s="12">
        <v>21.25</v>
      </c>
    </row>
    <row r="5430" spans="1:12" x14ac:dyDescent="0.2">
      <c r="A5430" s="9">
        <v>46265</v>
      </c>
      <c r="B5430" t="s">
        <v>96</v>
      </c>
      <c r="C5430" t="s">
        <v>97</v>
      </c>
      <c r="D5430" t="s">
        <v>41</v>
      </c>
      <c r="E5430" t="s">
        <v>647</v>
      </c>
      <c r="F5430" t="s">
        <v>648</v>
      </c>
      <c r="G5430" s="10">
        <v>16</v>
      </c>
      <c r="H5430" s="10">
        <v>77010</v>
      </c>
      <c r="I5430" s="10">
        <v>1232160</v>
      </c>
      <c r="J5430" t="s">
        <v>42</v>
      </c>
      <c r="K5430" s="11">
        <v>3145.8</v>
      </c>
      <c r="L5430" s="12">
        <v>391.68</v>
      </c>
    </row>
    <row r="5431" spans="1:12" x14ac:dyDescent="0.2">
      <c r="A5431" s="9">
        <v>46265</v>
      </c>
      <c r="B5431" t="s">
        <v>108</v>
      </c>
      <c r="C5431" t="s">
        <v>109</v>
      </c>
      <c r="D5431" t="s">
        <v>36</v>
      </c>
      <c r="E5431" t="s">
        <v>653</v>
      </c>
      <c r="F5431" t="s">
        <v>654</v>
      </c>
      <c r="G5431" s="10">
        <v>6</v>
      </c>
      <c r="H5431" s="10">
        <v>5658</v>
      </c>
      <c r="I5431" s="10">
        <v>33948</v>
      </c>
      <c r="J5431" t="s">
        <v>37</v>
      </c>
      <c r="K5431" s="11">
        <v>648.20000000000005</v>
      </c>
      <c r="L5431" s="12">
        <v>52.37</v>
      </c>
    </row>
    <row r="5432" spans="1:12" x14ac:dyDescent="0.2">
      <c r="A5432" s="9">
        <v>46265</v>
      </c>
      <c r="B5432" t="s">
        <v>108</v>
      </c>
      <c r="C5432" t="s">
        <v>109</v>
      </c>
      <c r="D5432" t="s">
        <v>36</v>
      </c>
      <c r="E5432" t="s">
        <v>655</v>
      </c>
      <c r="F5432" t="s">
        <v>665</v>
      </c>
      <c r="G5432" s="10">
        <v>18</v>
      </c>
      <c r="H5432" s="10">
        <v>702</v>
      </c>
      <c r="I5432" s="10">
        <v>12636</v>
      </c>
      <c r="J5432" t="s">
        <v>37</v>
      </c>
      <c r="K5432" s="11">
        <v>648.20000000000005</v>
      </c>
      <c r="L5432" s="12">
        <v>19.489999999999998</v>
      </c>
    </row>
    <row r="5433" spans="1:12" x14ac:dyDescent="0.2">
      <c r="A5433" s="9">
        <v>46265</v>
      </c>
      <c r="B5433" t="s">
        <v>115</v>
      </c>
      <c r="C5433" t="s">
        <v>116</v>
      </c>
      <c r="D5433" t="s">
        <v>41</v>
      </c>
      <c r="E5433" t="s">
        <v>653</v>
      </c>
      <c r="F5433" t="s">
        <v>666</v>
      </c>
      <c r="G5433" s="10">
        <v>95</v>
      </c>
      <c r="H5433" s="10">
        <v>7243</v>
      </c>
      <c r="I5433" s="10">
        <v>688085</v>
      </c>
      <c r="J5433" t="s">
        <v>42</v>
      </c>
      <c r="K5433" s="11">
        <v>3145.8</v>
      </c>
      <c r="L5433" s="12">
        <v>218.73</v>
      </c>
    </row>
    <row r="5434" spans="1:12" x14ac:dyDescent="0.2">
      <c r="A5434" s="9">
        <v>46265</v>
      </c>
      <c r="B5434" t="s">
        <v>115</v>
      </c>
      <c r="C5434" t="s">
        <v>116</v>
      </c>
      <c r="D5434" t="s">
        <v>41</v>
      </c>
      <c r="E5434" t="s">
        <v>649</v>
      </c>
      <c r="F5434" t="s">
        <v>659</v>
      </c>
      <c r="G5434" s="10">
        <v>16</v>
      </c>
      <c r="H5434" s="10">
        <v>41538</v>
      </c>
      <c r="I5434" s="10">
        <v>664608</v>
      </c>
      <c r="J5434" t="s">
        <v>42</v>
      </c>
      <c r="K5434" s="11">
        <v>3145.8</v>
      </c>
      <c r="L5434" s="12">
        <v>211.27</v>
      </c>
    </row>
    <row r="5435" spans="1:12" x14ac:dyDescent="0.2">
      <c r="A5435" s="9">
        <v>46265</v>
      </c>
      <c r="B5435" t="s">
        <v>115</v>
      </c>
      <c r="C5435" t="s">
        <v>116</v>
      </c>
      <c r="D5435" t="s">
        <v>41</v>
      </c>
      <c r="E5435" t="s">
        <v>660</v>
      </c>
      <c r="F5435" t="s">
        <v>670</v>
      </c>
      <c r="G5435" s="10">
        <v>11</v>
      </c>
      <c r="H5435" s="10">
        <v>67714</v>
      </c>
      <c r="I5435" s="10">
        <v>744854</v>
      </c>
      <c r="J5435" t="s">
        <v>42</v>
      </c>
      <c r="K5435" s="11">
        <v>3145.8</v>
      </c>
      <c r="L5435" s="12">
        <v>236.78</v>
      </c>
    </row>
    <row r="5436" spans="1:12" x14ac:dyDescent="0.2">
      <c r="A5436" s="9">
        <v>46265</v>
      </c>
      <c r="B5436" t="s">
        <v>118</v>
      </c>
      <c r="C5436" t="s">
        <v>119</v>
      </c>
      <c r="D5436" t="s">
        <v>36</v>
      </c>
      <c r="E5436" t="s">
        <v>647</v>
      </c>
      <c r="F5436" t="s">
        <v>648</v>
      </c>
      <c r="G5436" s="10">
        <v>8</v>
      </c>
      <c r="H5436" s="10">
        <v>15630</v>
      </c>
      <c r="I5436" s="10">
        <v>125040</v>
      </c>
      <c r="J5436" t="s">
        <v>37</v>
      </c>
      <c r="K5436" s="11">
        <v>648.20000000000005</v>
      </c>
      <c r="L5436" s="12">
        <v>192.9</v>
      </c>
    </row>
    <row r="5437" spans="1:12" x14ac:dyDescent="0.2">
      <c r="A5437" s="9">
        <v>46265</v>
      </c>
      <c r="B5437" t="s">
        <v>121</v>
      </c>
      <c r="C5437" t="s">
        <v>122</v>
      </c>
      <c r="D5437" t="s">
        <v>75</v>
      </c>
      <c r="E5437" t="s">
        <v>647</v>
      </c>
      <c r="F5437" t="s">
        <v>667</v>
      </c>
      <c r="G5437" s="10">
        <v>3</v>
      </c>
      <c r="H5437" s="10">
        <v>36440</v>
      </c>
      <c r="I5437" s="10">
        <v>109320</v>
      </c>
      <c r="J5437" t="s">
        <v>42</v>
      </c>
      <c r="K5437" s="11">
        <v>3145.8</v>
      </c>
      <c r="L5437" s="12">
        <v>34.75</v>
      </c>
    </row>
    <row r="5438" spans="1:12" x14ac:dyDescent="0.2">
      <c r="A5438" s="9">
        <v>46265</v>
      </c>
      <c r="B5438" t="s">
        <v>124</v>
      </c>
      <c r="C5438" t="s">
        <v>125</v>
      </c>
      <c r="D5438" t="s">
        <v>75</v>
      </c>
      <c r="E5438" t="s">
        <v>651</v>
      </c>
      <c r="F5438" t="s">
        <v>657</v>
      </c>
      <c r="G5438" s="10">
        <v>2</v>
      </c>
      <c r="H5438" s="10">
        <v>32174</v>
      </c>
      <c r="I5438" s="10">
        <v>64348</v>
      </c>
      <c r="J5438" t="s">
        <v>42</v>
      </c>
      <c r="K5438" s="11">
        <v>3145.8</v>
      </c>
      <c r="L5438" s="12">
        <v>20.46</v>
      </c>
    </row>
    <row r="5439" spans="1:12" x14ac:dyDescent="0.2">
      <c r="A5439" s="9">
        <v>46265</v>
      </c>
      <c r="B5439" t="s">
        <v>127</v>
      </c>
      <c r="C5439" t="s">
        <v>128</v>
      </c>
      <c r="D5439" t="s">
        <v>41</v>
      </c>
      <c r="E5439" t="s">
        <v>660</v>
      </c>
      <c r="F5439" t="s">
        <v>670</v>
      </c>
      <c r="G5439" s="10">
        <v>4</v>
      </c>
      <c r="H5439" s="10">
        <v>68115</v>
      </c>
      <c r="I5439" s="10">
        <v>272460</v>
      </c>
      <c r="J5439" t="s">
        <v>42</v>
      </c>
      <c r="K5439" s="11">
        <v>3145.8</v>
      </c>
      <c r="L5439" s="12">
        <v>86.61</v>
      </c>
    </row>
    <row r="5440" spans="1:12" x14ac:dyDescent="0.2">
      <c r="A5440" s="9">
        <v>46265</v>
      </c>
      <c r="B5440" t="s">
        <v>127</v>
      </c>
      <c r="C5440" t="s">
        <v>128</v>
      </c>
      <c r="D5440" t="s">
        <v>41</v>
      </c>
      <c r="E5440" t="s">
        <v>647</v>
      </c>
      <c r="F5440" t="s">
        <v>668</v>
      </c>
      <c r="G5440" s="10">
        <v>1</v>
      </c>
      <c r="H5440" s="10">
        <v>125958</v>
      </c>
      <c r="I5440" s="10">
        <v>125958</v>
      </c>
      <c r="J5440" t="s">
        <v>42</v>
      </c>
      <c r="K5440" s="11">
        <v>3145.8</v>
      </c>
      <c r="L5440" s="12">
        <v>40.04</v>
      </c>
    </row>
    <row r="5441" spans="1:12" x14ac:dyDescent="0.2">
      <c r="A5441" s="9">
        <v>46265</v>
      </c>
      <c r="B5441" t="s">
        <v>127</v>
      </c>
      <c r="C5441" t="s">
        <v>128</v>
      </c>
      <c r="D5441" t="s">
        <v>41</v>
      </c>
      <c r="E5441" t="s">
        <v>655</v>
      </c>
      <c r="F5441" t="s">
        <v>656</v>
      </c>
      <c r="G5441" s="10">
        <v>3</v>
      </c>
      <c r="H5441" s="10">
        <v>2871</v>
      </c>
      <c r="I5441" s="10">
        <v>8613</v>
      </c>
      <c r="J5441" t="s">
        <v>42</v>
      </c>
      <c r="K5441" s="11">
        <v>3145.8</v>
      </c>
      <c r="L5441" s="12">
        <v>2.74</v>
      </c>
    </row>
    <row r="5442" spans="1:12" x14ac:dyDescent="0.2">
      <c r="A5442" s="9">
        <v>46265</v>
      </c>
      <c r="B5442" t="s">
        <v>130</v>
      </c>
      <c r="C5442" t="s">
        <v>131</v>
      </c>
      <c r="D5442" t="s">
        <v>46</v>
      </c>
      <c r="E5442" t="s">
        <v>647</v>
      </c>
      <c r="F5442" t="s">
        <v>668</v>
      </c>
      <c r="G5442" s="10">
        <v>1</v>
      </c>
      <c r="H5442" s="10">
        <v>24521</v>
      </c>
      <c r="I5442" s="10">
        <v>24521</v>
      </c>
      <c r="J5442" t="s">
        <v>37</v>
      </c>
      <c r="K5442" s="11">
        <v>648.20000000000005</v>
      </c>
      <c r="L5442" s="12">
        <v>37.83</v>
      </c>
    </row>
    <row r="5443" spans="1:12" x14ac:dyDescent="0.2">
      <c r="A5443" s="9">
        <v>46265</v>
      </c>
      <c r="B5443" t="s">
        <v>136</v>
      </c>
      <c r="C5443" t="s">
        <v>137</v>
      </c>
      <c r="D5443" t="s">
        <v>41</v>
      </c>
      <c r="E5443" t="s">
        <v>649</v>
      </c>
      <c r="F5443" t="s">
        <v>663</v>
      </c>
      <c r="G5443" s="10">
        <v>1</v>
      </c>
      <c r="H5443" s="10">
        <v>10071</v>
      </c>
      <c r="I5443" s="10">
        <v>10071</v>
      </c>
      <c r="J5443" t="s">
        <v>42</v>
      </c>
      <c r="K5443" s="11">
        <v>3145.8</v>
      </c>
      <c r="L5443" s="12">
        <v>3.2</v>
      </c>
    </row>
    <row r="5444" spans="1:12" x14ac:dyDescent="0.2">
      <c r="A5444" s="9">
        <v>46265</v>
      </c>
      <c r="B5444" t="s">
        <v>136</v>
      </c>
      <c r="C5444" t="s">
        <v>137</v>
      </c>
      <c r="D5444" t="s">
        <v>41</v>
      </c>
      <c r="E5444" t="s">
        <v>655</v>
      </c>
      <c r="F5444" t="s">
        <v>656</v>
      </c>
      <c r="G5444" s="10">
        <v>50</v>
      </c>
      <c r="H5444" s="10">
        <v>2872</v>
      </c>
      <c r="I5444" s="10">
        <v>143600</v>
      </c>
      <c r="J5444" t="s">
        <v>42</v>
      </c>
      <c r="K5444" s="11">
        <v>3145.8</v>
      </c>
      <c r="L5444" s="12">
        <v>45.65</v>
      </c>
    </row>
    <row r="5445" spans="1:12" x14ac:dyDescent="0.2">
      <c r="A5445" s="9">
        <v>46265</v>
      </c>
      <c r="B5445" t="s">
        <v>142</v>
      </c>
      <c r="C5445" t="s">
        <v>143</v>
      </c>
      <c r="D5445" t="s">
        <v>75</v>
      </c>
      <c r="E5445" t="s">
        <v>647</v>
      </c>
      <c r="F5445" t="s">
        <v>667</v>
      </c>
      <c r="G5445" s="10">
        <v>13</v>
      </c>
      <c r="H5445" s="10">
        <v>34411</v>
      </c>
      <c r="I5445" s="10">
        <v>447343</v>
      </c>
      <c r="J5445" t="s">
        <v>42</v>
      </c>
      <c r="K5445" s="11">
        <v>3145.8</v>
      </c>
      <c r="L5445" s="12">
        <v>142.19999999999999</v>
      </c>
    </row>
    <row r="5446" spans="1:12" x14ac:dyDescent="0.2">
      <c r="A5446" s="9">
        <v>46265</v>
      </c>
      <c r="B5446" t="s">
        <v>145</v>
      </c>
      <c r="C5446" t="s">
        <v>146</v>
      </c>
      <c r="D5446" t="s">
        <v>68</v>
      </c>
      <c r="E5446" t="s">
        <v>649</v>
      </c>
      <c r="F5446" t="s">
        <v>650</v>
      </c>
      <c r="G5446" s="10">
        <v>8</v>
      </c>
      <c r="H5446" s="10">
        <v>18821</v>
      </c>
      <c r="I5446" s="10">
        <v>150568</v>
      </c>
      <c r="J5446" t="s">
        <v>51</v>
      </c>
      <c r="K5446" s="11">
        <v>648.20000000000005</v>
      </c>
      <c r="L5446" s="12">
        <v>232.29</v>
      </c>
    </row>
    <row r="5447" spans="1:12" x14ac:dyDescent="0.2">
      <c r="A5447" s="9">
        <v>46265</v>
      </c>
      <c r="B5447" t="s">
        <v>145</v>
      </c>
      <c r="C5447" t="s">
        <v>146</v>
      </c>
      <c r="D5447" t="s">
        <v>68</v>
      </c>
      <c r="E5447" t="s">
        <v>649</v>
      </c>
      <c r="F5447" t="s">
        <v>650</v>
      </c>
      <c r="G5447" s="10">
        <v>4</v>
      </c>
      <c r="H5447" s="10">
        <v>19006</v>
      </c>
      <c r="I5447" s="10">
        <v>76024</v>
      </c>
      <c r="J5447" t="s">
        <v>51</v>
      </c>
      <c r="K5447" s="11">
        <v>648.20000000000005</v>
      </c>
      <c r="L5447" s="12">
        <v>117.28</v>
      </c>
    </row>
    <row r="5448" spans="1:12" x14ac:dyDescent="0.2">
      <c r="A5448" s="9">
        <v>46265</v>
      </c>
      <c r="B5448" t="s">
        <v>149</v>
      </c>
      <c r="C5448" t="s">
        <v>150</v>
      </c>
      <c r="D5448" t="s">
        <v>50</v>
      </c>
      <c r="E5448" t="s">
        <v>660</v>
      </c>
      <c r="F5448" t="s">
        <v>670</v>
      </c>
      <c r="G5448" s="10">
        <v>11</v>
      </c>
      <c r="H5448" s="10">
        <v>14106</v>
      </c>
      <c r="I5448" s="10">
        <v>155166</v>
      </c>
      <c r="J5448" t="s">
        <v>51</v>
      </c>
      <c r="K5448" s="11">
        <v>648.20000000000005</v>
      </c>
      <c r="L5448" s="12">
        <v>239.38</v>
      </c>
    </row>
    <row r="5449" spans="1:12" x14ac:dyDescent="0.2">
      <c r="A5449" s="9">
        <v>46265</v>
      </c>
      <c r="B5449" t="s">
        <v>149</v>
      </c>
      <c r="C5449" t="s">
        <v>150</v>
      </c>
      <c r="D5449" t="s">
        <v>50</v>
      </c>
      <c r="E5449" t="s">
        <v>647</v>
      </c>
      <c r="F5449" t="s">
        <v>668</v>
      </c>
      <c r="G5449" s="10">
        <v>34</v>
      </c>
      <c r="H5449" s="10">
        <v>25678</v>
      </c>
      <c r="I5449" s="10">
        <v>873052</v>
      </c>
      <c r="J5449" t="s">
        <v>51</v>
      </c>
      <c r="K5449" s="11">
        <v>648.20000000000005</v>
      </c>
      <c r="L5449" s="12">
        <v>1346.89</v>
      </c>
    </row>
    <row r="5450" spans="1:12" x14ac:dyDescent="0.2">
      <c r="A5450" s="9">
        <v>46265</v>
      </c>
      <c r="B5450" t="s">
        <v>155</v>
      </c>
      <c r="C5450" t="s">
        <v>156</v>
      </c>
      <c r="D5450" t="s">
        <v>46</v>
      </c>
      <c r="E5450" t="s">
        <v>653</v>
      </c>
      <c r="F5450" t="s">
        <v>666</v>
      </c>
      <c r="G5450" s="10">
        <v>21</v>
      </c>
      <c r="H5450" s="10">
        <v>1528</v>
      </c>
      <c r="I5450" s="10">
        <v>32088</v>
      </c>
      <c r="J5450" t="s">
        <v>37</v>
      </c>
      <c r="K5450" s="11">
        <v>648.20000000000005</v>
      </c>
      <c r="L5450" s="12">
        <v>49.5</v>
      </c>
    </row>
    <row r="5451" spans="1:12" x14ac:dyDescent="0.2">
      <c r="A5451" s="9">
        <v>46265</v>
      </c>
      <c r="B5451" t="s">
        <v>155</v>
      </c>
      <c r="C5451" t="s">
        <v>156</v>
      </c>
      <c r="D5451" t="s">
        <v>46</v>
      </c>
      <c r="E5451" t="s">
        <v>647</v>
      </c>
      <c r="F5451" t="s">
        <v>667</v>
      </c>
      <c r="G5451" s="10">
        <v>4</v>
      </c>
      <c r="H5451" s="10">
        <v>7101</v>
      </c>
      <c r="I5451" s="10">
        <v>28404</v>
      </c>
      <c r="J5451" t="s">
        <v>37</v>
      </c>
      <c r="K5451" s="11">
        <v>648.20000000000005</v>
      </c>
      <c r="L5451" s="12">
        <v>43.82</v>
      </c>
    </row>
    <row r="5452" spans="1:12" x14ac:dyDescent="0.2">
      <c r="A5452" s="9">
        <v>46265</v>
      </c>
      <c r="B5452" t="s">
        <v>161</v>
      </c>
      <c r="C5452" t="s">
        <v>67</v>
      </c>
      <c r="D5452" t="s">
        <v>41</v>
      </c>
      <c r="E5452" t="s">
        <v>660</v>
      </c>
      <c r="F5452" t="s">
        <v>669</v>
      </c>
      <c r="G5452" s="10">
        <v>6</v>
      </c>
      <c r="H5452" s="10">
        <v>12667</v>
      </c>
      <c r="I5452" s="10">
        <v>76002</v>
      </c>
      <c r="J5452" t="s">
        <v>42</v>
      </c>
      <c r="K5452" s="11">
        <v>3145.8</v>
      </c>
      <c r="L5452" s="12">
        <v>24.16</v>
      </c>
    </row>
    <row r="5453" spans="1:12" x14ac:dyDescent="0.2">
      <c r="A5453" s="9">
        <v>46265</v>
      </c>
      <c r="B5453" t="s">
        <v>161</v>
      </c>
      <c r="C5453" t="s">
        <v>67</v>
      </c>
      <c r="D5453" t="s">
        <v>41</v>
      </c>
      <c r="E5453" t="s">
        <v>651</v>
      </c>
      <c r="F5453" t="s">
        <v>657</v>
      </c>
      <c r="G5453" s="10">
        <v>16</v>
      </c>
      <c r="H5453" s="10">
        <v>31672</v>
      </c>
      <c r="I5453" s="10">
        <v>506752</v>
      </c>
      <c r="J5453" t="s">
        <v>42</v>
      </c>
      <c r="K5453" s="11">
        <v>3145.8</v>
      </c>
      <c r="L5453" s="12">
        <v>161.09</v>
      </c>
    </row>
    <row r="5454" spans="1:12" x14ac:dyDescent="0.2">
      <c r="A5454" s="9">
        <v>46265</v>
      </c>
      <c r="B5454" t="s">
        <v>163</v>
      </c>
      <c r="C5454" t="s">
        <v>164</v>
      </c>
      <c r="D5454" t="s">
        <v>41</v>
      </c>
      <c r="E5454" t="s">
        <v>660</v>
      </c>
      <c r="F5454" t="s">
        <v>661</v>
      </c>
      <c r="G5454" s="10">
        <v>4</v>
      </c>
      <c r="H5454" s="10">
        <v>19613</v>
      </c>
      <c r="I5454" s="10">
        <v>78452</v>
      </c>
      <c r="J5454" t="s">
        <v>42</v>
      </c>
      <c r="K5454" s="11">
        <v>3145.8</v>
      </c>
      <c r="L5454" s="12">
        <v>24.94</v>
      </c>
    </row>
    <row r="5455" spans="1:12" x14ac:dyDescent="0.2">
      <c r="A5455" s="9">
        <v>46265</v>
      </c>
      <c r="B5455" t="s">
        <v>163</v>
      </c>
      <c r="C5455" t="s">
        <v>164</v>
      </c>
      <c r="D5455" t="s">
        <v>41</v>
      </c>
      <c r="E5455" t="s">
        <v>660</v>
      </c>
      <c r="F5455" t="s">
        <v>661</v>
      </c>
      <c r="G5455" s="10">
        <v>9</v>
      </c>
      <c r="H5455" s="10">
        <v>21050</v>
      </c>
      <c r="I5455" s="10">
        <v>189450</v>
      </c>
      <c r="J5455" t="s">
        <v>42</v>
      </c>
      <c r="K5455" s="11">
        <v>3145.8</v>
      </c>
      <c r="L5455" s="12">
        <v>60.22</v>
      </c>
    </row>
    <row r="5456" spans="1:12" x14ac:dyDescent="0.2">
      <c r="A5456" s="9">
        <v>46265</v>
      </c>
      <c r="B5456" t="s">
        <v>166</v>
      </c>
      <c r="C5456" t="s">
        <v>167</v>
      </c>
      <c r="D5456" t="s">
        <v>46</v>
      </c>
      <c r="E5456" t="s">
        <v>647</v>
      </c>
      <c r="F5456" t="s">
        <v>668</v>
      </c>
      <c r="G5456" s="10">
        <v>1</v>
      </c>
      <c r="H5456" s="10">
        <v>24399</v>
      </c>
      <c r="I5456" s="10">
        <v>24399</v>
      </c>
      <c r="J5456" t="s">
        <v>37</v>
      </c>
      <c r="K5456" s="11">
        <v>648.20000000000005</v>
      </c>
      <c r="L5456" s="12">
        <v>37.64</v>
      </c>
    </row>
    <row r="5457" spans="1:12" x14ac:dyDescent="0.2">
      <c r="A5457" s="9">
        <v>46265</v>
      </c>
      <c r="B5457" t="s">
        <v>169</v>
      </c>
      <c r="C5457" t="s">
        <v>170</v>
      </c>
      <c r="D5457" t="s">
        <v>41</v>
      </c>
      <c r="E5457" t="s">
        <v>653</v>
      </c>
      <c r="F5457" t="s">
        <v>666</v>
      </c>
      <c r="G5457" s="10">
        <v>5</v>
      </c>
      <c r="H5457" s="10">
        <v>7076</v>
      </c>
      <c r="I5457" s="10">
        <v>35380</v>
      </c>
      <c r="J5457" t="s">
        <v>42</v>
      </c>
      <c r="K5457" s="11">
        <v>3145.8</v>
      </c>
      <c r="L5457" s="12">
        <v>11.25</v>
      </c>
    </row>
    <row r="5458" spans="1:12" x14ac:dyDescent="0.2">
      <c r="A5458" s="9">
        <v>46265</v>
      </c>
      <c r="B5458" t="s">
        <v>172</v>
      </c>
      <c r="C5458" t="s">
        <v>173</v>
      </c>
      <c r="D5458" t="s">
        <v>41</v>
      </c>
      <c r="E5458" t="s">
        <v>649</v>
      </c>
      <c r="F5458" t="s">
        <v>663</v>
      </c>
      <c r="G5458" s="10">
        <v>3</v>
      </c>
      <c r="H5458" s="10">
        <v>10102</v>
      </c>
      <c r="I5458" s="10">
        <v>30306</v>
      </c>
      <c r="J5458" t="s">
        <v>42</v>
      </c>
      <c r="K5458" s="11">
        <v>3145.8</v>
      </c>
      <c r="L5458" s="12">
        <v>9.6300000000000008</v>
      </c>
    </row>
    <row r="5459" spans="1:12" x14ac:dyDescent="0.2">
      <c r="A5459" s="9">
        <v>46265</v>
      </c>
      <c r="B5459" t="s">
        <v>175</v>
      </c>
      <c r="C5459" t="s">
        <v>176</v>
      </c>
      <c r="D5459" t="s">
        <v>50</v>
      </c>
      <c r="E5459" t="s">
        <v>660</v>
      </c>
      <c r="F5459" t="s">
        <v>670</v>
      </c>
      <c r="G5459" s="10">
        <v>67</v>
      </c>
      <c r="H5459" s="10">
        <v>14111</v>
      </c>
      <c r="I5459" s="10">
        <v>945437</v>
      </c>
      <c r="J5459" t="s">
        <v>51</v>
      </c>
      <c r="K5459" s="11">
        <v>648.20000000000005</v>
      </c>
      <c r="L5459" s="12">
        <v>1458.56</v>
      </c>
    </row>
    <row r="5460" spans="1:12" x14ac:dyDescent="0.2">
      <c r="A5460" s="9">
        <v>46265</v>
      </c>
      <c r="B5460" t="s">
        <v>175</v>
      </c>
      <c r="C5460" t="s">
        <v>176</v>
      </c>
      <c r="D5460" t="s">
        <v>50</v>
      </c>
      <c r="E5460" t="s">
        <v>651</v>
      </c>
      <c r="F5460" t="s">
        <v>657</v>
      </c>
      <c r="G5460" s="10">
        <v>20</v>
      </c>
      <c r="H5460" s="10">
        <v>6312</v>
      </c>
      <c r="I5460" s="10">
        <v>126240</v>
      </c>
      <c r="J5460" t="s">
        <v>51</v>
      </c>
      <c r="K5460" s="11">
        <v>648.20000000000005</v>
      </c>
      <c r="L5460" s="12">
        <v>194.75</v>
      </c>
    </row>
    <row r="5461" spans="1:12" x14ac:dyDescent="0.2">
      <c r="A5461" s="9">
        <v>46265</v>
      </c>
      <c r="B5461" t="s">
        <v>178</v>
      </c>
      <c r="C5461" t="s">
        <v>179</v>
      </c>
      <c r="D5461" t="s">
        <v>50</v>
      </c>
      <c r="E5461" t="s">
        <v>649</v>
      </c>
      <c r="F5461" t="s">
        <v>650</v>
      </c>
      <c r="G5461" s="10">
        <v>2</v>
      </c>
      <c r="H5461" s="10">
        <v>19474</v>
      </c>
      <c r="I5461" s="10">
        <v>38948</v>
      </c>
      <c r="J5461" t="s">
        <v>51</v>
      </c>
      <c r="K5461" s="11">
        <v>648.20000000000005</v>
      </c>
      <c r="L5461" s="12">
        <v>60.09</v>
      </c>
    </row>
    <row r="5462" spans="1:12" x14ac:dyDescent="0.2">
      <c r="A5462" s="9">
        <v>46265</v>
      </c>
      <c r="B5462" t="s">
        <v>178</v>
      </c>
      <c r="C5462" t="s">
        <v>179</v>
      </c>
      <c r="D5462" t="s">
        <v>50</v>
      </c>
      <c r="E5462" t="s">
        <v>660</v>
      </c>
      <c r="F5462" t="s">
        <v>661</v>
      </c>
      <c r="G5462" s="10">
        <v>2</v>
      </c>
      <c r="H5462" s="10">
        <v>4240</v>
      </c>
      <c r="I5462" s="10">
        <v>8480</v>
      </c>
      <c r="J5462" t="s">
        <v>51</v>
      </c>
      <c r="K5462" s="11">
        <v>648.20000000000005</v>
      </c>
      <c r="L5462" s="12">
        <v>13.08</v>
      </c>
    </row>
    <row r="5463" spans="1:12" x14ac:dyDescent="0.2">
      <c r="A5463" s="9">
        <v>46265</v>
      </c>
      <c r="B5463" t="s">
        <v>178</v>
      </c>
      <c r="C5463" t="s">
        <v>179</v>
      </c>
      <c r="D5463" t="s">
        <v>50</v>
      </c>
      <c r="E5463" t="s">
        <v>647</v>
      </c>
      <c r="F5463" t="s">
        <v>667</v>
      </c>
      <c r="G5463" s="10">
        <v>1</v>
      </c>
      <c r="H5463" s="10">
        <v>7254</v>
      </c>
      <c r="I5463" s="10">
        <v>7254</v>
      </c>
      <c r="J5463" t="s">
        <v>51</v>
      </c>
      <c r="K5463" s="11">
        <v>648.20000000000005</v>
      </c>
      <c r="L5463" s="12">
        <v>11.19</v>
      </c>
    </row>
    <row r="5464" spans="1:12" x14ac:dyDescent="0.2">
      <c r="A5464" s="9">
        <v>46265</v>
      </c>
      <c r="B5464" t="s">
        <v>181</v>
      </c>
      <c r="C5464" t="s">
        <v>182</v>
      </c>
      <c r="D5464" t="s">
        <v>41</v>
      </c>
      <c r="E5464" t="s">
        <v>660</v>
      </c>
      <c r="F5464" t="s">
        <v>670</v>
      </c>
      <c r="G5464" s="10">
        <v>3</v>
      </c>
      <c r="H5464" s="10">
        <v>67954</v>
      </c>
      <c r="I5464" s="10">
        <v>203862</v>
      </c>
      <c r="J5464" t="s">
        <v>42</v>
      </c>
      <c r="K5464" s="11">
        <v>3145.8</v>
      </c>
      <c r="L5464" s="12">
        <v>64.8</v>
      </c>
    </row>
    <row r="5465" spans="1:12" x14ac:dyDescent="0.2">
      <c r="A5465" s="9">
        <v>46265</v>
      </c>
      <c r="B5465" t="s">
        <v>184</v>
      </c>
      <c r="C5465" t="s">
        <v>185</v>
      </c>
      <c r="D5465" t="s">
        <v>41</v>
      </c>
      <c r="E5465" t="s">
        <v>655</v>
      </c>
      <c r="F5465" t="s">
        <v>662</v>
      </c>
      <c r="G5465" s="10">
        <v>3</v>
      </c>
      <c r="H5465" s="10">
        <v>5573</v>
      </c>
      <c r="I5465" s="10">
        <v>16719</v>
      </c>
      <c r="J5465" t="s">
        <v>42</v>
      </c>
      <c r="K5465" s="11">
        <v>3145.8</v>
      </c>
      <c r="L5465" s="12">
        <v>5.31</v>
      </c>
    </row>
    <row r="5466" spans="1:12" x14ac:dyDescent="0.2">
      <c r="A5466" s="9">
        <v>46265</v>
      </c>
      <c r="B5466" t="s">
        <v>184</v>
      </c>
      <c r="C5466" t="s">
        <v>185</v>
      </c>
      <c r="D5466" t="s">
        <v>41</v>
      </c>
      <c r="E5466" t="s">
        <v>647</v>
      </c>
      <c r="F5466" t="s">
        <v>667</v>
      </c>
      <c r="G5466" s="10">
        <v>2</v>
      </c>
      <c r="H5466" s="10">
        <v>35276</v>
      </c>
      <c r="I5466" s="10">
        <v>70552</v>
      </c>
      <c r="J5466" t="s">
        <v>42</v>
      </c>
      <c r="K5466" s="11">
        <v>3145.8</v>
      </c>
      <c r="L5466" s="12">
        <v>22.43</v>
      </c>
    </row>
    <row r="5467" spans="1:12" x14ac:dyDescent="0.2">
      <c r="A5467" s="9">
        <v>46265</v>
      </c>
      <c r="B5467" t="s">
        <v>184</v>
      </c>
      <c r="C5467" t="s">
        <v>185</v>
      </c>
      <c r="D5467" t="s">
        <v>41</v>
      </c>
      <c r="E5467" t="s">
        <v>651</v>
      </c>
      <c r="F5467" t="s">
        <v>657</v>
      </c>
      <c r="G5467" s="10">
        <v>4</v>
      </c>
      <c r="H5467" s="10">
        <v>31652</v>
      </c>
      <c r="I5467" s="10">
        <v>126608</v>
      </c>
      <c r="J5467" t="s">
        <v>42</v>
      </c>
      <c r="K5467" s="11">
        <v>3145.8</v>
      </c>
      <c r="L5467" s="12">
        <v>40.25</v>
      </c>
    </row>
    <row r="5468" spans="1:12" x14ac:dyDescent="0.2">
      <c r="A5468" s="9">
        <v>46265</v>
      </c>
      <c r="B5468" t="s">
        <v>193</v>
      </c>
      <c r="C5468" t="s">
        <v>194</v>
      </c>
      <c r="D5468" t="s">
        <v>68</v>
      </c>
      <c r="E5468" t="s">
        <v>655</v>
      </c>
      <c r="F5468" t="s">
        <v>665</v>
      </c>
      <c r="G5468" s="10">
        <v>7</v>
      </c>
      <c r="H5468" s="10">
        <v>709</v>
      </c>
      <c r="I5468" s="10">
        <v>4963</v>
      </c>
      <c r="J5468" t="s">
        <v>51</v>
      </c>
      <c r="K5468" s="11">
        <v>648.20000000000005</v>
      </c>
      <c r="L5468" s="12">
        <v>7.66</v>
      </c>
    </row>
    <row r="5469" spans="1:12" x14ac:dyDescent="0.2">
      <c r="A5469" s="9">
        <v>46265</v>
      </c>
      <c r="B5469" t="s">
        <v>199</v>
      </c>
      <c r="C5469" t="s">
        <v>200</v>
      </c>
      <c r="D5469" t="s">
        <v>46</v>
      </c>
      <c r="E5469" t="s">
        <v>647</v>
      </c>
      <c r="F5469" t="s">
        <v>668</v>
      </c>
      <c r="G5469" s="10">
        <v>22</v>
      </c>
      <c r="H5469" s="10">
        <v>25905</v>
      </c>
      <c r="I5469" s="10">
        <v>569910</v>
      </c>
      <c r="J5469" t="s">
        <v>37</v>
      </c>
      <c r="K5469" s="11">
        <v>648.20000000000005</v>
      </c>
      <c r="L5469" s="12">
        <v>879.22</v>
      </c>
    </row>
    <row r="5470" spans="1:12" x14ac:dyDescent="0.2">
      <c r="A5470" s="9">
        <v>46265</v>
      </c>
      <c r="B5470" t="s">
        <v>211</v>
      </c>
      <c r="C5470" t="s">
        <v>212</v>
      </c>
      <c r="D5470" t="s">
        <v>46</v>
      </c>
      <c r="E5470" t="s">
        <v>653</v>
      </c>
      <c r="F5470" t="s">
        <v>658</v>
      </c>
      <c r="G5470" s="10">
        <v>17</v>
      </c>
      <c r="H5470" s="10">
        <v>2735</v>
      </c>
      <c r="I5470" s="10">
        <v>46495</v>
      </c>
      <c r="J5470" t="s">
        <v>37</v>
      </c>
      <c r="K5470" s="11">
        <v>648.20000000000005</v>
      </c>
      <c r="L5470" s="12">
        <v>71.73</v>
      </c>
    </row>
    <row r="5471" spans="1:12" x14ac:dyDescent="0.2">
      <c r="A5471" s="9">
        <v>46265</v>
      </c>
      <c r="B5471" t="s">
        <v>211</v>
      </c>
      <c r="C5471" t="s">
        <v>212</v>
      </c>
      <c r="D5471" t="s">
        <v>46</v>
      </c>
      <c r="E5471" t="s">
        <v>653</v>
      </c>
      <c r="F5471" t="s">
        <v>654</v>
      </c>
      <c r="G5471" s="10">
        <v>30</v>
      </c>
      <c r="H5471" s="10">
        <v>5527</v>
      </c>
      <c r="I5471" s="10">
        <v>165810</v>
      </c>
      <c r="J5471" t="s">
        <v>37</v>
      </c>
      <c r="K5471" s="11">
        <v>648.20000000000005</v>
      </c>
      <c r="L5471" s="12">
        <v>255.8</v>
      </c>
    </row>
    <row r="5472" spans="1:12" x14ac:dyDescent="0.2">
      <c r="A5472" s="9">
        <v>46265</v>
      </c>
      <c r="B5472" t="s">
        <v>214</v>
      </c>
      <c r="C5472" t="s">
        <v>215</v>
      </c>
      <c r="D5472" t="s">
        <v>46</v>
      </c>
      <c r="E5472" t="s">
        <v>653</v>
      </c>
      <c r="F5472" t="s">
        <v>666</v>
      </c>
      <c r="G5472" s="10">
        <v>11</v>
      </c>
      <c r="H5472" s="10">
        <v>1452</v>
      </c>
      <c r="I5472" s="10">
        <v>15972</v>
      </c>
      <c r="J5472" t="s">
        <v>37</v>
      </c>
      <c r="K5472" s="11">
        <v>648.20000000000005</v>
      </c>
      <c r="L5472" s="12">
        <v>24.64</v>
      </c>
    </row>
    <row r="5473" spans="1:12" x14ac:dyDescent="0.2">
      <c r="A5473" s="9">
        <v>46265</v>
      </c>
      <c r="B5473" t="s">
        <v>214</v>
      </c>
      <c r="C5473" t="s">
        <v>215</v>
      </c>
      <c r="D5473" t="s">
        <v>46</v>
      </c>
      <c r="E5473" t="s">
        <v>660</v>
      </c>
      <c r="F5473" t="s">
        <v>670</v>
      </c>
      <c r="G5473" s="10">
        <v>13</v>
      </c>
      <c r="H5473" s="10">
        <v>14388</v>
      </c>
      <c r="I5473" s="10">
        <v>187044</v>
      </c>
      <c r="J5473" t="s">
        <v>37</v>
      </c>
      <c r="K5473" s="11">
        <v>648.20000000000005</v>
      </c>
      <c r="L5473" s="12">
        <v>288.56</v>
      </c>
    </row>
    <row r="5474" spans="1:12" x14ac:dyDescent="0.2">
      <c r="A5474" s="9">
        <v>46265</v>
      </c>
      <c r="B5474" t="s">
        <v>223</v>
      </c>
      <c r="C5474" t="s">
        <v>224</v>
      </c>
      <c r="D5474" t="s">
        <v>36</v>
      </c>
      <c r="E5474" t="s">
        <v>651</v>
      </c>
      <c r="F5474" t="s">
        <v>652</v>
      </c>
      <c r="G5474" s="10">
        <v>2</v>
      </c>
      <c r="H5474" s="10">
        <v>9396</v>
      </c>
      <c r="I5474" s="10">
        <v>18792</v>
      </c>
      <c r="J5474" t="s">
        <v>37</v>
      </c>
      <c r="K5474" s="11">
        <v>648.20000000000005</v>
      </c>
      <c r="L5474" s="12">
        <v>28.99</v>
      </c>
    </row>
    <row r="5475" spans="1:12" x14ac:dyDescent="0.2">
      <c r="A5475" s="9">
        <v>46265</v>
      </c>
      <c r="B5475" t="s">
        <v>226</v>
      </c>
      <c r="C5475" t="s">
        <v>227</v>
      </c>
      <c r="D5475" t="s">
        <v>41</v>
      </c>
      <c r="E5475" t="s">
        <v>655</v>
      </c>
      <c r="F5475" t="s">
        <v>662</v>
      </c>
      <c r="G5475" s="10">
        <v>25</v>
      </c>
      <c r="H5475" s="10">
        <v>5461</v>
      </c>
      <c r="I5475" s="10">
        <v>136525</v>
      </c>
      <c r="J5475" t="s">
        <v>42</v>
      </c>
      <c r="K5475" s="11">
        <v>3145.8</v>
      </c>
      <c r="L5475" s="12">
        <v>43.4</v>
      </c>
    </row>
    <row r="5476" spans="1:12" x14ac:dyDescent="0.2">
      <c r="A5476" s="9">
        <v>46265</v>
      </c>
      <c r="B5476" t="s">
        <v>226</v>
      </c>
      <c r="C5476" t="s">
        <v>227</v>
      </c>
      <c r="D5476" t="s">
        <v>41</v>
      </c>
      <c r="E5476" t="s">
        <v>660</v>
      </c>
      <c r="F5476" t="s">
        <v>670</v>
      </c>
      <c r="G5476" s="10">
        <v>98</v>
      </c>
      <c r="H5476" s="10">
        <v>68069</v>
      </c>
      <c r="I5476" s="10">
        <v>6670762</v>
      </c>
      <c r="J5476" t="s">
        <v>42</v>
      </c>
      <c r="K5476" s="11">
        <v>3145.8</v>
      </c>
      <c r="L5476" s="12">
        <v>2120.5300000000002</v>
      </c>
    </row>
    <row r="5477" spans="1:12" x14ac:dyDescent="0.2">
      <c r="A5477" s="9">
        <v>46265</v>
      </c>
      <c r="B5477" t="s">
        <v>226</v>
      </c>
      <c r="C5477" t="s">
        <v>227</v>
      </c>
      <c r="D5477" t="s">
        <v>41</v>
      </c>
      <c r="E5477" t="s">
        <v>647</v>
      </c>
      <c r="F5477" t="s">
        <v>667</v>
      </c>
      <c r="G5477" s="10">
        <v>7</v>
      </c>
      <c r="H5477" s="10">
        <v>35073</v>
      </c>
      <c r="I5477" s="10">
        <v>245511</v>
      </c>
      <c r="J5477" t="s">
        <v>42</v>
      </c>
      <c r="K5477" s="11">
        <v>3145.8</v>
      </c>
      <c r="L5477" s="12">
        <v>78.040000000000006</v>
      </c>
    </row>
    <row r="5478" spans="1:12" x14ac:dyDescent="0.2">
      <c r="A5478" s="9">
        <v>46265</v>
      </c>
      <c r="B5478" t="s">
        <v>229</v>
      </c>
      <c r="C5478" t="s">
        <v>230</v>
      </c>
      <c r="D5478" t="s">
        <v>36</v>
      </c>
      <c r="E5478" t="s">
        <v>660</v>
      </c>
      <c r="F5478" t="s">
        <v>670</v>
      </c>
      <c r="G5478" s="10">
        <v>47</v>
      </c>
      <c r="H5478" s="10">
        <v>14756</v>
      </c>
      <c r="I5478" s="10">
        <v>693532</v>
      </c>
      <c r="J5478" t="s">
        <v>37</v>
      </c>
      <c r="K5478" s="11">
        <v>648.20000000000005</v>
      </c>
      <c r="L5478" s="12">
        <v>1069.94</v>
      </c>
    </row>
    <row r="5479" spans="1:12" x14ac:dyDescent="0.2">
      <c r="A5479" s="9">
        <v>46265</v>
      </c>
      <c r="B5479" t="s">
        <v>232</v>
      </c>
      <c r="C5479" t="s">
        <v>233</v>
      </c>
      <c r="D5479" t="s">
        <v>46</v>
      </c>
      <c r="E5479" t="s">
        <v>660</v>
      </c>
      <c r="F5479" t="s">
        <v>670</v>
      </c>
      <c r="G5479" s="10">
        <v>4</v>
      </c>
      <c r="H5479" s="10">
        <v>14986</v>
      </c>
      <c r="I5479" s="10">
        <v>59944</v>
      </c>
      <c r="J5479" t="s">
        <v>37</v>
      </c>
      <c r="K5479" s="11">
        <v>648.20000000000005</v>
      </c>
      <c r="L5479" s="12">
        <v>92.48</v>
      </c>
    </row>
    <row r="5480" spans="1:12" x14ac:dyDescent="0.2">
      <c r="A5480" s="9">
        <v>46265</v>
      </c>
      <c r="B5480" t="s">
        <v>232</v>
      </c>
      <c r="C5480" t="s">
        <v>233</v>
      </c>
      <c r="D5480" t="s">
        <v>46</v>
      </c>
      <c r="E5480" t="s">
        <v>651</v>
      </c>
      <c r="F5480" t="s">
        <v>664</v>
      </c>
      <c r="G5480" s="10">
        <v>13</v>
      </c>
      <c r="H5480" s="10">
        <v>11517</v>
      </c>
      <c r="I5480" s="10">
        <v>149721</v>
      </c>
      <c r="J5480" t="s">
        <v>37</v>
      </c>
      <c r="K5480" s="11">
        <v>648.20000000000005</v>
      </c>
      <c r="L5480" s="12">
        <v>230.98</v>
      </c>
    </row>
    <row r="5481" spans="1:12" x14ac:dyDescent="0.2">
      <c r="A5481" s="9">
        <v>46265</v>
      </c>
      <c r="B5481" t="s">
        <v>235</v>
      </c>
      <c r="C5481" t="s">
        <v>236</v>
      </c>
      <c r="D5481" t="s">
        <v>50</v>
      </c>
      <c r="E5481" t="s">
        <v>653</v>
      </c>
      <c r="F5481" t="s">
        <v>666</v>
      </c>
      <c r="G5481" s="10">
        <v>73</v>
      </c>
      <c r="H5481" s="10">
        <v>1451</v>
      </c>
      <c r="I5481" s="10">
        <v>105923</v>
      </c>
      <c r="J5481" t="s">
        <v>51</v>
      </c>
      <c r="K5481" s="11">
        <v>648.20000000000005</v>
      </c>
      <c r="L5481" s="12">
        <v>163.41</v>
      </c>
    </row>
    <row r="5482" spans="1:12" x14ac:dyDescent="0.2">
      <c r="A5482" s="9">
        <v>46265</v>
      </c>
      <c r="B5482" t="s">
        <v>235</v>
      </c>
      <c r="C5482" t="s">
        <v>236</v>
      </c>
      <c r="D5482" t="s">
        <v>50</v>
      </c>
      <c r="E5482" t="s">
        <v>653</v>
      </c>
      <c r="F5482" t="s">
        <v>666</v>
      </c>
      <c r="G5482" s="10">
        <v>102</v>
      </c>
      <c r="H5482" s="10">
        <v>1469</v>
      </c>
      <c r="I5482" s="10">
        <v>149838</v>
      </c>
      <c r="J5482" t="s">
        <v>51</v>
      </c>
      <c r="K5482" s="11">
        <v>648.20000000000005</v>
      </c>
      <c r="L5482" s="12">
        <v>231.16</v>
      </c>
    </row>
    <row r="5483" spans="1:12" x14ac:dyDescent="0.2">
      <c r="A5483" s="9">
        <v>46265</v>
      </c>
      <c r="B5483" t="s">
        <v>235</v>
      </c>
      <c r="C5483" t="s">
        <v>236</v>
      </c>
      <c r="D5483" t="s">
        <v>50</v>
      </c>
      <c r="E5483" t="s">
        <v>660</v>
      </c>
      <c r="F5483" t="s">
        <v>669</v>
      </c>
      <c r="G5483" s="10">
        <v>25</v>
      </c>
      <c r="H5483" s="10">
        <v>2634</v>
      </c>
      <c r="I5483" s="10">
        <v>65850</v>
      </c>
      <c r="J5483" t="s">
        <v>51</v>
      </c>
      <c r="K5483" s="11">
        <v>648.20000000000005</v>
      </c>
      <c r="L5483" s="12">
        <v>101.59</v>
      </c>
    </row>
    <row r="5484" spans="1:12" x14ac:dyDescent="0.2">
      <c r="A5484" s="9">
        <v>46265</v>
      </c>
      <c r="B5484" t="s">
        <v>238</v>
      </c>
      <c r="C5484" t="s">
        <v>239</v>
      </c>
      <c r="D5484" t="s">
        <v>68</v>
      </c>
      <c r="E5484" t="s">
        <v>649</v>
      </c>
      <c r="F5484" t="s">
        <v>650</v>
      </c>
      <c r="G5484" s="10">
        <v>4</v>
      </c>
      <c r="H5484" s="10">
        <v>19591</v>
      </c>
      <c r="I5484" s="10">
        <v>78364</v>
      </c>
      <c r="J5484" t="s">
        <v>51</v>
      </c>
      <c r="K5484" s="11">
        <v>648.20000000000005</v>
      </c>
      <c r="L5484" s="12">
        <v>120.89</v>
      </c>
    </row>
    <row r="5485" spans="1:12" x14ac:dyDescent="0.2">
      <c r="A5485" s="9">
        <v>46265</v>
      </c>
      <c r="B5485" t="s">
        <v>238</v>
      </c>
      <c r="C5485" t="s">
        <v>239</v>
      </c>
      <c r="D5485" t="s">
        <v>68</v>
      </c>
      <c r="E5485" t="s">
        <v>653</v>
      </c>
      <c r="F5485" t="s">
        <v>654</v>
      </c>
      <c r="G5485" s="10">
        <v>5</v>
      </c>
      <c r="H5485" s="10">
        <v>5761</v>
      </c>
      <c r="I5485" s="10">
        <v>28805</v>
      </c>
      <c r="J5485" t="s">
        <v>51</v>
      </c>
      <c r="K5485" s="11">
        <v>648.20000000000005</v>
      </c>
      <c r="L5485" s="12">
        <v>44.44</v>
      </c>
    </row>
    <row r="5486" spans="1:12" x14ac:dyDescent="0.2">
      <c r="A5486" s="9">
        <v>46265</v>
      </c>
      <c r="B5486" t="s">
        <v>244</v>
      </c>
      <c r="C5486" t="s">
        <v>245</v>
      </c>
      <c r="D5486" t="s">
        <v>75</v>
      </c>
      <c r="E5486" t="s">
        <v>660</v>
      </c>
      <c r="F5486" t="s">
        <v>670</v>
      </c>
      <c r="G5486" s="10">
        <v>3</v>
      </c>
      <c r="H5486" s="10">
        <v>69259</v>
      </c>
      <c r="I5486" s="10">
        <v>207777</v>
      </c>
      <c r="J5486" t="s">
        <v>42</v>
      </c>
      <c r="K5486" s="11">
        <v>3145.8</v>
      </c>
      <c r="L5486" s="12">
        <v>66.05</v>
      </c>
    </row>
    <row r="5487" spans="1:12" x14ac:dyDescent="0.2">
      <c r="A5487" s="9">
        <v>46265</v>
      </c>
      <c r="B5487" t="s">
        <v>247</v>
      </c>
      <c r="C5487" t="s">
        <v>248</v>
      </c>
      <c r="D5487" t="s">
        <v>75</v>
      </c>
      <c r="E5487" t="s">
        <v>655</v>
      </c>
      <c r="F5487" t="s">
        <v>656</v>
      </c>
      <c r="G5487" s="10">
        <v>9</v>
      </c>
      <c r="H5487" s="10">
        <v>2830</v>
      </c>
      <c r="I5487" s="10">
        <v>25470</v>
      </c>
      <c r="J5487" t="s">
        <v>42</v>
      </c>
      <c r="K5487" s="11">
        <v>3145.8</v>
      </c>
      <c r="L5487" s="12">
        <v>8.1</v>
      </c>
    </row>
    <row r="5488" spans="1:12" x14ac:dyDescent="0.2">
      <c r="A5488" s="9">
        <v>46265</v>
      </c>
      <c r="B5488" t="s">
        <v>267</v>
      </c>
      <c r="C5488" t="s">
        <v>268</v>
      </c>
      <c r="D5488" t="s">
        <v>46</v>
      </c>
      <c r="E5488" t="s">
        <v>649</v>
      </c>
      <c r="F5488" t="s">
        <v>663</v>
      </c>
      <c r="G5488" s="10">
        <v>19</v>
      </c>
      <c r="H5488" s="10">
        <v>1959</v>
      </c>
      <c r="I5488" s="10">
        <v>37221</v>
      </c>
      <c r="J5488" t="s">
        <v>37</v>
      </c>
      <c r="K5488" s="11">
        <v>648.20000000000005</v>
      </c>
      <c r="L5488" s="12">
        <v>57.42</v>
      </c>
    </row>
    <row r="5489" spans="1:12" x14ac:dyDescent="0.2">
      <c r="A5489" s="9">
        <v>46265</v>
      </c>
      <c r="B5489" t="s">
        <v>270</v>
      </c>
      <c r="C5489" t="s">
        <v>271</v>
      </c>
      <c r="D5489" t="s">
        <v>75</v>
      </c>
      <c r="E5489" t="s">
        <v>649</v>
      </c>
      <c r="F5489" t="s">
        <v>659</v>
      </c>
      <c r="G5489" s="10">
        <v>11</v>
      </c>
      <c r="H5489" s="10">
        <v>44029</v>
      </c>
      <c r="I5489" s="10">
        <v>484319</v>
      </c>
      <c r="J5489" t="s">
        <v>42</v>
      </c>
      <c r="K5489" s="11">
        <v>3145.8</v>
      </c>
      <c r="L5489" s="12">
        <v>153.96</v>
      </c>
    </row>
    <row r="5490" spans="1:12" x14ac:dyDescent="0.2">
      <c r="A5490" s="9">
        <v>46265</v>
      </c>
      <c r="B5490" t="s">
        <v>273</v>
      </c>
      <c r="C5490" t="s">
        <v>274</v>
      </c>
      <c r="D5490" t="s">
        <v>41</v>
      </c>
      <c r="E5490" t="s">
        <v>647</v>
      </c>
      <c r="F5490" t="s">
        <v>648</v>
      </c>
      <c r="G5490" s="10">
        <v>4</v>
      </c>
      <c r="H5490" s="10">
        <v>77337</v>
      </c>
      <c r="I5490" s="10">
        <v>309348</v>
      </c>
      <c r="J5490" t="s">
        <v>42</v>
      </c>
      <c r="K5490" s="11">
        <v>3145.8</v>
      </c>
      <c r="L5490" s="12">
        <v>98.34</v>
      </c>
    </row>
    <row r="5491" spans="1:12" x14ac:dyDescent="0.2">
      <c r="A5491" s="9">
        <v>46265</v>
      </c>
      <c r="B5491" t="s">
        <v>276</v>
      </c>
      <c r="C5491" t="s">
        <v>277</v>
      </c>
      <c r="D5491" t="s">
        <v>46</v>
      </c>
      <c r="E5491" t="s">
        <v>647</v>
      </c>
      <c r="F5491" t="s">
        <v>648</v>
      </c>
      <c r="G5491" s="10">
        <v>16</v>
      </c>
      <c r="H5491" s="10">
        <v>16165</v>
      </c>
      <c r="I5491" s="10">
        <v>258640</v>
      </c>
      <c r="J5491" t="s">
        <v>37</v>
      </c>
      <c r="K5491" s="11">
        <v>648.20000000000005</v>
      </c>
      <c r="L5491" s="12">
        <v>399.01</v>
      </c>
    </row>
    <row r="5492" spans="1:12" x14ac:dyDescent="0.2">
      <c r="A5492" s="9">
        <v>46265</v>
      </c>
      <c r="B5492" t="s">
        <v>279</v>
      </c>
      <c r="C5492" t="s">
        <v>280</v>
      </c>
      <c r="D5492" t="s">
        <v>68</v>
      </c>
      <c r="E5492" t="s">
        <v>660</v>
      </c>
      <c r="F5492" t="s">
        <v>670</v>
      </c>
      <c r="G5492" s="10">
        <v>27</v>
      </c>
      <c r="H5492" s="10">
        <v>14366</v>
      </c>
      <c r="I5492" s="10">
        <v>387882</v>
      </c>
      <c r="J5492" t="s">
        <v>51</v>
      </c>
      <c r="K5492" s="11">
        <v>648.20000000000005</v>
      </c>
      <c r="L5492" s="12">
        <v>598.4</v>
      </c>
    </row>
    <row r="5493" spans="1:12" x14ac:dyDescent="0.2">
      <c r="A5493" s="9">
        <v>46265</v>
      </c>
      <c r="B5493" t="s">
        <v>279</v>
      </c>
      <c r="C5493" t="s">
        <v>280</v>
      </c>
      <c r="D5493" t="s">
        <v>68</v>
      </c>
      <c r="E5493" t="s">
        <v>647</v>
      </c>
      <c r="F5493" t="s">
        <v>668</v>
      </c>
      <c r="G5493" s="10">
        <v>39</v>
      </c>
      <c r="H5493" s="10">
        <v>26092</v>
      </c>
      <c r="I5493" s="10">
        <v>1017588</v>
      </c>
      <c r="J5493" t="s">
        <v>51</v>
      </c>
      <c r="K5493" s="11">
        <v>648.20000000000005</v>
      </c>
      <c r="L5493" s="12">
        <v>1569.87</v>
      </c>
    </row>
    <row r="5494" spans="1:12" x14ac:dyDescent="0.2">
      <c r="A5494" s="9">
        <v>46265</v>
      </c>
      <c r="B5494" t="s">
        <v>279</v>
      </c>
      <c r="C5494" t="s">
        <v>280</v>
      </c>
      <c r="D5494" t="s">
        <v>68</v>
      </c>
      <c r="E5494" t="s">
        <v>647</v>
      </c>
      <c r="F5494" t="s">
        <v>668</v>
      </c>
      <c r="G5494" s="10">
        <v>27</v>
      </c>
      <c r="H5494" s="10">
        <v>25707</v>
      </c>
      <c r="I5494" s="10">
        <v>694089</v>
      </c>
      <c r="J5494" t="s">
        <v>51</v>
      </c>
      <c r="K5494" s="11">
        <v>648.20000000000005</v>
      </c>
      <c r="L5494" s="12">
        <v>1070.79</v>
      </c>
    </row>
    <row r="5495" spans="1:12" x14ac:dyDescent="0.2">
      <c r="A5495" s="9">
        <v>46265</v>
      </c>
      <c r="B5495" t="s">
        <v>279</v>
      </c>
      <c r="C5495" t="s">
        <v>280</v>
      </c>
      <c r="D5495" t="s">
        <v>68</v>
      </c>
      <c r="E5495" t="s">
        <v>651</v>
      </c>
      <c r="F5495" t="s">
        <v>657</v>
      </c>
      <c r="G5495" s="10">
        <v>8</v>
      </c>
      <c r="H5495" s="10">
        <v>6639</v>
      </c>
      <c r="I5495" s="10">
        <v>53112</v>
      </c>
      <c r="J5495" t="s">
        <v>51</v>
      </c>
      <c r="K5495" s="11">
        <v>648.20000000000005</v>
      </c>
      <c r="L5495" s="12">
        <v>81.94</v>
      </c>
    </row>
    <row r="5496" spans="1:12" x14ac:dyDescent="0.2">
      <c r="A5496" s="9">
        <v>46265</v>
      </c>
      <c r="B5496" t="s">
        <v>282</v>
      </c>
      <c r="C5496" t="s">
        <v>283</v>
      </c>
      <c r="D5496" t="s">
        <v>41</v>
      </c>
      <c r="E5496" t="s">
        <v>660</v>
      </c>
      <c r="F5496" t="s">
        <v>670</v>
      </c>
      <c r="G5496" s="10">
        <v>5</v>
      </c>
      <c r="H5496" s="10">
        <v>68593</v>
      </c>
      <c r="I5496" s="10">
        <v>342965</v>
      </c>
      <c r="J5496" t="s">
        <v>42</v>
      </c>
      <c r="K5496" s="11">
        <v>3145.8</v>
      </c>
      <c r="L5496" s="12">
        <v>109.02</v>
      </c>
    </row>
    <row r="5497" spans="1:12" x14ac:dyDescent="0.2">
      <c r="A5497" s="9">
        <v>46265</v>
      </c>
      <c r="B5497" t="s">
        <v>288</v>
      </c>
      <c r="C5497" t="s">
        <v>289</v>
      </c>
      <c r="D5497" t="s">
        <v>41</v>
      </c>
      <c r="E5497" t="s">
        <v>649</v>
      </c>
      <c r="F5497" t="s">
        <v>659</v>
      </c>
      <c r="G5497" s="10">
        <v>48</v>
      </c>
      <c r="H5497" s="10">
        <v>44818</v>
      </c>
      <c r="I5497" s="10">
        <v>2151264</v>
      </c>
      <c r="J5497" t="s">
        <v>42</v>
      </c>
      <c r="K5497" s="11">
        <v>3145.8</v>
      </c>
      <c r="L5497" s="12">
        <v>683.85</v>
      </c>
    </row>
    <row r="5498" spans="1:12" x14ac:dyDescent="0.2">
      <c r="A5498" s="9">
        <v>46265</v>
      </c>
      <c r="B5498" t="s">
        <v>291</v>
      </c>
      <c r="C5498" t="s">
        <v>292</v>
      </c>
      <c r="D5498" t="s">
        <v>68</v>
      </c>
      <c r="E5498" t="s">
        <v>647</v>
      </c>
      <c r="F5498" t="s">
        <v>667</v>
      </c>
      <c r="G5498" s="10">
        <v>5</v>
      </c>
      <c r="H5498" s="10">
        <v>7298</v>
      </c>
      <c r="I5498" s="10">
        <v>36490</v>
      </c>
      <c r="J5498" t="s">
        <v>51</v>
      </c>
      <c r="K5498" s="11">
        <v>648.20000000000005</v>
      </c>
      <c r="L5498" s="12">
        <v>56.29</v>
      </c>
    </row>
    <row r="5499" spans="1:12" x14ac:dyDescent="0.2">
      <c r="A5499" s="9">
        <v>46265</v>
      </c>
      <c r="B5499" t="s">
        <v>294</v>
      </c>
      <c r="C5499" t="s">
        <v>295</v>
      </c>
      <c r="D5499" t="s">
        <v>41</v>
      </c>
      <c r="E5499" t="s">
        <v>655</v>
      </c>
      <c r="F5499" t="s">
        <v>662</v>
      </c>
      <c r="G5499" s="10">
        <v>34</v>
      </c>
      <c r="H5499" s="10">
        <v>5639</v>
      </c>
      <c r="I5499" s="10">
        <v>191726</v>
      </c>
      <c r="J5499" t="s">
        <v>42</v>
      </c>
      <c r="K5499" s="11">
        <v>3145.8</v>
      </c>
      <c r="L5499" s="12">
        <v>60.95</v>
      </c>
    </row>
    <row r="5500" spans="1:12" x14ac:dyDescent="0.2">
      <c r="A5500" s="9">
        <v>46265</v>
      </c>
      <c r="B5500" t="s">
        <v>294</v>
      </c>
      <c r="C5500" t="s">
        <v>295</v>
      </c>
      <c r="D5500" t="s">
        <v>41</v>
      </c>
      <c r="E5500" t="s">
        <v>651</v>
      </c>
      <c r="F5500" t="s">
        <v>664</v>
      </c>
      <c r="G5500" s="10">
        <v>17</v>
      </c>
      <c r="H5500" s="10">
        <v>59974</v>
      </c>
      <c r="I5500" s="10">
        <v>1019558</v>
      </c>
      <c r="J5500" t="s">
        <v>42</v>
      </c>
      <c r="K5500" s="11">
        <v>3145.8</v>
      </c>
      <c r="L5500" s="12">
        <v>324.10000000000002</v>
      </c>
    </row>
    <row r="5501" spans="1:12" x14ac:dyDescent="0.2">
      <c r="A5501" s="9">
        <v>46265</v>
      </c>
      <c r="B5501" t="s">
        <v>297</v>
      </c>
      <c r="C5501" t="s">
        <v>298</v>
      </c>
      <c r="D5501" t="s">
        <v>36</v>
      </c>
      <c r="E5501" t="s">
        <v>660</v>
      </c>
      <c r="F5501" t="s">
        <v>669</v>
      </c>
      <c r="G5501" s="10">
        <v>33</v>
      </c>
      <c r="H5501" s="10">
        <v>2679</v>
      </c>
      <c r="I5501" s="10">
        <v>88407</v>
      </c>
      <c r="J5501" t="s">
        <v>37</v>
      </c>
      <c r="K5501" s="11">
        <v>648.20000000000005</v>
      </c>
      <c r="L5501" s="12">
        <v>136.38999999999999</v>
      </c>
    </row>
    <row r="5502" spans="1:12" x14ac:dyDescent="0.2">
      <c r="A5502" s="9">
        <v>46265</v>
      </c>
      <c r="B5502" t="s">
        <v>303</v>
      </c>
      <c r="C5502" t="s">
        <v>304</v>
      </c>
      <c r="D5502" t="s">
        <v>36</v>
      </c>
      <c r="E5502" t="s">
        <v>653</v>
      </c>
      <c r="F5502" t="s">
        <v>654</v>
      </c>
      <c r="G5502" s="10">
        <v>25</v>
      </c>
      <c r="H5502" s="10">
        <v>5654</v>
      </c>
      <c r="I5502" s="10">
        <v>141350</v>
      </c>
      <c r="J5502" t="s">
        <v>37</v>
      </c>
      <c r="K5502" s="11">
        <v>648.20000000000005</v>
      </c>
      <c r="L5502" s="12">
        <v>218.07</v>
      </c>
    </row>
    <row r="5503" spans="1:12" x14ac:dyDescent="0.2">
      <c r="A5503" s="9">
        <v>46265</v>
      </c>
      <c r="B5503" t="s">
        <v>306</v>
      </c>
      <c r="C5503" t="s">
        <v>307</v>
      </c>
      <c r="D5503" t="s">
        <v>36</v>
      </c>
      <c r="E5503" t="s">
        <v>647</v>
      </c>
      <c r="F5503" t="s">
        <v>667</v>
      </c>
      <c r="G5503" s="10">
        <v>17</v>
      </c>
      <c r="H5503" s="10">
        <v>7318</v>
      </c>
      <c r="I5503" s="10">
        <v>124406</v>
      </c>
      <c r="J5503" t="s">
        <v>37</v>
      </c>
      <c r="K5503" s="11">
        <v>648.20000000000005</v>
      </c>
      <c r="L5503" s="12">
        <v>191.93</v>
      </c>
    </row>
    <row r="5504" spans="1:12" x14ac:dyDescent="0.2">
      <c r="A5504" s="9">
        <v>46265</v>
      </c>
      <c r="B5504" t="s">
        <v>309</v>
      </c>
      <c r="C5504" t="s">
        <v>310</v>
      </c>
      <c r="D5504" t="s">
        <v>41</v>
      </c>
      <c r="E5504" t="s">
        <v>660</v>
      </c>
      <c r="F5504" t="s">
        <v>670</v>
      </c>
      <c r="G5504" s="10">
        <v>18</v>
      </c>
      <c r="H5504" s="10">
        <v>70856</v>
      </c>
      <c r="I5504" s="10">
        <v>1275408</v>
      </c>
      <c r="J5504" t="s">
        <v>42</v>
      </c>
      <c r="K5504" s="11">
        <v>3145.8</v>
      </c>
      <c r="L5504" s="12">
        <v>405.43</v>
      </c>
    </row>
    <row r="5505" spans="1:12" x14ac:dyDescent="0.2">
      <c r="A5505" s="9">
        <v>46265</v>
      </c>
      <c r="B5505" t="s">
        <v>315</v>
      </c>
      <c r="C5505" t="s">
        <v>316</v>
      </c>
      <c r="D5505" t="s">
        <v>46</v>
      </c>
      <c r="E5505" t="s">
        <v>655</v>
      </c>
      <c r="F5505" t="s">
        <v>662</v>
      </c>
      <c r="G5505" s="10">
        <v>5</v>
      </c>
      <c r="H5505" s="10">
        <v>1163</v>
      </c>
      <c r="I5505" s="10">
        <v>5815</v>
      </c>
      <c r="J5505" t="s">
        <v>37</v>
      </c>
      <c r="K5505" s="11">
        <v>648.20000000000005</v>
      </c>
      <c r="L5505" s="12">
        <v>8.9700000000000006</v>
      </c>
    </row>
    <row r="5506" spans="1:12" x14ac:dyDescent="0.2">
      <c r="A5506" s="9">
        <v>46265</v>
      </c>
      <c r="B5506" t="s">
        <v>315</v>
      </c>
      <c r="C5506" t="s">
        <v>316</v>
      </c>
      <c r="D5506" t="s">
        <v>46</v>
      </c>
      <c r="E5506" t="s">
        <v>660</v>
      </c>
      <c r="F5506" t="s">
        <v>670</v>
      </c>
      <c r="G5506" s="10">
        <v>2</v>
      </c>
      <c r="H5506" s="10">
        <v>15020</v>
      </c>
      <c r="I5506" s="10">
        <v>30040</v>
      </c>
      <c r="J5506" t="s">
        <v>37</v>
      </c>
      <c r="K5506" s="11">
        <v>648.20000000000005</v>
      </c>
      <c r="L5506" s="12">
        <v>46.34</v>
      </c>
    </row>
    <row r="5507" spans="1:12" x14ac:dyDescent="0.2">
      <c r="A5507" s="9">
        <v>46265</v>
      </c>
      <c r="B5507" t="s">
        <v>318</v>
      </c>
      <c r="C5507" t="s">
        <v>319</v>
      </c>
      <c r="D5507" t="s">
        <v>41</v>
      </c>
      <c r="E5507" t="s">
        <v>647</v>
      </c>
      <c r="F5507" t="s">
        <v>668</v>
      </c>
      <c r="G5507" s="10">
        <v>31</v>
      </c>
      <c r="H5507" s="10">
        <v>119171</v>
      </c>
      <c r="I5507" s="10">
        <v>3694301</v>
      </c>
      <c r="J5507" t="s">
        <v>42</v>
      </c>
      <c r="K5507" s="11">
        <v>3145.8</v>
      </c>
      <c r="L5507" s="12">
        <v>1174.3599999999999</v>
      </c>
    </row>
    <row r="5508" spans="1:12" x14ac:dyDescent="0.2">
      <c r="A5508" s="9">
        <v>46265</v>
      </c>
      <c r="B5508" t="s">
        <v>321</v>
      </c>
      <c r="C5508" t="s">
        <v>322</v>
      </c>
      <c r="D5508" t="s">
        <v>41</v>
      </c>
      <c r="E5508" t="s">
        <v>660</v>
      </c>
      <c r="F5508" t="s">
        <v>661</v>
      </c>
      <c r="G5508" s="10">
        <v>37</v>
      </c>
      <c r="H5508" s="10">
        <v>20135</v>
      </c>
      <c r="I5508" s="10">
        <v>744995</v>
      </c>
      <c r="J5508" t="s">
        <v>42</v>
      </c>
      <c r="K5508" s="11">
        <v>3145.8</v>
      </c>
      <c r="L5508" s="12">
        <v>236.82</v>
      </c>
    </row>
    <row r="5509" spans="1:12" x14ac:dyDescent="0.2">
      <c r="A5509" s="9">
        <v>46265</v>
      </c>
      <c r="B5509" t="s">
        <v>321</v>
      </c>
      <c r="C5509" t="s">
        <v>322</v>
      </c>
      <c r="D5509" t="s">
        <v>41</v>
      </c>
      <c r="E5509" t="s">
        <v>655</v>
      </c>
      <c r="F5509" t="s">
        <v>656</v>
      </c>
      <c r="G5509" s="10">
        <v>13</v>
      </c>
      <c r="H5509" s="10">
        <v>2740</v>
      </c>
      <c r="I5509" s="10">
        <v>35620</v>
      </c>
      <c r="J5509" t="s">
        <v>42</v>
      </c>
      <c r="K5509" s="11">
        <v>3145.8</v>
      </c>
      <c r="L5509" s="12">
        <v>11.32</v>
      </c>
    </row>
    <row r="5510" spans="1:12" x14ac:dyDescent="0.2">
      <c r="A5510" s="9">
        <v>46265</v>
      </c>
      <c r="B5510" t="s">
        <v>324</v>
      </c>
      <c r="C5510" t="s">
        <v>325</v>
      </c>
      <c r="D5510" t="s">
        <v>46</v>
      </c>
      <c r="E5510" t="s">
        <v>647</v>
      </c>
      <c r="F5510" t="s">
        <v>648</v>
      </c>
      <c r="G5510" s="10">
        <v>8</v>
      </c>
      <c r="H5510" s="10">
        <v>16359</v>
      </c>
      <c r="I5510" s="10">
        <v>130872</v>
      </c>
      <c r="J5510" t="s">
        <v>37</v>
      </c>
      <c r="K5510" s="11">
        <v>648.20000000000005</v>
      </c>
      <c r="L5510" s="12">
        <v>201.9</v>
      </c>
    </row>
    <row r="5511" spans="1:12" x14ac:dyDescent="0.2">
      <c r="A5511" s="9">
        <v>46265</v>
      </c>
      <c r="B5511" t="s">
        <v>330</v>
      </c>
      <c r="C5511" t="s">
        <v>331</v>
      </c>
      <c r="D5511" t="s">
        <v>68</v>
      </c>
      <c r="E5511" t="s">
        <v>649</v>
      </c>
      <c r="F5511" t="s">
        <v>659</v>
      </c>
      <c r="G5511" s="10">
        <v>5</v>
      </c>
      <c r="H5511" s="10">
        <v>8638</v>
      </c>
      <c r="I5511" s="10">
        <v>43190</v>
      </c>
      <c r="J5511" t="s">
        <v>51</v>
      </c>
      <c r="K5511" s="11">
        <v>648.20000000000005</v>
      </c>
      <c r="L5511" s="12">
        <v>66.63</v>
      </c>
    </row>
    <row r="5512" spans="1:12" x14ac:dyDescent="0.2">
      <c r="A5512" s="9">
        <v>46265</v>
      </c>
      <c r="B5512" t="s">
        <v>330</v>
      </c>
      <c r="C5512" t="s">
        <v>331</v>
      </c>
      <c r="D5512" t="s">
        <v>68</v>
      </c>
      <c r="E5512" t="s">
        <v>651</v>
      </c>
      <c r="F5512" t="s">
        <v>657</v>
      </c>
      <c r="G5512" s="10">
        <v>27</v>
      </c>
      <c r="H5512" s="10">
        <v>6188</v>
      </c>
      <c r="I5512" s="10">
        <v>167076</v>
      </c>
      <c r="J5512" t="s">
        <v>51</v>
      </c>
      <c r="K5512" s="11">
        <v>648.20000000000005</v>
      </c>
      <c r="L5512" s="12">
        <v>257.75</v>
      </c>
    </row>
    <row r="5513" spans="1:12" x14ac:dyDescent="0.2">
      <c r="A5513" s="9">
        <v>46265</v>
      </c>
      <c r="B5513" t="s">
        <v>333</v>
      </c>
      <c r="C5513" t="s">
        <v>334</v>
      </c>
      <c r="D5513" t="s">
        <v>68</v>
      </c>
      <c r="E5513" t="s">
        <v>655</v>
      </c>
      <c r="F5513" t="s">
        <v>656</v>
      </c>
      <c r="G5513" s="10">
        <v>20</v>
      </c>
      <c r="H5513" s="10">
        <v>574</v>
      </c>
      <c r="I5513" s="10">
        <v>11480</v>
      </c>
      <c r="J5513" t="s">
        <v>51</v>
      </c>
      <c r="K5513" s="11">
        <v>648.20000000000005</v>
      </c>
      <c r="L5513" s="12">
        <v>17.71</v>
      </c>
    </row>
    <row r="5514" spans="1:12" x14ac:dyDescent="0.2">
      <c r="A5514" s="9">
        <v>46265</v>
      </c>
      <c r="B5514" t="s">
        <v>336</v>
      </c>
      <c r="C5514" t="s">
        <v>337</v>
      </c>
      <c r="D5514" t="s">
        <v>68</v>
      </c>
      <c r="E5514" t="s">
        <v>660</v>
      </c>
      <c r="F5514" t="s">
        <v>670</v>
      </c>
      <c r="G5514" s="10">
        <v>2</v>
      </c>
      <c r="H5514" s="10">
        <v>14654</v>
      </c>
      <c r="I5514" s="10">
        <v>29308</v>
      </c>
      <c r="J5514" t="s">
        <v>51</v>
      </c>
      <c r="K5514" s="11">
        <v>648.20000000000005</v>
      </c>
      <c r="L5514" s="12">
        <v>45.21</v>
      </c>
    </row>
    <row r="5515" spans="1:12" x14ac:dyDescent="0.2">
      <c r="A5515" s="9">
        <v>46265</v>
      </c>
      <c r="B5515" t="s">
        <v>336</v>
      </c>
      <c r="C5515" t="s">
        <v>337</v>
      </c>
      <c r="D5515" t="s">
        <v>68</v>
      </c>
      <c r="E5515" t="s">
        <v>647</v>
      </c>
      <c r="F5515" t="s">
        <v>668</v>
      </c>
      <c r="G5515" s="10">
        <v>8</v>
      </c>
      <c r="H5515" s="10">
        <v>25238</v>
      </c>
      <c r="I5515" s="10">
        <v>201904</v>
      </c>
      <c r="J5515" t="s">
        <v>51</v>
      </c>
      <c r="K5515" s="11">
        <v>648.20000000000005</v>
      </c>
      <c r="L5515" s="12">
        <v>311.48</v>
      </c>
    </row>
    <row r="5516" spans="1:12" x14ac:dyDescent="0.2">
      <c r="A5516" s="9">
        <v>46265</v>
      </c>
      <c r="B5516" t="s">
        <v>342</v>
      </c>
      <c r="C5516" t="s">
        <v>343</v>
      </c>
      <c r="D5516" t="s">
        <v>41</v>
      </c>
      <c r="E5516" t="s">
        <v>647</v>
      </c>
      <c r="F5516" t="s">
        <v>648</v>
      </c>
      <c r="G5516" s="10">
        <v>72</v>
      </c>
      <c r="H5516" s="10">
        <v>76506</v>
      </c>
      <c r="I5516" s="10">
        <v>5508432</v>
      </c>
      <c r="J5516" t="s">
        <v>42</v>
      </c>
      <c r="K5516" s="11">
        <v>3145.8</v>
      </c>
      <c r="L5516" s="12">
        <v>1751.04</v>
      </c>
    </row>
    <row r="5517" spans="1:12" x14ac:dyDescent="0.2">
      <c r="A5517" s="9">
        <v>46265</v>
      </c>
      <c r="B5517" t="s">
        <v>348</v>
      </c>
      <c r="C5517" t="s">
        <v>349</v>
      </c>
      <c r="D5517" t="s">
        <v>36</v>
      </c>
      <c r="E5517" t="s">
        <v>660</v>
      </c>
      <c r="F5517" t="s">
        <v>661</v>
      </c>
      <c r="G5517" s="10">
        <v>16</v>
      </c>
      <c r="H5517" s="10">
        <v>4154</v>
      </c>
      <c r="I5517" s="10">
        <v>66464</v>
      </c>
      <c r="J5517" t="s">
        <v>37</v>
      </c>
      <c r="K5517" s="11">
        <v>648.20000000000005</v>
      </c>
      <c r="L5517" s="12">
        <v>102.54</v>
      </c>
    </row>
    <row r="5518" spans="1:12" x14ac:dyDescent="0.2">
      <c r="A5518" s="9">
        <v>46265</v>
      </c>
      <c r="B5518" t="s">
        <v>357</v>
      </c>
      <c r="C5518" t="s">
        <v>358</v>
      </c>
      <c r="D5518" t="s">
        <v>36</v>
      </c>
      <c r="E5518" t="s">
        <v>660</v>
      </c>
      <c r="F5518" t="s">
        <v>669</v>
      </c>
      <c r="G5518" s="10">
        <v>26</v>
      </c>
      <c r="H5518" s="10">
        <v>2670</v>
      </c>
      <c r="I5518" s="10">
        <v>69420</v>
      </c>
      <c r="J5518" t="s">
        <v>37</v>
      </c>
      <c r="K5518" s="11">
        <v>648.20000000000005</v>
      </c>
      <c r="L5518" s="12">
        <v>107.1</v>
      </c>
    </row>
    <row r="5519" spans="1:12" x14ac:dyDescent="0.2">
      <c r="A5519" s="9">
        <v>46265</v>
      </c>
      <c r="B5519" t="s">
        <v>357</v>
      </c>
      <c r="C5519" t="s">
        <v>358</v>
      </c>
      <c r="D5519" t="s">
        <v>36</v>
      </c>
      <c r="E5519" t="s">
        <v>647</v>
      </c>
      <c r="F5519" t="s">
        <v>648</v>
      </c>
      <c r="G5519" s="10">
        <v>35</v>
      </c>
      <c r="H5519" s="10">
        <v>15613</v>
      </c>
      <c r="I5519" s="10">
        <v>546455</v>
      </c>
      <c r="J5519" t="s">
        <v>37</v>
      </c>
      <c r="K5519" s="11">
        <v>648.20000000000005</v>
      </c>
      <c r="L5519" s="12">
        <v>843.03</v>
      </c>
    </row>
    <row r="5520" spans="1:12" x14ac:dyDescent="0.2">
      <c r="A5520" s="9">
        <v>46265</v>
      </c>
      <c r="B5520" t="s">
        <v>360</v>
      </c>
      <c r="C5520" t="s">
        <v>361</v>
      </c>
      <c r="D5520" t="s">
        <v>46</v>
      </c>
      <c r="E5520" t="s">
        <v>647</v>
      </c>
      <c r="F5520" t="s">
        <v>667</v>
      </c>
      <c r="G5520" s="10">
        <v>7</v>
      </c>
      <c r="H5520" s="10">
        <v>7339</v>
      </c>
      <c r="I5520" s="10">
        <v>51373</v>
      </c>
      <c r="J5520" t="s">
        <v>37</v>
      </c>
      <c r="K5520" s="11">
        <v>648.20000000000005</v>
      </c>
      <c r="L5520" s="12">
        <v>79.25</v>
      </c>
    </row>
    <row r="5521" spans="1:12" x14ac:dyDescent="0.2">
      <c r="A5521" s="9">
        <v>46265</v>
      </c>
      <c r="B5521" t="s">
        <v>363</v>
      </c>
      <c r="C5521" t="s">
        <v>364</v>
      </c>
      <c r="D5521" t="s">
        <v>46</v>
      </c>
      <c r="E5521" t="s">
        <v>653</v>
      </c>
      <c r="F5521" t="s">
        <v>666</v>
      </c>
      <c r="G5521" s="10">
        <v>311</v>
      </c>
      <c r="H5521" s="10">
        <v>1534</v>
      </c>
      <c r="I5521" s="10">
        <v>477074</v>
      </c>
      <c r="J5521" t="s">
        <v>37</v>
      </c>
      <c r="K5521" s="11">
        <v>648.20000000000005</v>
      </c>
      <c r="L5521" s="12">
        <v>736</v>
      </c>
    </row>
    <row r="5522" spans="1:12" x14ac:dyDescent="0.2">
      <c r="A5522" s="9">
        <v>46265</v>
      </c>
      <c r="B5522" t="s">
        <v>363</v>
      </c>
      <c r="C5522" t="s">
        <v>364</v>
      </c>
      <c r="D5522" t="s">
        <v>46</v>
      </c>
      <c r="E5522" t="s">
        <v>653</v>
      </c>
      <c r="F5522" t="s">
        <v>666</v>
      </c>
      <c r="G5522" s="10">
        <v>125</v>
      </c>
      <c r="H5522" s="10">
        <v>1549</v>
      </c>
      <c r="I5522" s="10">
        <v>193625</v>
      </c>
      <c r="J5522" t="s">
        <v>37</v>
      </c>
      <c r="K5522" s="11">
        <v>648.20000000000005</v>
      </c>
      <c r="L5522" s="12">
        <v>298.70999999999998</v>
      </c>
    </row>
    <row r="5523" spans="1:12" x14ac:dyDescent="0.2">
      <c r="A5523" s="9">
        <v>46265</v>
      </c>
      <c r="B5523" t="s">
        <v>363</v>
      </c>
      <c r="C5523" t="s">
        <v>364</v>
      </c>
      <c r="D5523" t="s">
        <v>46</v>
      </c>
      <c r="E5523" t="s">
        <v>649</v>
      </c>
      <c r="F5523" t="s">
        <v>659</v>
      </c>
      <c r="G5523" s="10">
        <v>49</v>
      </c>
      <c r="H5523" s="10">
        <v>8667</v>
      </c>
      <c r="I5523" s="10">
        <v>424683</v>
      </c>
      <c r="J5523" t="s">
        <v>37</v>
      </c>
      <c r="K5523" s="11">
        <v>648.20000000000005</v>
      </c>
      <c r="L5523" s="12">
        <v>655.16999999999996</v>
      </c>
    </row>
    <row r="5524" spans="1:12" x14ac:dyDescent="0.2">
      <c r="A5524" s="9">
        <v>46265</v>
      </c>
      <c r="B5524" t="s">
        <v>363</v>
      </c>
      <c r="C5524" t="s">
        <v>364</v>
      </c>
      <c r="D5524" t="s">
        <v>46</v>
      </c>
      <c r="E5524" t="s">
        <v>647</v>
      </c>
      <c r="F5524" t="s">
        <v>667</v>
      </c>
      <c r="G5524" s="10">
        <v>66</v>
      </c>
      <c r="H5524" s="10">
        <v>7085</v>
      </c>
      <c r="I5524" s="10">
        <v>467610</v>
      </c>
      <c r="J5524" t="s">
        <v>37</v>
      </c>
      <c r="K5524" s="11">
        <v>648.20000000000005</v>
      </c>
      <c r="L5524" s="12">
        <v>721.4</v>
      </c>
    </row>
    <row r="5525" spans="1:12" x14ac:dyDescent="0.2">
      <c r="A5525" s="9">
        <v>46265</v>
      </c>
      <c r="B5525" t="s">
        <v>363</v>
      </c>
      <c r="C5525" t="s">
        <v>364</v>
      </c>
      <c r="D5525" t="s">
        <v>46</v>
      </c>
      <c r="E5525" t="s">
        <v>647</v>
      </c>
      <c r="F5525" t="s">
        <v>667</v>
      </c>
      <c r="G5525" s="10">
        <v>46</v>
      </c>
      <c r="H5525" s="10">
        <v>7380</v>
      </c>
      <c r="I5525" s="10">
        <v>339480</v>
      </c>
      <c r="J5525" t="s">
        <v>37</v>
      </c>
      <c r="K5525" s="11">
        <v>648.20000000000005</v>
      </c>
      <c r="L5525" s="12">
        <v>523.73</v>
      </c>
    </row>
    <row r="5526" spans="1:12" x14ac:dyDescent="0.2">
      <c r="A5526" s="9">
        <v>46265</v>
      </c>
      <c r="B5526" t="s">
        <v>375</v>
      </c>
      <c r="C5526" t="s">
        <v>376</v>
      </c>
      <c r="D5526" t="s">
        <v>36</v>
      </c>
      <c r="E5526" t="s">
        <v>653</v>
      </c>
      <c r="F5526" t="s">
        <v>658</v>
      </c>
      <c r="G5526" s="10">
        <v>6</v>
      </c>
      <c r="H5526" s="10">
        <v>2696</v>
      </c>
      <c r="I5526" s="10">
        <v>16176</v>
      </c>
      <c r="J5526" t="s">
        <v>37</v>
      </c>
      <c r="K5526" s="11">
        <v>648.20000000000005</v>
      </c>
      <c r="L5526" s="12">
        <v>24.96</v>
      </c>
    </row>
    <row r="5527" spans="1:12" x14ac:dyDescent="0.2">
      <c r="A5527" s="9">
        <v>46265</v>
      </c>
      <c r="B5527" t="s">
        <v>375</v>
      </c>
      <c r="C5527" t="s">
        <v>376</v>
      </c>
      <c r="D5527" t="s">
        <v>36</v>
      </c>
      <c r="E5527" t="s">
        <v>647</v>
      </c>
      <c r="F5527" t="s">
        <v>667</v>
      </c>
      <c r="G5527" s="10">
        <v>6</v>
      </c>
      <c r="H5527" s="10">
        <v>7605</v>
      </c>
      <c r="I5527" s="10">
        <v>45630</v>
      </c>
      <c r="J5527" t="s">
        <v>37</v>
      </c>
      <c r="K5527" s="11">
        <v>648.20000000000005</v>
      </c>
      <c r="L5527" s="12">
        <v>70.39</v>
      </c>
    </row>
    <row r="5528" spans="1:12" x14ac:dyDescent="0.2">
      <c r="A5528" s="9">
        <v>46265</v>
      </c>
      <c r="B5528" t="s">
        <v>378</v>
      </c>
      <c r="C5528" t="s">
        <v>379</v>
      </c>
      <c r="D5528" t="s">
        <v>50</v>
      </c>
      <c r="E5528" t="s">
        <v>649</v>
      </c>
      <c r="F5528" t="s">
        <v>659</v>
      </c>
      <c r="G5528" s="10">
        <v>1</v>
      </c>
      <c r="H5528" s="10">
        <v>8983</v>
      </c>
      <c r="I5528" s="10">
        <v>8983</v>
      </c>
      <c r="J5528" t="s">
        <v>51</v>
      </c>
      <c r="K5528" s="11">
        <v>648.20000000000005</v>
      </c>
      <c r="L5528" s="12">
        <v>13.86</v>
      </c>
    </row>
    <row r="5529" spans="1:12" x14ac:dyDescent="0.2">
      <c r="A5529" s="9">
        <v>46265</v>
      </c>
      <c r="B5529" t="s">
        <v>381</v>
      </c>
      <c r="C5529" t="s">
        <v>382</v>
      </c>
      <c r="D5529" t="s">
        <v>36</v>
      </c>
      <c r="E5529" t="s">
        <v>647</v>
      </c>
      <c r="F5529" t="s">
        <v>667</v>
      </c>
      <c r="G5529" s="10">
        <v>5</v>
      </c>
      <c r="H5529" s="10">
        <v>7424</v>
      </c>
      <c r="I5529" s="10">
        <v>37120</v>
      </c>
      <c r="J5529" t="s">
        <v>37</v>
      </c>
      <c r="K5529" s="11">
        <v>648.20000000000005</v>
      </c>
      <c r="L5529" s="12">
        <v>57.27</v>
      </c>
    </row>
    <row r="5530" spans="1:12" x14ac:dyDescent="0.2">
      <c r="A5530" s="9">
        <v>46265</v>
      </c>
      <c r="B5530" t="s">
        <v>384</v>
      </c>
      <c r="C5530" t="s">
        <v>385</v>
      </c>
      <c r="D5530" t="s">
        <v>46</v>
      </c>
      <c r="E5530" t="s">
        <v>651</v>
      </c>
      <c r="F5530" t="s">
        <v>652</v>
      </c>
      <c r="G5530" s="10">
        <v>6</v>
      </c>
      <c r="H5530" s="10">
        <v>9252</v>
      </c>
      <c r="I5530" s="10">
        <v>55512</v>
      </c>
      <c r="J5530" t="s">
        <v>37</v>
      </c>
      <c r="K5530" s="11">
        <v>648.20000000000005</v>
      </c>
      <c r="L5530" s="12">
        <v>85.64</v>
      </c>
    </row>
    <row r="5531" spans="1:12" x14ac:dyDescent="0.2">
      <c r="A5531" s="9">
        <v>46265</v>
      </c>
      <c r="B5531" t="s">
        <v>393</v>
      </c>
      <c r="C5531" t="s">
        <v>307</v>
      </c>
      <c r="D5531" t="s">
        <v>68</v>
      </c>
      <c r="E5531" t="s">
        <v>649</v>
      </c>
      <c r="F5531" t="s">
        <v>659</v>
      </c>
      <c r="G5531" s="10">
        <v>258</v>
      </c>
      <c r="H5531" s="10">
        <v>8750</v>
      </c>
      <c r="I5531" s="10">
        <v>2257500</v>
      </c>
      <c r="J5531" t="s">
        <v>51</v>
      </c>
      <c r="K5531" s="11">
        <v>648.20000000000005</v>
      </c>
      <c r="L5531" s="12">
        <v>3482.72</v>
      </c>
    </row>
    <row r="5532" spans="1:12" x14ac:dyDescent="0.2">
      <c r="A5532" s="9">
        <v>46265</v>
      </c>
      <c r="B5532" t="s">
        <v>393</v>
      </c>
      <c r="C5532" t="s">
        <v>307</v>
      </c>
      <c r="D5532" t="s">
        <v>68</v>
      </c>
      <c r="E5532" t="s">
        <v>649</v>
      </c>
      <c r="F5532" t="s">
        <v>659</v>
      </c>
      <c r="G5532" s="10">
        <v>24</v>
      </c>
      <c r="H5532" s="10">
        <v>8738</v>
      </c>
      <c r="I5532" s="10">
        <v>209712</v>
      </c>
      <c r="J5532" t="s">
        <v>51</v>
      </c>
      <c r="K5532" s="11">
        <v>648.20000000000005</v>
      </c>
      <c r="L5532" s="12">
        <v>323.52999999999997</v>
      </c>
    </row>
    <row r="5533" spans="1:12" x14ac:dyDescent="0.2">
      <c r="A5533" s="9">
        <v>46265</v>
      </c>
      <c r="B5533" t="s">
        <v>393</v>
      </c>
      <c r="C5533" t="s">
        <v>307</v>
      </c>
      <c r="D5533" t="s">
        <v>68</v>
      </c>
      <c r="E5533" t="s">
        <v>655</v>
      </c>
      <c r="F5533" t="s">
        <v>662</v>
      </c>
      <c r="G5533" s="10">
        <v>50</v>
      </c>
      <c r="H5533" s="10">
        <v>1084</v>
      </c>
      <c r="I5533" s="10">
        <v>54200</v>
      </c>
      <c r="J5533" t="s">
        <v>51</v>
      </c>
      <c r="K5533" s="11">
        <v>648.20000000000005</v>
      </c>
      <c r="L5533" s="12">
        <v>83.62</v>
      </c>
    </row>
    <row r="5534" spans="1:12" x14ac:dyDescent="0.2">
      <c r="A5534" s="9">
        <v>46265</v>
      </c>
      <c r="B5534" t="s">
        <v>393</v>
      </c>
      <c r="C5534" t="s">
        <v>307</v>
      </c>
      <c r="D5534" t="s">
        <v>68</v>
      </c>
      <c r="E5534" t="s">
        <v>653</v>
      </c>
      <c r="F5534" t="s">
        <v>654</v>
      </c>
      <c r="G5534" s="10">
        <v>267</v>
      </c>
      <c r="H5534" s="10">
        <v>5669</v>
      </c>
      <c r="I5534" s="10">
        <v>1513623</v>
      </c>
      <c r="J5534" t="s">
        <v>51</v>
      </c>
      <c r="K5534" s="11">
        <v>648.20000000000005</v>
      </c>
      <c r="L5534" s="12">
        <v>2335.12</v>
      </c>
    </row>
    <row r="5535" spans="1:12" x14ac:dyDescent="0.2">
      <c r="A5535" s="9">
        <v>46265</v>
      </c>
      <c r="B5535" t="s">
        <v>395</v>
      </c>
      <c r="C5535" t="s">
        <v>396</v>
      </c>
      <c r="D5535" t="s">
        <v>46</v>
      </c>
      <c r="E5535" t="s">
        <v>649</v>
      </c>
      <c r="F5535" t="s">
        <v>659</v>
      </c>
      <c r="G5535" s="10">
        <v>5</v>
      </c>
      <c r="H5535" s="10">
        <v>8926</v>
      </c>
      <c r="I5535" s="10">
        <v>44630</v>
      </c>
      <c r="J5535" t="s">
        <v>37</v>
      </c>
      <c r="K5535" s="11">
        <v>648.20000000000005</v>
      </c>
      <c r="L5535" s="12">
        <v>68.849999999999994</v>
      </c>
    </row>
    <row r="5536" spans="1:12" x14ac:dyDescent="0.2">
      <c r="A5536" s="9">
        <v>46265</v>
      </c>
      <c r="B5536" t="s">
        <v>395</v>
      </c>
      <c r="C5536" t="s">
        <v>396</v>
      </c>
      <c r="D5536" t="s">
        <v>46</v>
      </c>
      <c r="E5536" t="s">
        <v>660</v>
      </c>
      <c r="F5536" t="s">
        <v>669</v>
      </c>
      <c r="G5536" s="10">
        <v>6</v>
      </c>
      <c r="H5536" s="10">
        <v>2494</v>
      </c>
      <c r="I5536" s="10">
        <v>14964</v>
      </c>
      <c r="J5536" t="s">
        <v>37</v>
      </c>
      <c r="K5536" s="11">
        <v>648.20000000000005</v>
      </c>
      <c r="L5536" s="12">
        <v>23.09</v>
      </c>
    </row>
    <row r="5537" spans="1:12" x14ac:dyDescent="0.2">
      <c r="A5537" s="9">
        <v>46265</v>
      </c>
      <c r="B5537" t="s">
        <v>398</v>
      </c>
      <c r="C5537" t="s">
        <v>399</v>
      </c>
      <c r="D5537" t="s">
        <v>46</v>
      </c>
      <c r="E5537" t="s">
        <v>649</v>
      </c>
      <c r="F5537" t="s">
        <v>659</v>
      </c>
      <c r="G5537" s="10">
        <v>52</v>
      </c>
      <c r="H5537" s="10">
        <v>8779</v>
      </c>
      <c r="I5537" s="10">
        <v>456508</v>
      </c>
      <c r="J5537" t="s">
        <v>37</v>
      </c>
      <c r="K5537" s="11">
        <v>648.20000000000005</v>
      </c>
      <c r="L5537" s="12">
        <v>704.27</v>
      </c>
    </row>
    <row r="5538" spans="1:12" x14ac:dyDescent="0.2">
      <c r="A5538" s="9">
        <v>46265</v>
      </c>
      <c r="B5538" t="s">
        <v>398</v>
      </c>
      <c r="C5538" t="s">
        <v>399</v>
      </c>
      <c r="D5538" t="s">
        <v>46</v>
      </c>
      <c r="E5538" t="s">
        <v>660</v>
      </c>
      <c r="F5538" t="s">
        <v>661</v>
      </c>
      <c r="G5538" s="10">
        <v>4</v>
      </c>
      <c r="H5538" s="10">
        <v>4077</v>
      </c>
      <c r="I5538" s="10">
        <v>16308</v>
      </c>
      <c r="J5538" t="s">
        <v>37</v>
      </c>
      <c r="K5538" s="11">
        <v>648.20000000000005</v>
      </c>
      <c r="L5538" s="12">
        <v>25.16</v>
      </c>
    </row>
    <row r="5539" spans="1:12" x14ac:dyDescent="0.2">
      <c r="A5539" s="9">
        <v>46265</v>
      </c>
      <c r="B5539" t="s">
        <v>398</v>
      </c>
      <c r="C5539" t="s">
        <v>399</v>
      </c>
      <c r="D5539" t="s">
        <v>46</v>
      </c>
      <c r="E5539" t="s">
        <v>655</v>
      </c>
      <c r="F5539" t="s">
        <v>665</v>
      </c>
      <c r="G5539" s="10">
        <v>9</v>
      </c>
      <c r="H5539" s="10">
        <v>711</v>
      </c>
      <c r="I5539" s="10">
        <v>6399</v>
      </c>
      <c r="J5539" t="s">
        <v>37</v>
      </c>
      <c r="K5539" s="11">
        <v>648.20000000000005</v>
      </c>
      <c r="L5539" s="12">
        <v>9.8699999999999992</v>
      </c>
    </row>
    <row r="5540" spans="1:12" x14ac:dyDescent="0.2">
      <c r="A5540" s="9">
        <v>46265</v>
      </c>
      <c r="B5540" t="s">
        <v>401</v>
      </c>
      <c r="C5540" t="s">
        <v>402</v>
      </c>
      <c r="D5540" t="s">
        <v>36</v>
      </c>
      <c r="E5540" t="s">
        <v>647</v>
      </c>
      <c r="F5540" t="s">
        <v>648</v>
      </c>
      <c r="G5540" s="10">
        <v>8</v>
      </c>
      <c r="H5540" s="10">
        <v>16120</v>
      </c>
      <c r="I5540" s="10">
        <v>128960</v>
      </c>
      <c r="J5540" t="s">
        <v>37</v>
      </c>
      <c r="K5540" s="11">
        <v>648.20000000000005</v>
      </c>
      <c r="L5540" s="12">
        <v>198.95</v>
      </c>
    </row>
    <row r="5541" spans="1:12" x14ac:dyDescent="0.2">
      <c r="A5541" s="9">
        <v>46265</v>
      </c>
      <c r="B5541" t="s">
        <v>401</v>
      </c>
      <c r="C5541" t="s">
        <v>402</v>
      </c>
      <c r="D5541" t="s">
        <v>36</v>
      </c>
      <c r="E5541" t="s">
        <v>651</v>
      </c>
      <c r="F5541" t="s">
        <v>664</v>
      </c>
      <c r="G5541" s="10">
        <v>7</v>
      </c>
      <c r="H5541" s="10">
        <v>12189</v>
      </c>
      <c r="I5541" s="10">
        <v>85323</v>
      </c>
      <c r="J5541" t="s">
        <v>37</v>
      </c>
      <c r="K5541" s="11">
        <v>648.20000000000005</v>
      </c>
      <c r="L5541" s="12">
        <v>131.63</v>
      </c>
    </row>
    <row r="5542" spans="1:12" x14ac:dyDescent="0.2">
      <c r="A5542" s="9">
        <v>46265</v>
      </c>
      <c r="B5542" t="s">
        <v>407</v>
      </c>
      <c r="C5542" t="s">
        <v>408</v>
      </c>
      <c r="D5542" t="s">
        <v>75</v>
      </c>
      <c r="E5542" t="s">
        <v>655</v>
      </c>
      <c r="F5542" t="s">
        <v>656</v>
      </c>
      <c r="G5542" s="10">
        <v>11</v>
      </c>
      <c r="H5542" s="10">
        <v>2687</v>
      </c>
      <c r="I5542" s="10">
        <v>29557</v>
      </c>
      <c r="J5542" t="s">
        <v>42</v>
      </c>
      <c r="K5542" s="11">
        <v>3145.8</v>
      </c>
      <c r="L5542" s="12">
        <v>9.4</v>
      </c>
    </row>
    <row r="5543" spans="1:12" x14ac:dyDescent="0.2">
      <c r="A5543" s="9">
        <v>46265</v>
      </c>
      <c r="B5543" t="s">
        <v>413</v>
      </c>
      <c r="C5543" t="s">
        <v>414</v>
      </c>
      <c r="D5543" t="s">
        <v>41</v>
      </c>
      <c r="E5543" t="s">
        <v>649</v>
      </c>
      <c r="F5543" t="s">
        <v>659</v>
      </c>
      <c r="G5543" s="10">
        <v>54</v>
      </c>
      <c r="H5543" s="10">
        <v>44082</v>
      </c>
      <c r="I5543" s="10">
        <v>2380428</v>
      </c>
      <c r="J5543" t="s">
        <v>42</v>
      </c>
      <c r="K5543" s="11">
        <v>3145.8</v>
      </c>
      <c r="L5543" s="12">
        <v>756.7</v>
      </c>
    </row>
    <row r="5544" spans="1:12" x14ac:dyDescent="0.2">
      <c r="A5544" s="9">
        <v>46265</v>
      </c>
      <c r="B5544" t="s">
        <v>419</v>
      </c>
      <c r="C5544" t="s">
        <v>420</v>
      </c>
      <c r="D5544" t="s">
        <v>46</v>
      </c>
      <c r="E5544" t="s">
        <v>649</v>
      </c>
      <c r="F5544" t="s">
        <v>663</v>
      </c>
      <c r="G5544" s="10">
        <v>8</v>
      </c>
      <c r="H5544" s="10">
        <v>2040</v>
      </c>
      <c r="I5544" s="10">
        <v>16320</v>
      </c>
      <c r="J5544" t="s">
        <v>37</v>
      </c>
      <c r="K5544" s="11">
        <v>648.20000000000005</v>
      </c>
      <c r="L5544" s="12">
        <v>25.18</v>
      </c>
    </row>
    <row r="5545" spans="1:12" x14ac:dyDescent="0.2">
      <c r="A5545" s="9">
        <v>46265</v>
      </c>
      <c r="B5545" t="s">
        <v>431</v>
      </c>
      <c r="C5545" t="s">
        <v>432</v>
      </c>
      <c r="D5545" t="s">
        <v>36</v>
      </c>
      <c r="E5545" t="s">
        <v>651</v>
      </c>
      <c r="F5545" t="s">
        <v>664</v>
      </c>
      <c r="G5545" s="10">
        <v>24</v>
      </c>
      <c r="H5545" s="10">
        <v>11720</v>
      </c>
      <c r="I5545" s="10">
        <v>281280</v>
      </c>
      <c r="J5545" t="s">
        <v>37</v>
      </c>
      <c r="K5545" s="11">
        <v>648.20000000000005</v>
      </c>
      <c r="L5545" s="12">
        <v>433.94</v>
      </c>
    </row>
    <row r="5546" spans="1:12" x14ac:dyDescent="0.2">
      <c r="A5546" s="9">
        <v>46265</v>
      </c>
      <c r="B5546" t="s">
        <v>434</v>
      </c>
      <c r="C5546" t="s">
        <v>176</v>
      </c>
      <c r="D5546" t="s">
        <v>46</v>
      </c>
      <c r="E5546" t="s">
        <v>647</v>
      </c>
      <c r="F5546" t="s">
        <v>668</v>
      </c>
      <c r="G5546" s="10">
        <v>22</v>
      </c>
      <c r="H5546" s="10">
        <v>25751</v>
      </c>
      <c r="I5546" s="10">
        <v>566522</v>
      </c>
      <c r="J5546" t="s">
        <v>37</v>
      </c>
      <c r="K5546" s="11">
        <v>648.20000000000005</v>
      </c>
      <c r="L5546" s="12">
        <v>873.99</v>
      </c>
    </row>
    <row r="5547" spans="1:12" x14ac:dyDescent="0.2">
      <c r="A5547" s="9">
        <v>46265</v>
      </c>
      <c r="B5547" t="s">
        <v>436</v>
      </c>
      <c r="C5547" t="s">
        <v>437</v>
      </c>
      <c r="D5547" t="s">
        <v>50</v>
      </c>
      <c r="E5547" t="s">
        <v>649</v>
      </c>
      <c r="F5547" t="s">
        <v>659</v>
      </c>
      <c r="G5547" s="10">
        <v>27</v>
      </c>
      <c r="H5547" s="10">
        <v>9009</v>
      </c>
      <c r="I5547" s="10">
        <v>243243</v>
      </c>
      <c r="J5547" t="s">
        <v>51</v>
      </c>
      <c r="K5547" s="11">
        <v>648.20000000000005</v>
      </c>
      <c r="L5547" s="12">
        <v>375.26</v>
      </c>
    </row>
    <row r="5548" spans="1:12" x14ac:dyDescent="0.2">
      <c r="A5548" s="9">
        <v>46265</v>
      </c>
      <c r="B5548" t="s">
        <v>436</v>
      </c>
      <c r="C5548" t="s">
        <v>437</v>
      </c>
      <c r="D5548" t="s">
        <v>50</v>
      </c>
      <c r="E5548" t="s">
        <v>660</v>
      </c>
      <c r="F5548" t="s">
        <v>670</v>
      </c>
      <c r="G5548" s="10">
        <v>4</v>
      </c>
      <c r="H5548" s="10">
        <v>14530</v>
      </c>
      <c r="I5548" s="10">
        <v>58120</v>
      </c>
      <c r="J5548" t="s">
        <v>51</v>
      </c>
      <c r="K5548" s="11">
        <v>648.20000000000005</v>
      </c>
      <c r="L5548" s="12">
        <v>89.66</v>
      </c>
    </row>
    <row r="5549" spans="1:12" x14ac:dyDescent="0.2">
      <c r="A5549" s="9">
        <v>46265</v>
      </c>
      <c r="B5549" t="s">
        <v>436</v>
      </c>
      <c r="C5549" t="s">
        <v>437</v>
      </c>
      <c r="D5549" t="s">
        <v>50</v>
      </c>
      <c r="E5549" t="s">
        <v>660</v>
      </c>
      <c r="F5549" t="s">
        <v>661</v>
      </c>
      <c r="G5549" s="10">
        <v>2</v>
      </c>
      <c r="H5549" s="10">
        <v>4072</v>
      </c>
      <c r="I5549" s="10">
        <v>8144</v>
      </c>
      <c r="J5549" t="s">
        <v>51</v>
      </c>
      <c r="K5549" s="11">
        <v>648.20000000000005</v>
      </c>
      <c r="L5549" s="12">
        <v>12.56</v>
      </c>
    </row>
    <row r="5550" spans="1:12" x14ac:dyDescent="0.2">
      <c r="A5550" s="9">
        <v>46265</v>
      </c>
      <c r="B5550" t="s">
        <v>439</v>
      </c>
      <c r="C5550" t="s">
        <v>440</v>
      </c>
      <c r="D5550" t="s">
        <v>50</v>
      </c>
      <c r="E5550" t="s">
        <v>651</v>
      </c>
      <c r="F5550" t="s">
        <v>657</v>
      </c>
      <c r="G5550" s="10">
        <v>19</v>
      </c>
      <c r="H5550" s="10">
        <v>6450</v>
      </c>
      <c r="I5550" s="10">
        <v>122550</v>
      </c>
      <c r="J5550" t="s">
        <v>51</v>
      </c>
      <c r="K5550" s="11">
        <v>648.20000000000005</v>
      </c>
      <c r="L5550" s="12">
        <v>189.06</v>
      </c>
    </row>
    <row r="5551" spans="1:12" x14ac:dyDescent="0.2">
      <c r="A5551" s="9">
        <v>46265</v>
      </c>
      <c r="B5551" t="s">
        <v>442</v>
      </c>
      <c r="C5551" t="s">
        <v>443</v>
      </c>
      <c r="D5551" t="s">
        <v>41</v>
      </c>
      <c r="E5551" t="s">
        <v>647</v>
      </c>
      <c r="F5551" t="s">
        <v>668</v>
      </c>
      <c r="G5551" s="10">
        <v>14</v>
      </c>
      <c r="H5551" s="10">
        <v>124052</v>
      </c>
      <c r="I5551" s="10">
        <v>1736728</v>
      </c>
      <c r="J5551" t="s">
        <v>42</v>
      </c>
      <c r="K5551" s="11">
        <v>3145.8</v>
      </c>
      <c r="L5551" s="12">
        <v>552.08000000000004</v>
      </c>
    </row>
    <row r="5552" spans="1:12" x14ac:dyDescent="0.2">
      <c r="A5552" s="9">
        <v>46265</v>
      </c>
      <c r="B5552" t="s">
        <v>445</v>
      </c>
      <c r="C5552" t="s">
        <v>446</v>
      </c>
      <c r="D5552" t="s">
        <v>68</v>
      </c>
      <c r="E5552" t="s">
        <v>660</v>
      </c>
      <c r="F5552" t="s">
        <v>661</v>
      </c>
      <c r="G5552" s="10">
        <v>12</v>
      </c>
      <c r="H5552" s="10">
        <v>4036</v>
      </c>
      <c r="I5552" s="10">
        <v>48432</v>
      </c>
      <c r="J5552" t="s">
        <v>51</v>
      </c>
      <c r="K5552" s="11">
        <v>648.20000000000005</v>
      </c>
      <c r="L5552" s="12">
        <v>74.72</v>
      </c>
    </row>
    <row r="5553" spans="1:12" x14ac:dyDescent="0.2">
      <c r="A5553" s="9">
        <v>46265</v>
      </c>
      <c r="B5553" t="s">
        <v>445</v>
      </c>
      <c r="C5553" t="s">
        <v>446</v>
      </c>
      <c r="D5553" t="s">
        <v>68</v>
      </c>
      <c r="E5553" t="s">
        <v>647</v>
      </c>
      <c r="F5553" t="s">
        <v>667</v>
      </c>
      <c r="G5553" s="10">
        <v>16</v>
      </c>
      <c r="H5553" s="10">
        <v>7271</v>
      </c>
      <c r="I5553" s="10">
        <v>116336</v>
      </c>
      <c r="J5553" t="s">
        <v>51</v>
      </c>
      <c r="K5553" s="11">
        <v>648.20000000000005</v>
      </c>
      <c r="L5553" s="12">
        <v>179.48</v>
      </c>
    </row>
    <row r="5554" spans="1:12" x14ac:dyDescent="0.2">
      <c r="A5554" s="9">
        <v>46265</v>
      </c>
      <c r="B5554" t="s">
        <v>445</v>
      </c>
      <c r="C5554" t="s">
        <v>446</v>
      </c>
      <c r="D5554" t="s">
        <v>68</v>
      </c>
      <c r="E5554" t="s">
        <v>651</v>
      </c>
      <c r="F5554" t="s">
        <v>657</v>
      </c>
      <c r="G5554" s="10">
        <v>11</v>
      </c>
      <c r="H5554" s="10">
        <v>6572</v>
      </c>
      <c r="I5554" s="10">
        <v>72292</v>
      </c>
      <c r="J5554" t="s">
        <v>51</v>
      </c>
      <c r="K5554" s="11">
        <v>648.20000000000005</v>
      </c>
      <c r="L5554" s="12">
        <v>111.53</v>
      </c>
    </row>
    <row r="5555" spans="1:12" x14ac:dyDescent="0.2">
      <c r="A5555" s="9">
        <v>46265</v>
      </c>
      <c r="B5555" t="s">
        <v>445</v>
      </c>
      <c r="C5555" t="s">
        <v>446</v>
      </c>
      <c r="D5555" t="s">
        <v>68</v>
      </c>
      <c r="E5555" t="s">
        <v>651</v>
      </c>
      <c r="F5555" t="s">
        <v>664</v>
      </c>
      <c r="G5555" s="10">
        <v>14</v>
      </c>
      <c r="H5555" s="10">
        <v>11665</v>
      </c>
      <c r="I5555" s="10">
        <v>163310</v>
      </c>
      <c r="J5555" t="s">
        <v>51</v>
      </c>
      <c r="K5555" s="11">
        <v>648.20000000000005</v>
      </c>
      <c r="L5555" s="12">
        <v>251.94</v>
      </c>
    </row>
    <row r="5556" spans="1:12" x14ac:dyDescent="0.2">
      <c r="A5556" s="9">
        <v>46265</v>
      </c>
      <c r="B5556" t="s">
        <v>445</v>
      </c>
      <c r="C5556" t="s">
        <v>446</v>
      </c>
      <c r="D5556" t="s">
        <v>68</v>
      </c>
      <c r="E5556" t="s">
        <v>651</v>
      </c>
      <c r="F5556" t="s">
        <v>664</v>
      </c>
      <c r="G5556" s="10">
        <v>28</v>
      </c>
      <c r="H5556" s="10">
        <v>11770</v>
      </c>
      <c r="I5556" s="10">
        <v>329560</v>
      </c>
      <c r="J5556" t="s">
        <v>51</v>
      </c>
      <c r="K5556" s="11">
        <v>648.20000000000005</v>
      </c>
      <c r="L5556" s="12">
        <v>508.42</v>
      </c>
    </row>
    <row r="5557" spans="1:12" x14ac:dyDescent="0.2">
      <c r="A5557" s="9">
        <v>46265</v>
      </c>
      <c r="B5557" t="s">
        <v>448</v>
      </c>
      <c r="C5557" t="s">
        <v>449</v>
      </c>
      <c r="D5557" t="s">
        <v>75</v>
      </c>
      <c r="E5557" t="s">
        <v>660</v>
      </c>
      <c r="F5557" t="s">
        <v>669</v>
      </c>
      <c r="G5557" s="10">
        <v>32</v>
      </c>
      <c r="H5557" s="10">
        <v>12406</v>
      </c>
      <c r="I5557" s="10">
        <v>396992</v>
      </c>
      <c r="J5557" t="s">
        <v>42</v>
      </c>
      <c r="K5557" s="11">
        <v>3145.8</v>
      </c>
      <c r="L5557" s="12">
        <v>126.2</v>
      </c>
    </row>
    <row r="5558" spans="1:12" x14ac:dyDescent="0.2">
      <c r="A5558" s="9">
        <v>46265</v>
      </c>
      <c r="B5558" t="s">
        <v>448</v>
      </c>
      <c r="C5558" t="s">
        <v>449</v>
      </c>
      <c r="D5558" t="s">
        <v>75</v>
      </c>
      <c r="E5558" t="s">
        <v>660</v>
      </c>
      <c r="F5558" t="s">
        <v>670</v>
      </c>
      <c r="G5558" s="10">
        <v>6</v>
      </c>
      <c r="H5558" s="10">
        <v>68149</v>
      </c>
      <c r="I5558" s="10">
        <v>408894</v>
      </c>
      <c r="J5558" t="s">
        <v>42</v>
      </c>
      <c r="K5558" s="11">
        <v>3145.8</v>
      </c>
      <c r="L5558" s="12">
        <v>129.97999999999999</v>
      </c>
    </row>
    <row r="5559" spans="1:12" x14ac:dyDescent="0.2">
      <c r="A5559" s="9">
        <v>46265</v>
      </c>
      <c r="B5559" t="s">
        <v>448</v>
      </c>
      <c r="C5559" t="s">
        <v>449</v>
      </c>
      <c r="D5559" t="s">
        <v>75</v>
      </c>
      <c r="E5559" t="s">
        <v>660</v>
      </c>
      <c r="F5559" t="s">
        <v>661</v>
      </c>
      <c r="G5559" s="10">
        <v>113</v>
      </c>
      <c r="H5559" s="10">
        <v>21082</v>
      </c>
      <c r="I5559" s="10">
        <v>2382266</v>
      </c>
      <c r="J5559" t="s">
        <v>42</v>
      </c>
      <c r="K5559" s="11">
        <v>3145.8</v>
      </c>
      <c r="L5559" s="12">
        <v>757.28</v>
      </c>
    </row>
    <row r="5560" spans="1:12" x14ac:dyDescent="0.2">
      <c r="A5560" s="9">
        <v>46265</v>
      </c>
      <c r="B5560" t="s">
        <v>448</v>
      </c>
      <c r="C5560" t="s">
        <v>449</v>
      </c>
      <c r="D5560" t="s">
        <v>75</v>
      </c>
      <c r="E5560" t="s">
        <v>647</v>
      </c>
      <c r="F5560" t="s">
        <v>648</v>
      </c>
      <c r="G5560" s="10">
        <v>12</v>
      </c>
      <c r="H5560" s="10">
        <v>81770</v>
      </c>
      <c r="I5560" s="10">
        <v>981240</v>
      </c>
      <c r="J5560" t="s">
        <v>42</v>
      </c>
      <c r="K5560" s="11">
        <v>3145.8</v>
      </c>
      <c r="L5560" s="12">
        <v>311.92</v>
      </c>
    </row>
    <row r="5561" spans="1:12" x14ac:dyDescent="0.2">
      <c r="A5561" s="9">
        <v>46265</v>
      </c>
      <c r="B5561" t="s">
        <v>448</v>
      </c>
      <c r="C5561" t="s">
        <v>449</v>
      </c>
      <c r="D5561" t="s">
        <v>75</v>
      </c>
      <c r="E5561" t="s">
        <v>655</v>
      </c>
      <c r="F5561" t="s">
        <v>665</v>
      </c>
      <c r="G5561" s="10">
        <v>4</v>
      </c>
      <c r="H5561" s="10">
        <v>3208</v>
      </c>
      <c r="I5561" s="10">
        <v>12832</v>
      </c>
      <c r="J5561" t="s">
        <v>42</v>
      </c>
      <c r="K5561" s="11">
        <v>3145.8</v>
      </c>
      <c r="L5561" s="12">
        <v>4.08</v>
      </c>
    </row>
    <row r="5562" spans="1:12" x14ac:dyDescent="0.2">
      <c r="A5562" s="9">
        <v>46265</v>
      </c>
      <c r="B5562" t="s">
        <v>457</v>
      </c>
      <c r="C5562" t="s">
        <v>458</v>
      </c>
      <c r="D5562" t="s">
        <v>46</v>
      </c>
      <c r="E5562" t="s">
        <v>653</v>
      </c>
      <c r="F5562" t="s">
        <v>658</v>
      </c>
      <c r="G5562" s="10">
        <v>11</v>
      </c>
      <c r="H5562" s="10">
        <v>2770</v>
      </c>
      <c r="I5562" s="10">
        <v>30470</v>
      </c>
      <c r="J5562" t="s">
        <v>37</v>
      </c>
      <c r="K5562" s="11">
        <v>648.20000000000005</v>
      </c>
      <c r="L5562" s="12">
        <v>47.01</v>
      </c>
    </row>
    <row r="5563" spans="1:12" x14ac:dyDescent="0.2">
      <c r="A5563" s="9">
        <v>46265</v>
      </c>
      <c r="B5563" t="s">
        <v>457</v>
      </c>
      <c r="C5563" t="s">
        <v>458</v>
      </c>
      <c r="D5563" t="s">
        <v>46</v>
      </c>
      <c r="E5563" t="s">
        <v>649</v>
      </c>
      <c r="F5563" t="s">
        <v>659</v>
      </c>
      <c r="G5563" s="10">
        <v>59</v>
      </c>
      <c r="H5563" s="10">
        <v>8959</v>
      </c>
      <c r="I5563" s="10">
        <v>528581</v>
      </c>
      <c r="J5563" t="s">
        <v>37</v>
      </c>
      <c r="K5563" s="11">
        <v>648.20000000000005</v>
      </c>
      <c r="L5563" s="12">
        <v>815.46</v>
      </c>
    </row>
    <row r="5564" spans="1:12" x14ac:dyDescent="0.2">
      <c r="A5564" s="9">
        <v>46265</v>
      </c>
      <c r="B5564" t="s">
        <v>460</v>
      </c>
      <c r="C5564" t="s">
        <v>461</v>
      </c>
      <c r="D5564" t="s">
        <v>75</v>
      </c>
      <c r="E5564" t="s">
        <v>660</v>
      </c>
      <c r="F5564" t="s">
        <v>661</v>
      </c>
      <c r="G5564" s="10">
        <v>33</v>
      </c>
      <c r="H5564" s="10">
        <v>20043</v>
      </c>
      <c r="I5564" s="10">
        <v>661419</v>
      </c>
      <c r="J5564" t="s">
        <v>42</v>
      </c>
      <c r="K5564" s="11">
        <v>3145.8</v>
      </c>
      <c r="L5564" s="12">
        <v>210.25</v>
      </c>
    </row>
    <row r="5565" spans="1:12" x14ac:dyDescent="0.2">
      <c r="A5565" s="9">
        <v>46265</v>
      </c>
      <c r="B5565" t="s">
        <v>460</v>
      </c>
      <c r="C5565" t="s">
        <v>461</v>
      </c>
      <c r="D5565" t="s">
        <v>75</v>
      </c>
      <c r="E5565" t="s">
        <v>660</v>
      </c>
      <c r="F5565" t="s">
        <v>661</v>
      </c>
      <c r="G5565" s="10">
        <v>5</v>
      </c>
      <c r="H5565" s="10">
        <v>20338</v>
      </c>
      <c r="I5565" s="10">
        <v>101690</v>
      </c>
      <c r="J5565" t="s">
        <v>42</v>
      </c>
      <c r="K5565" s="11">
        <v>3145.8</v>
      </c>
      <c r="L5565" s="12">
        <v>32.33</v>
      </c>
    </row>
    <row r="5566" spans="1:12" x14ac:dyDescent="0.2">
      <c r="A5566" s="9">
        <v>46265</v>
      </c>
      <c r="B5566" t="s">
        <v>460</v>
      </c>
      <c r="C5566" t="s">
        <v>461</v>
      </c>
      <c r="D5566" t="s">
        <v>75</v>
      </c>
      <c r="E5566" t="s">
        <v>647</v>
      </c>
      <c r="F5566" t="s">
        <v>648</v>
      </c>
      <c r="G5566" s="10">
        <v>13</v>
      </c>
      <c r="H5566" s="10">
        <v>77775</v>
      </c>
      <c r="I5566" s="10">
        <v>1011075</v>
      </c>
      <c r="J5566" t="s">
        <v>42</v>
      </c>
      <c r="K5566" s="11">
        <v>3145.8</v>
      </c>
      <c r="L5566" s="12">
        <v>321.39999999999998</v>
      </c>
    </row>
    <row r="5567" spans="1:12" x14ac:dyDescent="0.2">
      <c r="A5567" s="9">
        <v>46265</v>
      </c>
      <c r="B5567" t="s">
        <v>463</v>
      </c>
      <c r="C5567" t="s">
        <v>464</v>
      </c>
      <c r="D5567" t="s">
        <v>36</v>
      </c>
      <c r="E5567" t="s">
        <v>653</v>
      </c>
      <c r="F5567" t="s">
        <v>658</v>
      </c>
      <c r="G5567" s="10">
        <v>4</v>
      </c>
      <c r="H5567" s="10">
        <v>2636</v>
      </c>
      <c r="I5567" s="10">
        <v>10544</v>
      </c>
      <c r="J5567" t="s">
        <v>37</v>
      </c>
      <c r="K5567" s="11">
        <v>648.20000000000005</v>
      </c>
      <c r="L5567" s="12">
        <v>16.27</v>
      </c>
    </row>
    <row r="5568" spans="1:12" x14ac:dyDescent="0.2">
      <c r="A5568" s="9">
        <v>46265</v>
      </c>
      <c r="B5568" t="s">
        <v>466</v>
      </c>
      <c r="C5568" t="s">
        <v>467</v>
      </c>
      <c r="D5568" t="s">
        <v>50</v>
      </c>
      <c r="E5568" t="s">
        <v>653</v>
      </c>
      <c r="F5568" t="s">
        <v>658</v>
      </c>
      <c r="G5568" s="10">
        <v>164</v>
      </c>
      <c r="H5568" s="10">
        <v>2704</v>
      </c>
      <c r="I5568" s="10">
        <v>443456</v>
      </c>
      <c r="J5568" t="s">
        <v>51</v>
      </c>
      <c r="K5568" s="11">
        <v>648.20000000000005</v>
      </c>
      <c r="L5568" s="12">
        <v>684.13</v>
      </c>
    </row>
    <row r="5569" spans="1:12" x14ac:dyDescent="0.2">
      <c r="A5569" s="9">
        <v>46265</v>
      </c>
      <c r="B5569" t="s">
        <v>466</v>
      </c>
      <c r="C5569" t="s">
        <v>467</v>
      </c>
      <c r="D5569" t="s">
        <v>50</v>
      </c>
      <c r="E5569" t="s">
        <v>649</v>
      </c>
      <c r="F5569" t="s">
        <v>663</v>
      </c>
      <c r="G5569" s="10">
        <v>41</v>
      </c>
      <c r="H5569" s="10">
        <v>2039</v>
      </c>
      <c r="I5569" s="10">
        <v>83599</v>
      </c>
      <c r="J5569" t="s">
        <v>51</v>
      </c>
      <c r="K5569" s="11">
        <v>648.20000000000005</v>
      </c>
      <c r="L5569" s="12">
        <v>128.97</v>
      </c>
    </row>
    <row r="5570" spans="1:12" x14ac:dyDescent="0.2">
      <c r="A5570" s="9">
        <v>46265</v>
      </c>
      <c r="B5570" t="s">
        <v>466</v>
      </c>
      <c r="C5570" t="s">
        <v>467</v>
      </c>
      <c r="D5570" t="s">
        <v>50</v>
      </c>
      <c r="E5570" t="s">
        <v>651</v>
      </c>
      <c r="F5570" t="s">
        <v>657</v>
      </c>
      <c r="G5570" s="10">
        <v>27</v>
      </c>
      <c r="H5570" s="10">
        <v>6613</v>
      </c>
      <c r="I5570" s="10">
        <v>178551</v>
      </c>
      <c r="J5570" t="s">
        <v>51</v>
      </c>
      <c r="K5570" s="11">
        <v>648.20000000000005</v>
      </c>
      <c r="L5570" s="12">
        <v>275.45999999999998</v>
      </c>
    </row>
    <row r="5571" spans="1:12" x14ac:dyDescent="0.2">
      <c r="A5571" s="9">
        <v>46265</v>
      </c>
      <c r="B5571" t="s">
        <v>469</v>
      </c>
      <c r="C5571" t="s">
        <v>470</v>
      </c>
      <c r="D5571" t="s">
        <v>41</v>
      </c>
      <c r="E5571" t="s">
        <v>660</v>
      </c>
      <c r="F5571" t="s">
        <v>670</v>
      </c>
      <c r="G5571" s="10">
        <v>16</v>
      </c>
      <c r="H5571" s="10">
        <v>70650</v>
      </c>
      <c r="I5571" s="10">
        <v>1130400</v>
      </c>
      <c r="J5571" t="s">
        <v>42</v>
      </c>
      <c r="K5571" s="11">
        <v>3145.8</v>
      </c>
      <c r="L5571" s="12">
        <v>359.34</v>
      </c>
    </row>
    <row r="5572" spans="1:12" x14ac:dyDescent="0.2">
      <c r="A5572" s="9">
        <v>46265</v>
      </c>
      <c r="B5572" t="s">
        <v>472</v>
      </c>
      <c r="C5572" t="s">
        <v>473</v>
      </c>
      <c r="D5572" t="s">
        <v>68</v>
      </c>
      <c r="E5572" t="s">
        <v>655</v>
      </c>
      <c r="F5572" t="s">
        <v>662</v>
      </c>
      <c r="G5572" s="10">
        <v>12</v>
      </c>
      <c r="H5572" s="10">
        <v>1095</v>
      </c>
      <c r="I5572" s="10">
        <v>13140</v>
      </c>
      <c r="J5572" t="s">
        <v>51</v>
      </c>
      <c r="K5572" s="11">
        <v>648.20000000000005</v>
      </c>
      <c r="L5572" s="12">
        <v>20.27</v>
      </c>
    </row>
    <row r="5573" spans="1:12" x14ac:dyDescent="0.2">
      <c r="A5573" s="9">
        <v>46265</v>
      </c>
      <c r="B5573" t="s">
        <v>472</v>
      </c>
      <c r="C5573" t="s">
        <v>473</v>
      </c>
      <c r="D5573" t="s">
        <v>68</v>
      </c>
      <c r="E5573" t="s">
        <v>660</v>
      </c>
      <c r="F5573" t="s">
        <v>669</v>
      </c>
      <c r="G5573" s="10">
        <v>1</v>
      </c>
      <c r="H5573" s="10">
        <v>2488</v>
      </c>
      <c r="I5573" s="10">
        <v>2488</v>
      </c>
      <c r="J5573" t="s">
        <v>51</v>
      </c>
      <c r="K5573" s="11">
        <v>648.20000000000005</v>
      </c>
      <c r="L5573" s="12">
        <v>3.84</v>
      </c>
    </row>
    <row r="5574" spans="1:12" x14ac:dyDescent="0.2">
      <c r="A5574" s="9">
        <v>46265</v>
      </c>
      <c r="B5574" t="s">
        <v>475</v>
      </c>
      <c r="C5574" t="s">
        <v>476</v>
      </c>
      <c r="D5574" t="s">
        <v>75</v>
      </c>
      <c r="E5574" t="s">
        <v>649</v>
      </c>
      <c r="F5574" t="s">
        <v>650</v>
      </c>
      <c r="G5574" s="10">
        <v>33</v>
      </c>
      <c r="H5574" s="10">
        <v>95063</v>
      </c>
      <c r="I5574" s="10">
        <v>3137079</v>
      </c>
      <c r="J5574" t="s">
        <v>42</v>
      </c>
      <c r="K5574" s="11">
        <v>3145.8</v>
      </c>
      <c r="L5574" s="12">
        <v>997.23</v>
      </c>
    </row>
    <row r="5575" spans="1:12" x14ac:dyDescent="0.2">
      <c r="A5575" s="9">
        <v>46265</v>
      </c>
      <c r="B5575" t="s">
        <v>475</v>
      </c>
      <c r="C5575" t="s">
        <v>476</v>
      </c>
      <c r="D5575" t="s">
        <v>75</v>
      </c>
      <c r="E5575" t="s">
        <v>649</v>
      </c>
      <c r="F5575" t="s">
        <v>659</v>
      </c>
      <c r="G5575" s="10">
        <v>38</v>
      </c>
      <c r="H5575" s="10">
        <v>44680</v>
      </c>
      <c r="I5575" s="10">
        <v>1697840</v>
      </c>
      <c r="J5575" t="s">
        <v>42</v>
      </c>
      <c r="K5575" s="11">
        <v>3145.8</v>
      </c>
      <c r="L5575" s="12">
        <v>539.72</v>
      </c>
    </row>
    <row r="5576" spans="1:12" x14ac:dyDescent="0.2">
      <c r="A5576" s="9">
        <v>46265</v>
      </c>
      <c r="B5576" t="s">
        <v>475</v>
      </c>
      <c r="C5576" t="s">
        <v>476</v>
      </c>
      <c r="D5576" t="s">
        <v>75</v>
      </c>
      <c r="E5576" t="s">
        <v>660</v>
      </c>
      <c r="F5576" t="s">
        <v>670</v>
      </c>
      <c r="G5576" s="10">
        <v>25</v>
      </c>
      <c r="H5576" s="10">
        <v>71172</v>
      </c>
      <c r="I5576" s="10">
        <v>1779300</v>
      </c>
      <c r="J5576" t="s">
        <v>42</v>
      </c>
      <c r="K5576" s="11">
        <v>3145.8</v>
      </c>
      <c r="L5576" s="12">
        <v>565.61</v>
      </c>
    </row>
    <row r="5577" spans="1:12" x14ac:dyDescent="0.2">
      <c r="A5577" s="9">
        <v>46265</v>
      </c>
      <c r="B5577" t="s">
        <v>478</v>
      </c>
      <c r="C5577" t="s">
        <v>479</v>
      </c>
      <c r="D5577" t="s">
        <v>75</v>
      </c>
      <c r="E5577" t="s">
        <v>660</v>
      </c>
      <c r="F5577" t="s">
        <v>670</v>
      </c>
      <c r="G5577" s="10">
        <v>9</v>
      </c>
      <c r="H5577" s="10">
        <v>71576</v>
      </c>
      <c r="I5577" s="10">
        <v>644184</v>
      </c>
      <c r="J5577" t="s">
        <v>42</v>
      </c>
      <c r="K5577" s="11">
        <v>3145.8</v>
      </c>
      <c r="L5577" s="12">
        <v>204.78</v>
      </c>
    </row>
    <row r="5578" spans="1:12" x14ac:dyDescent="0.2">
      <c r="A5578" s="9">
        <v>46265</v>
      </c>
      <c r="B5578" t="s">
        <v>481</v>
      </c>
      <c r="C5578" t="s">
        <v>78</v>
      </c>
      <c r="D5578" t="s">
        <v>41</v>
      </c>
      <c r="E5578" t="s">
        <v>651</v>
      </c>
      <c r="F5578" t="s">
        <v>652</v>
      </c>
      <c r="G5578" s="10">
        <v>121</v>
      </c>
      <c r="H5578" s="10">
        <v>46592</v>
      </c>
      <c r="I5578" s="10">
        <v>5637632</v>
      </c>
      <c r="J5578" t="s">
        <v>42</v>
      </c>
      <c r="K5578" s="11">
        <v>3145.8</v>
      </c>
      <c r="L5578" s="12">
        <v>1792.11</v>
      </c>
    </row>
    <row r="5579" spans="1:12" x14ac:dyDescent="0.2">
      <c r="A5579" s="9">
        <v>46265</v>
      </c>
      <c r="B5579" t="s">
        <v>481</v>
      </c>
      <c r="C5579" t="s">
        <v>78</v>
      </c>
      <c r="D5579" t="s">
        <v>41</v>
      </c>
      <c r="E5579" t="s">
        <v>660</v>
      </c>
      <c r="F5579" t="s">
        <v>670</v>
      </c>
      <c r="G5579" s="10">
        <v>28</v>
      </c>
      <c r="H5579" s="10">
        <v>71416</v>
      </c>
      <c r="I5579" s="10">
        <v>1999648</v>
      </c>
      <c r="J5579" t="s">
        <v>42</v>
      </c>
      <c r="K5579" s="11">
        <v>3145.8</v>
      </c>
      <c r="L5579" s="12">
        <v>635.66</v>
      </c>
    </row>
    <row r="5580" spans="1:12" x14ac:dyDescent="0.2">
      <c r="A5580" s="9">
        <v>46265</v>
      </c>
      <c r="B5580" t="s">
        <v>483</v>
      </c>
      <c r="C5580" t="s">
        <v>340</v>
      </c>
      <c r="D5580" t="s">
        <v>46</v>
      </c>
      <c r="E5580" t="s">
        <v>649</v>
      </c>
      <c r="F5580" t="s">
        <v>659</v>
      </c>
      <c r="G5580" s="10">
        <v>24</v>
      </c>
      <c r="H5580" s="10">
        <v>8756</v>
      </c>
      <c r="I5580" s="10">
        <v>210144</v>
      </c>
      <c r="J5580" t="s">
        <v>37</v>
      </c>
      <c r="K5580" s="11">
        <v>648.20000000000005</v>
      </c>
      <c r="L5580" s="12">
        <v>324.2</v>
      </c>
    </row>
    <row r="5581" spans="1:12" x14ac:dyDescent="0.2">
      <c r="A5581" s="9">
        <v>46265</v>
      </c>
      <c r="B5581" t="s">
        <v>485</v>
      </c>
      <c r="C5581" t="s">
        <v>486</v>
      </c>
      <c r="D5581" t="s">
        <v>41</v>
      </c>
      <c r="E5581" t="s">
        <v>655</v>
      </c>
      <c r="F5581" t="s">
        <v>662</v>
      </c>
      <c r="G5581" s="10">
        <v>3</v>
      </c>
      <c r="H5581" s="10">
        <v>5605</v>
      </c>
      <c r="I5581" s="10">
        <v>16815</v>
      </c>
      <c r="J5581" t="s">
        <v>42</v>
      </c>
      <c r="K5581" s="11">
        <v>3145.8</v>
      </c>
      <c r="L5581" s="12">
        <v>5.35</v>
      </c>
    </row>
    <row r="5582" spans="1:12" x14ac:dyDescent="0.2">
      <c r="A5582" s="9">
        <v>46265</v>
      </c>
      <c r="B5582" t="s">
        <v>488</v>
      </c>
      <c r="C5582" t="s">
        <v>489</v>
      </c>
      <c r="D5582" t="s">
        <v>46</v>
      </c>
      <c r="E5582" t="s">
        <v>649</v>
      </c>
      <c r="F5582" t="s">
        <v>663</v>
      </c>
      <c r="G5582" s="10">
        <v>7</v>
      </c>
      <c r="H5582" s="10">
        <v>1968</v>
      </c>
      <c r="I5582" s="10">
        <v>13776</v>
      </c>
      <c r="J5582" t="s">
        <v>37</v>
      </c>
      <c r="K5582" s="11">
        <v>648.20000000000005</v>
      </c>
      <c r="L5582" s="12">
        <v>21.25</v>
      </c>
    </row>
    <row r="5583" spans="1:12" x14ac:dyDescent="0.2">
      <c r="A5583" s="9">
        <v>46265</v>
      </c>
      <c r="B5583" t="s">
        <v>488</v>
      </c>
      <c r="C5583" t="s">
        <v>489</v>
      </c>
      <c r="D5583" t="s">
        <v>46</v>
      </c>
      <c r="E5583" t="s">
        <v>649</v>
      </c>
      <c r="F5583" t="s">
        <v>659</v>
      </c>
      <c r="G5583" s="10">
        <v>28</v>
      </c>
      <c r="H5583" s="10">
        <v>8982</v>
      </c>
      <c r="I5583" s="10">
        <v>251496</v>
      </c>
      <c r="J5583" t="s">
        <v>37</v>
      </c>
      <c r="K5583" s="11">
        <v>648.20000000000005</v>
      </c>
      <c r="L5583" s="12">
        <v>387.99</v>
      </c>
    </row>
    <row r="5584" spans="1:12" x14ac:dyDescent="0.2">
      <c r="A5584" s="9">
        <v>46265</v>
      </c>
      <c r="B5584" t="s">
        <v>491</v>
      </c>
      <c r="C5584" t="s">
        <v>125</v>
      </c>
      <c r="D5584" t="s">
        <v>75</v>
      </c>
      <c r="E5584" t="s">
        <v>649</v>
      </c>
      <c r="F5584" t="s">
        <v>650</v>
      </c>
      <c r="G5584" s="10">
        <v>32</v>
      </c>
      <c r="H5584" s="10">
        <v>91075</v>
      </c>
      <c r="I5584" s="10">
        <v>2914400</v>
      </c>
      <c r="J5584" t="s">
        <v>42</v>
      </c>
      <c r="K5584" s="11">
        <v>3145.8</v>
      </c>
      <c r="L5584" s="12">
        <v>926.44</v>
      </c>
    </row>
    <row r="5585" spans="1:12" x14ac:dyDescent="0.2">
      <c r="A5585" s="9">
        <v>46265</v>
      </c>
      <c r="B5585" t="s">
        <v>491</v>
      </c>
      <c r="C5585" t="s">
        <v>125</v>
      </c>
      <c r="D5585" t="s">
        <v>75</v>
      </c>
      <c r="E5585" t="s">
        <v>649</v>
      </c>
      <c r="F5585" t="s">
        <v>650</v>
      </c>
      <c r="G5585" s="10">
        <v>11</v>
      </c>
      <c r="H5585" s="10">
        <v>92582</v>
      </c>
      <c r="I5585" s="10">
        <v>1018402</v>
      </c>
      <c r="J5585" t="s">
        <v>42</v>
      </c>
      <c r="K5585" s="11">
        <v>3145.8</v>
      </c>
      <c r="L5585" s="12">
        <v>323.73</v>
      </c>
    </row>
    <row r="5586" spans="1:12" x14ac:dyDescent="0.2">
      <c r="A5586" s="9">
        <v>46265</v>
      </c>
      <c r="B5586" t="s">
        <v>491</v>
      </c>
      <c r="C5586" t="s">
        <v>125</v>
      </c>
      <c r="D5586" t="s">
        <v>75</v>
      </c>
      <c r="E5586" t="s">
        <v>660</v>
      </c>
      <c r="F5586" t="s">
        <v>670</v>
      </c>
      <c r="G5586" s="10">
        <v>4</v>
      </c>
      <c r="H5586" s="10">
        <v>68854</v>
      </c>
      <c r="I5586" s="10">
        <v>275416</v>
      </c>
      <c r="J5586" t="s">
        <v>42</v>
      </c>
      <c r="K5586" s="11">
        <v>3145.8</v>
      </c>
      <c r="L5586" s="12">
        <v>87.55</v>
      </c>
    </row>
    <row r="5587" spans="1:12" x14ac:dyDescent="0.2">
      <c r="A5587" s="9">
        <v>46265</v>
      </c>
      <c r="B5587" t="s">
        <v>496</v>
      </c>
      <c r="C5587" t="s">
        <v>497</v>
      </c>
      <c r="D5587" t="s">
        <v>41</v>
      </c>
      <c r="E5587" t="s">
        <v>651</v>
      </c>
      <c r="F5587" t="s">
        <v>652</v>
      </c>
      <c r="G5587" s="10">
        <v>7</v>
      </c>
      <c r="H5587" s="10">
        <v>46087</v>
      </c>
      <c r="I5587" s="10">
        <v>322609</v>
      </c>
      <c r="J5587" t="s">
        <v>42</v>
      </c>
      <c r="K5587" s="11">
        <v>3145.8</v>
      </c>
      <c r="L5587" s="12">
        <v>102.55</v>
      </c>
    </row>
    <row r="5588" spans="1:12" x14ac:dyDescent="0.2">
      <c r="A5588" s="9">
        <v>46265</v>
      </c>
      <c r="B5588" t="s">
        <v>496</v>
      </c>
      <c r="C5588" t="s">
        <v>497</v>
      </c>
      <c r="D5588" t="s">
        <v>41</v>
      </c>
      <c r="E5588" t="s">
        <v>649</v>
      </c>
      <c r="F5588" t="s">
        <v>659</v>
      </c>
      <c r="G5588" s="10">
        <v>23</v>
      </c>
      <c r="H5588" s="10">
        <v>42692</v>
      </c>
      <c r="I5588" s="10">
        <v>981916</v>
      </c>
      <c r="J5588" t="s">
        <v>42</v>
      </c>
      <c r="K5588" s="11">
        <v>3145.8</v>
      </c>
      <c r="L5588" s="12">
        <v>312.14</v>
      </c>
    </row>
    <row r="5589" spans="1:12" x14ac:dyDescent="0.2">
      <c r="A5589" s="9">
        <v>46265</v>
      </c>
      <c r="B5589" t="s">
        <v>496</v>
      </c>
      <c r="C5589" t="s">
        <v>497</v>
      </c>
      <c r="D5589" t="s">
        <v>41</v>
      </c>
      <c r="E5589" t="s">
        <v>660</v>
      </c>
      <c r="F5589" t="s">
        <v>670</v>
      </c>
      <c r="G5589" s="10">
        <v>6</v>
      </c>
      <c r="H5589" s="10">
        <v>70819</v>
      </c>
      <c r="I5589" s="10">
        <v>424914</v>
      </c>
      <c r="J5589" t="s">
        <v>42</v>
      </c>
      <c r="K5589" s="11">
        <v>3145.8</v>
      </c>
      <c r="L5589" s="12">
        <v>135.07</v>
      </c>
    </row>
    <row r="5590" spans="1:12" x14ac:dyDescent="0.2">
      <c r="A5590" s="9">
        <v>46265</v>
      </c>
      <c r="B5590" t="s">
        <v>505</v>
      </c>
      <c r="C5590" t="s">
        <v>506</v>
      </c>
      <c r="D5590" t="s">
        <v>36</v>
      </c>
      <c r="E5590" t="s">
        <v>660</v>
      </c>
      <c r="F5590" t="s">
        <v>670</v>
      </c>
      <c r="G5590" s="10">
        <v>3</v>
      </c>
      <c r="H5590" s="10">
        <v>14923</v>
      </c>
      <c r="I5590" s="10">
        <v>44769</v>
      </c>
      <c r="J5590" t="s">
        <v>37</v>
      </c>
      <c r="K5590" s="11">
        <v>648.20000000000005</v>
      </c>
      <c r="L5590" s="12">
        <v>69.069999999999993</v>
      </c>
    </row>
    <row r="5591" spans="1:12" x14ac:dyDescent="0.2">
      <c r="A5591" s="9">
        <v>46265</v>
      </c>
      <c r="B5591" t="s">
        <v>505</v>
      </c>
      <c r="C5591" t="s">
        <v>506</v>
      </c>
      <c r="D5591" t="s">
        <v>36</v>
      </c>
      <c r="E5591" t="s">
        <v>647</v>
      </c>
      <c r="F5591" t="s">
        <v>668</v>
      </c>
      <c r="G5591" s="10">
        <v>6</v>
      </c>
      <c r="H5591" s="10">
        <v>24541</v>
      </c>
      <c r="I5591" s="10">
        <v>147246</v>
      </c>
      <c r="J5591" t="s">
        <v>37</v>
      </c>
      <c r="K5591" s="11">
        <v>648.20000000000005</v>
      </c>
      <c r="L5591" s="12">
        <v>227.16</v>
      </c>
    </row>
    <row r="5592" spans="1:12" x14ac:dyDescent="0.2">
      <c r="A5592" s="9">
        <v>46265</v>
      </c>
      <c r="B5592" t="s">
        <v>511</v>
      </c>
      <c r="C5592" t="s">
        <v>512</v>
      </c>
      <c r="D5592" t="s">
        <v>75</v>
      </c>
      <c r="E5592" t="s">
        <v>660</v>
      </c>
      <c r="F5592" t="s">
        <v>669</v>
      </c>
      <c r="G5592" s="10">
        <v>22</v>
      </c>
      <c r="H5592" s="10">
        <v>12478</v>
      </c>
      <c r="I5592" s="10">
        <v>274516</v>
      </c>
      <c r="J5592" t="s">
        <v>42</v>
      </c>
      <c r="K5592" s="11">
        <v>3145.8</v>
      </c>
      <c r="L5592" s="12">
        <v>87.26</v>
      </c>
    </row>
    <row r="5593" spans="1:12" x14ac:dyDescent="0.2">
      <c r="A5593" s="9">
        <v>46265</v>
      </c>
      <c r="B5593" t="s">
        <v>511</v>
      </c>
      <c r="C5593" t="s">
        <v>512</v>
      </c>
      <c r="D5593" t="s">
        <v>75</v>
      </c>
      <c r="E5593" t="s">
        <v>651</v>
      </c>
      <c r="F5593" t="s">
        <v>664</v>
      </c>
      <c r="G5593" s="10">
        <v>2</v>
      </c>
      <c r="H5593" s="10">
        <v>59510</v>
      </c>
      <c r="I5593" s="10">
        <v>119020</v>
      </c>
      <c r="J5593" t="s">
        <v>42</v>
      </c>
      <c r="K5593" s="11">
        <v>3145.8</v>
      </c>
      <c r="L5593" s="12">
        <v>37.83</v>
      </c>
    </row>
    <row r="5594" spans="1:12" x14ac:dyDescent="0.2">
      <c r="A5594" s="9">
        <v>46265</v>
      </c>
      <c r="B5594" t="s">
        <v>511</v>
      </c>
      <c r="C5594" t="s">
        <v>512</v>
      </c>
      <c r="D5594" t="s">
        <v>75</v>
      </c>
      <c r="E5594" t="s">
        <v>655</v>
      </c>
      <c r="F5594" t="s">
        <v>665</v>
      </c>
      <c r="G5594" s="10">
        <v>13</v>
      </c>
      <c r="H5594" s="10">
        <v>3425</v>
      </c>
      <c r="I5594" s="10">
        <v>44525</v>
      </c>
      <c r="J5594" t="s">
        <v>42</v>
      </c>
      <c r="K5594" s="11">
        <v>3145.8</v>
      </c>
      <c r="L5594" s="12">
        <v>14.15</v>
      </c>
    </row>
    <row r="5595" spans="1:12" x14ac:dyDescent="0.2">
      <c r="A5595" s="9">
        <v>46265</v>
      </c>
      <c r="B5595" t="s">
        <v>514</v>
      </c>
      <c r="C5595" t="s">
        <v>515</v>
      </c>
      <c r="D5595" t="s">
        <v>41</v>
      </c>
      <c r="E5595" t="s">
        <v>653</v>
      </c>
      <c r="F5595" t="s">
        <v>654</v>
      </c>
      <c r="G5595" s="10">
        <v>6</v>
      </c>
      <c r="H5595" s="10">
        <v>26693</v>
      </c>
      <c r="I5595" s="10">
        <v>160158</v>
      </c>
      <c r="J5595" t="s">
        <v>42</v>
      </c>
      <c r="K5595" s="11">
        <v>3145.8</v>
      </c>
      <c r="L5595" s="12">
        <v>50.91</v>
      </c>
    </row>
    <row r="5596" spans="1:12" x14ac:dyDescent="0.2">
      <c r="A5596" s="9">
        <v>46265</v>
      </c>
      <c r="B5596" t="s">
        <v>517</v>
      </c>
      <c r="C5596" t="s">
        <v>518</v>
      </c>
      <c r="D5596" t="s">
        <v>41</v>
      </c>
      <c r="E5596" t="s">
        <v>647</v>
      </c>
      <c r="F5596" t="s">
        <v>648</v>
      </c>
      <c r="G5596" s="10">
        <v>20</v>
      </c>
      <c r="H5596" s="10">
        <v>77703</v>
      </c>
      <c r="I5596" s="10">
        <v>1554060</v>
      </c>
      <c r="J5596" t="s">
        <v>42</v>
      </c>
      <c r="K5596" s="11">
        <v>3145.8</v>
      </c>
      <c r="L5596" s="12">
        <v>494.01</v>
      </c>
    </row>
    <row r="5597" spans="1:12" x14ac:dyDescent="0.2">
      <c r="A5597" s="9">
        <v>46265</v>
      </c>
      <c r="B5597" t="s">
        <v>517</v>
      </c>
      <c r="C5597" t="s">
        <v>518</v>
      </c>
      <c r="D5597" t="s">
        <v>41</v>
      </c>
      <c r="E5597" t="s">
        <v>647</v>
      </c>
      <c r="F5597" t="s">
        <v>667</v>
      </c>
      <c r="G5597" s="10">
        <v>40</v>
      </c>
      <c r="H5597" s="10">
        <v>35281</v>
      </c>
      <c r="I5597" s="10">
        <v>1411240</v>
      </c>
      <c r="J5597" t="s">
        <v>42</v>
      </c>
      <c r="K5597" s="11">
        <v>3145.8</v>
      </c>
      <c r="L5597" s="12">
        <v>448.61</v>
      </c>
    </row>
    <row r="5598" spans="1:12" x14ac:dyDescent="0.2">
      <c r="A5598" s="9">
        <v>46265</v>
      </c>
      <c r="B5598" t="s">
        <v>522</v>
      </c>
      <c r="C5598" t="s">
        <v>523</v>
      </c>
      <c r="D5598" t="s">
        <v>50</v>
      </c>
      <c r="E5598" t="s">
        <v>655</v>
      </c>
      <c r="F5598" t="s">
        <v>662</v>
      </c>
      <c r="G5598" s="10">
        <v>73</v>
      </c>
      <c r="H5598" s="10">
        <v>1141</v>
      </c>
      <c r="I5598" s="10">
        <v>83293</v>
      </c>
      <c r="J5598" t="s">
        <v>51</v>
      </c>
      <c r="K5598" s="11">
        <v>648.20000000000005</v>
      </c>
      <c r="L5598" s="12">
        <v>128.5</v>
      </c>
    </row>
    <row r="5599" spans="1:12" x14ac:dyDescent="0.2">
      <c r="A5599" s="9">
        <v>46265</v>
      </c>
      <c r="B5599" t="s">
        <v>525</v>
      </c>
      <c r="C5599" t="s">
        <v>526</v>
      </c>
      <c r="D5599" t="s">
        <v>46</v>
      </c>
      <c r="E5599" t="s">
        <v>655</v>
      </c>
      <c r="F5599" t="s">
        <v>662</v>
      </c>
      <c r="G5599" s="10">
        <v>7</v>
      </c>
      <c r="H5599" s="10">
        <v>1162</v>
      </c>
      <c r="I5599" s="10">
        <v>8134</v>
      </c>
      <c r="J5599" t="s">
        <v>37</v>
      </c>
      <c r="K5599" s="11">
        <v>648.20000000000005</v>
      </c>
      <c r="L5599" s="12">
        <v>12.55</v>
      </c>
    </row>
    <row r="5600" spans="1:12" x14ac:dyDescent="0.2">
      <c r="A5600" s="9">
        <v>46265</v>
      </c>
      <c r="B5600" t="s">
        <v>525</v>
      </c>
      <c r="C5600" t="s">
        <v>526</v>
      </c>
      <c r="D5600" t="s">
        <v>46</v>
      </c>
      <c r="E5600" t="s">
        <v>655</v>
      </c>
      <c r="F5600" t="s">
        <v>665</v>
      </c>
      <c r="G5600" s="10">
        <v>3</v>
      </c>
      <c r="H5600" s="10">
        <v>671</v>
      </c>
      <c r="I5600" s="10">
        <v>2013</v>
      </c>
      <c r="J5600" t="s">
        <v>37</v>
      </c>
      <c r="K5600" s="11">
        <v>648.20000000000005</v>
      </c>
      <c r="L5600" s="12">
        <v>3.11</v>
      </c>
    </row>
    <row r="5601" spans="1:12" x14ac:dyDescent="0.2">
      <c r="A5601" s="9">
        <v>46265</v>
      </c>
      <c r="B5601" t="s">
        <v>528</v>
      </c>
      <c r="C5601" t="s">
        <v>529</v>
      </c>
      <c r="D5601" t="s">
        <v>46</v>
      </c>
      <c r="E5601" t="s">
        <v>653</v>
      </c>
      <c r="F5601" t="s">
        <v>658</v>
      </c>
      <c r="G5601" s="10">
        <v>155</v>
      </c>
      <c r="H5601" s="10">
        <v>2782</v>
      </c>
      <c r="I5601" s="10">
        <v>431210</v>
      </c>
      <c r="J5601" t="s">
        <v>37</v>
      </c>
      <c r="K5601" s="11">
        <v>648.20000000000005</v>
      </c>
      <c r="L5601" s="12">
        <v>665.24</v>
      </c>
    </row>
    <row r="5602" spans="1:12" x14ac:dyDescent="0.2">
      <c r="A5602" s="9">
        <v>46265</v>
      </c>
      <c r="B5602" t="s">
        <v>528</v>
      </c>
      <c r="C5602" t="s">
        <v>529</v>
      </c>
      <c r="D5602" t="s">
        <v>46</v>
      </c>
      <c r="E5602" t="s">
        <v>655</v>
      </c>
      <c r="F5602" t="s">
        <v>662</v>
      </c>
      <c r="G5602" s="10">
        <v>71</v>
      </c>
      <c r="H5602" s="10">
        <v>1136</v>
      </c>
      <c r="I5602" s="10">
        <v>80656</v>
      </c>
      <c r="J5602" t="s">
        <v>37</v>
      </c>
      <c r="K5602" s="11">
        <v>648.20000000000005</v>
      </c>
      <c r="L5602" s="12">
        <v>124.43</v>
      </c>
    </row>
    <row r="5603" spans="1:12" x14ac:dyDescent="0.2">
      <c r="A5603" s="9">
        <v>46265</v>
      </c>
      <c r="B5603" t="s">
        <v>528</v>
      </c>
      <c r="C5603" t="s">
        <v>529</v>
      </c>
      <c r="D5603" t="s">
        <v>46</v>
      </c>
      <c r="E5603" t="s">
        <v>647</v>
      </c>
      <c r="F5603" t="s">
        <v>667</v>
      </c>
      <c r="G5603" s="10">
        <v>43</v>
      </c>
      <c r="H5603" s="10">
        <v>7440</v>
      </c>
      <c r="I5603" s="10">
        <v>319920</v>
      </c>
      <c r="J5603" t="s">
        <v>37</v>
      </c>
      <c r="K5603" s="11">
        <v>648.20000000000005</v>
      </c>
      <c r="L5603" s="12">
        <v>493.55</v>
      </c>
    </row>
    <row r="5604" spans="1:12" x14ac:dyDescent="0.2">
      <c r="A5604" s="9">
        <v>46265</v>
      </c>
      <c r="B5604" t="s">
        <v>531</v>
      </c>
      <c r="C5604" t="s">
        <v>532</v>
      </c>
      <c r="D5604" t="s">
        <v>50</v>
      </c>
      <c r="E5604" t="s">
        <v>660</v>
      </c>
      <c r="F5604" t="s">
        <v>669</v>
      </c>
      <c r="G5604" s="10">
        <v>26</v>
      </c>
      <c r="H5604" s="10">
        <v>2494</v>
      </c>
      <c r="I5604" s="10">
        <v>64844</v>
      </c>
      <c r="J5604" t="s">
        <v>51</v>
      </c>
      <c r="K5604" s="11">
        <v>648.20000000000005</v>
      </c>
      <c r="L5604" s="12">
        <v>100.04</v>
      </c>
    </row>
    <row r="5605" spans="1:12" x14ac:dyDescent="0.2">
      <c r="A5605" s="9">
        <v>46265</v>
      </c>
      <c r="B5605" t="s">
        <v>537</v>
      </c>
      <c r="C5605" t="s">
        <v>538</v>
      </c>
      <c r="D5605" t="s">
        <v>68</v>
      </c>
      <c r="E5605" t="s">
        <v>647</v>
      </c>
      <c r="F5605" t="s">
        <v>668</v>
      </c>
      <c r="G5605" s="10">
        <v>46</v>
      </c>
      <c r="H5605" s="10">
        <v>26101</v>
      </c>
      <c r="I5605" s="10">
        <v>1200646</v>
      </c>
      <c r="J5605" t="s">
        <v>51</v>
      </c>
      <c r="K5605" s="11">
        <v>648.20000000000005</v>
      </c>
      <c r="L5605" s="12">
        <v>1852.28</v>
      </c>
    </row>
    <row r="5606" spans="1:12" x14ac:dyDescent="0.2">
      <c r="A5606" s="9">
        <v>46265</v>
      </c>
      <c r="B5606" t="s">
        <v>537</v>
      </c>
      <c r="C5606" t="s">
        <v>538</v>
      </c>
      <c r="D5606" t="s">
        <v>68</v>
      </c>
      <c r="E5606" t="s">
        <v>647</v>
      </c>
      <c r="F5606" t="s">
        <v>648</v>
      </c>
      <c r="G5606" s="10">
        <v>29</v>
      </c>
      <c r="H5606" s="10">
        <v>15847</v>
      </c>
      <c r="I5606" s="10">
        <v>459563</v>
      </c>
      <c r="J5606" t="s">
        <v>51</v>
      </c>
      <c r="K5606" s="11">
        <v>648.20000000000005</v>
      </c>
      <c r="L5606" s="12">
        <v>708.98</v>
      </c>
    </row>
    <row r="5607" spans="1:12" x14ac:dyDescent="0.2">
      <c r="A5607" s="9">
        <v>46265</v>
      </c>
      <c r="B5607" t="s">
        <v>546</v>
      </c>
      <c r="C5607" t="s">
        <v>547</v>
      </c>
      <c r="D5607" t="s">
        <v>41</v>
      </c>
      <c r="E5607" t="s">
        <v>653</v>
      </c>
      <c r="F5607" t="s">
        <v>658</v>
      </c>
      <c r="G5607" s="10">
        <v>18</v>
      </c>
      <c r="H5607" s="10">
        <v>13065</v>
      </c>
      <c r="I5607" s="10">
        <v>235170</v>
      </c>
      <c r="J5607" t="s">
        <v>42</v>
      </c>
      <c r="K5607" s="11">
        <v>3145.8</v>
      </c>
      <c r="L5607" s="12">
        <v>74.760000000000005</v>
      </c>
    </row>
    <row r="5608" spans="1:12" x14ac:dyDescent="0.2">
      <c r="A5608" s="9">
        <v>46265</v>
      </c>
      <c r="B5608" t="s">
        <v>546</v>
      </c>
      <c r="C5608" t="s">
        <v>547</v>
      </c>
      <c r="D5608" t="s">
        <v>41</v>
      </c>
      <c r="E5608" t="s">
        <v>647</v>
      </c>
      <c r="F5608" t="s">
        <v>648</v>
      </c>
      <c r="G5608" s="10">
        <v>4</v>
      </c>
      <c r="H5608" s="10">
        <v>78352</v>
      </c>
      <c r="I5608" s="10">
        <v>313408</v>
      </c>
      <c r="J5608" t="s">
        <v>42</v>
      </c>
      <c r="K5608" s="11">
        <v>3145.8</v>
      </c>
      <c r="L5608" s="12">
        <v>99.63</v>
      </c>
    </row>
    <row r="5609" spans="1:12" x14ac:dyDescent="0.2">
      <c r="A5609" s="9">
        <v>46265</v>
      </c>
      <c r="B5609" t="s">
        <v>549</v>
      </c>
      <c r="C5609" t="s">
        <v>550</v>
      </c>
      <c r="D5609" t="s">
        <v>41</v>
      </c>
      <c r="E5609" t="s">
        <v>660</v>
      </c>
      <c r="F5609" t="s">
        <v>669</v>
      </c>
      <c r="G5609" s="10">
        <v>33</v>
      </c>
      <c r="H5609" s="10">
        <v>13003</v>
      </c>
      <c r="I5609" s="10">
        <v>429099</v>
      </c>
      <c r="J5609" t="s">
        <v>42</v>
      </c>
      <c r="K5609" s="11">
        <v>3145.8</v>
      </c>
      <c r="L5609" s="12">
        <v>136.4</v>
      </c>
    </row>
    <row r="5610" spans="1:12" x14ac:dyDescent="0.2">
      <c r="A5610" s="9">
        <v>46265</v>
      </c>
      <c r="B5610" t="s">
        <v>549</v>
      </c>
      <c r="C5610" t="s">
        <v>550</v>
      </c>
      <c r="D5610" t="s">
        <v>41</v>
      </c>
      <c r="E5610" t="s">
        <v>660</v>
      </c>
      <c r="F5610" t="s">
        <v>661</v>
      </c>
      <c r="G5610" s="10">
        <v>5</v>
      </c>
      <c r="H5610" s="10">
        <v>20486</v>
      </c>
      <c r="I5610" s="10">
        <v>102430</v>
      </c>
      <c r="J5610" t="s">
        <v>42</v>
      </c>
      <c r="K5610" s="11">
        <v>3145.8</v>
      </c>
      <c r="L5610" s="12">
        <v>32.56</v>
      </c>
    </row>
    <row r="5611" spans="1:12" x14ac:dyDescent="0.2">
      <c r="A5611" s="9">
        <v>46265</v>
      </c>
      <c r="B5611" t="s">
        <v>552</v>
      </c>
      <c r="C5611" t="s">
        <v>553</v>
      </c>
      <c r="D5611" t="s">
        <v>41</v>
      </c>
      <c r="E5611" t="s">
        <v>647</v>
      </c>
      <c r="F5611" t="s">
        <v>648</v>
      </c>
      <c r="G5611" s="10">
        <v>7</v>
      </c>
      <c r="H5611" s="10">
        <v>78305</v>
      </c>
      <c r="I5611" s="10">
        <v>548135</v>
      </c>
      <c r="J5611" t="s">
        <v>42</v>
      </c>
      <c r="K5611" s="11">
        <v>3145.8</v>
      </c>
      <c r="L5611" s="12">
        <v>174.24</v>
      </c>
    </row>
    <row r="5612" spans="1:12" x14ac:dyDescent="0.2">
      <c r="A5612" s="9">
        <v>46265</v>
      </c>
      <c r="B5612" t="s">
        <v>561</v>
      </c>
      <c r="C5612" t="s">
        <v>562</v>
      </c>
      <c r="D5612" t="s">
        <v>46</v>
      </c>
      <c r="E5612" t="s">
        <v>653</v>
      </c>
      <c r="F5612" t="s">
        <v>658</v>
      </c>
      <c r="G5612" s="10">
        <v>22</v>
      </c>
      <c r="H5612" s="10">
        <v>2641</v>
      </c>
      <c r="I5612" s="10">
        <v>58102</v>
      </c>
      <c r="J5612" t="s">
        <v>37</v>
      </c>
      <c r="K5612" s="11">
        <v>648.20000000000005</v>
      </c>
      <c r="L5612" s="12">
        <v>89.64</v>
      </c>
    </row>
    <row r="5613" spans="1:12" x14ac:dyDescent="0.2">
      <c r="A5613" s="9">
        <v>46265</v>
      </c>
      <c r="B5613" t="s">
        <v>561</v>
      </c>
      <c r="C5613" t="s">
        <v>562</v>
      </c>
      <c r="D5613" t="s">
        <v>46</v>
      </c>
      <c r="E5613" t="s">
        <v>653</v>
      </c>
      <c r="F5613" t="s">
        <v>658</v>
      </c>
      <c r="G5613" s="10">
        <v>35</v>
      </c>
      <c r="H5613" s="10">
        <v>2770</v>
      </c>
      <c r="I5613" s="10">
        <v>96950</v>
      </c>
      <c r="J5613" t="s">
        <v>37</v>
      </c>
      <c r="K5613" s="11">
        <v>648.20000000000005</v>
      </c>
      <c r="L5613" s="12">
        <v>149.57</v>
      </c>
    </row>
    <row r="5614" spans="1:12" x14ac:dyDescent="0.2">
      <c r="A5614" s="9">
        <v>46265</v>
      </c>
      <c r="B5614" t="s">
        <v>561</v>
      </c>
      <c r="C5614" t="s">
        <v>562</v>
      </c>
      <c r="D5614" t="s">
        <v>46</v>
      </c>
      <c r="E5614" t="s">
        <v>647</v>
      </c>
      <c r="F5614" t="s">
        <v>668</v>
      </c>
      <c r="G5614" s="10">
        <v>20</v>
      </c>
      <c r="H5614" s="10">
        <v>26123</v>
      </c>
      <c r="I5614" s="10">
        <v>522460</v>
      </c>
      <c r="J5614" t="s">
        <v>37</v>
      </c>
      <c r="K5614" s="11">
        <v>648.20000000000005</v>
      </c>
      <c r="L5614" s="12">
        <v>806.02</v>
      </c>
    </row>
    <row r="5615" spans="1:12" x14ac:dyDescent="0.2">
      <c r="A5615" s="9">
        <v>46265</v>
      </c>
      <c r="B5615" t="s">
        <v>561</v>
      </c>
      <c r="C5615" t="s">
        <v>562</v>
      </c>
      <c r="D5615" t="s">
        <v>46</v>
      </c>
      <c r="E5615" t="s">
        <v>647</v>
      </c>
      <c r="F5615" t="s">
        <v>648</v>
      </c>
      <c r="G5615" s="10">
        <v>30</v>
      </c>
      <c r="H5615" s="10">
        <v>16002</v>
      </c>
      <c r="I5615" s="10">
        <v>480060</v>
      </c>
      <c r="J5615" t="s">
        <v>37</v>
      </c>
      <c r="K5615" s="11">
        <v>648.20000000000005</v>
      </c>
      <c r="L5615" s="12">
        <v>740.6</v>
      </c>
    </row>
    <row r="5616" spans="1:12" x14ac:dyDescent="0.2">
      <c r="A5616" s="9">
        <v>46265</v>
      </c>
      <c r="B5616" t="s">
        <v>564</v>
      </c>
      <c r="C5616" t="s">
        <v>565</v>
      </c>
      <c r="D5616" t="s">
        <v>41</v>
      </c>
      <c r="E5616" t="s">
        <v>653</v>
      </c>
      <c r="F5616" t="s">
        <v>658</v>
      </c>
      <c r="G5616" s="10">
        <v>20</v>
      </c>
      <c r="H5616" s="10">
        <v>12701</v>
      </c>
      <c r="I5616" s="10">
        <v>254020</v>
      </c>
      <c r="J5616" t="s">
        <v>42</v>
      </c>
      <c r="K5616" s="11">
        <v>3145.8</v>
      </c>
      <c r="L5616" s="12">
        <v>80.75</v>
      </c>
    </row>
    <row r="5617" spans="1:12" x14ac:dyDescent="0.2">
      <c r="A5617" s="9">
        <v>46265</v>
      </c>
      <c r="B5617" t="s">
        <v>564</v>
      </c>
      <c r="C5617" t="s">
        <v>565</v>
      </c>
      <c r="D5617" t="s">
        <v>41</v>
      </c>
      <c r="E5617" t="s">
        <v>653</v>
      </c>
      <c r="F5617" t="s">
        <v>654</v>
      </c>
      <c r="G5617" s="10">
        <v>18</v>
      </c>
      <c r="H5617" s="10">
        <v>27459</v>
      </c>
      <c r="I5617" s="10">
        <v>494262</v>
      </c>
      <c r="J5617" t="s">
        <v>42</v>
      </c>
      <c r="K5617" s="11">
        <v>3145.8</v>
      </c>
      <c r="L5617" s="12">
        <v>157.12</v>
      </c>
    </row>
    <row r="5618" spans="1:12" x14ac:dyDescent="0.2">
      <c r="A5618" s="9">
        <v>46265</v>
      </c>
      <c r="B5618" t="s">
        <v>564</v>
      </c>
      <c r="C5618" t="s">
        <v>565</v>
      </c>
      <c r="D5618" t="s">
        <v>41</v>
      </c>
      <c r="E5618" t="s">
        <v>647</v>
      </c>
      <c r="F5618" t="s">
        <v>667</v>
      </c>
      <c r="G5618" s="10">
        <v>8</v>
      </c>
      <c r="H5618" s="10">
        <v>36524</v>
      </c>
      <c r="I5618" s="10">
        <v>292192</v>
      </c>
      <c r="J5618" t="s">
        <v>42</v>
      </c>
      <c r="K5618" s="11">
        <v>3145.8</v>
      </c>
      <c r="L5618" s="12">
        <v>92.88</v>
      </c>
    </row>
    <row r="5619" spans="1:12" x14ac:dyDescent="0.2">
      <c r="A5619" s="9">
        <v>46265</v>
      </c>
      <c r="B5619" t="s">
        <v>564</v>
      </c>
      <c r="C5619" t="s">
        <v>565</v>
      </c>
      <c r="D5619" t="s">
        <v>41</v>
      </c>
      <c r="E5619" t="s">
        <v>647</v>
      </c>
      <c r="F5619" t="s">
        <v>667</v>
      </c>
      <c r="G5619" s="10">
        <v>26</v>
      </c>
      <c r="H5619" s="10">
        <v>35610</v>
      </c>
      <c r="I5619" s="10">
        <v>925860</v>
      </c>
      <c r="J5619" t="s">
        <v>42</v>
      </c>
      <c r="K5619" s="11">
        <v>3145.8</v>
      </c>
      <c r="L5619" s="12">
        <v>294.32</v>
      </c>
    </row>
    <row r="5620" spans="1:12" x14ac:dyDescent="0.2">
      <c r="A5620" s="9">
        <v>46265</v>
      </c>
      <c r="B5620" t="s">
        <v>564</v>
      </c>
      <c r="C5620" t="s">
        <v>565</v>
      </c>
      <c r="D5620" t="s">
        <v>41</v>
      </c>
      <c r="E5620" t="s">
        <v>655</v>
      </c>
      <c r="F5620" t="s">
        <v>665</v>
      </c>
      <c r="G5620" s="10">
        <v>3</v>
      </c>
      <c r="H5620" s="10">
        <v>3429</v>
      </c>
      <c r="I5620" s="10">
        <v>10287</v>
      </c>
      <c r="J5620" t="s">
        <v>42</v>
      </c>
      <c r="K5620" s="11">
        <v>3145.8</v>
      </c>
      <c r="L5620" s="12">
        <v>3.27</v>
      </c>
    </row>
    <row r="5621" spans="1:12" x14ac:dyDescent="0.2">
      <c r="A5621" s="9">
        <v>46265</v>
      </c>
      <c r="B5621" t="s">
        <v>567</v>
      </c>
      <c r="C5621" t="s">
        <v>568</v>
      </c>
      <c r="D5621" t="s">
        <v>41</v>
      </c>
      <c r="E5621" t="s">
        <v>653</v>
      </c>
      <c r="F5621" t="s">
        <v>666</v>
      </c>
      <c r="G5621" s="10">
        <v>35</v>
      </c>
      <c r="H5621" s="10">
        <v>7307</v>
      </c>
      <c r="I5621" s="10">
        <v>255745</v>
      </c>
      <c r="J5621" t="s">
        <v>42</v>
      </c>
      <c r="K5621" s="11">
        <v>3145.8</v>
      </c>
      <c r="L5621" s="12">
        <v>81.3</v>
      </c>
    </row>
    <row r="5622" spans="1:12" x14ac:dyDescent="0.2">
      <c r="A5622" s="9">
        <v>46265</v>
      </c>
      <c r="B5622" t="s">
        <v>570</v>
      </c>
      <c r="C5622" t="s">
        <v>571</v>
      </c>
      <c r="D5622" t="s">
        <v>68</v>
      </c>
      <c r="E5622" t="s">
        <v>649</v>
      </c>
      <c r="F5622" t="s">
        <v>663</v>
      </c>
      <c r="G5622" s="10">
        <v>1</v>
      </c>
      <c r="H5622" s="10">
        <v>2038</v>
      </c>
      <c r="I5622" s="10">
        <v>2038</v>
      </c>
      <c r="J5622" t="s">
        <v>51</v>
      </c>
      <c r="K5622" s="11">
        <v>648.20000000000005</v>
      </c>
      <c r="L5622" s="12">
        <v>3.14</v>
      </c>
    </row>
    <row r="5623" spans="1:12" x14ac:dyDescent="0.2">
      <c r="A5623" s="9">
        <v>46265</v>
      </c>
      <c r="B5623" t="s">
        <v>570</v>
      </c>
      <c r="C5623" t="s">
        <v>571</v>
      </c>
      <c r="D5623" t="s">
        <v>68</v>
      </c>
      <c r="E5623" t="s">
        <v>660</v>
      </c>
      <c r="F5623" t="s">
        <v>669</v>
      </c>
      <c r="G5623" s="10">
        <v>6</v>
      </c>
      <c r="H5623" s="10">
        <v>2568</v>
      </c>
      <c r="I5623" s="10">
        <v>15408</v>
      </c>
      <c r="J5623" t="s">
        <v>51</v>
      </c>
      <c r="K5623" s="11">
        <v>648.20000000000005</v>
      </c>
      <c r="L5623" s="12">
        <v>23.77</v>
      </c>
    </row>
    <row r="5624" spans="1:12" x14ac:dyDescent="0.2">
      <c r="A5624" s="9">
        <v>46265</v>
      </c>
      <c r="B5624" t="s">
        <v>570</v>
      </c>
      <c r="C5624" t="s">
        <v>571</v>
      </c>
      <c r="D5624" t="s">
        <v>68</v>
      </c>
      <c r="E5624" t="s">
        <v>651</v>
      </c>
      <c r="F5624" t="s">
        <v>657</v>
      </c>
      <c r="G5624" s="10">
        <v>5</v>
      </c>
      <c r="H5624" s="10">
        <v>6297</v>
      </c>
      <c r="I5624" s="10">
        <v>31485</v>
      </c>
      <c r="J5624" t="s">
        <v>51</v>
      </c>
      <c r="K5624" s="11">
        <v>648.20000000000005</v>
      </c>
      <c r="L5624" s="12">
        <v>48.57</v>
      </c>
    </row>
    <row r="5625" spans="1:12" x14ac:dyDescent="0.2">
      <c r="A5625" s="9">
        <v>46265</v>
      </c>
      <c r="B5625" t="s">
        <v>579</v>
      </c>
      <c r="C5625" t="s">
        <v>580</v>
      </c>
      <c r="D5625" t="s">
        <v>75</v>
      </c>
      <c r="E5625" t="s">
        <v>655</v>
      </c>
      <c r="F5625" t="s">
        <v>656</v>
      </c>
      <c r="G5625" s="10">
        <v>3</v>
      </c>
      <c r="H5625" s="10">
        <v>2727</v>
      </c>
      <c r="I5625" s="10">
        <v>8181</v>
      </c>
      <c r="J5625" t="s">
        <v>42</v>
      </c>
      <c r="K5625" s="11">
        <v>3145.8</v>
      </c>
      <c r="L5625" s="12">
        <v>2.6</v>
      </c>
    </row>
    <row r="5626" spans="1:12" x14ac:dyDescent="0.2">
      <c r="A5626" s="9">
        <v>46265</v>
      </c>
      <c r="B5626" t="s">
        <v>590</v>
      </c>
      <c r="C5626" t="s">
        <v>591</v>
      </c>
      <c r="D5626" t="s">
        <v>41</v>
      </c>
      <c r="E5626" t="s">
        <v>647</v>
      </c>
      <c r="F5626" t="s">
        <v>667</v>
      </c>
      <c r="G5626" s="10">
        <v>27</v>
      </c>
      <c r="H5626" s="10">
        <v>35301</v>
      </c>
      <c r="I5626" s="10">
        <v>953127</v>
      </c>
      <c r="J5626" t="s">
        <v>42</v>
      </c>
      <c r="K5626" s="11">
        <v>3145.8</v>
      </c>
      <c r="L5626" s="12">
        <v>302.98</v>
      </c>
    </row>
    <row r="5627" spans="1:12" x14ac:dyDescent="0.2">
      <c r="A5627" s="9">
        <v>46265</v>
      </c>
      <c r="B5627" t="s">
        <v>590</v>
      </c>
      <c r="C5627" t="s">
        <v>591</v>
      </c>
      <c r="D5627" t="s">
        <v>41</v>
      </c>
      <c r="E5627" t="s">
        <v>651</v>
      </c>
      <c r="F5627" t="s">
        <v>657</v>
      </c>
      <c r="G5627" s="10">
        <v>91</v>
      </c>
      <c r="H5627" s="10">
        <v>30537</v>
      </c>
      <c r="I5627" s="10">
        <v>2778867</v>
      </c>
      <c r="J5627" t="s">
        <v>42</v>
      </c>
      <c r="K5627" s="11">
        <v>3145.8</v>
      </c>
      <c r="L5627" s="12">
        <v>883.36</v>
      </c>
    </row>
    <row r="5628" spans="1:12" x14ac:dyDescent="0.2">
      <c r="A5628" s="9">
        <v>46265</v>
      </c>
      <c r="B5628" t="s">
        <v>593</v>
      </c>
      <c r="C5628" t="s">
        <v>594</v>
      </c>
      <c r="D5628" t="s">
        <v>50</v>
      </c>
      <c r="E5628" t="s">
        <v>653</v>
      </c>
      <c r="F5628" t="s">
        <v>658</v>
      </c>
      <c r="G5628" s="10">
        <v>7</v>
      </c>
      <c r="H5628" s="10">
        <v>2702</v>
      </c>
      <c r="I5628" s="10">
        <v>18914</v>
      </c>
      <c r="J5628" t="s">
        <v>51</v>
      </c>
      <c r="K5628" s="11">
        <v>648.20000000000005</v>
      </c>
      <c r="L5628" s="12">
        <v>29.18</v>
      </c>
    </row>
    <row r="5629" spans="1:12" x14ac:dyDescent="0.2">
      <c r="A5629" s="9">
        <v>46265</v>
      </c>
      <c r="B5629" t="s">
        <v>593</v>
      </c>
      <c r="C5629" t="s">
        <v>594</v>
      </c>
      <c r="D5629" t="s">
        <v>50</v>
      </c>
      <c r="E5629" t="s">
        <v>655</v>
      </c>
      <c r="F5629" t="s">
        <v>665</v>
      </c>
      <c r="G5629" s="10">
        <v>6</v>
      </c>
      <c r="H5629" s="10">
        <v>662</v>
      </c>
      <c r="I5629" s="10">
        <v>3972</v>
      </c>
      <c r="J5629" t="s">
        <v>51</v>
      </c>
      <c r="K5629" s="11">
        <v>648.20000000000005</v>
      </c>
      <c r="L5629" s="12">
        <v>6.13</v>
      </c>
    </row>
    <row r="5630" spans="1:12" x14ac:dyDescent="0.2">
      <c r="A5630" s="9">
        <v>46265</v>
      </c>
      <c r="B5630" t="s">
        <v>599</v>
      </c>
      <c r="C5630" t="s">
        <v>600</v>
      </c>
      <c r="D5630" t="s">
        <v>75</v>
      </c>
      <c r="E5630" t="s">
        <v>647</v>
      </c>
      <c r="F5630" t="s">
        <v>667</v>
      </c>
      <c r="G5630" s="10">
        <v>12</v>
      </c>
      <c r="H5630" s="10">
        <v>35650</v>
      </c>
      <c r="I5630" s="10">
        <v>427800</v>
      </c>
      <c r="J5630" t="s">
        <v>42</v>
      </c>
      <c r="K5630" s="11">
        <v>3145.8</v>
      </c>
      <c r="L5630" s="12">
        <v>135.99</v>
      </c>
    </row>
    <row r="5631" spans="1:12" x14ac:dyDescent="0.2">
      <c r="A5631" s="9">
        <v>46265</v>
      </c>
      <c r="B5631" t="s">
        <v>602</v>
      </c>
      <c r="C5631" t="s">
        <v>603</v>
      </c>
      <c r="D5631" t="s">
        <v>50</v>
      </c>
      <c r="E5631" t="s">
        <v>653</v>
      </c>
      <c r="F5631" t="s">
        <v>666</v>
      </c>
      <c r="G5631" s="10">
        <v>47</v>
      </c>
      <c r="H5631" s="10">
        <v>1529</v>
      </c>
      <c r="I5631" s="10">
        <v>71863</v>
      </c>
      <c r="J5631" t="s">
        <v>51</v>
      </c>
      <c r="K5631" s="11">
        <v>648.20000000000005</v>
      </c>
      <c r="L5631" s="12">
        <v>110.87</v>
      </c>
    </row>
    <row r="5632" spans="1:12" x14ac:dyDescent="0.2">
      <c r="A5632" s="9">
        <v>46265</v>
      </c>
      <c r="B5632" t="s">
        <v>605</v>
      </c>
      <c r="C5632" t="s">
        <v>606</v>
      </c>
      <c r="D5632" t="s">
        <v>68</v>
      </c>
      <c r="E5632" t="s">
        <v>655</v>
      </c>
      <c r="F5632" t="s">
        <v>656</v>
      </c>
      <c r="G5632" s="10">
        <v>17</v>
      </c>
      <c r="H5632" s="10">
        <v>562</v>
      </c>
      <c r="I5632" s="10">
        <v>9554</v>
      </c>
      <c r="J5632" t="s">
        <v>51</v>
      </c>
      <c r="K5632" s="11">
        <v>648.20000000000005</v>
      </c>
      <c r="L5632" s="12">
        <v>14.74</v>
      </c>
    </row>
    <row r="5633" spans="1:12" x14ac:dyDescent="0.2">
      <c r="A5633" s="9">
        <v>46265</v>
      </c>
      <c r="B5633" t="s">
        <v>611</v>
      </c>
      <c r="C5633" t="s">
        <v>612</v>
      </c>
      <c r="D5633" t="s">
        <v>41</v>
      </c>
      <c r="E5633" t="s">
        <v>653</v>
      </c>
      <c r="F5633" t="s">
        <v>658</v>
      </c>
      <c r="G5633" s="10">
        <v>1</v>
      </c>
      <c r="H5633" s="10">
        <v>13012</v>
      </c>
      <c r="I5633" s="10">
        <v>13012</v>
      </c>
      <c r="J5633" t="s">
        <v>42</v>
      </c>
      <c r="K5633" s="11">
        <v>3145.8</v>
      </c>
      <c r="L5633" s="12">
        <v>4.1399999999999997</v>
      </c>
    </row>
    <row r="5634" spans="1:12" x14ac:dyDescent="0.2">
      <c r="A5634" s="9">
        <v>46265</v>
      </c>
      <c r="B5634" t="s">
        <v>611</v>
      </c>
      <c r="C5634" t="s">
        <v>612</v>
      </c>
      <c r="D5634" t="s">
        <v>41</v>
      </c>
      <c r="E5634" t="s">
        <v>653</v>
      </c>
      <c r="F5634" t="s">
        <v>654</v>
      </c>
      <c r="G5634" s="10">
        <v>2</v>
      </c>
      <c r="H5634" s="10">
        <v>27316</v>
      </c>
      <c r="I5634" s="10">
        <v>54632</v>
      </c>
      <c r="J5634" t="s">
        <v>42</v>
      </c>
      <c r="K5634" s="11">
        <v>3145.8</v>
      </c>
      <c r="L5634" s="12">
        <v>17.37</v>
      </c>
    </row>
    <row r="5635" spans="1:12" x14ac:dyDescent="0.2">
      <c r="A5635" s="9">
        <v>46265</v>
      </c>
      <c r="B5635" t="s">
        <v>611</v>
      </c>
      <c r="C5635" t="s">
        <v>612</v>
      </c>
      <c r="D5635" t="s">
        <v>41</v>
      </c>
      <c r="E5635" t="s">
        <v>647</v>
      </c>
      <c r="F5635" t="s">
        <v>667</v>
      </c>
      <c r="G5635" s="10">
        <v>16</v>
      </c>
      <c r="H5635" s="10">
        <v>35708</v>
      </c>
      <c r="I5635" s="10">
        <v>571328</v>
      </c>
      <c r="J5635" t="s">
        <v>42</v>
      </c>
      <c r="K5635" s="11">
        <v>3145.8</v>
      </c>
      <c r="L5635" s="12">
        <v>181.62</v>
      </c>
    </row>
    <row r="5636" spans="1:12" x14ac:dyDescent="0.2">
      <c r="A5636" s="9">
        <v>46265</v>
      </c>
      <c r="B5636" t="s">
        <v>623</v>
      </c>
      <c r="C5636" t="s">
        <v>624</v>
      </c>
      <c r="D5636" t="s">
        <v>68</v>
      </c>
      <c r="E5636" t="s">
        <v>660</v>
      </c>
      <c r="F5636" t="s">
        <v>669</v>
      </c>
      <c r="G5636" s="10">
        <v>81</v>
      </c>
      <c r="H5636" s="10">
        <v>2672</v>
      </c>
      <c r="I5636" s="10">
        <v>216432</v>
      </c>
      <c r="J5636" t="s">
        <v>51</v>
      </c>
      <c r="K5636" s="11">
        <v>648.20000000000005</v>
      </c>
      <c r="L5636" s="12">
        <v>333.9</v>
      </c>
    </row>
    <row r="5637" spans="1:12" x14ac:dyDescent="0.2">
      <c r="A5637" s="9">
        <v>46265</v>
      </c>
      <c r="B5637" t="s">
        <v>623</v>
      </c>
      <c r="C5637" t="s">
        <v>624</v>
      </c>
      <c r="D5637" t="s">
        <v>68</v>
      </c>
      <c r="E5637" t="s">
        <v>647</v>
      </c>
      <c r="F5637" t="s">
        <v>648</v>
      </c>
      <c r="G5637" s="10">
        <v>24</v>
      </c>
      <c r="H5637" s="10">
        <v>16724</v>
      </c>
      <c r="I5637" s="10">
        <v>401376</v>
      </c>
      <c r="J5637" t="s">
        <v>51</v>
      </c>
      <c r="K5637" s="11">
        <v>648.20000000000005</v>
      </c>
      <c r="L5637" s="12">
        <v>619.22</v>
      </c>
    </row>
    <row r="5638" spans="1:12" x14ac:dyDescent="0.2">
      <c r="A5638" s="9">
        <v>46265</v>
      </c>
      <c r="B5638" t="s">
        <v>623</v>
      </c>
      <c r="C5638" t="s">
        <v>624</v>
      </c>
      <c r="D5638" t="s">
        <v>68</v>
      </c>
      <c r="E5638" t="s">
        <v>647</v>
      </c>
      <c r="F5638" t="s">
        <v>667</v>
      </c>
      <c r="G5638" s="10">
        <v>15</v>
      </c>
      <c r="H5638" s="10">
        <v>7343</v>
      </c>
      <c r="I5638" s="10">
        <v>110145</v>
      </c>
      <c r="J5638" t="s">
        <v>51</v>
      </c>
      <c r="K5638" s="11">
        <v>648.20000000000005</v>
      </c>
      <c r="L5638" s="12">
        <v>169.92</v>
      </c>
    </row>
    <row r="5639" spans="1:12" x14ac:dyDescent="0.2">
      <c r="A5639" s="9">
        <v>46265</v>
      </c>
      <c r="B5639" t="s">
        <v>629</v>
      </c>
      <c r="C5639" t="s">
        <v>630</v>
      </c>
      <c r="D5639" t="s">
        <v>46</v>
      </c>
      <c r="E5639" t="s">
        <v>649</v>
      </c>
      <c r="F5639" t="s">
        <v>663</v>
      </c>
      <c r="G5639" s="10">
        <v>43</v>
      </c>
      <c r="H5639" s="10">
        <v>1973</v>
      </c>
      <c r="I5639" s="10">
        <v>84839</v>
      </c>
      <c r="J5639" t="s">
        <v>37</v>
      </c>
      <c r="K5639" s="11">
        <v>648.20000000000005</v>
      </c>
      <c r="L5639" s="12">
        <v>130.88</v>
      </c>
    </row>
    <row r="5640" spans="1:12" x14ac:dyDescent="0.2">
      <c r="A5640" s="9">
        <v>46265</v>
      </c>
      <c r="B5640" t="s">
        <v>629</v>
      </c>
      <c r="C5640" t="s">
        <v>630</v>
      </c>
      <c r="D5640" t="s">
        <v>46</v>
      </c>
      <c r="E5640" t="s">
        <v>660</v>
      </c>
      <c r="F5640" t="s">
        <v>661</v>
      </c>
      <c r="G5640" s="10">
        <v>77</v>
      </c>
      <c r="H5640" s="10">
        <v>4116</v>
      </c>
      <c r="I5640" s="10">
        <v>316932</v>
      </c>
      <c r="J5640" t="s">
        <v>37</v>
      </c>
      <c r="K5640" s="11">
        <v>648.20000000000005</v>
      </c>
      <c r="L5640" s="12">
        <v>488.94</v>
      </c>
    </row>
    <row r="5641" spans="1:12" x14ac:dyDescent="0.2">
      <c r="A5641" s="9">
        <v>46265</v>
      </c>
      <c r="B5641" t="s">
        <v>632</v>
      </c>
      <c r="C5641" t="s">
        <v>633</v>
      </c>
      <c r="D5641" t="s">
        <v>68</v>
      </c>
      <c r="E5641" t="s">
        <v>660</v>
      </c>
      <c r="F5641" t="s">
        <v>661</v>
      </c>
      <c r="G5641" s="10">
        <v>3</v>
      </c>
      <c r="H5641" s="10">
        <v>4234</v>
      </c>
      <c r="I5641" s="10">
        <v>12702</v>
      </c>
      <c r="J5641" t="s">
        <v>51</v>
      </c>
      <c r="K5641" s="11">
        <v>648.20000000000005</v>
      </c>
      <c r="L5641" s="12">
        <v>19.600000000000001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5"/>
  <sheetViews>
    <sheetView workbookViewId="0"/>
  </sheetViews>
  <sheetFormatPr baseColWidth="10" defaultColWidth="8.83203125" defaultRowHeight="15" x14ac:dyDescent="0.2"/>
  <cols>
    <col min="1" max="1" width="16" customWidth="1"/>
    <col min="2" max="2" width="22" customWidth="1"/>
    <col min="3" max="3" width="42" customWidth="1"/>
    <col min="4" max="4" width="18" customWidth="1"/>
    <col min="5" max="5" width="12" customWidth="1"/>
    <col min="6" max="6" width="40" customWidth="1"/>
  </cols>
  <sheetData>
    <row r="1" spans="1:4" ht="19" x14ac:dyDescent="0.25">
      <c r="A1" s="1" t="s">
        <v>671</v>
      </c>
    </row>
    <row r="2" spans="1:4" x14ac:dyDescent="0.2">
      <c r="A2" s="4" t="s">
        <v>672</v>
      </c>
    </row>
    <row r="4" spans="1:4" ht="22" customHeight="1" x14ac:dyDescent="0.2">
      <c r="A4" s="5" t="s">
        <v>673</v>
      </c>
      <c r="B4" s="5" t="s">
        <v>674</v>
      </c>
      <c r="C4" s="5" t="s">
        <v>675</v>
      </c>
      <c r="D4" s="5" t="s">
        <v>30</v>
      </c>
    </row>
    <row r="5" spans="1:4" x14ac:dyDescent="0.2">
      <c r="A5" s="6" t="s">
        <v>26</v>
      </c>
      <c r="B5" s="6" t="s">
        <v>41</v>
      </c>
      <c r="C5" s="6" t="s">
        <v>676</v>
      </c>
      <c r="D5" s="13">
        <f>SUMIFS(t_Ventes[Montant_USD],t_Ventes[Agence],IF($A5="Agence",$B5,"*"),t_Ventes[Famille],IF($A5="Famille",$B5,"*"))</f>
        <v>387868.97000000073</v>
      </c>
    </row>
    <row r="6" spans="1:4" x14ac:dyDescent="0.2">
      <c r="A6" s="6" t="s">
        <v>26</v>
      </c>
      <c r="B6" s="6" t="s">
        <v>75</v>
      </c>
      <c r="C6" s="6" t="s">
        <v>677</v>
      </c>
      <c r="D6" s="13">
        <f>SUMIFS(t_Ventes[Montant_USD],t_Ventes[Agence],IF($A6="Agence",$B6,"*"),t_Ventes[Famille],IF($A6="Famille",$B6,"*"))</f>
        <v>219953.11999999994</v>
      </c>
    </row>
    <row r="7" spans="1:4" x14ac:dyDescent="0.2">
      <c r="A7" s="6" t="s">
        <v>26</v>
      </c>
      <c r="B7" s="6" t="s">
        <v>46</v>
      </c>
      <c r="C7" s="6" t="s">
        <v>678</v>
      </c>
      <c r="D7" s="13">
        <f>SUMIFS(t_Ventes[Montant_USD],t_Ventes[Agence],IF($A7="Agence",$B7,"*"),t_Ventes[Famille],IF($A7="Famille",$B7,"*"))</f>
        <v>402516.35000000003</v>
      </c>
    </row>
    <row r="8" spans="1:4" x14ac:dyDescent="0.2">
      <c r="A8" s="6" t="s">
        <v>26</v>
      </c>
      <c r="B8" s="6" t="s">
        <v>36</v>
      </c>
      <c r="C8" s="6" t="s">
        <v>679</v>
      </c>
      <c r="D8" s="13">
        <f>SUMIFS(t_Ventes[Montant_USD],t_Ventes[Agence],IF($A8="Agence",$B8,"*"),t_Ventes[Famille],IF($A8="Famille",$B8,"*"))</f>
        <v>162151.37999999983</v>
      </c>
    </row>
    <row r="9" spans="1:4" x14ac:dyDescent="0.2">
      <c r="A9" s="6" t="s">
        <v>26</v>
      </c>
      <c r="B9" s="6" t="s">
        <v>50</v>
      </c>
      <c r="C9" s="6" t="s">
        <v>680</v>
      </c>
      <c r="D9" s="13">
        <f>SUMIFS(t_Ventes[Montant_USD],t_Ventes[Agence],IF($A9="Agence",$B9,"*"),t_Ventes[Famille],IF($A9="Famille",$B9,"*"))</f>
        <v>194444.31000000026</v>
      </c>
    </row>
    <row r="10" spans="1:4" x14ac:dyDescent="0.2">
      <c r="A10" s="6" t="s">
        <v>26</v>
      </c>
      <c r="B10" s="6" t="s">
        <v>68</v>
      </c>
      <c r="C10" s="6" t="s">
        <v>681</v>
      </c>
      <c r="D10" s="13">
        <f>SUMIFS(t_Ventes[Montant_USD],t_Ventes[Agence],IF($A10="Agence",$B10,"*"),t_Ventes[Famille],IF($A10="Famille",$B10,"*"))</f>
        <v>305853.77999999974</v>
      </c>
    </row>
    <row r="11" spans="1:4" x14ac:dyDescent="0.2">
      <c r="A11" s="6" t="s">
        <v>640</v>
      </c>
      <c r="B11" s="6" t="s">
        <v>660</v>
      </c>
      <c r="C11" s="6" t="s">
        <v>682</v>
      </c>
      <c r="D11" s="13">
        <f>SUMIFS(t_Ventes[Montant_USD],t_Ventes[Agence],IF($A11="Agence",$B11,"*"),t_Ventes[Famille],IF($A11="Famille",$B11,"*"))</f>
        <v>279286.53000000003</v>
      </c>
    </row>
    <row r="12" spans="1:4" x14ac:dyDescent="0.2">
      <c r="A12" s="6" t="s">
        <v>640</v>
      </c>
      <c r="B12" s="6" t="s">
        <v>647</v>
      </c>
      <c r="C12" s="6" t="s">
        <v>683</v>
      </c>
      <c r="D12" s="13">
        <f>SUMIFS(t_Ventes[Montant_USD],t_Ventes[Agence],IF($A12="Agence",$B12,"*"),t_Ventes[Famille],IF($A12="Famille",$B12,"*"))</f>
        <v>790854.57999999891</v>
      </c>
    </row>
    <row r="13" spans="1:4" x14ac:dyDescent="0.2">
      <c r="A13" s="6" t="s">
        <v>640</v>
      </c>
      <c r="B13" s="6" t="s">
        <v>649</v>
      </c>
      <c r="C13" s="6" t="s">
        <v>684</v>
      </c>
      <c r="D13" s="13">
        <f>SUMIFS(t_Ventes[Montant_USD],t_Ventes[Agence],IF($A13="Agence",$B13,"*"),t_Ventes[Famille],IF($A13="Famille",$B13,"*"))</f>
        <v>339712.76999999955</v>
      </c>
    </row>
    <row r="14" spans="1:4" x14ac:dyDescent="0.2">
      <c r="A14" s="6" t="s">
        <v>640</v>
      </c>
      <c r="B14" s="6" t="s">
        <v>653</v>
      </c>
      <c r="C14" s="6" t="s">
        <v>685</v>
      </c>
      <c r="D14" s="13">
        <f>SUMIFS(t_Ventes[Montant_USD],t_Ventes[Agence],IF($A14="Agence",$B14,"*"),t_Ventes[Famille],IF($A14="Famille",$B14,"*"))</f>
        <v>81306.669999999955</v>
      </c>
    </row>
    <row r="15" spans="1:4" x14ac:dyDescent="0.2">
      <c r="A15" s="6" t="s">
        <v>640</v>
      </c>
      <c r="B15" s="6" t="s">
        <v>651</v>
      </c>
      <c r="C15" s="6" t="s">
        <v>686</v>
      </c>
      <c r="D15" s="13">
        <f>SUMIFS(t_Ventes[Montant_USD],t_Ventes[Agence],IF($A15="Agence",$B15,"*"),t_Ventes[Famille],IF($A15="Famille",$B15,"*"))</f>
        <v>159883.22000000006</v>
      </c>
    </row>
    <row r="16" spans="1:4" x14ac:dyDescent="0.2">
      <c r="A16" s="6" t="s">
        <v>640</v>
      </c>
      <c r="B16" s="6" t="s">
        <v>655</v>
      </c>
      <c r="C16" s="6" t="s">
        <v>687</v>
      </c>
      <c r="D16" s="13">
        <f>SUMIFS(t_Ventes[Montant_USD],t_Ventes[Agence],IF($A16="Agence",$B16,"*"),t_Ventes[Famille],IF($A16="Famille",$B16,"*"))</f>
        <v>21744.140000000018</v>
      </c>
    </row>
    <row r="19" spans="1:3" ht="19" x14ac:dyDescent="0.25">
      <c r="A19" s="1" t="s">
        <v>688</v>
      </c>
    </row>
    <row r="21" spans="1:3" x14ac:dyDescent="0.2">
      <c r="A21" s="14" t="s">
        <v>689</v>
      </c>
      <c r="B21" s="15" t="s">
        <v>690</v>
      </c>
      <c r="C21" s="4" t="s">
        <v>691</v>
      </c>
    </row>
    <row r="22" spans="1:3" x14ac:dyDescent="0.2">
      <c r="A22" s="14" t="s">
        <v>692</v>
      </c>
      <c r="B22" s="15" t="s">
        <v>693</v>
      </c>
      <c r="C22" s="4" t="s">
        <v>694</v>
      </c>
    </row>
    <row r="23" spans="1:3" x14ac:dyDescent="0.2">
      <c r="A23" s="14" t="s">
        <v>695</v>
      </c>
      <c r="B23" s="16">
        <v>3145.8</v>
      </c>
      <c r="C23" s="4" t="s">
        <v>696</v>
      </c>
    </row>
    <row r="24" spans="1:3" x14ac:dyDescent="0.2">
      <c r="A24" s="14" t="s">
        <v>697</v>
      </c>
      <c r="B24" s="16">
        <v>648.20000000000005</v>
      </c>
      <c r="C24" s="4" t="s">
        <v>698</v>
      </c>
    </row>
    <row r="25" spans="1:3" x14ac:dyDescent="0.2">
      <c r="A25" s="14" t="s">
        <v>699</v>
      </c>
      <c r="B25" s="16">
        <v>648.20000000000005</v>
      </c>
      <c r="C25" s="4" t="s">
        <v>700</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22"/>
  <sheetViews>
    <sheetView workbookViewId="0"/>
  </sheetViews>
  <sheetFormatPr baseColWidth="10" defaultColWidth="8.83203125" defaultRowHeight="15" x14ac:dyDescent="0.2"/>
  <cols>
    <col min="1" max="1" width="30" customWidth="1"/>
    <col min="2" max="2" width="20" customWidth="1"/>
    <col min="3" max="3" width="16" customWidth="1"/>
    <col min="4" max="4" width="14" customWidth="1"/>
    <col min="5" max="5" width="40" customWidth="1"/>
  </cols>
  <sheetData>
    <row r="1" spans="1:4" ht="19" x14ac:dyDescent="0.25">
      <c r="A1" s="1" t="s">
        <v>701</v>
      </c>
    </row>
    <row r="2" spans="1:4" x14ac:dyDescent="0.2">
      <c r="A2" s="4" t="s">
        <v>702</v>
      </c>
    </row>
    <row r="4" spans="1:4" x14ac:dyDescent="0.2">
      <c r="A4" s="14" t="s">
        <v>703</v>
      </c>
      <c r="B4" s="15" t="s">
        <v>26</v>
      </c>
      <c r="C4" s="4" t="s">
        <v>704</v>
      </c>
    </row>
    <row r="5" spans="1:4" x14ac:dyDescent="0.2">
      <c r="A5" s="14" t="s">
        <v>674</v>
      </c>
      <c r="B5" s="15" t="s">
        <v>41</v>
      </c>
    </row>
    <row r="7" spans="1:4" x14ac:dyDescent="0.2">
      <c r="A7" s="14" t="s">
        <v>705</v>
      </c>
      <c r="B7" s="17">
        <f>SUMIFS(t_Ventes[Montant_USD],t_Ventes[Agence],IF($B$4="Agence",$B$5,"*"),t_Ventes[Famille],IF($B$4="Famille",$B$5,"*"))</f>
        <v>387868.97000000073</v>
      </c>
    </row>
    <row r="8" spans="1:4" x14ac:dyDescent="0.2">
      <c r="A8" s="14" t="s">
        <v>706</v>
      </c>
      <c r="B8" s="18">
        <f>COUNTIFS(t_Ventes[Agence],IF($B$4="Agence",$B$5,"*"),t_Ventes[Famille],IF($B$4="Famille",$B$5,"*"))</f>
        <v>1567</v>
      </c>
    </row>
    <row r="9" spans="1:4" x14ac:dyDescent="0.2">
      <c r="A9" s="14" t="s">
        <v>707</v>
      </c>
      <c r="B9" s="18">
        <f>SUMIFS(t_Ventes[Quantite],t_Ventes[Agence],IF($B$4="Agence",$B$5,"*"),t_Ventes[Famille],IF($B$4="Famille",$B$5,"*"))</f>
        <v>28539</v>
      </c>
    </row>
    <row r="10" spans="1:4" x14ac:dyDescent="0.2">
      <c r="A10" s="14" t="s">
        <v>708</v>
      </c>
      <c r="B10" s="17">
        <f>IF(B8=0,0,B7/B8)</f>
        <v>247.52327377153844</v>
      </c>
    </row>
    <row r="11" spans="1:4" x14ac:dyDescent="0.2">
      <c r="A11" s="14" t="s">
        <v>709</v>
      </c>
      <c r="B11" s="19">
        <f>IF(REPONSES!$B$15=0,0,B7/REPONSES!$B$15)</f>
        <v>0.23186978318130017</v>
      </c>
    </row>
    <row r="13" spans="1:4" ht="19" x14ac:dyDescent="0.25">
      <c r="A13" s="1" t="s">
        <v>710</v>
      </c>
    </row>
    <row r="15" spans="1:4" ht="22" customHeight="1" x14ac:dyDescent="0.2">
      <c r="A15" s="5" t="s">
        <v>711</v>
      </c>
      <c r="B15" s="5" t="s">
        <v>705</v>
      </c>
      <c r="C15" s="5" t="s">
        <v>28</v>
      </c>
      <c r="D15" s="5" t="s">
        <v>712</v>
      </c>
    </row>
    <row r="16" spans="1:4" x14ac:dyDescent="0.2">
      <c r="A16" s="20" t="str">
        <f>IF($B$4="Agence",INDEX(PARAMETRES!$B$11:$B$16,1),INDEX(PARAMETRES!$B$5:$B$10,1))</f>
        <v>Huiles</v>
      </c>
      <c r="B16" s="17">
        <f>SUMIFS(t_Ventes[Montant_USD],t_Ventes[Agence],IF($B$4="Agence",$B$5,$A16),t_Ventes[Famille],IF($B$4="Agence",$A16,$B$5))</f>
        <v>63019.819999999971</v>
      </c>
      <c r="C16" s="18">
        <f>COUNTIFS(t_Ventes[Agence],IF($B$4="Agence",$B$5,$A16),t_Ventes[Famille],IF($B$4="Agence",$A16,$B$5))</f>
        <v>338</v>
      </c>
      <c r="D16" s="19">
        <f t="shared" ref="D16:D21" si="0">IF($B$7=0,0,B16/$B$7)</f>
        <v>0.16247708601180408</v>
      </c>
    </row>
    <row r="17" spans="1:4" x14ac:dyDescent="0.2">
      <c r="A17" s="20" t="str">
        <f>IF($B$4="Agence",INDEX(PARAMETRES!$B$11:$B$16,2),INDEX(PARAMETRES!$B$5:$B$10,2))</f>
        <v>Riz</v>
      </c>
      <c r="B17" s="17">
        <f>SUMIFS(t_Ventes[Montant_USD],t_Ventes[Agence],IF($B$4="Agence",$B$5,$A17),t_Ventes[Famille],IF($B$4="Agence",$A17,$B$5))</f>
        <v>183202.77000000008</v>
      </c>
      <c r="C17" s="18">
        <f>COUNTIFS(t_Ventes[Agence],IF($B$4="Agence",$B$5,$A17),t_Ventes[Famille],IF($B$4="Agence",$A17,$B$5))</f>
        <v>391</v>
      </c>
      <c r="D17" s="19">
        <f t="shared" si="0"/>
        <v>0.47233159693078758</v>
      </c>
    </row>
    <row r="18" spans="1:4" x14ac:dyDescent="0.2">
      <c r="A18" s="20" t="str">
        <f>IF($B$4="Agence",INDEX(PARAMETRES!$B$11:$B$16,3),INDEX(PARAMETRES!$B$5:$B$10,3))</f>
        <v>Farine</v>
      </c>
      <c r="B18" s="17">
        <f>SUMIFS(t_Ventes[Montant_USD],t_Ventes[Agence],IF($B$4="Agence",$B$5,$A18),t_Ventes[Famille],IF($B$4="Agence",$A18,$B$5))</f>
        <v>75221.280000000028</v>
      </c>
      <c r="C18" s="18">
        <f>COUNTIFS(t_Ventes[Agence],IF($B$4="Agence",$B$5,$A18),t_Ventes[Famille],IF($B$4="Agence",$A18,$B$5))</f>
        <v>267</v>
      </c>
      <c r="D18" s="19">
        <f t="shared" si="0"/>
        <v>0.19393477132238726</v>
      </c>
    </row>
    <row r="19" spans="1:4" x14ac:dyDescent="0.2">
      <c r="A19" s="20" t="str">
        <f>IF($B$4="Agence",INDEX(PARAMETRES!$B$11:$B$16,4),INDEX(PARAMETRES!$B$5:$B$10,4))</f>
        <v>Boissons</v>
      </c>
      <c r="B19" s="17">
        <f>SUMIFS(t_Ventes[Montant_USD],t_Ventes[Agence],IF($B$4="Agence",$B$5,$A19),t_Ventes[Famille],IF($B$4="Agence",$A19,$B$5))</f>
        <v>16832.540000000005</v>
      </c>
      <c r="C19" s="18">
        <f>COUNTIFS(t_Ventes[Agence],IF($B$4="Agence",$B$5,$A19),t_Ventes[Famille],IF($B$4="Agence",$A19,$B$5))</f>
        <v>193</v>
      </c>
      <c r="D19" s="19">
        <f t="shared" si="0"/>
        <v>4.3397490652577787E-2</v>
      </c>
    </row>
    <row r="20" spans="1:4" x14ac:dyDescent="0.2">
      <c r="A20" s="20" t="str">
        <f>IF($B$4="Agence",INDEX(PARAMETRES!$B$11:$B$16,5),INDEX(PARAMETRES!$B$5:$B$10,5))</f>
        <v>Savons</v>
      </c>
      <c r="B20" s="17">
        <f>SUMIFS(t_Ventes[Montant_USD],t_Ventes[Agence],IF($B$4="Agence",$B$5,$A20),t_Ventes[Famille],IF($B$4="Agence",$A20,$B$5))</f>
        <v>44918.439999999966</v>
      </c>
      <c r="C20" s="18">
        <f>COUNTIFS(t_Ventes[Agence],IF($B$4="Agence",$B$5,$A20),t_Ventes[Famille],IF($B$4="Agence",$A20,$B$5))</f>
        <v>169</v>
      </c>
      <c r="D20" s="19">
        <f t="shared" si="0"/>
        <v>0.11580828443172415</v>
      </c>
    </row>
    <row r="21" spans="1:4" x14ac:dyDescent="0.2">
      <c r="A21" s="20" t="str">
        <f>IF($B$4="Agence",INDEX(PARAMETRES!$B$11:$B$16,6),INDEX(PARAMETRES!$B$5:$B$10,6))</f>
        <v>Conserves</v>
      </c>
      <c r="B21" s="17">
        <f>SUMIFS(t_Ventes[Montant_USD],t_Ventes[Agence],IF($B$4="Agence",$B$5,$A21),t_Ventes[Famille],IF($B$4="Agence",$A21,$B$5))</f>
        <v>4674.12</v>
      </c>
      <c r="C21" s="18">
        <f>COUNTIFS(t_Ventes[Agence],IF($B$4="Agence",$B$5,$A21),t_Ventes[Famille],IF($B$4="Agence",$A21,$B$5))</f>
        <v>209</v>
      </c>
      <c r="D21" s="19">
        <f t="shared" si="0"/>
        <v>1.2050770650717409E-2</v>
      </c>
    </row>
    <row r="22" spans="1:4" x14ac:dyDescent="0.2">
      <c r="A22" s="14" t="s">
        <v>713</v>
      </c>
      <c r="B22" s="21">
        <f>SUM(B16:B21)</f>
        <v>387868.97000000003</v>
      </c>
      <c r="C22" s="22">
        <f>SUM(C16:C21)</f>
        <v>1567</v>
      </c>
    </row>
  </sheetData>
  <pageMargins left="0.75" right="0.75" top="1" bottom="1" header="0.5" footer="0.5"/>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6"/>
  <sheetViews>
    <sheetView workbookViewId="0"/>
  </sheetViews>
  <sheetFormatPr baseColWidth="10" defaultColWidth="8.83203125" defaultRowHeight="15" x14ac:dyDescent="0.2"/>
  <cols>
    <col min="1" max="1" width="20" customWidth="1"/>
    <col min="2" max="2" width="44" customWidth="1"/>
    <col min="3" max="4" width="12" customWidth="1"/>
    <col min="5" max="5" width="18" customWidth="1"/>
    <col min="6" max="6" width="40" customWidth="1"/>
  </cols>
  <sheetData>
    <row r="1" spans="1:6" ht="19" x14ac:dyDescent="0.25">
      <c r="A1" s="1" t="s">
        <v>714</v>
      </c>
    </row>
    <row r="2" spans="1:6" x14ac:dyDescent="0.2">
      <c r="A2" s="4" t="s">
        <v>715</v>
      </c>
    </row>
    <row r="4" spans="1:6" ht="22" customHeight="1" x14ac:dyDescent="0.2">
      <c r="A4" s="5" t="s">
        <v>716</v>
      </c>
      <c r="B4" s="5" t="s">
        <v>23</v>
      </c>
      <c r="C4" s="5" t="s">
        <v>717</v>
      </c>
      <c r="D4" s="5" t="s">
        <v>28</v>
      </c>
      <c r="E4" s="5" t="s">
        <v>30</v>
      </c>
      <c r="F4" s="5" t="s">
        <v>718</v>
      </c>
    </row>
    <row r="5" spans="1:6" x14ac:dyDescent="0.2">
      <c r="A5" s="23">
        <v>46286.320983796293</v>
      </c>
      <c r="B5" s="6" t="s">
        <v>676</v>
      </c>
      <c r="C5" s="6" t="s">
        <v>719</v>
      </c>
      <c r="D5" s="7">
        <v>1567</v>
      </c>
      <c r="E5" s="8">
        <v>387868.97</v>
      </c>
      <c r="F5" s="6"/>
    </row>
    <row r="6" spans="1:6" x14ac:dyDescent="0.2">
      <c r="A6" s="23">
        <v>46286.321018518523</v>
      </c>
      <c r="B6" s="6" t="s">
        <v>677</v>
      </c>
      <c r="C6" s="6" t="s">
        <v>719</v>
      </c>
      <c r="D6" s="7">
        <v>725</v>
      </c>
      <c r="E6" s="8">
        <v>219953.12</v>
      </c>
      <c r="F6" s="6"/>
    </row>
    <row r="7" spans="1:6" x14ac:dyDescent="0.2">
      <c r="A7" s="23">
        <v>46286.321053240739</v>
      </c>
      <c r="B7" s="6" t="s">
        <v>678</v>
      </c>
      <c r="C7" s="6" t="s">
        <v>719</v>
      </c>
      <c r="D7" s="7">
        <v>1247</v>
      </c>
      <c r="E7" s="8">
        <v>402516.35</v>
      </c>
      <c r="F7" s="6"/>
    </row>
    <row r="8" spans="1:6" x14ac:dyDescent="0.2">
      <c r="A8" s="23">
        <v>46286.321087962962</v>
      </c>
      <c r="B8" s="6" t="s">
        <v>679</v>
      </c>
      <c r="C8" s="6" t="s">
        <v>719</v>
      </c>
      <c r="D8" s="7">
        <v>635</v>
      </c>
      <c r="E8" s="8">
        <v>162151.38</v>
      </c>
      <c r="F8" s="6"/>
    </row>
    <row r="9" spans="1:6" x14ac:dyDescent="0.2">
      <c r="A9" s="23">
        <v>46286.321122685193</v>
      </c>
      <c r="B9" s="6" t="s">
        <v>680</v>
      </c>
      <c r="C9" s="6" t="s">
        <v>719</v>
      </c>
      <c r="D9" s="7">
        <v>676</v>
      </c>
      <c r="E9" s="8">
        <v>194444.31</v>
      </c>
      <c r="F9" s="6"/>
    </row>
    <row r="10" spans="1:6" x14ac:dyDescent="0.2">
      <c r="A10" s="23">
        <v>46286.321157407408</v>
      </c>
      <c r="B10" s="6" t="s">
        <v>681</v>
      </c>
      <c r="C10" s="6" t="s">
        <v>719</v>
      </c>
      <c r="D10" s="7">
        <v>787</v>
      </c>
      <c r="E10" s="8">
        <v>305853.78000000003</v>
      </c>
      <c r="F10" s="6"/>
    </row>
    <row r="11" spans="1:6" x14ac:dyDescent="0.2">
      <c r="A11" s="23">
        <v>46286.321192129632</v>
      </c>
      <c r="B11" s="6" t="s">
        <v>682</v>
      </c>
      <c r="C11" s="6" t="s">
        <v>719</v>
      </c>
      <c r="D11" s="7">
        <v>1184</v>
      </c>
      <c r="E11" s="8">
        <v>279286.53000000003</v>
      </c>
      <c r="F11" s="6"/>
    </row>
    <row r="12" spans="1:6" x14ac:dyDescent="0.2">
      <c r="A12" s="23">
        <v>46286.321226851847</v>
      </c>
      <c r="B12" s="6" t="s">
        <v>683</v>
      </c>
      <c r="C12" s="6" t="s">
        <v>719</v>
      </c>
      <c r="D12" s="7">
        <v>1484</v>
      </c>
      <c r="E12" s="8">
        <v>790854.58</v>
      </c>
      <c r="F12" s="6"/>
    </row>
    <row r="13" spans="1:6" x14ac:dyDescent="0.2">
      <c r="A13" s="23">
        <v>46286.321261574078</v>
      </c>
      <c r="B13" s="6" t="s">
        <v>684</v>
      </c>
      <c r="C13" s="6" t="s">
        <v>719</v>
      </c>
      <c r="D13" s="7">
        <v>988</v>
      </c>
      <c r="E13" s="8">
        <v>339712.77</v>
      </c>
      <c r="F13" s="6"/>
    </row>
    <row r="14" spans="1:6" x14ac:dyDescent="0.2">
      <c r="A14" s="23">
        <v>46286.321296296293</v>
      </c>
      <c r="B14" s="6" t="s">
        <v>685</v>
      </c>
      <c r="C14" s="6" t="s">
        <v>719</v>
      </c>
      <c r="D14" s="7">
        <v>675</v>
      </c>
      <c r="E14" s="8">
        <v>81306.67</v>
      </c>
      <c r="F14" s="6"/>
    </row>
    <row r="15" spans="1:6" x14ac:dyDescent="0.2">
      <c r="A15" s="23">
        <v>46286.321331018517</v>
      </c>
      <c r="B15" s="6" t="s">
        <v>686</v>
      </c>
      <c r="C15" s="6" t="s">
        <v>719</v>
      </c>
      <c r="D15" s="7">
        <v>556</v>
      </c>
      <c r="E15" s="8">
        <v>159883.22</v>
      </c>
      <c r="F15" s="6"/>
    </row>
    <row r="16" spans="1:6" x14ac:dyDescent="0.2">
      <c r="A16" s="23">
        <v>46286.32136574074</v>
      </c>
      <c r="B16" s="6" t="s">
        <v>687</v>
      </c>
      <c r="C16" s="6" t="s">
        <v>719</v>
      </c>
      <c r="D16" s="7">
        <v>750</v>
      </c>
      <c r="E16" s="8">
        <v>21744.14</v>
      </c>
      <c r="F16" s="6"/>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1"/>
  <sheetViews>
    <sheetView workbookViewId="0"/>
  </sheetViews>
  <sheetFormatPr baseColWidth="10" defaultColWidth="8.83203125" defaultRowHeight="15" x14ac:dyDescent="0.2"/>
  <cols>
    <col min="1" max="1" width="56" customWidth="1"/>
    <col min="2" max="2" width="18" customWidth="1"/>
    <col min="3" max="3" width="66" customWidth="1"/>
  </cols>
  <sheetData>
    <row r="1" spans="1:3" ht="19" x14ac:dyDescent="0.25">
      <c r="A1" s="1" t="s">
        <v>720</v>
      </c>
    </row>
    <row r="2" spans="1:3" x14ac:dyDescent="0.2">
      <c r="A2" s="4" t="s">
        <v>721</v>
      </c>
    </row>
    <row r="4" spans="1:3" ht="22" customHeight="1" x14ac:dyDescent="0.2">
      <c r="A4" s="5" t="s">
        <v>722</v>
      </c>
      <c r="B4" s="5" t="s">
        <v>674</v>
      </c>
      <c r="C4" s="5" t="s">
        <v>723</v>
      </c>
    </row>
    <row r="5" spans="1:3" x14ac:dyDescent="0.2">
      <c r="A5" s="6" t="s">
        <v>724</v>
      </c>
      <c r="B5" s="24">
        <f>200-ROWS(t_Sources[Fichier])</f>
        <v>0</v>
      </c>
      <c r="C5" s="4" t="s">
        <v>725</v>
      </c>
    </row>
    <row r="6" spans="1:3" x14ac:dyDescent="0.2">
      <c r="A6" s="6" t="s">
        <v>726</v>
      </c>
      <c r="B6" s="24">
        <f>COUNTIFS(t_Sources[Lignes],0,t_Sources[Total_USD],"&lt;&gt;0")</f>
        <v>0</v>
      </c>
      <c r="C6" s="4" t="s">
        <v>727</v>
      </c>
    </row>
    <row r="7" spans="1:3" x14ac:dyDescent="0.2">
      <c r="A7" s="6" t="s">
        <v>728</v>
      </c>
      <c r="B7" s="24">
        <f>SUMPRODUCT((t_Ventes[Montant_USD]&lt;0)*1)</f>
        <v>0</v>
      </c>
      <c r="C7" s="4" t="s">
        <v>729</v>
      </c>
    </row>
    <row r="8" spans="1:3" x14ac:dyDescent="0.2">
      <c r="A8" s="6" t="s">
        <v>730</v>
      </c>
      <c r="B8" s="24">
        <f>ROWS(t_Ventes[Agence])-COUNTIF(t_Ventes[Agence],"?*")</f>
        <v>0</v>
      </c>
      <c r="C8" s="4" t="s">
        <v>731</v>
      </c>
    </row>
    <row r="9" spans="1:3" x14ac:dyDescent="0.2">
      <c r="A9" s="6" t="s">
        <v>732</v>
      </c>
      <c r="B9" s="24">
        <f>12-ROWS(t_Rapports[Nom_Fichier])</f>
        <v>0</v>
      </c>
      <c r="C9" s="4" t="s">
        <v>733</v>
      </c>
    </row>
    <row r="10" spans="1:3" x14ac:dyDescent="0.2">
      <c r="A10" s="6" t="s">
        <v>734</v>
      </c>
      <c r="B10" s="25" t="str">
        <f>IF(COUNTIF(t_Journal[Statut],"KO")=0,"PASS","FAIL")</f>
        <v>PASS</v>
      </c>
      <c r="C10" s="4" t="s">
        <v>735</v>
      </c>
    </row>
    <row r="11" spans="1:3" x14ac:dyDescent="0.2">
      <c r="A11" s="6" t="s">
        <v>736</v>
      </c>
      <c r="B11" s="25" t="str">
        <f>IF(REPONSES!$B$16=0,"PASS","FAIL")</f>
        <v>PASS</v>
      </c>
      <c r="C11" s="4" t="s">
        <v>737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6"/>
  <sheetViews>
    <sheetView workbookViewId="0"/>
  </sheetViews>
  <sheetFormatPr baseColWidth="10" defaultColWidth="8.83203125" defaultRowHeight="15" x14ac:dyDescent="0.2"/>
  <cols>
    <col min="1" max="1" width="72" customWidth="1"/>
    <col min="2" max="2" width="26" customWidth="1"/>
  </cols>
  <sheetData>
    <row r="1" spans="1:2" ht="19" x14ac:dyDescent="0.25">
      <c r="A1" s="1" t="s">
        <v>738</v>
      </c>
    </row>
    <row r="2" spans="1:2" x14ac:dyDescent="0.2">
      <c r="A2" s="4" t="s">
        <v>739</v>
      </c>
    </row>
    <row r="4" spans="1:2" x14ac:dyDescent="0.2">
      <c r="A4" s="14" t="s">
        <v>740</v>
      </c>
    </row>
    <row r="5" spans="1:2" x14ac:dyDescent="0.2">
      <c r="A5" s="6" t="s">
        <v>741</v>
      </c>
      <c r="B5" s="26">
        <v>37.4</v>
      </c>
    </row>
    <row r="6" spans="1:2" x14ac:dyDescent="0.2">
      <c r="A6" s="6" t="s">
        <v>742</v>
      </c>
      <c r="B6" s="27">
        <v>12</v>
      </c>
    </row>
    <row r="8" spans="1:2" x14ac:dyDescent="0.2">
      <c r="A8" s="14" t="s">
        <v>743</v>
      </c>
    </row>
    <row r="10" spans="1:2" x14ac:dyDescent="0.2">
      <c r="A10" s="6" t="s">
        <v>744</v>
      </c>
      <c r="B10" s="24">
        <f>ROWS(t_Sources[Fichier])</f>
        <v>200</v>
      </c>
    </row>
    <row r="11" spans="1:2" x14ac:dyDescent="0.2">
      <c r="A11" s="6" t="s">
        <v>745</v>
      </c>
      <c r="B11" s="24">
        <f>COUNTIF(t_Sources[Lignes],0)</f>
        <v>4</v>
      </c>
    </row>
    <row r="12" spans="1:2" x14ac:dyDescent="0.2">
      <c r="A12" s="6" t="s">
        <v>746</v>
      </c>
      <c r="B12" s="24">
        <f>COUNTIF(t_Sources[Anomalie],"?*")</f>
        <v>15</v>
      </c>
    </row>
    <row r="13" spans="1:2" x14ac:dyDescent="0.2">
      <c r="A13" s="6" t="s">
        <v>747</v>
      </c>
      <c r="B13" s="24">
        <f>COUNTIF(t_Sources[Lignes],"&gt;0")</f>
        <v>196</v>
      </c>
    </row>
    <row r="14" spans="1:2" x14ac:dyDescent="0.2">
      <c r="A14" s="6" t="s">
        <v>748</v>
      </c>
      <c r="B14" s="24">
        <f>ROWS(t_Ventes[Date])</f>
        <v>5637</v>
      </c>
    </row>
    <row r="15" spans="1:2" x14ac:dyDescent="0.2">
      <c r="A15" s="6" t="s">
        <v>749</v>
      </c>
      <c r="B15" s="13">
        <f>SUM(t_Ventes[Montant_USD])</f>
        <v>1672787.910000002</v>
      </c>
    </row>
    <row r="16" spans="1:2" x14ac:dyDescent="0.2">
      <c r="A16" s="6" t="s">
        <v>750</v>
      </c>
      <c r="B16" s="13">
        <f>ROUND(B15-SUM(t_Sources[Total_USD]),2)</f>
        <v>0</v>
      </c>
    </row>
    <row r="17" spans="1:2" x14ac:dyDescent="0.2">
      <c r="A17" s="6" t="s">
        <v>751</v>
      </c>
      <c r="B17" s="13">
        <f>ROUND(SUM(t_Sources[Total_USD_direct])-SUM(t_Sources[Total_USD]),2)</f>
        <v>0.54</v>
      </c>
    </row>
    <row r="18" spans="1:2" x14ac:dyDescent="0.2">
      <c r="A18" s="6" t="s">
        <v>752</v>
      </c>
      <c r="B18" s="24">
        <f>ROWS(t_Rapports[Nom_Fichier])</f>
        <v>12</v>
      </c>
    </row>
    <row r="19" spans="1:2" x14ac:dyDescent="0.2">
      <c r="A19" s="6" t="s">
        <v>753</v>
      </c>
      <c r="B19" s="13">
        <f>SUMIF(t_Rapports[Type],"Agence",t_Rapports[Total_USD])</f>
        <v>1672787.9100000006</v>
      </c>
    </row>
    <row r="20" spans="1:2" x14ac:dyDescent="0.2">
      <c r="A20" s="6" t="s">
        <v>754</v>
      </c>
      <c r="B20" s="13">
        <f>ROUND(B19-B15,2)</f>
        <v>0</v>
      </c>
    </row>
    <row r="21" spans="1:2" x14ac:dyDescent="0.2">
      <c r="A21" s="6" t="s">
        <v>755</v>
      </c>
      <c r="B21" s="13">
        <f>ROUND(SUMIF(t_Rapports[Type],"Famille",t_Rapports[Total_USD])-B15,2)</f>
        <v>0</v>
      </c>
    </row>
    <row r="22" spans="1:2" x14ac:dyDescent="0.2">
      <c r="A22" s="6" t="s">
        <v>756</v>
      </c>
      <c r="B22" s="24">
        <f>COUNTIF(t_Journal[Statut],"OK")</f>
        <v>12</v>
      </c>
    </row>
    <row r="23" spans="1:2" x14ac:dyDescent="0.2">
      <c r="A23" s="6" t="s">
        <v>757</v>
      </c>
      <c r="B23" s="13">
        <f>MAX(t_Sources[Total_USD])</f>
        <v>89558.99</v>
      </c>
    </row>
    <row r="24" spans="1:2" x14ac:dyDescent="0.2">
      <c r="A24" s="6" t="s">
        <v>758</v>
      </c>
      <c r="B24" s="25" t="str">
        <f>INDEX(t_Sources[Client],MATCH(MAX(t_Sources[Total_USD]),t_Sources[Total_USD],0))</f>
        <v>Ets Essomba &amp; Fils</v>
      </c>
    </row>
    <row r="25" spans="1:2" x14ac:dyDescent="0.2">
      <c r="A25" s="6" t="s">
        <v>759</v>
      </c>
      <c r="B25" s="24">
        <f>COUNTIF(t_Sources[Total_USD],"&gt;20000")</f>
        <v>17</v>
      </c>
    </row>
    <row r="26" spans="1:2" x14ac:dyDescent="0.2">
      <c r="A26" s="6" t="s">
        <v>760</v>
      </c>
      <c r="B26" s="24">
        <f>ROUND(SUMPRODUCT(t_Ventes[Quantite],t_Ventes[PU_Local])-SUM(t_Ventes[Montant_Local]),0)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7"/>
  <sheetViews>
    <sheetView workbookViewId="0"/>
  </sheetViews>
  <sheetFormatPr baseColWidth="10" defaultColWidth="8.83203125" defaultRowHeight="15" x14ac:dyDescent="0.2"/>
  <cols>
    <col min="1" max="1" width="32" customWidth="1"/>
    <col min="2" max="2" width="102" customWidth="1"/>
  </cols>
  <sheetData>
    <row r="1" spans="1:2" ht="19" x14ac:dyDescent="0.25">
      <c r="A1" s="1" t="s">
        <v>761</v>
      </c>
    </row>
    <row r="3" spans="1:2" ht="48" customHeight="1" x14ac:dyDescent="0.2">
      <c r="A3" s="2" t="s">
        <v>762</v>
      </c>
      <c r="B3" s="3" t="s">
        <v>763</v>
      </c>
    </row>
    <row r="4" spans="1:2" ht="48" customHeight="1" x14ac:dyDescent="0.2">
      <c r="A4" s="2" t="s">
        <v>764</v>
      </c>
      <c r="B4" s="3" t="s">
        <v>765</v>
      </c>
    </row>
    <row r="5" spans="1:2" ht="48" customHeight="1" x14ac:dyDescent="0.2">
      <c r="A5" s="2" t="s">
        <v>766</v>
      </c>
      <c r="B5" s="3" t="s">
        <v>767</v>
      </c>
    </row>
    <row r="6" spans="1:2" ht="48" customHeight="1" x14ac:dyDescent="0.2">
      <c r="A6" s="2" t="s">
        <v>768</v>
      </c>
      <c r="B6" s="3" t="s">
        <v>769</v>
      </c>
    </row>
    <row r="7" spans="1:2" ht="48" customHeight="1" x14ac:dyDescent="0.2">
      <c r="A7" s="2" t="s">
        <v>770</v>
      </c>
      <c r="B7" s="3" t="s">
        <v>771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9</vt:i4>
      </vt:variant>
      <vt:variant>
        <vt:lpstr>Plages nommées</vt:lpstr>
      </vt:variant>
      <vt:variant>
        <vt:i4>10</vt:i4>
      </vt:variant>
    </vt:vector>
  </HeadingPairs>
  <TitlesOfParts>
    <vt:vector size="19" baseType="lpstr">
      <vt:lpstr>README</vt:lpstr>
      <vt:lpstr>SOURCES</vt:lpstr>
      <vt:lpstr>DONNEES</vt:lpstr>
      <vt:lpstr>PARAMETRES</vt:lpstr>
      <vt:lpstr>RAPPORT</vt:lpstr>
      <vt:lpstr>JOURNAL</vt:lpstr>
      <vt:lpstr>QUALITE</vt:lpstr>
      <vt:lpstr>REPONSES</vt:lpstr>
      <vt:lpstr>ANNEXE_IA</vt:lpstr>
      <vt:lpstr>LIBRE_JOURNAL</vt:lpstr>
      <vt:lpstr>LIBRE_RAPPORT</vt:lpstr>
      <vt:lpstr>P_DOSSIER</vt:lpstr>
      <vt:lpstr>P_TYPE</vt:lpstr>
      <vt:lpstr>P_VALEUR</vt:lpstr>
      <vt:lpstr>R_CONTROLE</vt:lpstr>
      <vt:lpstr>R_ECART_AGENCES</vt:lpstr>
      <vt:lpstr>R_ECART_FAMILLES</vt:lpstr>
      <vt:lpstr>R_ECART_SOURCES</vt:lpstr>
      <vt:lpstr>RAPPORT!Zone_d_impression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oscar aksanti</cp:lastModifiedBy>
  <dcterms:created xsi:type="dcterms:W3CDTF">2026-09-17T23:36:57Z</dcterms:created>
  <dcterms:modified xsi:type="dcterms:W3CDTF">2026-09-17T23:37:27Z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2026-09-17T23:37:27Z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5ceb0cb7-0969-4605-a05e-0ceeaa2aca04</vt:lpwstr>
  </property>
  <property fmtid="{D5CDD505-2E9C-101B-9397-08002B2CF9AE}" pid="7" name="MSIP_Label_defa4170-0d19-0005-0004-bc88714345d2_ActionId">
    <vt:lpwstr>c86bdf53-79b6-4dc7-8636-6472c1ff7c3b</vt:lpwstr>
  </property>
  <property fmtid="{D5CDD505-2E9C-101B-9397-08002B2CF9AE}" pid="8" name="MSIP_Label_defa4170-0d19-0005-0004-bc88714345d2_ContentBits">
    <vt:lpwstr>0</vt:lpwstr>
  </property>
  <property fmtid="{D5CDD505-2E9C-101B-9397-08002B2CF9AE}" pid="9" name="MSIP_Label_defa4170-0d19-0005-0004-bc88714345d2_Tag">
    <vt:lpwstr>50, 3, 0, 1</vt:lpwstr>
  </property>
</Properties>
</file>