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YPOTHESES" sheetId="2" state="visible" r:id="rId2"/>
    <sheet xmlns:r="http://schemas.openxmlformats.org/officeDocument/2006/relationships" name="RAW" sheetId="3" state="visible" r:id="rId3"/>
    <sheet xmlns:r="http://schemas.openxmlformats.org/officeDocument/2006/relationships" name="CLE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\ &quot;USD&quot;"/>
    <numFmt numFmtId="165" formatCode="#,##0\ &quot;XOF&quot;"/>
    <numFmt numFmtId="166" formatCode="#,##0.00\ &quot;USD&quot;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FF6B7280"/>
      <sz val="10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243044"/>
      </patternFill>
    </fill>
    <fill>
      <patternFill patternType="solid">
        <fgColor rgb="FFEFF4FE"/>
      </patternFill>
    </fill>
  </fills>
  <borders count="2">
    <border>
      <left/>
      <right/>
      <top/>
      <bottom/>
      <diagonal/>
    </border>
    <border>
      <bottom style="thin">
        <color rgb="FFD6DB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164" fontId="5" fillId="3" borderId="1" pivotButton="0" quotePrefix="0" xfId="0"/>
    <xf numFmtId="3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4" fontId="5" fillId="3" borderId="1" pivotButton="0" quotePrefix="0" xfId="0"/>
    <xf numFmtId="10" fontId="5" fillId="3" borderId="1" pivotButton="0" quotePrefix="0" xfId="0"/>
    <xf numFmtId="0" fontId="2" fillId="0" borderId="0" pivotButton="0" quotePrefix="0" xfId="0"/>
    <xf numFmtId="3" fontId="5" fillId="3" borderId="0" pivotButton="0" quotePrefix="0" xfId="0"/>
    <xf numFmtId="165" fontId="5" fillId="3" borderId="0" pivotButton="0" quotePrefix="0" xfId="0"/>
    <xf numFmtId="10" fontId="5" fillId="3" borderId="0" pivotButton="0" quotePrefix="0" xfId="0"/>
    <xf numFmtId="0" fontId="0" fillId="0" borderId="1" pivotButton="0" quotePrefix="0" xfId="0"/>
    <xf numFmtId="3" fontId="0" fillId="0" borderId="1" pivotButton="0" quotePrefix="0" xfId="0"/>
    <xf numFmtId="10" fontId="6" fillId="0" borderId="1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Scenarios" displayName="t_Scenarios" ref="A21:D24" headerRowCount="1">
  <autoFilter ref="A21:D24"/>
  <tableColumns count="4">
    <tableColumn id="1" name="Scenario"/>
    <tableColumn id="2" name="Volume_croisiere"/>
    <tableColumn id="3" name="Prix_XOF"/>
    <tableColumn id="4" name="Derive_Taux"/>
  </tableColumns>
  <tableStyleInfo name="TableStyleMedium2" showRowStripes="1"/>
</table>
</file>

<file path=xl/tables/table2.xml><?xml version="1.0" encoding="utf-8"?>
<table xmlns="http://schemas.openxmlformats.org/spreadsheetml/2006/main" id="2" name="t_Libreville" displayName="t_Libreville" ref="A4:D28" headerRowCount="1">
  <autoFilter ref="A4:D28"/>
  <tableColumns count="4">
    <tableColumn id="1" name="Periode"/>
    <tableColumn id="2" name="Mois"/>
    <tableColumn id="3" name="Volume"/>
    <tableColumn id="4" name="CA_XAF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README</t>
        </is>
      </c>
    </row>
    <row r="3" ht="46" customHeight="1">
      <c r="A3" s="2" t="inlineStr">
        <is>
          <t>À quoi sert ce classeur</t>
        </is>
      </c>
      <c r="B3" s="3" t="inlineStr">
        <is>
          <t>Décider de l'ouverture d'une septième agence BAOBAB à Bamako (Mali). Horizon 24 mois, du 1er janvier 2027 au 31 décembre 2028.</t>
        </is>
      </c>
    </row>
    <row r="4" ht="46" customHeight="1">
      <c r="A4" s="2" t="inlineStr">
        <is>
          <t>Qui l'a produit, et quand</t>
        </is>
      </c>
      <c r="B4" s="3" t="inlineStr">
        <is>
          <t>Direction financière BAOBAB, septembre 2026. Version 1.0.</t>
        </is>
      </c>
    </row>
    <row r="5" ht="46" customHeight="1">
      <c r="A5" s="2" t="inlineStr">
        <is>
          <t>Les sources</t>
        </is>
      </c>
      <c r="B5" s="3" t="inlineStr">
        <is>
          <t>Les investissements viennent des trois devis reçus en août 2026. La montée en charge est calibrée sur l'ouverture de Libreville (feuilles RAW et CLEAN) : 95 % de la croisière atteints au mois 13, retenu à 14 mois pour Bamako, le marché malien étant moins dense.</t>
        </is>
      </c>
    </row>
    <row r="6" ht="46" customHeight="1">
      <c r="A6" s="2" t="inlineStr">
        <is>
          <t>La règle des couleurs</t>
        </is>
      </c>
      <c r="B6" s="3" t="inlineStr">
        <is>
          <t>Bleu = une saisie, et toutes les saisies sont sur HYPOTHESES. Noir = une formule. Vert = un lien vers une autre feuille du classeur. Rouge = un lien vers un autre classeur — il n'y en a aucun ici, et c'est voulu.</t>
        </is>
      </c>
    </row>
    <row r="7" ht="46" customHeight="1">
      <c r="A7" s="2" t="inlineStr">
        <is>
          <t>Pourquoi le taux de change est au centre</t>
        </is>
      </c>
      <c r="B7" s="3" t="inlineStr">
        <is>
          <t>On encaisse en francs CFA et on décaisse en dollars : le stock est importé et payé par le groupe. Le résultat en dollars dépend donc directement du taux. Et le franc CFA n'est pas une devise flottante : il est arrimé à l'euro à parité fixe (655,957 XOF pour 1 EUR). Le « risque de change » de ce plan est en réalité un risque EUR/USD, que personne à Bamako ne pilote.</t>
        </is>
      </c>
    </row>
    <row r="8" ht="46" customHeight="1">
      <c r="A8" s="2" t="inlineStr">
        <is>
          <t>VAN — définition</t>
        </is>
      </c>
      <c r="B8" s="3" t="inlineStr">
        <is>
          <t>Somme des flux mensuels actualisés des mois 1 à 24, moins l'investissement du mois 0. Taux d'actualisation : 14 % par an, exigé par la direction, converti en taux mensuel équivalent.</t>
        </is>
      </c>
    </row>
    <row r="9" ht="46" customHeight="1">
      <c r="A9" s="2" t="inlineStr">
        <is>
          <t>TRI — définition</t>
        </is>
      </c>
      <c r="B9" s="3" t="inlineStr">
        <is>
          <t>Taux qui annule la VAN. Calculé sur les flux mensuels, mois 0 inclus, puis annualisé. Il n'a de sens que parce que les flux changent de signe une seule fois.</t>
        </is>
      </c>
    </row>
    <row r="10" ht="46" customHeight="1">
      <c r="A10" s="2" t="inlineStr">
        <is>
          <t>Taux limite — définition</t>
        </is>
      </c>
      <c r="B10" s="3" t="inlineStr">
        <is>
          <t>Taux de change de départ au-delà duquel la VAN devient négative, à dérive et volumes inchangés. Lu par Valeur cible, et recalculé par formule : la VAN vaut (valeur actuelle des encaissements CFA) / taux − (valeur actuelle des décaissements USD).</t>
        </is>
      </c>
    </row>
    <row r="11" ht="46" customHeight="1">
      <c r="A11" s="2" t="inlineStr">
        <is>
          <t>Comment actualiser ce classeur</t>
        </is>
      </c>
      <c r="B11" s="3" t="inlineStr">
        <is>
          <t>Changer les valeurs bleues de HYPOTHESES, rien d'autre. Vérifier ensuite que les huit contrôles de QUALITE passent, et que REPONSES!B34 vaut toujours zéro. Une seule borne : H_MONTEE doit valoir au moins 2 — la courbe de montée en charge divise par (H_MONTEE − 1), et rendrait #DIV/0! à 1. Le cas n'a pas été corrigé : il a été écrit ici.</t>
        </is>
      </c>
    </row>
    <row r="12" ht="46" customHeight="1">
      <c r="A12" s="2" t="inlineStr">
        <is>
          <t>Les deux natures de flux, et pourquoi elles sont séparées</t>
        </is>
      </c>
      <c r="B12" s="3" t="inlineStr">
        <is>
          <t>CALCULS sépare volontairement la marge locale (encaissée en XOF, donc sensible au taux) des achats (décaissés en USD, donc insensibles). Ce n'est pas une redondance : c'est ce qui permet d'écrire la VAN sous la forme entrées/taux − sorties, et donc d'inverser la formule pour trouver le taux de bascule sans tâtonner.</t>
        </is>
      </c>
    </row>
    <row r="13" ht="46" customHeight="1">
      <c r="A13" s="2" t="inlineStr">
        <is>
          <t>Ce que ce modèle ne dit pas</t>
        </is>
      </c>
      <c r="B13" s="3" t="inlineStr">
        <is>
          <t>Il ne dit rien du besoin en fonds de roulement au-delà du stock initial, rien de la fiscalité malienne, rien du risque de sécurité. Trois trous connus, écrits ici pour qu'on ne les découvre pas en réunion.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72" customWidth="1" min="3" max="3"/>
  </cols>
  <sheetData>
    <row r="1">
      <c r="A1" s="1" t="inlineStr">
        <is>
          <t>Les quatorze hypothèses</t>
        </is>
      </c>
    </row>
    <row r="2">
      <c r="A2" s="4" t="inlineStr">
        <is>
          <t>Tout ce que ce plan suppose est ici, et nulle part ailleurs. Une cellule bleue hors de cette feuille est un bug.</t>
        </is>
      </c>
    </row>
    <row r="4" ht="22" customHeight="1">
      <c r="A4" s="5" t="inlineStr">
        <is>
          <t>Code</t>
        </is>
      </c>
      <c r="B4" s="5" t="inlineStr">
        <is>
          <t>Valeur</t>
        </is>
      </c>
      <c r="C4" s="5" t="inlineStr">
        <is>
          <t>Ce que c'est</t>
        </is>
      </c>
    </row>
    <row r="5">
      <c r="A5" s="2" t="inlineStr">
        <is>
          <t>H_AMENAGEMENT</t>
        </is>
      </c>
      <c r="B5" s="6" t="n">
        <v>68000</v>
      </c>
      <c r="C5" s="4" t="inlineStr">
        <is>
          <t>Aménagement du local — cloisons, rayonnage, groupe électrogène</t>
        </is>
      </c>
    </row>
    <row r="6">
      <c r="A6" s="2" t="inlineStr">
        <is>
          <t>H_MATERIEL</t>
        </is>
      </c>
      <c r="B6" s="6" t="n">
        <v>41500</v>
      </c>
      <c r="C6" s="4" t="inlineStr">
        <is>
          <t>Matériel roulant et informatique — une camionnette, six postes</t>
        </is>
      </c>
    </row>
    <row r="7">
      <c r="A7" s="2" t="inlineStr">
        <is>
          <t>H_STOCK_INITIAL</t>
        </is>
      </c>
      <c r="B7" s="6" t="n">
        <v>95000</v>
      </c>
      <c r="C7" s="4" t="inlineStr">
        <is>
          <t>Stock initial — payé en dollars, comme tous les achats du groupe</t>
        </is>
      </c>
    </row>
    <row r="8">
      <c r="A8" s="2" t="inlineStr">
        <is>
          <t>H_VOLUME_M1</t>
        </is>
      </c>
      <c r="B8" s="7" t="n">
        <v>4200</v>
      </c>
      <c r="C8" s="4" t="inlineStr">
        <is>
          <t>Volume du premier mois, en unités</t>
        </is>
      </c>
    </row>
    <row r="9">
      <c r="A9" s="2" t="inlineStr">
        <is>
          <t>H_VOLUME_CROISIERE</t>
        </is>
      </c>
      <c r="B9" s="7" t="n">
        <v>19500</v>
      </c>
      <c r="C9" s="4" t="inlineStr">
        <is>
          <t>Volume de croisière, en unités par mois</t>
        </is>
      </c>
    </row>
    <row r="10">
      <c r="A10" s="2" t="inlineStr">
        <is>
          <t>H_MONTEE</t>
        </is>
      </c>
      <c r="B10" s="7" t="n">
        <v>14</v>
      </c>
      <c r="C10" s="4" t="inlineStr">
        <is>
          <t>Durée de la montée en charge, en mois — calibrée sur Libreville</t>
        </is>
      </c>
    </row>
    <row r="11">
      <c r="A11" s="2" t="inlineStr">
        <is>
          <t>H_PRIX_XOF</t>
        </is>
      </c>
      <c r="B11" s="8" t="n">
        <v>4350</v>
      </c>
      <c r="C11" s="4" t="inlineStr">
        <is>
          <t>Prix de vente moyen par unité — encaissé en francs CFA</t>
        </is>
      </c>
    </row>
    <row r="12">
      <c r="A12" s="2" t="inlineStr">
        <is>
          <t>H_COUT_USD</t>
        </is>
      </c>
      <c r="B12" s="9" t="n">
        <v>4.55</v>
      </c>
      <c r="C12" s="4" t="inlineStr">
        <is>
          <t>Coût d'achat moyen par unité — décaissé en dollars</t>
        </is>
      </c>
    </row>
    <row r="13">
      <c r="A13" s="2" t="inlineStr">
        <is>
          <t>H_LOYER_XOF</t>
        </is>
      </c>
      <c r="B13" s="8" t="n">
        <v>2750000</v>
      </c>
      <c r="C13" s="4" t="inlineStr">
        <is>
          <t>Loyer mensuel du local</t>
        </is>
      </c>
    </row>
    <row r="14">
      <c r="A14" s="2" t="inlineStr">
        <is>
          <t>H_PERSONNEL_XOF</t>
        </is>
      </c>
      <c r="B14" s="8" t="n">
        <v>6480000</v>
      </c>
      <c r="C14" s="4" t="inlineStr">
        <is>
          <t>Masse salariale mensuelle — onze personnes</t>
        </is>
      </c>
    </row>
    <row r="15">
      <c r="A15" s="2" t="inlineStr">
        <is>
          <t>H_AUTRES_XOF</t>
        </is>
      </c>
      <c r="B15" s="8" t="n">
        <v>1920000</v>
      </c>
      <c r="C15" s="4" t="inlineStr">
        <is>
          <t>Autres charges mensuelles — énergie, transport, assurances</t>
        </is>
      </c>
    </row>
    <row r="16">
      <c r="A16" s="2" t="inlineStr">
        <is>
          <t>H_TAUX_XOF</t>
        </is>
      </c>
      <c r="B16" s="10" t="n">
        <v>631.4</v>
      </c>
      <c r="C16" s="4" t="inlineStr">
        <is>
          <t>Taux de change au démarrage, en XOF pour 1 USD</t>
        </is>
      </c>
    </row>
    <row r="17">
      <c r="A17" s="2" t="inlineStr">
        <is>
          <t>H_DERIVE_TAUX</t>
        </is>
      </c>
      <c r="B17" s="11" t="n">
        <v>0.0045</v>
      </c>
      <c r="C17" s="4" t="inlineStr">
        <is>
          <t>Dérive mensuelle du taux retenue au plan — soit 5,5 % par an</t>
        </is>
      </c>
    </row>
    <row r="18">
      <c r="A18" s="2" t="inlineStr">
        <is>
          <t>H_ACTUALISATION</t>
        </is>
      </c>
      <c r="B18" s="11" t="n">
        <v>0.14</v>
      </c>
      <c r="C18" s="4" t="inlineStr">
        <is>
          <t>Taux d'actualisation annuel exigé par la direction</t>
        </is>
      </c>
    </row>
    <row r="20">
      <c r="A20" s="1" t="inlineStr">
        <is>
          <t>Les trois scénarios</t>
        </is>
      </c>
    </row>
    <row r="21" ht="22" customHeight="1">
      <c r="A21" s="5" t="inlineStr">
        <is>
          <t>Scenario</t>
        </is>
      </c>
      <c r="B21" s="5" t="inlineStr">
        <is>
          <t>Volume_croisiere</t>
        </is>
      </c>
      <c r="C21" s="5" t="inlineStr">
        <is>
          <t>Prix_XOF</t>
        </is>
      </c>
      <c r="D21" s="5" t="inlineStr">
        <is>
          <t>Derive_Taux</t>
        </is>
      </c>
    </row>
    <row r="22">
      <c r="A22" s="12" t="inlineStr">
        <is>
          <t>Pessimiste</t>
        </is>
      </c>
      <c r="B22" s="13" t="n">
        <v>16500</v>
      </c>
      <c r="C22" s="14" t="n">
        <v>4200</v>
      </c>
      <c r="D22" s="15" t="n">
        <v>0.008</v>
      </c>
    </row>
    <row r="23">
      <c r="A23" s="12" t="inlineStr">
        <is>
          <t>Base</t>
        </is>
      </c>
      <c r="B23" s="13" t="n">
        <v>19500</v>
      </c>
      <c r="C23" s="14" t="n">
        <v>4350</v>
      </c>
      <c r="D23" s="15" t="n">
        <v>0.0045</v>
      </c>
    </row>
    <row r="24">
      <c r="A24" s="12" t="inlineStr">
        <is>
          <t>Optimiste</t>
        </is>
      </c>
      <c r="B24" s="13" t="n">
        <v>22000</v>
      </c>
      <c r="C24" s="14" t="n">
        <v>4450</v>
      </c>
      <c r="D24" s="15" t="n">
        <v>0.002</v>
      </c>
    </row>
    <row r="26">
      <c r="A26" s="4" t="inlineStr">
        <is>
          <t>La ligne « Base » doit être identique aux hypothèses du haut. La feuille QUALITE le vérifie.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Libreville — les 24 premiers mois, extraction brute</t>
        </is>
      </c>
    </row>
    <row r="2">
      <c r="A2" s="4" t="inlineStr">
        <is>
          <t>Source : export du SI commercial, 3 septembre 2026. On n'y touche pas — on la copie vers CLEAN.</t>
        </is>
      </c>
    </row>
    <row r="4" ht="22" customHeight="1">
      <c r="A4" s="5" t="inlineStr">
        <is>
          <t>Periode</t>
        </is>
      </c>
      <c r="B4" s="5" t="inlineStr">
        <is>
          <t>Mois</t>
        </is>
      </c>
      <c r="C4" s="5" t="inlineStr">
        <is>
          <t>Volume</t>
        </is>
      </c>
      <c r="D4" s="5" t="inlineStr">
        <is>
          <t>CA_XAF</t>
        </is>
      </c>
    </row>
    <row r="5">
      <c r="A5" s="16" t="inlineStr">
        <is>
          <t>janv-24</t>
        </is>
      </c>
      <c r="B5" s="16" t="n">
        <v>1</v>
      </c>
      <c r="C5" s="16" t="n">
        <v>4121</v>
      </c>
      <c r="D5" s="17" t="n">
        <v>16942078</v>
      </c>
    </row>
    <row r="6">
      <c r="A6" s="16" t="inlineStr">
        <is>
          <t>févr-24</t>
        </is>
      </c>
      <c r="B6" s="16" t="n">
        <v>2</v>
      </c>
      <c r="C6" s="16" t="n">
        <v>5557</v>
      </c>
      <c r="D6" s="17" t="n">
        <v>22550923</v>
      </c>
    </row>
    <row r="7">
      <c r="A7" s="16" t="inlineStr">
        <is>
          <t>mars-24</t>
        </is>
      </c>
      <c r="B7" s="16" t="n">
        <v>3</v>
      </c>
      <c r="C7" s="16" t="n">
        <v>6640</v>
      </c>
      <c r="D7" s="17" t="n">
        <v>27060924</v>
      </c>
    </row>
    <row r="8">
      <c r="A8" s="16" t="inlineStr">
        <is>
          <t>avr-24</t>
        </is>
      </c>
      <c r="B8" s="16" t="n">
        <v>4</v>
      </c>
      <c r="C8" s="16" t="n">
        <v>7406</v>
      </c>
      <c r="D8" s="17" t="n">
        <v>31901671</v>
      </c>
    </row>
    <row r="9">
      <c r="A9" s="16" t="inlineStr">
        <is>
          <t>mai-24</t>
        </is>
      </c>
      <c r="B9" s="16" t="n">
        <v>5</v>
      </c>
      <c r="C9" s="16" t="n">
        <v>8616</v>
      </c>
      <c r="D9" s="17" t="n">
        <v>34965582</v>
      </c>
    </row>
    <row r="10">
      <c r="A10" s="16" t="inlineStr">
        <is>
          <t>juin-24</t>
        </is>
      </c>
      <c r="B10" s="16" t="n">
        <v>6</v>
      </c>
      <c r="C10" s="16" t="n">
        <v>9823</v>
      </c>
      <c r="D10" s="17" t="n">
        <v>41692538</v>
      </c>
    </row>
    <row r="11">
      <c r="A11" s="16" t="inlineStr">
        <is>
          <t>juil-24</t>
        </is>
      </c>
      <c r="B11" s="16" t="n">
        <v>7</v>
      </c>
      <c r="C11" s="16" t="n">
        <v>11337</v>
      </c>
      <c r="D11" s="17" t="n">
        <v>45361425</v>
      </c>
    </row>
    <row r="12">
      <c r="A12" s="16" t="inlineStr">
        <is>
          <t>août-24</t>
        </is>
      </c>
      <c r="B12" s="16" t="n">
        <v>8</v>
      </c>
      <c r="C12" s="16" t="n">
        <v>12005</v>
      </c>
      <c r="D12" s="17" t="n">
        <v>49322232</v>
      </c>
    </row>
    <row r="13">
      <c r="A13" s="16" t="inlineStr">
        <is>
          <t>sept-24</t>
        </is>
      </c>
      <c r="B13" s="16" t="n">
        <v>9</v>
      </c>
      <c r="C13" s="16" t="n">
        <v>12518</v>
      </c>
      <c r="D13" s="17" t="n">
        <v>53061209</v>
      </c>
    </row>
    <row r="14">
      <c r="A14" s="16" t="inlineStr">
        <is>
          <t>oct-24</t>
        </is>
      </c>
      <c r="B14" s="16" t="n">
        <v>10</v>
      </c>
      <c r="C14" s="16" t="n">
        <v>14058</v>
      </c>
      <c r="D14" s="17" t="n">
        <v>56160524</v>
      </c>
    </row>
    <row r="15">
      <c r="A15" s="16" t="inlineStr">
        <is>
          <t>nov-24</t>
        </is>
      </c>
      <c r="B15" s="16" t="n">
        <v>11</v>
      </c>
      <c r="C15" s="16" t="n">
        <v>15901</v>
      </c>
      <c r="D15" s="17" t="n">
        <v>66320593</v>
      </c>
    </row>
    <row r="16">
      <c r="A16" s="16" t="inlineStr">
        <is>
          <t>déc-24</t>
        </is>
      </c>
      <c r="B16" s="16" t="n">
        <v>12</v>
      </c>
      <c r="C16" s="16" t="n">
        <v>15917</v>
      </c>
      <c r="D16" s="17" t="n">
        <v>64041047</v>
      </c>
    </row>
    <row r="17">
      <c r="A17" s="16" t="inlineStr">
        <is>
          <t>janv-25</t>
        </is>
      </c>
      <c r="B17" s="16" t="n">
        <v>13</v>
      </c>
      <c r="C17" s="16" t="n">
        <v>18100</v>
      </c>
      <c r="D17" s="17" t="n">
        <v>73632870</v>
      </c>
    </row>
    <row r="18">
      <c r="A18" s="16" t="inlineStr">
        <is>
          <t>févr-25</t>
        </is>
      </c>
      <c r="B18" s="16" t="n">
        <v>14</v>
      </c>
      <c r="C18" s="16" t="n">
        <v>17141</v>
      </c>
      <c r="D18" s="17" t="n">
        <v>72051268</v>
      </c>
    </row>
    <row r="19">
      <c r="A19" s="16" t="inlineStr">
        <is>
          <t>mars-25</t>
        </is>
      </c>
      <c r="B19" s="16" t="n">
        <v>15</v>
      </c>
      <c r="C19" s="16" t="n">
        <v>17024</v>
      </c>
      <c r="D19" s="17" t="n">
        <v>69393545</v>
      </c>
    </row>
    <row r="20">
      <c r="A20" s="16" t="inlineStr">
        <is>
          <t>avr-25</t>
        </is>
      </c>
      <c r="B20" s="16" t="n">
        <v>16</v>
      </c>
      <c r="C20" s="16" t="n">
        <v>18418</v>
      </c>
      <c r="D20" s="17" t="n">
        <v>74905403</v>
      </c>
    </row>
    <row r="21">
      <c r="A21" s="16" t="inlineStr">
        <is>
          <t>mai-25</t>
        </is>
      </c>
      <c r="B21" s="16" t="n">
        <v>17</v>
      </c>
      <c r="C21" s="16" t="n">
        <v>16768</v>
      </c>
      <c r="D21" s="17" t="n">
        <v>69596500</v>
      </c>
    </row>
    <row r="22">
      <c r="A22" s="16" t="inlineStr">
        <is>
          <t>juin-25</t>
        </is>
      </c>
      <c r="B22" s="16" t="n">
        <v>18</v>
      </c>
      <c r="C22" s="16" t="n">
        <v>18147</v>
      </c>
      <c r="D22" s="17" t="n">
        <v>73099810</v>
      </c>
    </row>
    <row r="23">
      <c r="A23" s="16" t="inlineStr">
        <is>
          <t>juil-25</t>
        </is>
      </c>
      <c r="B23" s="16" t="n">
        <v>19</v>
      </c>
      <c r="C23" s="16" t="n">
        <v>18049</v>
      </c>
      <c r="D23" s="17" t="n">
        <v>72603198</v>
      </c>
    </row>
    <row r="24">
      <c r="A24" s="16" t="inlineStr">
        <is>
          <t>août-25</t>
        </is>
      </c>
      <c r="B24" s="16" t="n">
        <v>20</v>
      </c>
      <c r="C24" s="16" t="n">
        <v>16754</v>
      </c>
      <c r="D24" s="17" t="n">
        <v>68572917</v>
      </c>
    </row>
    <row r="25">
      <c r="A25" s="16" t="inlineStr">
        <is>
          <t>sept-25</t>
        </is>
      </c>
      <c r="B25" s="16" t="n">
        <v>21</v>
      </c>
      <c r="C25" s="16" t="n">
        <v>17160</v>
      </c>
      <c r="D25" s="17" t="n">
        <v>69723965</v>
      </c>
    </row>
    <row r="26">
      <c r="A26" s="16" t="inlineStr">
        <is>
          <t>oct-25</t>
        </is>
      </c>
      <c r="B26" s="16" t="n">
        <v>22</v>
      </c>
      <c r="C26" s="16" t="n">
        <v>18411</v>
      </c>
      <c r="D26" s="17" t="n">
        <v>73387812</v>
      </c>
    </row>
    <row r="27">
      <c r="A27" s="16" t="inlineStr">
        <is>
          <t>nov-25</t>
        </is>
      </c>
      <c r="B27" s="16" t="n">
        <v>23</v>
      </c>
      <c r="C27" s="16" t="n">
        <v>17957</v>
      </c>
      <c r="D27" s="17" t="n">
        <v>73808358</v>
      </c>
    </row>
    <row r="28">
      <c r="A28" s="16" t="inlineStr">
        <is>
          <t>déc-25</t>
        </is>
      </c>
      <c r="B28" s="16" t="n">
        <v>24</v>
      </c>
      <c r="C28" s="16" t="n">
        <v>17328</v>
      </c>
      <c r="D28" s="17" t="n">
        <v>70516736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6" customWidth="1" min="4" max="4"/>
  </cols>
  <sheetData>
    <row r="1">
      <c r="A1" s="1" t="inlineStr">
        <is>
          <t>Libreville — la courbe de montée en charge</t>
        </is>
      </c>
    </row>
    <row r="2">
      <c r="A2" s="4" t="inlineStr">
        <is>
          <t>C'est d'ici que sort H_MONTEE. L'hypothèse n'est pas un chiffre rond : c'est la dernière ouverture du groupe, relue.</t>
        </is>
      </c>
    </row>
    <row r="4" ht="22" customHeight="1">
      <c r="A4" s="5" t="inlineStr">
        <is>
          <t>Mois</t>
        </is>
      </c>
      <c r="B4" s="5" t="inlineStr">
        <is>
          <t>Volume</t>
        </is>
      </c>
      <c r="C4" s="5" t="inlineStr">
        <is>
          <t>Part_croisiere</t>
        </is>
      </c>
      <c r="D4" s="5" t="inlineStr">
        <is>
          <t>Lecture</t>
        </is>
      </c>
    </row>
    <row r="5">
      <c r="A5" s="16" t="n">
        <v>1</v>
      </c>
      <c r="B5" s="16" t="n">
        <v>4121</v>
      </c>
      <c r="C5" s="18">
        <f>B5/MAX($B$5:$B$28)</f>
        <v/>
      </c>
    </row>
    <row r="6">
      <c r="A6" s="16" t="n">
        <v>2</v>
      </c>
      <c r="B6" s="16" t="n">
        <v>5557</v>
      </c>
      <c r="C6" s="18">
        <f>B6/MAX($B$5:$B$28)</f>
        <v/>
      </c>
    </row>
    <row r="7">
      <c r="A7" s="16" t="n">
        <v>3</v>
      </c>
      <c r="B7" s="16" t="n">
        <v>6640</v>
      </c>
      <c r="C7" s="18">
        <f>B7/MAX($B$5:$B$28)</f>
        <v/>
      </c>
    </row>
    <row r="8">
      <c r="A8" s="16" t="n">
        <v>4</v>
      </c>
      <c r="B8" s="16" t="n">
        <v>7406</v>
      </c>
      <c r="C8" s="18">
        <f>B8/MAX($B$5:$B$28)</f>
        <v/>
      </c>
    </row>
    <row r="9">
      <c r="A9" s="16" t="n">
        <v>5</v>
      </c>
      <c r="B9" s="16" t="n">
        <v>8616</v>
      </c>
      <c r="C9" s="18">
        <f>B9/MAX($B$5:$B$28)</f>
        <v/>
      </c>
    </row>
    <row r="10">
      <c r="A10" s="16" t="n">
        <v>6</v>
      </c>
      <c r="B10" s="16" t="n">
        <v>9823</v>
      </c>
      <c r="C10" s="18">
        <f>B10/MAX($B$5:$B$28)</f>
        <v/>
      </c>
    </row>
    <row r="11">
      <c r="A11" s="16" t="n">
        <v>7</v>
      </c>
      <c r="B11" s="16" t="n">
        <v>11337</v>
      </c>
      <c r="C11" s="18">
        <f>B11/MAX($B$5:$B$28)</f>
        <v/>
      </c>
    </row>
    <row r="12">
      <c r="A12" s="16" t="n">
        <v>8</v>
      </c>
      <c r="B12" s="16" t="n">
        <v>12005</v>
      </c>
      <c r="C12" s="18">
        <f>B12/MAX($B$5:$B$28)</f>
        <v/>
      </c>
    </row>
    <row r="13">
      <c r="A13" s="16" t="n">
        <v>9</v>
      </c>
      <c r="B13" s="16" t="n">
        <v>12518</v>
      </c>
      <c r="C13" s="18">
        <f>B13/MAX($B$5:$B$28)</f>
        <v/>
      </c>
    </row>
    <row r="14">
      <c r="A14" s="16" t="n">
        <v>10</v>
      </c>
      <c r="B14" s="16" t="n">
        <v>14058</v>
      </c>
      <c r="C14" s="18">
        <f>B14/MAX($B$5:$B$28)</f>
        <v/>
      </c>
    </row>
    <row r="15">
      <c r="A15" s="16" t="n">
        <v>11</v>
      </c>
      <c r="B15" s="16" t="n">
        <v>15901</v>
      </c>
      <c r="C15" s="18">
        <f>B15/MAX($B$5:$B$28)</f>
        <v/>
      </c>
    </row>
    <row r="16">
      <c r="A16" s="16" t="n">
        <v>12</v>
      </c>
      <c r="B16" s="16" t="n">
        <v>15917</v>
      </c>
      <c r="C16" s="18">
        <f>B16/MAX($B$5:$B$28)</f>
        <v/>
      </c>
    </row>
    <row r="17">
      <c r="A17" s="16" t="n">
        <v>13</v>
      </c>
      <c r="B17" s="16" t="n">
        <v>18100</v>
      </c>
      <c r="C17" s="18">
        <f>B17/MAX($B$5:$B$28)</f>
        <v/>
      </c>
    </row>
    <row r="18">
      <c r="A18" s="16" t="n">
        <v>14</v>
      </c>
      <c r="B18" s="16" t="n">
        <v>17141</v>
      </c>
      <c r="C18" s="18">
        <f>B18/MAX($B$5:$B$28)</f>
        <v/>
      </c>
    </row>
    <row r="19">
      <c r="A19" s="16" t="n">
        <v>15</v>
      </c>
      <c r="B19" s="16" t="n">
        <v>17024</v>
      </c>
      <c r="C19" s="18">
        <f>B19/MAX($B$5:$B$28)</f>
        <v/>
      </c>
    </row>
    <row r="20">
      <c r="A20" s="16" t="n">
        <v>16</v>
      </c>
      <c r="B20" s="16" t="n">
        <v>18418</v>
      </c>
      <c r="C20" s="18">
        <f>B20/MAX($B$5:$B$28)</f>
        <v/>
      </c>
    </row>
    <row r="21">
      <c r="A21" s="16" t="n">
        <v>17</v>
      </c>
      <c r="B21" s="16" t="n">
        <v>16768</v>
      </c>
      <c r="C21" s="18">
        <f>B21/MAX($B$5:$B$28)</f>
        <v/>
      </c>
    </row>
    <row r="22">
      <c r="A22" s="16" t="n">
        <v>18</v>
      </c>
      <c r="B22" s="16" t="n">
        <v>18147</v>
      </c>
      <c r="C22" s="18">
        <f>B22/MAX($B$5:$B$28)</f>
        <v/>
      </c>
    </row>
    <row r="23">
      <c r="A23" s="16" t="n">
        <v>19</v>
      </c>
      <c r="B23" s="16" t="n">
        <v>18049</v>
      </c>
      <c r="C23" s="18">
        <f>B23/MAX($B$5:$B$28)</f>
        <v/>
      </c>
    </row>
    <row r="24">
      <c r="A24" s="16" t="n">
        <v>20</v>
      </c>
      <c r="B24" s="16" t="n">
        <v>16754</v>
      </c>
      <c r="C24" s="18">
        <f>B24/MAX($B$5:$B$28)</f>
        <v/>
      </c>
    </row>
    <row r="25">
      <c r="A25" s="16" t="n">
        <v>21</v>
      </c>
      <c r="B25" s="16" t="n">
        <v>17160</v>
      </c>
      <c r="C25" s="18">
        <f>B25/MAX($B$5:$B$28)</f>
        <v/>
      </c>
    </row>
    <row r="26">
      <c r="A26" s="16" t="n">
        <v>22</v>
      </c>
      <c r="B26" s="16" t="n">
        <v>18411</v>
      </c>
      <c r="C26" s="18">
        <f>B26/MAX($B$5:$B$28)</f>
        <v/>
      </c>
    </row>
    <row r="27">
      <c r="A27" s="16" t="n">
        <v>23</v>
      </c>
      <c r="B27" s="16" t="n">
        <v>17957</v>
      </c>
      <c r="C27" s="18">
        <f>B27/MAX($B$5:$B$28)</f>
        <v/>
      </c>
    </row>
    <row r="28">
      <c r="A28" s="16" t="n">
        <v>24</v>
      </c>
      <c r="B28" s="16" t="n">
        <v>17328</v>
      </c>
      <c r="C28" s="18">
        <f>B28/MAX($B$5:$B$28)</f>
        <v/>
      </c>
    </row>
    <row r="30">
      <c r="A30" s="12" t="inlineStr">
        <is>
          <t>Volume de croisière observé</t>
        </is>
      </c>
      <c r="B30" s="19" t="n">
        <v>18418</v>
      </c>
    </row>
    <row r="31">
      <c r="A31" s="12" t="inlineStr">
        <is>
          <t>Mois où 95 % est atteint</t>
        </is>
      </c>
      <c r="B31" t="n">
        <v>13</v>
      </c>
    </row>
    <row r="32">
      <c r="A32" s="12" t="inlineStr">
        <is>
          <t>Hypothèse retenue pour Bamako</t>
        </is>
      </c>
      <c r="B32" t="n">
        <v>14</v>
      </c>
      <c r="D32" s="4" t="inlineStr">
        <is>
          <t>Un mois de plus que Libreville : le marché malien est moins dense.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2026-09-17T23:13:59Z</dcterms:created>
  <dcterms:modified xmlns:dcterms="http://purl.org/dc/terms/" xmlns:xsi="http://www.w3.org/2001/XMLSchema-instance" xsi:type="dcterms:W3CDTF">2026-09-17T23:13:59Z</dcterms:modified>
</cp:coreProperties>
</file>