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9/"/>
    </mc:Choice>
  </mc:AlternateContent>
  <xr:revisionPtr revIDLastSave="0" documentId="11_C8815E205CE407E25043FCBC83C3C5AAD15C0B24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MODELE" sheetId="1" r:id="rId1"/>
    <sheet name="TABLE_1_ENTREE" sheetId="2" r:id="rId2"/>
    <sheet name="TABLE_2_ENTREES" sheetId="3" r:id="rId3"/>
    <sheet name="ATTENDU" sheetId="4" r:id="rId4"/>
  </sheets>
  <definedNames>
    <definedName name="P_COUT">MODELE!$B$5</definedName>
    <definedName name="P_FIXES">MODELE!$B$7</definedName>
    <definedName name="P_PRIX">MODELE!$B$4</definedName>
    <definedName name="P_RESULTAT">MODELE!$B$10</definedName>
    <definedName name="P_TAUX">MODELE!$B$11</definedName>
    <definedName name="P_VOLUME">MODELE!$B$6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 s="1"/>
  <c r="B10" i="1" s="1"/>
  <c r="A5" i="3" l="1"/>
  <c r="B5" i="2"/>
  <c r="B11" i="1"/>
</calcChain>
</file>

<file path=xl/sharedStrings.xml><?xml version="1.0" encoding="utf-8"?>
<sst xmlns="http://schemas.openxmlformats.org/spreadsheetml/2006/main" count="35" uniqueCount="35">
  <si>
    <t>Riz parfumé 25 kg — Dakar, un mois</t>
  </si>
  <si>
    <t>Quatre saisies en bleu, trois formules en noir. C'est le plus petit modèle sur lequel les trois outils marchent.</t>
  </si>
  <si>
    <t>Prix de vente unitaire</t>
  </si>
  <si>
    <t>← c'est cette cellule que Valeur cible fera bouger</t>
  </si>
  <si>
    <t>Coût d'achat unitaire</t>
  </si>
  <si>
    <t>Volume mensuel</t>
  </si>
  <si>
    <t>Charges fixes du mois</t>
  </si>
  <si>
    <t>Marge unitaire</t>
  </si>
  <si>
    <t>Marge sur coûts variables</t>
  </si>
  <si>
    <t>Résultat du mois</t>
  </si>
  <si>
    <t>Taux de marge sur le CA</t>
  </si>
  <si>
    <t>← et c'est celle-ci qu'on veut amener à 15 %</t>
  </si>
  <si>
    <t>Table de données à une entrée — le volume</t>
  </si>
  <si>
    <t>Le geste : sélectionner A5:B17, puis Données &gt; Analyse de scénarios &gt; Table de données, cellule d'entrée en COLONNE = B6 de MODELE.</t>
  </si>
  <si>
    <t>Volume</t>
  </si>
  <si>
    <t>← la formule va dans le coin, au-dessus de la colonne de résultats</t>
  </si>
  <si>
    <t>Les cellules de résultat restent vides : c'est Excel qui les remplit.</t>
  </si>
  <si>
    <t>Table de données à deux entrées — prix × volume</t>
  </si>
  <si>
    <t>Sélectionner A5:M18, cellule d'entrée en LIGNE = B4 (le prix), en COLONNE = B6 (le volume). 132 simulations, aucune macro.</t>
  </si>
  <si>
    <t>Le coin porte la formule. La ligne du haut et la colonne de gauche portent les valeurs à essayer. Le rectangle reste vide.</t>
  </si>
  <si>
    <t>Ce que vous devez trouver</t>
  </si>
  <si>
    <t>À ne regarder qu'après avoir fait le geste.</t>
  </si>
  <si>
    <t>Ce qu'on cherche</t>
  </si>
  <si>
    <t>Valeur</t>
  </si>
  <si>
    <t>Comment la lire</t>
  </si>
  <si>
    <t>Prix qui donne 15 % de marge sur le CA (Valeur cible)</t>
  </si>
  <si>
    <t>16,04 USD — soit 1,24 USD de plus qu'aujourd'hui</t>
  </si>
  <si>
    <t>Prix qui annule le résultat</t>
  </si>
  <si>
    <t>en dessous, chaque sac vendu coûte de l'argent</t>
  </si>
  <si>
    <t>Volume qui annule le résultat, au prix actuel</t>
  </si>
  <si>
    <t>le seuil de rentabilité, en sacs</t>
  </si>
  <si>
    <t>Résultat à 9 000 sacs (table à une entrée)</t>
  </si>
  <si>
    <t>ligne « 9 000 » de TABLE_1</t>
  </si>
  <si>
    <t>Résultat à 13,80 USD et 11 000 sacs (table à deux entrées)</t>
  </si>
  <si>
    <t>croisement colonne 13,80 × ligne 11 000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</si>
</sst>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USD&quot;"/>
    <numFmt numFmtId="165" formatCode="#,##0\ &quot;USD&quot;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6B7280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F4FE"/>
      </patternFill>
    </fill>
    <fill>
      <patternFill patternType="solid">
        <fgColor rgb="FF24304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1" xfId="0" applyNumberFormat="1" applyFont="1" applyFill="1" applyBorder="1"/>
    <xf numFmtId="3" fontId="4" fillId="2" borderId="1" xfId="0" applyNumberFormat="1" applyFont="1" applyFill="1" applyBorder="1"/>
    <xf numFmtId="165" fontId="4" fillId="2" borderId="1" xfId="0" applyNumberFormat="1" applyFont="1" applyFill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0" fontId="5" fillId="0" borderId="1" xfId="0" applyNumberFormat="1" applyFont="1" applyBorder="1"/>
    <xf numFmtId="165" fontId="5" fillId="0" borderId="0" xfId="0" applyNumberFormat="1" applyFont="1"/>
    <xf numFmtId="3" fontId="4" fillId="2" borderId="0" xfId="0" applyNumberFormat="1" applyFont="1" applyFill="1"/>
    <xf numFmtId="165" fontId="0" fillId="0" borderId="0" xfId="0" applyNumberFormat="1"/>
    <xf numFmtId="164" fontId="4" fillId="2" borderId="0" xfId="0" applyNumberFormat="1" applyFont="1" applyFill="1"/>
    <xf numFmtId="3" fontId="0" fillId="0" borderId="0" xfId="0" applyNumberFormat="1"/>
    <xf numFmtId="0" fontId="6" fillId="3" borderId="0" xfId="0" applyFont="1" applyFill="1" applyAlignment="1">
      <alignment horizontal="left" vertic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8.83203125" defaultRowHeight="15" x14ac:dyDescent="0.2"/>
  <cols>
    <col min="1" max="1" width="34" customWidth="1"/>
    <col min="2" max="2" width="18" customWidth="1"/>
    <col min="3" max="3" width="54" customWidth="1"/>
  </cols>
  <sheetData>
    <row r="1" spans="1:3" ht="19" x14ac:dyDescent="0.25">
      <c r="A1" s="1" t="s">
        <v>0</v>
      </c>
    </row>
    <row r="2" spans="1:3" x14ac:dyDescent="0.2">
      <c r="A2" s="2" t="s">
        <v>1</v>
      </c>
    </row>
    <row r="4" spans="1:3" x14ac:dyDescent="0.2">
      <c r="A4" s="3" t="s">
        <v>2</v>
      </c>
      <c r="B4" s="4">
        <v>14.8</v>
      </c>
      <c r="C4" s="2" t="s">
        <v>3</v>
      </c>
    </row>
    <row r="5" spans="1:3" x14ac:dyDescent="0.2">
      <c r="A5" s="3" t="s">
        <v>4</v>
      </c>
      <c r="B5" s="4">
        <v>11.35</v>
      </c>
    </row>
    <row r="6" spans="1:3" x14ac:dyDescent="0.2">
      <c r="A6" s="3" t="s">
        <v>5</v>
      </c>
      <c r="B6" s="5">
        <v>9400</v>
      </c>
    </row>
    <row r="7" spans="1:3" x14ac:dyDescent="0.2">
      <c r="A7" s="3" t="s">
        <v>6</v>
      </c>
      <c r="B7" s="6">
        <v>21500</v>
      </c>
    </row>
    <row r="8" spans="1:3" x14ac:dyDescent="0.2">
      <c r="A8" s="3" t="s">
        <v>7</v>
      </c>
      <c r="B8" s="7">
        <f>B4-B5</f>
        <v>3.4500000000000011</v>
      </c>
    </row>
    <row r="9" spans="1:3" x14ac:dyDescent="0.2">
      <c r="A9" s="3" t="s">
        <v>8</v>
      </c>
      <c r="B9" s="8">
        <f>B8*B6</f>
        <v>32430.000000000011</v>
      </c>
    </row>
    <row r="10" spans="1:3" x14ac:dyDescent="0.2">
      <c r="A10" s="3" t="s">
        <v>9</v>
      </c>
      <c r="B10" s="8">
        <f>B9-B7</f>
        <v>10930.000000000011</v>
      </c>
    </row>
    <row r="11" spans="1:3" x14ac:dyDescent="0.2">
      <c r="A11" s="3" t="s">
        <v>10</v>
      </c>
      <c r="B11" s="9">
        <f>B10/(B4*B6)</f>
        <v>7.8565267395054705E-2</v>
      </c>
      <c r="C11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baseColWidth="10" defaultColWidth="8.83203125" defaultRowHeight="15" x14ac:dyDescent="0.2"/>
  <cols>
    <col min="1" max="1" width="16" customWidth="1"/>
    <col min="2" max="2" width="20" customWidth="1"/>
    <col min="3" max="3" width="62" customWidth="1"/>
  </cols>
  <sheetData>
    <row r="1" spans="1:3" ht="19" x14ac:dyDescent="0.25">
      <c r="A1" s="1" t="s">
        <v>12</v>
      </c>
    </row>
    <row r="2" spans="1:3" x14ac:dyDescent="0.2">
      <c r="A2" s="2" t="s">
        <v>13</v>
      </c>
    </row>
    <row r="4" spans="1:3" x14ac:dyDescent="0.2">
      <c r="A4" s="3" t="s">
        <v>14</v>
      </c>
    </row>
    <row r="5" spans="1:3" x14ac:dyDescent="0.2">
      <c r="B5" s="10">
        <f>P_RESULTAT</f>
        <v>10930.000000000011</v>
      </c>
      <c r="C5" s="2" t="s">
        <v>15</v>
      </c>
    </row>
    <row r="6" spans="1:3" x14ac:dyDescent="0.2">
      <c r="A6" s="11">
        <v>5000</v>
      </c>
      <c r="B6" s="12"/>
    </row>
    <row r="7" spans="1:3" x14ac:dyDescent="0.2">
      <c r="A7" s="11">
        <v>6000</v>
      </c>
      <c r="B7" s="12"/>
      <c r="C7" s="2" t="s">
        <v>16</v>
      </c>
    </row>
    <row r="8" spans="1:3" x14ac:dyDescent="0.2">
      <c r="A8" s="11">
        <v>7000</v>
      </c>
      <c r="B8" s="12"/>
    </row>
    <row r="9" spans="1:3" x14ac:dyDescent="0.2">
      <c r="A9" s="11">
        <v>8000</v>
      </c>
      <c r="B9" s="12"/>
    </row>
    <row r="10" spans="1:3" x14ac:dyDescent="0.2">
      <c r="A10" s="11">
        <v>9000</v>
      </c>
      <c r="B10" s="12"/>
    </row>
    <row r="11" spans="1:3" x14ac:dyDescent="0.2">
      <c r="A11" s="11">
        <v>10000</v>
      </c>
      <c r="B11" s="12"/>
    </row>
    <row r="12" spans="1:3" x14ac:dyDescent="0.2">
      <c r="A12" s="11">
        <v>11000</v>
      </c>
      <c r="B12" s="12"/>
    </row>
    <row r="13" spans="1:3" x14ac:dyDescent="0.2">
      <c r="A13" s="11">
        <v>12000</v>
      </c>
      <c r="B13" s="12"/>
    </row>
    <row r="14" spans="1:3" x14ac:dyDescent="0.2">
      <c r="A14" s="11">
        <v>13000</v>
      </c>
      <c r="B14" s="12"/>
    </row>
    <row r="15" spans="1:3" x14ac:dyDescent="0.2">
      <c r="A15" s="11">
        <v>14000</v>
      </c>
      <c r="B15" s="12"/>
    </row>
    <row r="16" spans="1:3" x14ac:dyDescent="0.2">
      <c r="A16" s="11">
        <v>15000</v>
      </c>
      <c r="B16" s="12"/>
    </row>
    <row r="17" spans="1:2" x14ac:dyDescent="0.2">
      <c r="A17" s="11">
        <v>16000</v>
      </c>
      <c r="B17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workbookViewId="0"/>
  </sheetViews>
  <sheetFormatPr baseColWidth="10" defaultColWidth="8.83203125" defaultRowHeight="15" x14ac:dyDescent="0.2"/>
  <cols>
    <col min="1" max="1" width="16" customWidth="1"/>
    <col min="2" max="13" width="13" customWidth="1"/>
  </cols>
  <sheetData>
    <row r="1" spans="1:13" ht="19" x14ac:dyDescent="0.25">
      <c r="A1" s="1" t="s">
        <v>17</v>
      </c>
    </row>
    <row r="2" spans="1:13" x14ac:dyDescent="0.2">
      <c r="A2" s="2" t="s">
        <v>18</v>
      </c>
    </row>
    <row r="5" spans="1:13" x14ac:dyDescent="0.2">
      <c r="A5" s="10">
        <f>P_RESULTAT</f>
        <v>10930.000000000011</v>
      </c>
      <c r="B5" s="13">
        <v>13</v>
      </c>
      <c r="C5" s="13">
        <v>13.4</v>
      </c>
      <c r="D5" s="13">
        <v>13.8</v>
      </c>
      <c r="E5" s="13">
        <v>14.2</v>
      </c>
      <c r="F5" s="13">
        <v>14.6</v>
      </c>
      <c r="G5" s="13">
        <v>15</v>
      </c>
      <c r="H5" s="13">
        <v>15.4</v>
      </c>
      <c r="I5" s="13">
        <v>15.8</v>
      </c>
      <c r="J5" s="13">
        <v>16.2</v>
      </c>
      <c r="K5" s="13">
        <v>16.600000000000001</v>
      </c>
      <c r="L5" s="13">
        <v>17</v>
      </c>
      <c r="M5" s="13">
        <v>17.399999999999999</v>
      </c>
    </row>
    <row r="6" spans="1:13" x14ac:dyDescent="0.2">
      <c r="A6" s="11">
        <v>5000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">
      <c r="A7" s="11">
        <v>6000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x14ac:dyDescent="0.2">
      <c r="A8" s="11">
        <v>7000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2">
      <c r="A9" s="11">
        <v>8000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x14ac:dyDescent="0.2">
      <c r="A10" s="11">
        <v>9000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 x14ac:dyDescent="0.2">
      <c r="A11" s="11">
        <v>10000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x14ac:dyDescent="0.2">
      <c r="A12" s="11">
        <v>11000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x14ac:dyDescent="0.2">
      <c r="A13" s="11">
        <v>12000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2">
      <c r="A14" s="11">
        <v>13000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 x14ac:dyDescent="0.2">
      <c r="A15" s="11">
        <v>14000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x14ac:dyDescent="0.2">
      <c r="A16" s="11">
        <v>15000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x14ac:dyDescent="0.2">
      <c r="A17" s="11">
        <v>16000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20" spans="1:13" x14ac:dyDescent="0.2">
      <c r="A20" s="2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baseColWidth="10" defaultColWidth="8.83203125" defaultRowHeight="15" x14ac:dyDescent="0.2"/>
  <cols>
    <col min="1" max="1" width="46" customWidth="1"/>
    <col min="2" max="2" width="20" customWidth="1"/>
    <col min="3" max="3" width="52" customWidth="1"/>
  </cols>
  <sheetData>
    <row r="1" spans="1:3" ht="19" x14ac:dyDescent="0.25">
      <c r="A1" s="1" t="s">
        <v>20</v>
      </c>
    </row>
    <row r="2" spans="1:3" x14ac:dyDescent="0.2">
      <c r="A2" s="2" t="s">
        <v>21</v>
      </c>
    </row>
    <row r="4" spans="1:3" ht="22" customHeight="1" x14ac:dyDescent="0.2">
      <c r="A4" s="15" t="s">
        <v>22</v>
      </c>
      <c r="B4" s="15" t="s">
        <v>23</v>
      </c>
      <c r="C4" s="15" t="s">
        <v>24</v>
      </c>
    </row>
    <row r="5" spans="1:3" x14ac:dyDescent="0.2">
      <c r="A5" s="16" t="s">
        <v>25</v>
      </c>
      <c r="B5" s="17">
        <v>16.043800000000001</v>
      </c>
      <c r="C5" s="2" t="s">
        <v>26</v>
      </c>
    </row>
    <row r="6" spans="1:3" x14ac:dyDescent="0.2">
      <c r="A6" s="16" t="s">
        <v>27</v>
      </c>
      <c r="B6" s="17">
        <v>13.6372</v>
      </c>
      <c r="C6" s="2" t="s">
        <v>28</v>
      </c>
    </row>
    <row r="7" spans="1:3" x14ac:dyDescent="0.2">
      <c r="A7" s="16" t="s">
        <v>29</v>
      </c>
      <c r="B7" s="18">
        <v>6231.88</v>
      </c>
      <c r="C7" s="2" t="s">
        <v>30</v>
      </c>
    </row>
    <row r="8" spans="1:3" x14ac:dyDescent="0.2">
      <c r="A8" s="16" t="s">
        <v>31</v>
      </c>
      <c r="B8" s="19">
        <v>9550</v>
      </c>
      <c r="C8" s="2" t="s">
        <v>32</v>
      </c>
    </row>
    <row r="9" spans="1:3" x14ac:dyDescent="0.2">
      <c r="A9" s="16" t="s">
        <v>33</v>
      </c>
      <c r="B9" s="19">
        <v>5450</v>
      </c>
      <c r="C9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6</vt:i4>
      </vt:variant>
    </vt:vector>
  </HeadingPairs>
  <TitlesOfParts>
    <vt:vector size="10" baseType="lpstr">
      <vt:lpstr>MODELE</vt:lpstr>
      <vt:lpstr>TABLE_1_ENTREE</vt:lpstr>
      <vt:lpstr>TABLE_2_ENTREES</vt:lpstr>
      <vt:lpstr>ATTENDU</vt:lpstr>
      <vt:lpstr>P_COUT</vt:lpstr>
      <vt:lpstr>P_FIXES</vt:lpstr>
      <vt:lpstr>P_PRIX</vt:lpstr>
      <vt:lpstr>P_RESULTAT</vt:lpstr>
      <vt:lpstr>P_TAUX</vt:lpstr>
      <vt:lpstr>P_VOLUME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2026-09-17T23:02:48Z</dcterms:created>
  <dcterms:modified xsi:type="dcterms:W3CDTF">2026-09-17T23:19:26Z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2026-09-17T23:19:26Z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5ecb356e-0ee9-4054-b12d-59281f4366fa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