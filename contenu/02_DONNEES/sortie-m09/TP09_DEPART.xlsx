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YPOTHESES" sheetId="2" state="visible" r:id="rId2"/>
    <sheet xmlns:r="http://schemas.openxmlformats.org/officeDocument/2006/relationships" name="RAW" sheetId="3" state="visible" r:id="rId3"/>
    <sheet xmlns:r="http://schemas.openxmlformats.org/officeDocument/2006/relationships" name="CLEAN" sheetId="4" state="visible" r:id="rId4"/>
    <sheet xmlns:r="http://schemas.openxmlformats.org/officeDocument/2006/relationships" name="CALCULS" sheetId="5" state="visible" r:id="rId5"/>
    <sheet xmlns:r="http://schemas.openxmlformats.org/officeDocument/2006/relationships" name="ANALYSE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QUALITE" sheetId="8" state="visible" r:id="rId8"/>
    <sheet xmlns:r="http://schemas.openxmlformats.org/officeDocument/2006/relationships" name="REPONSES" sheetId="9" state="visible" r:id="rId9"/>
    <sheet xmlns:r="http://schemas.openxmlformats.org/officeDocument/2006/relationships" name="ANNEXE_I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\ &quot;USD&quot;"/>
    <numFmt numFmtId="165" formatCode="#,##0\ &quot;XOF&quot;"/>
    <numFmt numFmtId="166" formatCode="#,##0.00\ &quot;USD&quot;"/>
    <numFmt numFmtId="167" formatCode="0.0000000"/>
    <numFmt numFmtId="168" formatCode="0.000000"/>
    <numFmt numFmtId="169" formatCode="#,##0&quot; mois&quot;"/>
    <numFmt numFmtId="170" formatCode="#,##0&quot; unités&quot;"/>
    <numFmt numFmtId="171" formatCode="0.0000%"/>
  </numFmts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i val="1"/>
      <color rgb="FF6B7280"/>
      <sz val="10"/>
    </font>
    <font>
      <name val="Calibri"/>
      <b val="1"/>
      <color rgb="FFFFFFFF"/>
      <sz val="11"/>
    </font>
    <font>
      <name val="Calibri"/>
      <color rgb="FF0000FF"/>
      <sz val="11"/>
    </font>
    <font>
      <name val="Calibri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FFF6D8"/>
      </patternFill>
    </fill>
    <fill>
      <patternFill patternType="solid">
        <fgColor rgb="FF243044"/>
      </patternFill>
    </fill>
    <fill>
      <patternFill patternType="solid">
        <fgColor rgb="FFEFF4FE"/>
      </patternFill>
    </fill>
  </fills>
  <borders count="2">
    <border>
      <left/>
      <right/>
      <top/>
      <bottom/>
      <diagonal/>
    </border>
    <border>
      <bottom style="thin">
        <color rgb="FFD6DBE1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2" borderId="1" applyAlignment="1" pivotButton="0" quotePrefix="0" xfId="0">
      <alignment vertical="top" wrapText="1"/>
    </xf>
    <xf numFmtId="0" fontId="3" fillId="0" borderId="0" pivotButton="0" quotePrefix="0" xfId="0"/>
    <xf numFmtId="0" fontId="4" fillId="3" borderId="0" applyAlignment="1" pivotButton="0" quotePrefix="0" xfId="0">
      <alignment horizontal="left" vertical="center"/>
    </xf>
    <xf numFmtId="164" fontId="5" fillId="4" borderId="1" pivotButton="0" quotePrefix="0" xfId="0"/>
    <xf numFmtId="3" fontId="5" fillId="4" borderId="1" pivotButton="0" quotePrefix="0" xfId="0"/>
    <xf numFmtId="165" fontId="5" fillId="4" borderId="1" pivotButton="0" quotePrefix="0" xfId="0"/>
    <xf numFmtId="166" fontId="5" fillId="4" borderId="1" pivotButton="0" quotePrefix="0" xfId="0"/>
    <xf numFmtId="4" fontId="5" fillId="4" borderId="1" pivotButton="0" quotePrefix="0" xfId="0"/>
    <xf numFmtId="10" fontId="5" fillId="4" borderId="1" pivotButton="0" quotePrefix="0" xfId="0"/>
    <xf numFmtId="0" fontId="2" fillId="0" borderId="0" pivotButton="0" quotePrefix="0" xfId="0"/>
    <xf numFmtId="3" fontId="5" fillId="4" borderId="0" pivotButton="0" quotePrefix="0" xfId="0"/>
    <xf numFmtId="165" fontId="5" fillId="4" borderId="0" pivotButton="0" quotePrefix="0" xfId="0"/>
    <xf numFmtId="10" fontId="5" fillId="4" borderId="0" pivotButton="0" quotePrefix="0" xfId="0"/>
    <xf numFmtId="0" fontId="0" fillId="0" borderId="1" pivotButton="0" quotePrefix="0" xfId="0"/>
    <xf numFmtId="3" fontId="0" fillId="0" borderId="1" pivotButton="0" quotePrefix="0" xfId="0"/>
    <xf numFmtId="10" fontId="6" fillId="0" borderId="1" pivotButton="0" quotePrefix="0" xfId="0"/>
    <xf numFmtId="3" fontId="0" fillId="0" borderId="0" pivotButton="0" quotePrefix="0" xfId="0"/>
    <xf numFmtId="167" fontId="0" fillId="0" borderId="0" pivotButton="0" quotePrefix="0" xfId="0"/>
    <xf numFmtId="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8" fontId="0" fillId="0" borderId="1" pivotButton="0" quotePrefix="0" xfId="0"/>
    <xf numFmtId="166" fontId="0" fillId="0" borderId="0" pivotButton="0" quotePrefix="0" xfId="0"/>
    <xf numFmtId="164" fontId="0" fillId="0" borderId="1" pivotButton="0" quotePrefix="0" xfId="0"/>
    <xf numFmtId="10" fontId="0" fillId="0" borderId="1" pivotButton="0" quotePrefix="0" xfId="0"/>
    <xf numFmtId="169" fontId="0" fillId="0" borderId="1" pivotButton="0" quotePrefix="0" xfId="0"/>
    <xf numFmtId="170" fontId="0" fillId="0" borderId="1" pivotButton="0" quotePrefix="0" xfId="0"/>
    <xf numFmtId="3" fontId="0" fillId="2" borderId="1" pivotButton="0" quotePrefix="0" xfId="0"/>
    <xf numFmtId="166" fontId="0" fillId="2" borderId="1" pivotButton="0" quotePrefix="0" xfId="0"/>
    <xf numFmtId="0" fontId="0" fillId="2" borderId="1" pivotButton="0" quotePrefix="0" xfId="0"/>
    <xf numFmtId="4" fontId="0" fillId="2" borderId="1" pivotButton="0" quotePrefix="0" xfId="0"/>
    <xf numFmtId="164" fontId="0" fillId="2" borderId="1" pivotButton="0" quotePrefix="0" xfId="0"/>
    <xf numFmtId="165" fontId="0" fillId="2" borderId="1" pivotButton="0" quotePrefix="0" xfId="0"/>
    <xf numFmtId="171" fontId="0" fillId="2" borderId="1" pivotButton="0" quotePrefix="0" xfId="0"/>
    <xf numFmtId="1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Scenarios" displayName="t_Scenarios" ref="A21:D24" headerRowCount="1">
  <autoFilter ref="A21:D24"/>
  <tableColumns count="4">
    <tableColumn id="1" name="Scenario"/>
    <tableColumn id="2" name="Volume_croisiere"/>
    <tableColumn id="3" name="Prix_XOF"/>
    <tableColumn id="4" name="Derive_Taux"/>
  </tableColumns>
  <tableStyleInfo name="TableStyleMedium2" showRowStripes="1"/>
</table>
</file>

<file path=xl/tables/table2.xml><?xml version="1.0" encoding="utf-8"?>
<table xmlns="http://schemas.openxmlformats.org/spreadsheetml/2006/main" id="2" name="t_Libreville" displayName="t_Libreville" ref="A4:D28" headerRowCount="1">
  <autoFilter ref="A4:D28"/>
  <tableColumns count="4">
    <tableColumn id="1" name="Periode"/>
    <tableColumn id="2" name="Mois"/>
    <tableColumn id="3" name="Volume"/>
    <tableColumn id="4" name="CA_XAF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04" customWidth="1" min="2" max="2"/>
  </cols>
  <sheetData>
    <row r="1">
      <c r="A1" s="1" t="inlineStr">
        <is>
          <t>README</t>
        </is>
      </c>
    </row>
    <row r="3" ht="46" customHeight="1">
      <c r="A3" s="2" t="inlineStr">
        <is>
          <t>À quoi sert ce classeur</t>
        </is>
      </c>
      <c r="B3" s="3" t="inlineStr"/>
    </row>
    <row r="4" ht="46" customHeight="1">
      <c r="A4" s="2" t="inlineStr">
        <is>
          <t>Qui l'a produit, et quand</t>
        </is>
      </c>
      <c r="B4" s="3" t="inlineStr"/>
    </row>
    <row r="5" ht="46" customHeight="1">
      <c r="A5" s="2" t="inlineStr">
        <is>
          <t>Les sources</t>
        </is>
      </c>
      <c r="B5" s="3" t="inlineStr"/>
    </row>
    <row r="6" ht="46" customHeight="1">
      <c r="A6" s="2" t="inlineStr">
        <is>
          <t>La règle des couleurs</t>
        </is>
      </c>
      <c r="B6" s="3" t="inlineStr"/>
    </row>
    <row r="7" ht="46" customHeight="1">
      <c r="A7" s="2" t="inlineStr">
        <is>
          <t>Pourquoi le taux de change est au centre</t>
        </is>
      </c>
      <c r="B7" s="3" t="inlineStr"/>
    </row>
    <row r="8" ht="46" customHeight="1">
      <c r="A8" s="2" t="inlineStr">
        <is>
          <t>VAN — définition</t>
        </is>
      </c>
      <c r="B8" s="3" t="inlineStr"/>
    </row>
    <row r="9" ht="46" customHeight="1">
      <c r="A9" s="2" t="inlineStr">
        <is>
          <t>TRI — définition</t>
        </is>
      </c>
      <c r="B9" s="3" t="inlineStr"/>
    </row>
    <row r="10" ht="46" customHeight="1">
      <c r="A10" s="2" t="inlineStr">
        <is>
          <t>Taux limite — définition</t>
        </is>
      </c>
      <c r="B10" s="3" t="inlineStr"/>
    </row>
    <row r="11" ht="46" customHeight="1">
      <c r="A11" s="2" t="inlineStr">
        <is>
          <t>Comment actualiser ce classeur</t>
        </is>
      </c>
      <c r="B11" s="3" t="inlineStr"/>
    </row>
    <row r="12" ht="46" customHeight="1">
      <c r="A12" s="2" t="inlineStr">
        <is>
          <t>Les deux natures de flux, et pourquoi elles sont séparées</t>
        </is>
      </c>
      <c r="B12" s="3" t="inlineStr"/>
    </row>
    <row r="13" ht="46" customHeight="1">
      <c r="A13" s="2" t="inlineStr">
        <is>
          <t>Ce que ce modèle ne dit pas</t>
        </is>
      </c>
      <c r="B1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72" customWidth="1" min="3" max="3"/>
  </cols>
  <sheetData>
    <row r="1">
      <c r="A1" s="1" t="inlineStr">
        <is>
          <t>Les quatorze hypothèses</t>
        </is>
      </c>
    </row>
    <row r="2">
      <c r="A2" s="4" t="inlineStr">
        <is>
          <t>Tout ce que ce plan suppose est ici, et nulle part ailleurs. Une cellule bleue hors de cette feuille est un bug.</t>
        </is>
      </c>
    </row>
    <row r="4" ht="22" customHeight="1">
      <c r="A4" s="5" t="inlineStr">
        <is>
          <t>Code</t>
        </is>
      </c>
      <c r="B4" s="5" t="inlineStr">
        <is>
          <t>Valeur</t>
        </is>
      </c>
      <c r="C4" s="5" t="inlineStr">
        <is>
          <t>Ce que c'est</t>
        </is>
      </c>
    </row>
    <row r="5">
      <c r="A5" s="2" t="inlineStr">
        <is>
          <t>H_AMENAGEMENT</t>
        </is>
      </c>
      <c r="B5" s="6" t="n">
        <v>68000</v>
      </c>
      <c r="C5" s="4" t="inlineStr">
        <is>
          <t>Aménagement du local — cloisons, rayonnage, groupe électrogène</t>
        </is>
      </c>
    </row>
    <row r="6">
      <c r="A6" s="2" t="inlineStr">
        <is>
          <t>H_MATERIEL</t>
        </is>
      </c>
      <c r="B6" s="6" t="n">
        <v>41500</v>
      </c>
      <c r="C6" s="4" t="inlineStr">
        <is>
          <t>Matériel roulant et informatique — une camionnette, six postes</t>
        </is>
      </c>
    </row>
    <row r="7">
      <c r="A7" s="2" t="inlineStr">
        <is>
          <t>H_STOCK_INITIAL</t>
        </is>
      </c>
      <c r="B7" s="6" t="n">
        <v>95000</v>
      </c>
      <c r="C7" s="4" t="inlineStr">
        <is>
          <t>Stock initial — payé en dollars, comme tous les achats du groupe</t>
        </is>
      </c>
    </row>
    <row r="8">
      <c r="A8" s="2" t="inlineStr">
        <is>
          <t>H_VOLUME_M1</t>
        </is>
      </c>
      <c r="B8" s="7" t="n">
        <v>4200</v>
      </c>
      <c r="C8" s="4" t="inlineStr">
        <is>
          <t>Volume du premier mois, en unités</t>
        </is>
      </c>
    </row>
    <row r="9">
      <c r="A9" s="2" t="inlineStr">
        <is>
          <t>H_VOLUME_CROISIERE</t>
        </is>
      </c>
      <c r="B9" s="7" t="n">
        <v>19500</v>
      </c>
      <c r="C9" s="4" t="inlineStr">
        <is>
          <t>Volume de croisière, en unités par mois</t>
        </is>
      </c>
    </row>
    <row r="10">
      <c r="A10" s="2" t="inlineStr">
        <is>
          <t>H_MONTEE</t>
        </is>
      </c>
      <c r="B10" s="7" t="n">
        <v>14</v>
      </c>
      <c r="C10" s="4" t="inlineStr">
        <is>
          <t>Durée de la montée en charge, en mois — calibrée sur Libreville</t>
        </is>
      </c>
    </row>
    <row r="11">
      <c r="A11" s="2" t="inlineStr">
        <is>
          <t>H_PRIX_XOF</t>
        </is>
      </c>
      <c r="B11" s="8" t="n">
        <v>4350</v>
      </c>
      <c r="C11" s="4" t="inlineStr">
        <is>
          <t>Prix de vente moyen par unité — encaissé en francs CFA</t>
        </is>
      </c>
    </row>
    <row r="12">
      <c r="A12" s="2" t="inlineStr">
        <is>
          <t>H_COUT_USD</t>
        </is>
      </c>
      <c r="B12" s="9" t="n">
        <v>4.55</v>
      </c>
      <c r="C12" s="4" t="inlineStr">
        <is>
          <t>Coût d'achat moyen par unité — décaissé en dollars</t>
        </is>
      </c>
    </row>
    <row r="13">
      <c r="A13" s="2" t="inlineStr">
        <is>
          <t>H_LOYER_XOF</t>
        </is>
      </c>
      <c r="B13" s="8" t="n">
        <v>2750000</v>
      </c>
      <c r="C13" s="4" t="inlineStr">
        <is>
          <t>Loyer mensuel du local</t>
        </is>
      </c>
    </row>
    <row r="14">
      <c r="A14" s="2" t="inlineStr">
        <is>
          <t>H_PERSONNEL_XOF</t>
        </is>
      </c>
      <c r="B14" s="8" t="n">
        <v>6480000</v>
      </c>
      <c r="C14" s="4" t="inlineStr">
        <is>
          <t>Masse salariale mensuelle — onze personnes</t>
        </is>
      </c>
    </row>
    <row r="15">
      <c r="A15" s="2" t="inlineStr">
        <is>
          <t>H_AUTRES_XOF</t>
        </is>
      </c>
      <c r="B15" s="8" t="n">
        <v>1920000</v>
      </c>
      <c r="C15" s="4" t="inlineStr">
        <is>
          <t>Autres charges mensuelles — énergie, transport, assurances</t>
        </is>
      </c>
    </row>
    <row r="16">
      <c r="A16" s="2" t="inlineStr">
        <is>
          <t>H_TAUX_XOF</t>
        </is>
      </c>
      <c r="B16" s="10" t="n">
        <v>631.4</v>
      </c>
      <c r="C16" s="4" t="inlineStr">
        <is>
          <t>Taux de change au démarrage, en XOF pour 1 USD</t>
        </is>
      </c>
    </row>
    <row r="17">
      <c r="A17" s="2" t="inlineStr">
        <is>
          <t>H_DERIVE_TAUX</t>
        </is>
      </c>
      <c r="B17" s="11" t="n">
        <v>0.0045</v>
      </c>
      <c r="C17" s="4" t="inlineStr">
        <is>
          <t>Dérive mensuelle du taux retenue au plan — soit 5,5 % par an</t>
        </is>
      </c>
    </row>
    <row r="18">
      <c r="A18" s="2" t="inlineStr">
        <is>
          <t>H_ACTUALISATION</t>
        </is>
      </c>
      <c r="B18" s="11" t="n">
        <v>0.14</v>
      </c>
      <c r="C18" s="4" t="inlineStr">
        <is>
          <t>Taux d'actualisation annuel exigé par la direction</t>
        </is>
      </c>
    </row>
    <row r="20">
      <c r="A20" s="1" t="inlineStr">
        <is>
          <t>Les trois scénarios</t>
        </is>
      </c>
    </row>
    <row r="21" ht="22" customHeight="1">
      <c r="A21" s="5" t="inlineStr">
        <is>
          <t>Scenario</t>
        </is>
      </c>
      <c r="B21" s="5" t="inlineStr">
        <is>
          <t>Volume_croisiere</t>
        </is>
      </c>
      <c r="C21" s="5" t="inlineStr">
        <is>
          <t>Prix_XOF</t>
        </is>
      </c>
      <c r="D21" s="5" t="inlineStr">
        <is>
          <t>Derive_Taux</t>
        </is>
      </c>
    </row>
    <row r="22">
      <c r="A22" s="12" t="inlineStr">
        <is>
          <t>Pessimiste</t>
        </is>
      </c>
      <c r="B22" s="13" t="n">
        <v>16500</v>
      </c>
      <c r="C22" s="14" t="n">
        <v>4200</v>
      </c>
      <c r="D22" s="15" t="n">
        <v>0.008</v>
      </c>
    </row>
    <row r="23">
      <c r="A23" s="12" t="inlineStr">
        <is>
          <t>Base</t>
        </is>
      </c>
      <c r="B23" s="13" t="n">
        <v>19500</v>
      </c>
      <c r="C23" s="14" t="n">
        <v>4350</v>
      </c>
      <c r="D23" s="15" t="n">
        <v>0.0045</v>
      </c>
    </row>
    <row r="24">
      <c r="A24" s="12" t="inlineStr">
        <is>
          <t>Optimiste</t>
        </is>
      </c>
      <c r="B24" s="13" t="n">
        <v>22000</v>
      </c>
      <c r="C24" s="14" t="n">
        <v>4450</v>
      </c>
      <c r="D24" s="15" t="n">
        <v>0.002</v>
      </c>
    </row>
    <row r="26">
      <c r="A26" s="4" t="inlineStr">
        <is>
          <t>La ligne « Base » doit être identique aux hypothèses du haut. La feuille QUALITE le vérifie.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6" customWidth="1" min="4" max="4"/>
  </cols>
  <sheetData>
    <row r="1">
      <c r="A1" s="1" t="inlineStr">
        <is>
          <t>Libreville — les 24 premiers mois, extraction brute</t>
        </is>
      </c>
    </row>
    <row r="2">
      <c r="A2" s="4" t="inlineStr">
        <is>
          <t>Source : export du SI commercial, 3 septembre 2026. On n'y touche pas — on la copie vers CLEAN.</t>
        </is>
      </c>
    </row>
    <row r="4" ht="22" customHeight="1">
      <c r="A4" s="5" t="inlineStr">
        <is>
          <t>Periode</t>
        </is>
      </c>
      <c r="B4" s="5" t="inlineStr">
        <is>
          <t>Mois</t>
        </is>
      </c>
      <c r="C4" s="5" t="inlineStr">
        <is>
          <t>Volume</t>
        </is>
      </c>
      <c r="D4" s="5" t="inlineStr">
        <is>
          <t>CA_XAF</t>
        </is>
      </c>
    </row>
    <row r="5">
      <c r="A5" s="16" t="inlineStr">
        <is>
          <t>janv-24</t>
        </is>
      </c>
      <c r="B5" s="16" t="n">
        <v>1</v>
      </c>
      <c r="C5" s="16" t="n">
        <v>4121</v>
      </c>
      <c r="D5" s="17" t="n">
        <v>16942078</v>
      </c>
    </row>
    <row r="6">
      <c r="A6" s="16" t="inlineStr">
        <is>
          <t>févr-24</t>
        </is>
      </c>
      <c r="B6" s="16" t="n">
        <v>2</v>
      </c>
      <c r="C6" s="16" t="n">
        <v>5557</v>
      </c>
      <c r="D6" s="17" t="n">
        <v>22550923</v>
      </c>
    </row>
    <row r="7">
      <c r="A7" s="16" t="inlineStr">
        <is>
          <t>mars-24</t>
        </is>
      </c>
      <c r="B7" s="16" t="n">
        <v>3</v>
      </c>
      <c r="C7" s="16" t="n">
        <v>6640</v>
      </c>
      <c r="D7" s="17" t="n">
        <v>27060924</v>
      </c>
    </row>
    <row r="8">
      <c r="A8" s="16" t="inlineStr">
        <is>
          <t>avr-24</t>
        </is>
      </c>
      <c r="B8" s="16" t="n">
        <v>4</v>
      </c>
      <c r="C8" s="16" t="n">
        <v>7406</v>
      </c>
      <c r="D8" s="17" t="n">
        <v>31901671</v>
      </c>
    </row>
    <row r="9">
      <c r="A9" s="16" t="inlineStr">
        <is>
          <t>mai-24</t>
        </is>
      </c>
      <c r="B9" s="16" t="n">
        <v>5</v>
      </c>
      <c r="C9" s="16" t="n">
        <v>8616</v>
      </c>
      <c r="D9" s="17" t="n">
        <v>34965582</v>
      </c>
    </row>
    <row r="10">
      <c r="A10" s="16" t="inlineStr">
        <is>
          <t>juin-24</t>
        </is>
      </c>
      <c r="B10" s="16" t="n">
        <v>6</v>
      </c>
      <c r="C10" s="16" t="n">
        <v>9823</v>
      </c>
      <c r="D10" s="17" t="n">
        <v>41692538</v>
      </c>
    </row>
    <row r="11">
      <c r="A11" s="16" t="inlineStr">
        <is>
          <t>juil-24</t>
        </is>
      </c>
      <c r="B11" s="16" t="n">
        <v>7</v>
      </c>
      <c r="C11" s="16" t="n">
        <v>11337</v>
      </c>
      <c r="D11" s="17" t="n">
        <v>45361425</v>
      </c>
    </row>
    <row r="12">
      <c r="A12" s="16" t="inlineStr">
        <is>
          <t>août-24</t>
        </is>
      </c>
      <c r="B12" s="16" t="n">
        <v>8</v>
      </c>
      <c r="C12" s="16" t="n">
        <v>12005</v>
      </c>
      <c r="D12" s="17" t="n">
        <v>49322232</v>
      </c>
    </row>
    <row r="13">
      <c r="A13" s="16" t="inlineStr">
        <is>
          <t>sept-24</t>
        </is>
      </c>
      <c r="B13" s="16" t="n">
        <v>9</v>
      </c>
      <c r="C13" s="16" t="n">
        <v>12518</v>
      </c>
      <c r="D13" s="17" t="n">
        <v>53061209</v>
      </c>
    </row>
    <row r="14">
      <c r="A14" s="16" t="inlineStr">
        <is>
          <t>oct-24</t>
        </is>
      </c>
      <c r="B14" s="16" t="n">
        <v>10</v>
      </c>
      <c r="C14" s="16" t="n">
        <v>14058</v>
      </c>
      <c r="D14" s="17" t="n">
        <v>56160524</v>
      </c>
    </row>
    <row r="15">
      <c r="A15" s="16" t="inlineStr">
        <is>
          <t>nov-24</t>
        </is>
      </c>
      <c r="B15" s="16" t="n">
        <v>11</v>
      </c>
      <c r="C15" s="16" t="n">
        <v>15901</v>
      </c>
      <c r="D15" s="17" t="n">
        <v>66320593</v>
      </c>
    </row>
    <row r="16">
      <c r="A16" s="16" t="inlineStr">
        <is>
          <t>déc-24</t>
        </is>
      </c>
      <c r="B16" s="16" t="n">
        <v>12</v>
      </c>
      <c r="C16" s="16" t="n">
        <v>15917</v>
      </c>
      <c r="D16" s="17" t="n">
        <v>64041047</v>
      </c>
    </row>
    <row r="17">
      <c r="A17" s="16" t="inlineStr">
        <is>
          <t>janv-25</t>
        </is>
      </c>
      <c r="B17" s="16" t="n">
        <v>13</v>
      </c>
      <c r="C17" s="16" t="n">
        <v>18100</v>
      </c>
      <c r="D17" s="17" t="n">
        <v>73632870</v>
      </c>
    </row>
    <row r="18">
      <c r="A18" s="16" t="inlineStr">
        <is>
          <t>févr-25</t>
        </is>
      </c>
      <c r="B18" s="16" t="n">
        <v>14</v>
      </c>
      <c r="C18" s="16" t="n">
        <v>17141</v>
      </c>
      <c r="D18" s="17" t="n">
        <v>72051268</v>
      </c>
    </row>
    <row r="19">
      <c r="A19" s="16" t="inlineStr">
        <is>
          <t>mars-25</t>
        </is>
      </c>
      <c r="B19" s="16" t="n">
        <v>15</v>
      </c>
      <c r="C19" s="16" t="n">
        <v>17024</v>
      </c>
      <c r="D19" s="17" t="n">
        <v>69393545</v>
      </c>
    </row>
    <row r="20">
      <c r="A20" s="16" t="inlineStr">
        <is>
          <t>avr-25</t>
        </is>
      </c>
      <c r="B20" s="16" t="n">
        <v>16</v>
      </c>
      <c r="C20" s="16" t="n">
        <v>18418</v>
      </c>
      <c r="D20" s="17" t="n">
        <v>74905403</v>
      </c>
    </row>
    <row r="21">
      <c r="A21" s="16" t="inlineStr">
        <is>
          <t>mai-25</t>
        </is>
      </c>
      <c r="B21" s="16" t="n">
        <v>17</v>
      </c>
      <c r="C21" s="16" t="n">
        <v>16768</v>
      </c>
      <c r="D21" s="17" t="n">
        <v>69596500</v>
      </c>
    </row>
    <row r="22">
      <c r="A22" s="16" t="inlineStr">
        <is>
          <t>juin-25</t>
        </is>
      </c>
      <c r="B22" s="16" t="n">
        <v>18</v>
      </c>
      <c r="C22" s="16" t="n">
        <v>18147</v>
      </c>
      <c r="D22" s="17" t="n">
        <v>73099810</v>
      </c>
    </row>
    <row r="23">
      <c r="A23" s="16" t="inlineStr">
        <is>
          <t>juil-25</t>
        </is>
      </c>
      <c r="B23" s="16" t="n">
        <v>19</v>
      </c>
      <c r="C23" s="16" t="n">
        <v>18049</v>
      </c>
      <c r="D23" s="17" t="n">
        <v>72603198</v>
      </c>
    </row>
    <row r="24">
      <c r="A24" s="16" t="inlineStr">
        <is>
          <t>août-25</t>
        </is>
      </c>
      <c r="B24" s="16" t="n">
        <v>20</v>
      </c>
      <c r="C24" s="16" t="n">
        <v>16754</v>
      </c>
      <c r="D24" s="17" t="n">
        <v>68572917</v>
      </c>
    </row>
    <row r="25">
      <c r="A25" s="16" t="inlineStr">
        <is>
          <t>sept-25</t>
        </is>
      </c>
      <c r="B25" s="16" t="n">
        <v>21</v>
      </c>
      <c r="C25" s="16" t="n">
        <v>17160</v>
      </c>
      <c r="D25" s="17" t="n">
        <v>69723965</v>
      </c>
    </row>
    <row r="26">
      <c r="A26" s="16" t="inlineStr">
        <is>
          <t>oct-25</t>
        </is>
      </c>
      <c r="B26" s="16" t="n">
        <v>22</v>
      </c>
      <c r="C26" s="16" t="n">
        <v>18411</v>
      </c>
      <c r="D26" s="17" t="n">
        <v>73387812</v>
      </c>
    </row>
    <row r="27">
      <c r="A27" s="16" t="inlineStr">
        <is>
          <t>nov-25</t>
        </is>
      </c>
      <c r="B27" s="16" t="n">
        <v>23</v>
      </c>
      <c r="C27" s="16" t="n">
        <v>17957</v>
      </c>
      <c r="D27" s="17" t="n">
        <v>73808358</v>
      </c>
    </row>
    <row r="28">
      <c r="A28" s="16" t="inlineStr">
        <is>
          <t>déc-25</t>
        </is>
      </c>
      <c r="B28" s="16" t="n">
        <v>24</v>
      </c>
      <c r="C28" s="16" t="n">
        <v>17328</v>
      </c>
      <c r="D28" s="17" t="n">
        <v>70516736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46" customWidth="1" min="4" max="4"/>
  </cols>
  <sheetData>
    <row r="1">
      <c r="A1" s="1" t="inlineStr">
        <is>
          <t>Libreville — la courbe de montée en charge</t>
        </is>
      </c>
    </row>
    <row r="2">
      <c r="A2" s="4" t="inlineStr">
        <is>
          <t>C'est d'ici que sort H_MONTEE. L'hypothèse n'est pas un chiffre rond : c'est la dernière ouverture du groupe, relue.</t>
        </is>
      </c>
    </row>
    <row r="4" ht="22" customHeight="1">
      <c r="A4" s="5" t="inlineStr">
        <is>
          <t>Mois</t>
        </is>
      </c>
      <c r="B4" s="5" t="inlineStr">
        <is>
          <t>Volume</t>
        </is>
      </c>
      <c r="C4" s="5" t="inlineStr">
        <is>
          <t>Part_croisiere</t>
        </is>
      </c>
      <c r="D4" s="5" t="inlineStr">
        <is>
          <t>Lecture</t>
        </is>
      </c>
    </row>
    <row r="5">
      <c r="A5" s="16" t="n">
        <v>1</v>
      </c>
      <c r="B5" s="16" t="n">
        <v>4121</v>
      </c>
      <c r="C5" s="18">
        <f>B5/MAX($B$5:$B$28)</f>
        <v/>
      </c>
    </row>
    <row r="6">
      <c r="A6" s="16" t="n">
        <v>2</v>
      </c>
      <c r="B6" s="16" t="n">
        <v>5557</v>
      </c>
      <c r="C6" s="18">
        <f>B6/MAX($B$5:$B$28)</f>
        <v/>
      </c>
    </row>
    <row r="7">
      <c r="A7" s="16" t="n">
        <v>3</v>
      </c>
      <c r="B7" s="16" t="n">
        <v>6640</v>
      </c>
      <c r="C7" s="18">
        <f>B7/MAX($B$5:$B$28)</f>
        <v/>
      </c>
    </row>
    <row r="8">
      <c r="A8" s="16" t="n">
        <v>4</v>
      </c>
      <c r="B8" s="16" t="n">
        <v>7406</v>
      </c>
      <c r="C8" s="18">
        <f>B8/MAX($B$5:$B$28)</f>
        <v/>
      </c>
    </row>
    <row r="9">
      <c r="A9" s="16" t="n">
        <v>5</v>
      </c>
      <c r="B9" s="16" t="n">
        <v>8616</v>
      </c>
      <c r="C9" s="18">
        <f>B9/MAX($B$5:$B$28)</f>
        <v/>
      </c>
    </row>
    <row r="10">
      <c r="A10" s="16" t="n">
        <v>6</v>
      </c>
      <c r="B10" s="16" t="n">
        <v>9823</v>
      </c>
      <c r="C10" s="18">
        <f>B10/MAX($B$5:$B$28)</f>
        <v/>
      </c>
    </row>
    <row r="11">
      <c r="A11" s="16" t="n">
        <v>7</v>
      </c>
      <c r="B11" s="16" t="n">
        <v>11337</v>
      </c>
      <c r="C11" s="18">
        <f>B11/MAX($B$5:$B$28)</f>
        <v/>
      </c>
    </row>
    <row r="12">
      <c r="A12" s="16" t="n">
        <v>8</v>
      </c>
      <c r="B12" s="16" t="n">
        <v>12005</v>
      </c>
      <c r="C12" s="18">
        <f>B12/MAX($B$5:$B$28)</f>
        <v/>
      </c>
    </row>
    <row r="13">
      <c r="A13" s="16" t="n">
        <v>9</v>
      </c>
      <c r="B13" s="16" t="n">
        <v>12518</v>
      </c>
      <c r="C13" s="18">
        <f>B13/MAX($B$5:$B$28)</f>
        <v/>
      </c>
    </row>
    <row r="14">
      <c r="A14" s="16" t="n">
        <v>10</v>
      </c>
      <c r="B14" s="16" t="n">
        <v>14058</v>
      </c>
      <c r="C14" s="18">
        <f>B14/MAX($B$5:$B$28)</f>
        <v/>
      </c>
    </row>
    <row r="15">
      <c r="A15" s="16" t="n">
        <v>11</v>
      </c>
      <c r="B15" s="16" t="n">
        <v>15901</v>
      </c>
      <c r="C15" s="18">
        <f>B15/MAX($B$5:$B$28)</f>
        <v/>
      </c>
    </row>
    <row r="16">
      <c r="A16" s="16" t="n">
        <v>12</v>
      </c>
      <c r="B16" s="16" t="n">
        <v>15917</v>
      </c>
      <c r="C16" s="18">
        <f>B16/MAX($B$5:$B$28)</f>
        <v/>
      </c>
    </row>
    <row r="17">
      <c r="A17" s="16" t="n">
        <v>13</v>
      </c>
      <c r="B17" s="16" t="n">
        <v>18100</v>
      </c>
      <c r="C17" s="18">
        <f>B17/MAX($B$5:$B$28)</f>
        <v/>
      </c>
    </row>
    <row r="18">
      <c r="A18" s="16" t="n">
        <v>14</v>
      </c>
      <c r="B18" s="16" t="n">
        <v>17141</v>
      </c>
      <c r="C18" s="18">
        <f>B18/MAX($B$5:$B$28)</f>
        <v/>
      </c>
    </row>
    <row r="19">
      <c r="A19" s="16" t="n">
        <v>15</v>
      </c>
      <c r="B19" s="16" t="n">
        <v>17024</v>
      </c>
      <c r="C19" s="18">
        <f>B19/MAX($B$5:$B$28)</f>
        <v/>
      </c>
    </row>
    <row r="20">
      <c r="A20" s="16" t="n">
        <v>16</v>
      </c>
      <c r="B20" s="16" t="n">
        <v>18418</v>
      </c>
      <c r="C20" s="18">
        <f>B20/MAX($B$5:$B$28)</f>
        <v/>
      </c>
    </row>
    <row r="21">
      <c r="A21" s="16" t="n">
        <v>17</v>
      </c>
      <c r="B21" s="16" t="n">
        <v>16768</v>
      </c>
      <c r="C21" s="18">
        <f>B21/MAX($B$5:$B$28)</f>
        <v/>
      </c>
    </row>
    <row r="22">
      <c r="A22" s="16" t="n">
        <v>18</v>
      </c>
      <c r="B22" s="16" t="n">
        <v>18147</v>
      </c>
      <c r="C22" s="18">
        <f>B22/MAX($B$5:$B$28)</f>
        <v/>
      </c>
    </row>
    <row r="23">
      <c r="A23" s="16" t="n">
        <v>19</v>
      </c>
      <c r="B23" s="16" t="n">
        <v>18049</v>
      </c>
      <c r="C23" s="18">
        <f>B23/MAX($B$5:$B$28)</f>
        <v/>
      </c>
    </row>
    <row r="24">
      <c r="A24" s="16" t="n">
        <v>20</v>
      </c>
      <c r="B24" s="16" t="n">
        <v>16754</v>
      </c>
      <c r="C24" s="18">
        <f>B24/MAX($B$5:$B$28)</f>
        <v/>
      </c>
    </row>
    <row r="25">
      <c r="A25" s="16" t="n">
        <v>21</v>
      </c>
      <c r="B25" s="16" t="n">
        <v>17160</v>
      </c>
      <c r="C25" s="18">
        <f>B25/MAX($B$5:$B$28)</f>
        <v/>
      </c>
    </row>
    <row r="26">
      <c r="A26" s="16" t="n">
        <v>22</v>
      </c>
      <c r="B26" s="16" t="n">
        <v>18411</v>
      </c>
      <c r="C26" s="18">
        <f>B26/MAX($B$5:$B$28)</f>
        <v/>
      </c>
    </row>
    <row r="27">
      <c r="A27" s="16" t="n">
        <v>23</v>
      </c>
      <c r="B27" s="16" t="n">
        <v>17957</v>
      </c>
      <c r="C27" s="18">
        <f>B27/MAX($B$5:$B$28)</f>
        <v/>
      </c>
    </row>
    <row r="28">
      <c r="A28" s="16" t="n">
        <v>24</v>
      </c>
      <c r="B28" s="16" t="n">
        <v>17328</v>
      </c>
      <c r="C28" s="18">
        <f>B28/MAX($B$5:$B$28)</f>
        <v/>
      </c>
    </row>
    <row r="30">
      <c r="A30" s="12" t="inlineStr">
        <is>
          <t>Volume de croisière observé</t>
        </is>
      </c>
      <c r="B30" s="19" t="n">
        <v>18418</v>
      </c>
    </row>
    <row r="31">
      <c r="A31" s="12" t="inlineStr">
        <is>
          <t>Mois où 95 % est atteint</t>
        </is>
      </c>
      <c r="B31" t="n">
        <v>13</v>
      </c>
    </row>
    <row r="32">
      <c r="A32" s="12" t="inlineStr">
        <is>
          <t>Hypothèse retenue pour Bamako</t>
        </is>
      </c>
      <c r="B32" t="n">
        <v>14</v>
      </c>
      <c r="D32" s="4" t="inlineStr">
        <is>
          <t>Un mois de plus que Libreville : le marché malien est moins dense.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</cols>
  <sheetData>
    <row r="1">
      <c r="A1" s="1" t="inlineStr">
        <is>
          <t>La projection sur 24 mois</t>
        </is>
      </c>
    </row>
    <row r="2">
      <c r="A2" s="4" t="inlineStr">
        <is>
          <t>Une ligne par mois, le mois 0 portant l'investissement. Aucune valeur en dur : tout descend de HYPOTHESES.</t>
        </is>
      </c>
    </row>
    <row r="3">
      <c r="A3" s="12" t="inlineStr">
        <is>
          <t>Taux d'actualisation mensuel</t>
        </is>
      </c>
      <c r="B3" s="20" t="n"/>
    </row>
    <row r="5" ht="22" customHeight="1">
      <c r="A5" s="5" t="inlineStr">
        <is>
          <t>Mois</t>
        </is>
      </c>
      <c r="B5" s="5" t="inlineStr">
        <is>
          <t>Taux_XOF_USD</t>
        </is>
      </c>
      <c r="C5" s="5" t="inlineStr">
        <is>
          <t>Volume</t>
        </is>
      </c>
      <c r="D5" s="5" t="inlineStr">
        <is>
          <t>CA_XOF</t>
        </is>
      </c>
      <c r="E5" s="5" t="inlineStr">
        <is>
          <t>Charges_XOF</t>
        </is>
      </c>
      <c r="F5" s="5" t="inlineStr">
        <is>
          <t>CA_USD</t>
        </is>
      </c>
      <c r="G5" s="5" t="inlineStr">
        <is>
          <t>Charges_USD</t>
        </is>
      </c>
      <c r="H5" s="5" t="inlineStr">
        <is>
          <t>Marge_locale_USD</t>
        </is>
      </c>
      <c r="I5" s="5" t="inlineStr">
        <is>
          <t>Achats_USD</t>
        </is>
      </c>
      <c r="J5" s="5" t="inlineStr">
        <is>
          <t>Flux_USD</t>
        </is>
      </c>
      <c r="K5" s="5" t="inlineStr">
        <is>
          <t>Actualisation</t>
        </is>
      </c>
      <c r="L5" s="5" t="inlineStr">
        <is>
          <t>Flux_actualise</t>
        </is>
      </c>
      <c r="M5" s="5" t="inlineStr">
        <is>
          <t>Cumul_USD</t>
        </is>
      </c>
    </row>
    <row r="6">
      <c r="A6" s="17" t="n"/>
      <c r="B6" s="21" t="n"/>
      <c r="C6" s="17" t="n"/>
      <c r="D6" s="22" t="n"/>
      <c r="E6" s="22" t="n"/>
      <c r="F6" s="23" t="n"/>
      <c r="G6" s="23" t="n"/>
      <c r="H6" s="23" t="n"/>
      <c r="I6" s="23" t="n"/>
      <c r="J6" s="23" t="n"/>
      <c r="K6" s="24" t="n"/>
      <c r="L6" s="23" t="n"/>
      <c r="M6" s="23" t="n"/>
    </row>
    <row r="7">
      <c r="A7" s="17" t="n"/>
      <c r="B7" s="21" t="n"/>
      <c r="C7" s="17" t="n"/>
      <c r="D7" s="22" t="n"/>
      <c r="E7" s="22" t="n"/>
      <c r="F7" s="23" t="n"/>
      <c r="G7" s="23" t="n"/>
      <c r="H7" s="23" t="n"/>
      <c r="I7" s="23" t="n"/>
      <c r="J7" s="23" t="n"/>
      <c r="K7" s="24" t="n"/>
      <c r="L7" s="23" t="n"/>
      <c r="M7" s="23" t="n"/>
    </row>
    <row r="8">
      <c r="A8" s="17" t="n"/>
      <c r="B8" s="21" t="n"/>
      <c r="C8" s="17" t="n"/>
      <c r="D8" s="22" t="n"/>
      <c r="E8" s="22" t="n"/>
      <c r="F8" s="23" t="n"/>
      <c r="G8" s="23" t="n"/>
      <c r="H8" s="23" t="n"/>
      <c r="I8" s="23" t="n"/>
      <c r="J8" s="23" t="n"/>
      <c r="K8" s="24" t="n"/>
      <c r="L8" s="23" t="n"/>
      <c r="M8" s="23" t="n"/>
    </row>
    <row r="9">
      <c r="A9" s="17" t="n"/>
      <c r="B9" s="21" t="n"/>
      <c r="C9" s="17" t="n"/>
      <c r="D9" s="22" t="n"/>
      <c r="E9" s="22" t="n"/>
      <c r="F9" s="23" t="n"/>
      <c r="G9" s="23" t="n"/>
      <c r="H9" s="23" t="n"/>
      <c r="I9" s="23" t="n"/>
      <c r="J9" s="23" t="n"/>
      <c r="K9" s="24" t="n"/>
      <c r="L9" s="23" t="n"/>
      <c r="M9" s="23" t="n"/>
    </row>
    <row r="10">
      <c r="A10" s="17" t="n"/>
      <c r="B10" s="21" t="n"/>
      <c r="C10" s="17" t="n"/>
      <c r="D10" s="22" t="n"/>
      <c r="E10" s="22" t="n"/>
      <c r="F10" s="23" t="n"/>
      <c r="G10" s="23" t="n"/>
      <c r="H10" s="23" t="n"/>
      <c r="I10" s="23" t="n"/>
      <c r="J10" s="23" t="n"/>
      <c r="K10" s="24" t="n"/>
      <c r="L10" s="23" t="n"/>
      <c r="M10" s="23" t="n"/>
    </row>
    <row r="11">
      <c r="A11" s="17" t="n"/>
      <c r="B11" s="21" t="n"/>
      <c r="C11" s="17" t="n"/>
      <c r="D11" s="22" t="n"/>
      <c r="E11" s="22" t="n"/>
      <c r="F11" s="23" t="n"/>
      <c r="G11" s="23" t="n"/>
      <c r="H11" s="23" t="n"/>
      <c r="I11" s="23" t="n"/>
      <c r="J11" s="23" t="n"/>
      <c r="K11" s="24" t="n"/>
      <c r="L11" s="23" t="n"/>
      <c r="M11" s="23" t="n"/>
    </row>
    <row r="12">
      <c r="A12" s="17" t="n"/>
      <c r="B12" s="21" t="n"/>
      <c r="C12" s="17" t="n"/>
      <c r="D12" s="22" t="n"/>
      <c r="E12" s="22" t="n"/>
      <c r="F12" s="23" t="n"/>
      <c r="G12" s="23" t="n"/>
      <c r="H12" s="23" t="n"/>
      <c r="I12" s="23" t="n"/>
      <c r="J12" s="23" t="n"/>
      <c r="K12" s="24" t="n"/>
      <c r="L12" s="23" t="n"/>
      <c r="M12" s="23" t="n"/>
    </row>
    <row r="13">
      <c r="A13" s="17" t="n"/>
      <c r="B13" s="21" t="n"/>
      <c r="C13" s="17" t="n"/>
      <c r="D13" s="22" t="n"/>
      <c r="E13" s="22" t="n"/>
      <c r="F13" s="23" t="n"/>
      <c r="G13" s="23" t="n"/>
      <c r="H13" s="23" t="n"/>
      <c r="I13" s="23" t="n"/>
      <c r="J13" s="23" t="n"/>
      <c r="K13" s="24" t="n"/>
      <c r="L13" s="23" t="n"/>
      <c r="M13" s="23" t="n"/>
    </row>
    <row r="14">
      <c r="A14" s="17" t="n"/>
      <c r="B14" s="21" t="n"/>
      <c r="C14" s="17" t="n"/>
      <c r="D14" s="22" t="n"/>
      <c r="E14" s="22" t="n"/>
      <c r="F14" s="23" t="n"/>
      <c r="G14" s="23" t="n"/>
      <c r="H14" s="23" t="n"/>
      <c r="I14" s="23" t="n"/>
      <c r="J14" s="23" t="n"/>
      <c r="K14" s="24" t="n"/>
      <c r="L14" s="23" t="n"/>
      <c r="M14" s="23" t="n"/>
    </row>
    <row r="15">
      <c r="A15" s="17" t="n"/>
      <c r="B15" s="21" t="n"/>
      <c r="C15" s="17" t="n"/>
      <c r="D15" s="22" t="n"/>
      <c r="E15" s="22" t="n"/>
      <c r="F15" s="23" t="n"/>
      <c r="G15" s="23" t="n"/>
      <c r="H15" s="23" t="n"/>
      <c r="I15" s="23" t="n"/>
      <c r="J15" s="23" t="n"/>
      <c r="K15" s="24" t="n"/>
      <c r="L15" s="23" t="n"/>
      <c r="M15" s="23" t="n"/>
    </row>
    <row r="16">
      <c r="A16" s="17" t="n"/>
      <c r="B16" s="21" t="n"/>
      <c r="C16" s="17" t="n"/>
      <c r="D16" s="22" t="n"/>
      <c r="E16" s="22" t="n"/>
      <c r="F16" s="23" t="n"/>
      <c r="G16" s="23" t="n"/>
      <c r="H16" s="23" t="n"/>
      <c r="I16" s="23" t="n"/>
      <c r="J16" s="23" t="n"/>
      <c r="K16" s="24" t="n"/>
      <c r="L16" s="23" t="n"/>
      <c r="M16" s="23" t="n"/>
    </row>
    <row r="17">
      <c r="A17" s="17" t="n"/>
      <c r="B17" s="21" t="n"/>
      <c r="C17" s="17" t="n"/>
      <c r="D17" s="22" t="n"/>
      <c r="E17" s="22" t="n"/>
      <c r="F17" s="23" t="n"/>
      <c r="G17" s="23" t="n"/>
      <c r="H17" s="23" t="n"/>
      <c r="I17" s="23" t="n"/>
      <c r="J17" s="23" t="n"/>
      <c r="K17" s="24" t="n"/>
      <c r="L17" s="23" t="n"/>
      <c r="M17" s="23" t="n"/>
    </row>
    <row r="18">
      <c r="A18" s="17" t="n"/>
      <c r="B18" s="21" t="n"/>
      <c r="C18" s="17" t="n"/>
      <c r="D18" s="22" t="n"/>
      <c r="E18" s="22" t="n"/>
      <c r="F18" s="23" t="n"/>
      <c r="G18" s="23" t="n"/>
      <c r="H18" s="23" t="n"/>
      <c r="I18" s="23" t="n"/>
      <c r="J18" s="23" t="n"/>
      <c r="K18" s="24" t="n"/>
      <c r="L18" s="23" t="n"/>
      <c r="M18" s="23" t="n"/>
    </row>
    <row r="19">
      <c r="A19" s="17" t="n"/>
      <c r="B19" s="21" t="n"/>
      <c r="C19" s="17" t="n"/>
      <c r="D19" s="22" t="n"/>
      <c r="E19" s="22" t="n"/>
      <c r="F19" s="23" t="n"/>
      <c r="G19" s="23" t="n"/>
      <c r="H19" s="23" t="n"/>
      <c r="I19" s="23" t="n"/>
      <c r="J19" s="23" t="n"/>
      <c r="K19" s="24" t="n"/>
      <c r="L19" s="23" t="n"/>
      <c r="M19" s="23" t="n"/>
    </row>
    <row r="20">
      <c r="A20" s="17" t="n"/>
      <c r="B20" s="21" t="n"/>
      <c r="C20" s="17" t="n"/>
      <c r="D20" s="22" t="n"/>
      <c r="E20" s="22" t="n"/>
      <c r="F20" s="23" t="n"/>
      <c r="G20" s="23" t="n"/>
      <c r="H20" s="23" t="n"/>
      <c r="I20" s="23" t="n"/>
      <c r="J20" s="23" t="n"/>
      <c r="K20" s="24" t="n"/>
      <c r="L20" s="23" t="n"/>
      <c r="M20" s="23" t="n"/>
    </row>
    <row r="21">
      <c r="A21" s="17" t="n"/>
      <c r="B21" s="21" t="n"/>
      <c r="C21" s="17" t="n"/>
      <c r="D21" s="22" t="n"/>
      <c r="E21" s="22" t="n"/>
      <c r="F21" s="23" t="n"/>
      <c r="G21" s="23" t="n"/>
      <c r="H21" s="23" t="n"/>
      <c r="I21" s="23" t="n"/>
      <c r="J21" s="23" t="n"/>
      <c r="K21" s="24" t="n"/>
      <c r="L21" s="23" t="n"/>
      <c r="M21" s="23" t="n"/>
    </row>
    <row r="22">
      <c r="A22" s="17" t="n"/>
      <c r="B22" s="21" t="n"/>
      <c r="C22" s="17" t="n"/>
      <c r="D22" s="22" t="n"/>
      <c r="E22" s="22" t="n"/>
      <c r="F22" s="23" t="n"/>
      <c r="G22" s="23" t="n"/>
      <c r="H22" s="23" t="n"/>
      <c r="I22" s="23" t="n"/>
      <c r="J22" s="23" t="n"/>
      <c r="K22" s="24" t="n"/>
      <c r="L22" s="23" t="n"/>
      <c r="M22" s="23" t="n"/>
    </row>
    <row r="23">
      <c r="A23" s="17" t="n"/>
      <c r="B23" s="21" t="n"/>
      <c r="C23" s="17" t="n"/>
      <c r="D23" s="22" t="n"/>
      <c r="E23" s="22" t="n"/>
      <c r="F23" s="23" t="n"/>
      <c r="G23" s="23" t="n"/>
      <c r="H23" s="23" t="n"/>
      <c r="I23" s="23" t="n"/>
      <c r="J23" s="23" t="n"/>
      <c r="K23" s="24" t="n"/>
      <c r="L23" s="23" t="n"/>
      <c r="M23" s="23" t="n"/>
    </row>
    <row r="24">
      <c r="A24" s="17" t="n"/>
      <c r="B24" s="21" t="n"/>
      <c r="C24" s="17" t="n"/>
      <c r="D24" s="22" t="n"/>
      <c r="E24" s="22" t="n"/>
      <c r="F24" s="23" t="n"/>
      <c r="G24" s="23" t="n"/>
      <c r="H24" s="23" t="n"/>
      <c r="I24" s="23" t="n"/>
      <c r="J24" s="23" t="n"/>
      <c r="K24" s="24" t="n"/>
      <c r="L24" s="23" t="n"/>
      <c r="M24" s="23" t="n"/>
    </row>
    <row r="25">
      <c r="A25" s="17" t="n"/>
      <c r="B25" s="21" t="n"/>
      <c r="C25" s="17" t="n"/>
      <c r="D25" s="22" t="n"/>
      <c r="E25" s="22" t="n"/>
      <c r="F25" s="23" t="n"/>
      <c r="G25" s="23" t="n"/>
      <c r="H25" s="23" t="n"/>
      <c r="I25" s="23" t="n"/>
      <c r="J25" s="23" t="n"/>
      <c r="K25" s="24" t="n"/>
      <c r="L25" s="23" t="n"/>
      <c r="M25" s="23" t="n"/>
    </row>
    <row r="26">
      <c r="A26" s="17" t="n"/>
      <c r="B26" s="21" t="n"/>
      <c r="C26" s="17" t="n"/>
      <c r="D26" s="22" t="n"/>
      <c r="E26" s="22" t="n"/>
      <c r="F26" s="23" t="n"/>
      <c r="G26" s="23" t="n"/>
      <c r="H26" s="23" t="n"/>
      <c r="I26" s="23" t="n"/>
      <c r="J26" s="23" t="n"/>
      <c r="K26" s="24" t="n"/>
      <c r="L26" s="23" t="n"/>
      <c r="M26" s="23" t="n"/>
    </row>
    <row r="27">
      <c r="A27" s="17" t="n"/>
      <c r="B27" s="21" t="n"/>
      <c r="C27" s="17" t="n"/>
      <c r="D27" s="22" t="n"/>
      <c r="E27" s="22" t="n"/>
      <c r="F27" s="23" t="n"/>
      <c r="G27" s="23" t="n"/>
      <c r="H27" s="23" t="n"/>
      <c r="I27" s="23" t="n"/>
      <c r="J27" s="23" t="n"/>
      <c r="K27" s="24" t="n"/>
      <c r="L27" s="23" t="n"/>
      <c r="M27" s="23" t="n"/>
    </row>
    <row r="28">
      <c r="A28" s="17" t="n"/>
      <c r="B28" s="21" t="n"/>
      <c r="C28" s="17" t="n"/>
      <c r="D28" s="22" t="n"/>
      <c r="E28" s="22" t="n"/>
      <c r="F28" s="23" t="n"/>
      <c r="G28" s="23" t="n"/>
      <c r="H28" s="23" t="n"/>
      <c r="I28" s="23" t="n"/>
      <c r="J28" s="23" t="n"/>
      <c r="K28" s="24" t="n"/>
      <c r="L28" s="23" t="n"/>
      <c r="M28" s="23" t="n"/>
    </row>
    <row r="29">
      <c r="A29" s="17" t="n"/>
      <c r="B29" s="21" t="n"/>
      <c r="C29" s="17" t="n"/>
      <c r="D29" s="22" t="n"/>
      <c r="E29" s="22" t="n"/>
      <c r="F29" s="23" t="n"/>
      <c r="G29" s="23" t="n"/>
      <c r="H29" s="23" t="n"/>
      <c r="I29" s="23" t="n"/>
      <c r="J29" s="23" t="n"/>
      <c r="K29" s="24" t="n"/>
      <c r="L29" s="23" t="n"/>
      <c r="M29" s="23" t="n"/>
    </row>
    <row r="30">
      <c r="A30" s="17" t="n"/>
      <c r="B30" s="21" t="n"/>
      <c r="C30" s="17" t="n"/>
      <c r="D30" s="22" t="n"/>
      <c r="E30" s="22" t="n"/>
      <c r="F30" s="23" t="n"/>
      <c r="G30" s="23" t="n"/>
      <c r="H30" s="23" t="n"/>
      <c r="I30" s="23" t="n"/>
      <c r="J30" s="23" t="n"/>
      <c r="K30" s="24" t="n"/>
      <c r="L30" s="23" t="n"/>
      <c r="M30" s="2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Les trois scénarios, recalculés côte à côte</t>
        </is>
      </c>
    </row>
    <row r="2">
      <c r="A2" s="4" t="inlineStr">
        <is>
          <t>Le Gestionnaire de scénarios explore. Ce bloc-ci documente : il reste dans le classeur, et il se recalcule.</t>
        </is>
      </c>
    </row>
    <row r="5" ht="22" customHeight="1">
      <c r="A5" s="5" t="inlineStr">
        <is>
          <t>Mois</t>
        </is>
      </c>
      <c r="B5" s="5" t="inlineStr">
        <is>
          <t>Pessimiste</t>
        </is>
      </c>
      <c r="C5" s="5" t="inlineStr">
        <is>
          <t>Base</t>
        </is>
      </c>
      <c r="D5" s="5" t="inlineStr">
        <is>
          <t>Optimiste</t>
        </is>
      </c>
    </row>
    <row r="6">
      <c r="A6" s="19" t="n"/>
      <c r="B6" s="25" t="n"/>
      <c r="C6" s="25" t="n"/>
      <c r="D6" s="25" t="n"/>
    </row>
    <row r="7">
      <c r="A7" s="19" t="n"/>
      <c r="B7" s="25" t="n"/>
      <c r="C7" s="25" t="n"/>
      <c r="D7" s="25" t="n"/>
    </row>
    <row r="8">
      <c r="A8" s="19" t="n"/>
      <c r="B8" s="25" t="n"/>
      <c r="C8" s="25" t="n"/>
      <c r="D8" s="25" t="n"/>
    </row>
    <row r="9">
      <c r="A9" s="19" t="n"/>
      <c r="B9" s="25" t="n"/>
      <c r="C9" s="25" t="n"/>
      <c r="D9" s="25" t="n"/>
    </row>
    <row r="10">
      <c r="A10" s="19" t="n"/>
      <c r="B10" s="25" t="n"/>
      <c r="C10" s="25" t="n"/>
      <c r="D10" s="25" t="n"/>
    </row>
    <row r="11">
      <c r="A11" s="19" t="n"/>
      <c r="B11" s="25" t="n"/>
      <c r="C11" s="25" t="n"/>
      <c r="D11" s="25" t="n"/>
    </row>
    <row r="12">
      <c r="A12" s="19" t="n"/>
      <c r="B12" s="25" t="n"/>
      <c r="C12" s="25" t="n"/>
      <c r="D12" s="25" t="n"/>
    </row>
    <row r="13">
      <c r="A13" s="19" t="n"/>
      <c r="B13" s="25" t="n"/>
      <c r="C13" s="25" t="n"/>
      <c r="D13" s="25" t="n"/>
    </row>
    <row r="14">
      <c r="A14" s="19" t="n"/>
      <c r="B14" s="25" t="n"/>
      <c r="C14" s="25" t="n"/>
      <c r="D14" s="25" t="n"/>
    </row>
    <row r="15">
      <c r="A15" s="19" t="n"/>
      <c r="B15" s="25" t="n"/>
      <c r="C15" s="25" t="n"/>
      <c r="D15" s="25" t="n"/>
    </row>
    <row r="16">
      <c r="A16" s="19" t="n"/>
      <c r="B16" s="25" t="n"/>
      <c r="C16" s="25" t="n"/>
      <c r="D16" s="25" t="n"/>
    </row>
    <row r="17">
      <c r="A17" s="19" t="n"/>
      <c r="B17" s="25" t="n"/>
      <c r="C17" s="25" t="n"/>
      <c r="D17" s="25" t="n"/>
    </row>
    <row r="18">
      <c r="A18" s="19" t="n"/>
      <c r="B18" s="25" t="n"/>
      <c r="C18" s="25" t="n"/>
      <c r="D18" s="25" t="n"/>
    </row>
    <row r="19">
      <c r="A19" s="19" t="n"/>
      <c r="B19" s="25" t="n"/>
      <c r="C19" s="25" t="n"/>
      <c r="D19" s="25" t="n"/>
    </row>
    <row r="20">
      <c r="A20" s="19" t="n"/>
      <c r="B20" s="25" t="n"/>
      <c r="C20" s="25" t="n"/>
      <c r="D20" s="25" t="n"/>
    </row>
    <row r="21">
      <c r="A21" s="19" t="n"/>
      <c r="B21" s="25" t="n"/>
      <c r="C21" s="25" t="n"/>
      <c r="D21" s="25" t="n"/>
    </row>
    <row r="22">
      <c r="A22" s="19" t="n"/>
      <c r="B22" s="25" t="n"/>
      <c r="C22" s="25" t="n"/>
      <c r="D22" s="25" t="n"/>
    </row>
    <row r="23">
      <c r="A23" s="19" t="n"/>
      <c r="B23" s="25" t="n"/>
      <c r="C23" s="25" t="n"/>
      <c r="D23" s="25" t="n"/>
    </row>
    <row r="24">
      <c r="A24" s="19" t="n"/>
      <c r="B24" s="25" t="n"/>
      <c r="C24" s="25" t="n"/>
      <c r="D24" s="25" t="n"/>
    </row>
    <row r="25">
      <c r="A25" s="19" t="n"/>
      <c r="B25" s="25" t="n"/>
      <c r="C25" s="25" t="n"/>
      <c r="D25" s="25" t="n"/>
    </row>
    <row r="26">
      <c r="A26" s="19" t="n"/>
      <c r="B26" s="25" t="n"/>
      <c r="C26" s="25" t="n"/>
      <c r="D26" s="25" t="n"/>
    </row>
    <row r="27">
      <c r="A27" s="19" t="n"/>
      <c r="B27" s="25" t="n"/>
      <c r="C27" s="25" t="n"/>
      <c r="D27" s="25" t="n"/>
    </row>
    <row r="28">
      <c r="A28" s="19" t="n"/>
      <c r="B28" s="25" t="n"/>
      <c r="C28" s="25" t="n"/>
      <c r="D28" s="25" t="n"/>
    </row>
    <row r="29">
      <c r="A29" s="19" t="n"/>
      <c r="B29" s="25" t="n"/>
      <c r="C29" s="25" t="n"/>
      <c r="D29" s="25" t="n"/>
    </row>
    <row r="30">
      <c r="A30" s="19" t="n"/>
      <c r="B30" s="25" t="n"/>
      <c r="C30" s="25" t="n"/>
      <c r="D30" s="25" t="n"/>
    </row>
    <row r="33">
      <c r="A33" s="1" t="inlineStr">
        <is>
          <t>Table de données à deux entrées — VAN en USD</t>
        </is>
      </c>
    </row>
    <row r="34">
      <c r="A34" s="4" t="inlineStr">
        <is>
          <t>420 simulations. En ligne les volumes de croisière, en colonne le taux de change de départ.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</cols>
  <sheetData>
    <row r="1">
      <c r="A1" s="1" t="inlineStr">
        <is>
          <t>Bamako — la décision en une page</t>
        </is>
      </c>
    </row>
    <row r="2">
      <c r="A2" s="4" t="inlineStr">
        <is>
          <t>Neuf chiffres. Si la direction en veut un dixième, c'est que l'un des neuf ne répond pas.</t>
        </is>
      </c>
    </row>
    <row r="4">
      <c r="A4" s="12" t="inlineStr">
        <is>
          <t>Investissement</t>
        </is>
      </c>
      <c r="B4" s="26" t="n"/>
    </row>
    <row r="5">
      <c r="A5" s="12" t="inlineStr">
        <is>
          <t>VAN à 14 %</t>
        </is>
      </c>
      <c r="B5" s="26" t="n"/>
    </row>
    <row r="6">
      <c r="A6" s="12" t="inlineStr">
        <is>
          <t>TRI annuel</t>
        </is>
      </c>
      <c r="B6" s="27" t="n"/>
    </row>
    <row r="7">
      <c r="A7" s="12" t="inlineStr">
        <is>
          <t>Retour sur investissement</t>
        </is>
      </c>
      <c r="B7" s="28" t="n"/>
    </row>
    <row r="8">
      <c r="A8" s="12" t="inlineStr">
        <is>
          <t>Seuil mensuel</t>
        </is>
      </c>
      <c r="B8" s="29" t="n"/>
    </row>
    <row r="9">
      <c r="A9" s="12" t="inlineStr">
        <is>
          <t>Taux limite</t>
        </is>
      </c>
      <c r="B9" s="21" t="n"/>
    </row>
    <row r="10">
      <c r="A10" s="12" t="inlineStr">
        <is>
          <t>Marge de sécurité</t>
        </is>
      </c>
      <c r="B10" s="27" t="n"/>
    </row>
    <row r="11">
      <c r="A11" s="12" t="inlineStr">
        <is>
          <t>VAN pessimiste</t>
        </is>
      </c>
      <c r="B11" s="26" t="n"/>
    </row>
    <row r="12">
      <c r="A12" s="12" t="inlineStr">
        <is>
          <t>VAN optimiste</t>
        </is>
      </c>
      <c r="B12" s="26" t="n"/>
    </row>
    <row r="15">
      <c r="A15" s="12" t="inlineStr">
        <is>
          <t>La phrase à dire en réunion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68" customWidth="1" min="3" max="3"/>
  </cols>
  <sheetData>
    <row r="1">
      <c r="A1" s="1" t="inlineStr">
        <is>
          <t>Contrôles de qualité</t>
        </is>
      </c>
    </row>
    <row r="2">
      <c r="A2" s="4" t="inlineStr">
        <is>
          <t>Huit contrôles. Tant qu'un seul ne passe pas, le modèle n'est pas prêt à sortir.</t>
        </is>
      </c>
    </row>
    <row r="4" ht="22" customHeight="1">
      <c r="A4" s="5" t="inlineStr">
        <is>
          <t>Contrôle</t>
        </is>
      </c>
      <c r="B4" s="5" t="inlineStr">
        <is>
          <t>Valeur</t>
        </is>
      </c>
      <c r="C4" s="5" t="inlineStr">
        <is>
          <t>Ce que ça veut dire</t>
        </is>
      </c>
    </row>
    <row r="5">
      <c r="A5" s="16" t="inlineStr">
        <is>
          <t>Hypothèses renseignées  ·  doit valoir 14</t>
        </is>
      </c>
      <c r="B5" s="30" t="n"/>
      <c r="C5" s="4" t="inlineStr">
        <is>
          <t>quatorze, ni plus ni moins : une hypothèse de plus est une hypothèse cachée</t>
        </is>
      </c>
    </row>
    <row r="6">
      <c r="A6" s="16" t="inlineStr">
        <is>
          <t>Hypothèses manquantes  ·  doit valoir 0</t>
        </is>
      </c>
      <c r="B6" s="30" t="n"/>
      <c r="C6" s="4" t="inlineStr">
        <is>
          <t>le même contrôle, écrit dans le sens où on le lit</t>
        </is>
      </c>
    </row>
    <row r="7">
      <c r="A7" s="16" t="inlineStr">
        <is>
          <t>Volume du mois 24 moins la croisière  ·  doit valoir 0</t>
        </is>
      </c>
      <c r="B7" s="30" t="n"/>
      <c r="C7" s="4" t="inlineStr">
        <is>
          <t>si la montée en charge n'atteint jamais la croisière, la courbe est fausse</t>
        </is>
      </c>
    </row>
    <row r="8">
      <c r="A8" s="16" t="inlineStr">
        <is>
          <t>Cumul du mois 24 moins la somme des flux  ·  doit valoir 0</t>
        </is>
      </c>
      <c r="B8" s="31" t="n"/>
      <c r="C8" s="4" t="inlineStr">
        <is>
          <t>le cumul et la somme doivent tomber d'accord, sinon une ligne a glissé</t>
        </is>
      </c>
    </row>
    <row r="9">
      <c r="A9" s="16" t="inlineStr">
        <is>
          <t>Scénario Base moins l'hypothèse de volume  ·  doit valoir 0</t>
        </is>
      </c>
      <c r="B9" s="30" t="n"/>
      <c r="C9" s="4" t="inlineStr">
        <is>
          <t>le scénario de base EST le plan : deux chiffres, une vérité</t>
        </is>
      </c>
    </row>
    <row r="10">
      <c r="A10" s="16" t="inlineStr">
        <is>
          <t>Scénario Base moins l'hypothèse de prix  ·  doit valoir 0</t>
        </is>
      </c>
      <c r="B10" s="30" t="n"/>
      <c r="C10" s="4" t="inlineStr">
        <is>
          <t>le piège classique : on modifie une hypothèse et on oublie le scénario</t>
        </is>
      </c>
    </row>
    <row r="11">
      <c r="A11" s="16" t="inlineStr">
        <is>
          <t>La VAN est-elle positive ?</t>
        </is>
      </c>
      <c r="B11" s="32" t="n"/>
      <c r="C11" s="4" t="inlineStr">
        <is>
          <t>PASS ne veut pas dire « il faut y aller » : lisez la marge de sécurité</t>
        </is>
      </c>
    </row>
    <row r="12">
      <c r="A12" s="16" t="inlineStr">
        <is>
          <t>Les trois scénarios sont-ils ordonnés ?</t>
        </is>
      </c>
      <c r="B12" s="32" t="n"/>
      <c r="C12" s="4" t="inlineStr">
        <is>
          <t>pessimiste &lt; base &lt; optimiste : sinon un paramètre est inversé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70" customWidth="1" min="1" max="1"/>
    <col width="22" customWidth="1" min="2" max="2"/>
  </cols>
  <sheetData>
    <row r="1">
      <c r="A1" s="1" t="inlineStr">
        <is>
          <t>TP 9 — La septième agence</t>
        </is>
      </c>
    </row>
    <row r="2">
      <c r="A2" s="4" t="inlineStr">
        <is>
          <t>Les cellules jaunes se remplissent une fois le modèle construit. Les trois premières se lisent dans les outils ; les autres se calculent.</t>
        </is>
      </c>
    </row>
    <row r="4">
      <c r="A4" s="12" t="inlineStr">
        <is>
          <t>①  CE QUE VOUS LISEZ DANS LES OUTILS</t>
        </is>
      </c>
    </row>
    <row r="5">
      <c r="A5" s="16" t="inlineStr">
        <is>
          <t>Taux limite trouvé par Valeur cible, en XOF pour 1 USD</t>
        </is>
      </c>
      <c r="B5" s="33" t="n"/>
    </row>
    <row r="6">
      <c r="A6" s="16" t="inlineStr">
        <is>
          <t>VAN du scénario pessimiste, lue dans le rapport de synthèse</t>
        </is>
      </c>
      <c r="B6" s="34" t="n"/>
    </row>
    <row r="7">
      <c r="A7" s="16" t="inlineStr">
        <is>
          <t>VAN au croisement taux 660 / volume 18 000 de la table de données</t>
        </is>
      </c>
      <c r="B7" s="34" t="n"/>
    </row>
    <row r="9">
      <c r="A9" s="12" t="inlineStr">
        <is>
          <t>②  CE QUE LES FORMULES VÉRIFIENT</t>
        </is>
      </c>
    </row>
    <row r="11">
      <c r="A11" s="16" t="inlineStr">
        <is>
          <t>Investissement initial total</t>
        </is>
      </c>
      <c r="B11" s="34" t="n"/>
    </row>
    <row r="12">
      <c r="A12" s="16" t="inlineStr">
        <is>
          <t>Charges fixes mensuelles</t>
        </is>
      </c>
      <c r="B12" s="35" t="n"/>
    </row>
    <row r="13">
      <c r="A13" s="16" t="inlineStr">
        <is>
          <t>Taux d'actualisation mensuel</t>
        </is>
      </c>
      <c r="B13" s="36" t="n"/>
    </row>
    <row r="14">
      <c r="A14" s="16" t="inlineStr">
        <is>
          <t>Taux de change au mois 24</t>
        </is>
      </c>
      <c r="B14" s="33" t="n"/>
    </row>
    <row r="15">
      <c r="A15" s="16" t="inlineStr">
        <is>
          <t>Volume total vendu sur 24 mois</t>
        </is>
      </c>
      <c r="B15" s="30" t="n"/>
    </row>
    <row r="16">
      <c r="A16" s="16" t="inlineStr">
        <is>
          <t>Volume du mois 12</t>
        </is>
      </c>
      <c r="B16" s="30" t="n"/>
    </row>
    <row r="17">
      <c r="A17" s="16" t="inlineStr">
        <is>
          <t>Chiffre d'affaires cumulé, en USD</t>
        </is>
      </c>
      <c r="B17" s="31" t="n"/>
    </row>
    <row r="18">
      <c r="A18" s="16" t="inlineStr">
        <is>
          <t>Achats cumulés, en USD</t>
        </is>
      </c>
      <c r="B18" s="31" t="n"/>
    </row>
    <row r="19">
      <c r="A19" s="16" t="inlineStr">
        <is>
          <t>Charges cumulées, en USD</t>
        </is>
      </c>
      <c r="B19" s="31" t="n"/>
    </row>
    <row r="20">
      <c r="A20" s="16" t="inlineStr">
        <is>
          <t>Marge brute cumulée, en USD</t>
        </is>
      </c>
      <c r="B20" s="31" t="n"/>
    </row>
    <row r="21">
      <c r="A21" s="16" t="inlineStr">
        <is>
          <t>Taux de marge brute moyen</t>
        </is>
      </c>
      <c r="B21" s="37" t="n"/>
    </row>
    <row r="22">
      <c r="A22" s="16" t="inlineStr">
        <is>
          <t>Résultat cumulé sur 24 mois, en USD</t>
        </is>
      </c>
      <c r="B22" s="31" t="n"/>
    </row>
    <row r="23">
      <c r="A23" s="16" t="inlineStr">
        <is>
          <t>VAN du projet, en USD  ·  le flux du mois 0 n'entre pas dans VAN</t>
        </is>
      </c>
      <c r="B23" s="31" t="n"/>
    </row>
    <row r="24">
      <c r="A24" s="16" t="inlineStr">
        <is>
          <t>TRI annuel du projet</t>
        </is>
      </c>
      <c r="B24" s="37" t="n"/>
    </row>
    <row r="25">
      <c r="A25" s="16" t="inlineStr">
        <is>
          <t>Seuil de rentabilité mensuel, en unités</t>
        </is>
      </c>
      <c r="B25" s="30" t="n"/>
    </row>
    <row r="26">
      <c r="A26" s="16" t="inlineStr">
        <is>
          <t>Mois où le volume de croisière est atteint</t>
        </is>
      </c>
      <c r="B26" s="30" t="n"/>
    </row>
    <row r="27">
      <c r="A27" s="16" t="inlineStr">
        <is>
          <t>Mois de retour sur investissement</t>
        </is>
      </c>
      <c r="B27" s="30" t="n"/>
    </row>
    <row r="28">
      <c r="A28" s="16" t="inlineStr">
        <is>
          <t>Meilleur mois en résultat, en USD</t>
        </is>
      </c>
      <c r="B28" s="31" t="n"/>
    </row>
    <row r="29">
      <c r="A29" s="16" t="inlineStr">
        <is>
          <t>VAN du scénario pessimiste</t>
        </is>
      </c>
      <c r="B29" s="31" t="n"/>
    </row>
    <row r="30">
      <c r="A30" s="16" t="inlineStr">
        <is>
          <t>VAN du scénario optimiste</t>
        </is>
      </c>
      <c r="B30" s="31" t="n"/>
    </row>
    <row r="31">
      <c r="A31" s="16" t="inlineStr">
        <is>
          <t>Écart entre optimiste et pessimiste</t>
        </is>
      </c>
      <c r="B31" s="31" t="n"/>
    </row>
    <row r="32">
      <c r="A32" s="16" t="inlineStr">
        <is>
          <t>💎  Taux de change au-delà duquel le projet devient perdant</t>
        </is>
      </c>
      <c r="B32" s="33" t="n"/>
    </row>
    <row r="33">
      <c r="A33" s="16" t="inlineStr">
        <is>
          <t>Marge de sécurité sur le taux de change</t>
        </is>
      </c>
      <c r="B33" s="37" t="n"/>
    </row>
    <row r="34">
      <c r="A34" s="16" t="inlineStr">
        <is>
          <t>Valeurs en dur hors HYPOTHESES  ·  doit valoir 0</t>
        </is>
      </c>
      <c r="B34" s="30" t="n"/>
    </row>
    <row r="35">
      <c r="A35" s="16" t="inlineStr">
        <is>
          <t>R_ECART_TAUX — Valeur cible moins formule  ·  doit valoir 0</t>
        </is>
      </c>
      <c r="B35" s="33" t="n"/>
    </row>
    <row r="36">
      <c r="A36" s="16" t="inlineStr">
        <is>
          <t>R_CONTROLE — résultat moins (CA − achats − charges)  ·  doit valoir 0</t>
        </is>
      </c>
      <c r="B36" s="3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04" customWidth="1" min="2" max="2"/>
  </cols>
  <sheetData>
    <row r="1">
      <c r="A1" s="1" t="inlineStr">
        <is>
          <t>ANNEXE_IA</t>
        </is>
      </c>
    </row>
    <row r="3" ht="46" customHeight="1">
      <c r="A3" s="2" t="inlineStr">
        <is>
          <t>Le prompt de cadrage</t>
        </is>
      </c>
      <c r="B3" s="3" t="inlineStr"/>
    </row>
    <row r="4" ht="46" customHeight="1">
      <c r="A4" s="2" t="inlineStr">
        <is>
          <t>Le prompt de structure</t>
        </is>
      </c>
      <c r="B4" s="3" t="inlineStr"/>
    </row>
    <row r="5" ht="46" customHeight="1">
      <c r="A5" s="2" t="inlineStr">
        <is>
          <t>L'erreur de l'IA</t>
        </is>
      </c>
      <c r="B5" s="3" t="inlineStr"/>
    </row>
    <row r="6" ht="46" customHeight="1">
      <c r="A6" s="2" t="inlineStr">
        <is>
          <t>Le V qui l'a attrapée</t>
        </is>
      </c>
      <c r="B6" s="3" t="inlineStr"/>
    </row>
    <row r="7" ht="46" customHeight="1">
      <c r="A7" s="2" t="inlineStr">
        <is>
          <t>Ce que vous n'avez pas suivi</t>
        </is>
      </c>
      <c r="B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2026-09-17T23:13:59Z</dcterms:created>
  <dcterms:modified xmlns:dcterms="http://purl.org/dc/terms/" xmlns:xsi="http://www.w3.org/2001/XMLSchema-instance" xsi:type="dcterms:W3CDTF">2026-09-17T23:13:59Z</dcterms:modified>
</cp:coreProperties>
</file>