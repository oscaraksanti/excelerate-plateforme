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apple/Desktop/excelare ai/excelerate-plateforme/contenu/02_DONNEES/sortie-m09/"/>
    </mc:Choice>
  </mc:AlternateContent>
  <xr:revisionPtr revIDLastSave="0" documentId="11_732D75DC1062308F9BFCCA8B584824C20BFBC6D8" xr6:coauthVersionLast="47" xr6:coauthVersionMax="47" xr10:uidLastSave="{00000000-0000-0000-0000-000000000000}"/>
  <bookViews>
    <workbookView xWindow="0" yWindow="600" windowWidth="28800" windowHeight="16180" xr2:uid="{00000000-000D-0000-FFFF-FFFF00000000}"/>
  </bookViews>
  <sheets>
    <sheet name="README" sheetId="1" r:id="rId1"/>
    <sheet name="HYPOTHESES" sheetId="2" r:id="rId2"/>
    <sheet name="RAW" sheetId="3" r:id="rId3"/>
    <sheet name="CLEAN" sheetId="4" r:id="rId4"/>
    <sheet name="CALCULS" sheetId="5" r:id="rId5"/>
    <sheet name="ANALYSE" sheetId="6" r:id="rId6"/>
    <sheet name="DASHBOARD" sheetId="7" r:id="rId7"/>
    <sheet name="QUALITE" sheetId="8" r:id="rId8"/>
    <sheet name="REPONSES" sheetId="9" r:id="rId9"/>
    <sheet name="ANNEXE_IA" sheetId="10" r:id="rId10"/>
  </sheets>
  <definedNames>
    <definedName name="F_ACHATS">CALCULS!$I$7:$I$30</definedName>
    <definedName name="F_ACTU">CALCULS!$K$7:$K$30</definedName>
    <definedName name="F_CA_USD">CALCULS!$F$7:$F$30</definedName>
    <definedName name="F_CHARGES_USD">CALCULS!$G$7:$G$30</definedName>
    <definedName name="F_CUMUL">CALCULS!$M$6:$M$30</definedName>
    <definedName name="F_FLUX">CALCULS!$J$6:$J$30</definedName>
    <definedName name="F_FLUX1">CALCULS!$J$7:$J$30</definedName>
    <definedName name="F_MARGE_USD">CALCULS!$H$7:$H$30</definedName>
    <definedName name="F_TAUX">CALCULS!$B$7:$B$30</definedName>
    <definedName name="F_VOLUME">CALCULS!$C$7:$C$30</definedName>
    <definedName name="H_ACTUALISATION">HYPOTHESES!$B$18</definedName>
    <definedName name="H_AMENAGEMENT">HYPOTHESES!$B$5</definedName>
    <definedName name="H_AUTRES_XOF">HYPOTHESES!$B$15</definedName>
    <definedName name="H_COUT_USD">HYPOTHESES!$B$12</definedName>
    <definedName name="H_DERIVE_TAUX">HYPOTHESES!$B$17</definedName>
    <definedName name="H_LOYER_XOF">HYPOTHESES!$B$13</definedName>
    <definedName name="H_MATERIEL">HYPOTHESES!$B$6</definedName>
    <definedName name="H_MONTEE">HYPOTHESES!$B$10</definedName>
    <definedName name="H_PERSONNEL_XOF">HYPOTHESES!$B$14</definedName>
    <definedName name="H_PRIX_XOF">HYPOTHESES!$B$11</definedName>
    <definedName name="H_STOCK_INITIAL">HYPOTHESES!$B$7</definedName>
    <definedName name="H_TAUX_XOF">HYPOTHESES!$B$16</definedName>
    <definedName name="H_VOLUME_CROISIERE">HYPOTHESES!$B$9</definedName>
    <definedName name="H_VOLUME_M1">HYPOTHESES!$B$8</definedName>
    <definedName name="LIBRE_ANALYSE">ANALYSE!$A$1:$U$60</definedName>
    <definedName name="LIBRE_CALCULS">CALCULS!$A$1:$M$30</definedName>
    <definedName name="LIBRE_CLEAN">CLEAN!$A$1:$H$40</definedName>
    <definedName name="LIBRE_DASHBOARD">DASHBOARD!$A$1:$H$40</definedName>
    <definedName name="R_CONTROLE">REPONSES!$B$36</definedName>
    <definedName name="R_ECART_TAUX">REPONSES!$B$35</definedName>
    <definedName name="S_FLUX_OPT">ANALYSE!$D$7:$D$30</definedName>
    <definedName name="S_FLUX_PESS">ANALYSE!$B$7:$B$30</definedName>
    <definedName name="Z_AUDIT">CALCULS!$A$6:$M$30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9" l="1"/>
  <c r="B13" i="9"/>
  <c r="B12" i="9"/>
  <c r="B25" i="9" s="1"/>
  <c r="B8" i="7" s="1"/>
  <c r="B11" i="9"/>
  <c r="B10" i="8"/>
  <c r="B9" i="8"/>
  <c r="B6" i="8"/>
  <c r="B5" i="8"/>
  <c r="B4" i="7"/>
  <c r="A7" i="6"/>
  <c r="D6" i="6"/>
  <c r="C6" i="6"/>
  <c r="B6" i="6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A8" i="5"/>
  <c r="C8" i="5" s="1"/>
  <c r="E7" i="5"/>
  <c r="C7" i="5"/>
  <c r="B7" i="5"/>
  <c r="A7" i="5"/>
  <c r="J6" i="5"/>
  <c r="M6" i="5" s="1"/>
  <c r="E6" i="5"/>
  <c r="G6" i="5" s="1"/>
  <c r="C6" i="5"/>
  <c r="B6" i="5"/>
  <c r="A6" i="5"/>
  <c r="B3" i="5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D8" i="5" l="1"/>
  <c r="I8" i="5"/>
  <c r="C7" i="6"/>
  <c r="D7" i="6"/>
  <c r="K6" i="5"/>
  <c r="B7" i="6"/>
  <c r="K7" i="5"/>
  <c r="K8" i="5"/>
  <c r="L6" i="5"/>
  <c r="K9" i="5"/>
  <c r="D7" i="5"/>
  <c r="F7" i="5" s="1"/>
  <c r="I7" i="5"/>
  <c r="D6" i="5"/>
  <c r="F6" i="5" s="1"/>
  <c r="H6" i="5" s="1"/>
  <c r="I6" i="5"/>
  <c r="B8" i="5"/>
  <c r="G8" i="5" s="1"/>
  <c r="A8" i="6"/>
  <c r="A9" i="5"/>
  <c r="G7" i="5"/>
  <c r="A6" i="6"/>
  <c r="F8" i="5" l="1"/>
  <c r="H8" i="5" s="1"/>
  <c r="J8" i="5" s="1"/>
  <c r="L8" i="5" s="1"/>
  <c r="H7" i="5"/>
  <c r="D8" i="6"/>
  <c r="C8" i="6"/>
  <c r="B8" i="6"/>
  <c r="B9" i="5"/>
  <c r="G9" i="5" s="1"/>
  <c r="A9" i="6"/>
  <c r="A10" i="5"/>
  <c r="C9" i="5"/>
  <c r="D9" i="5" l="1"/>
  <c r="F9" i="5" s="1"/>
  <c r="I9" i="5"/>
  <c r="J7" i="5"/>
  <c r="A10" i="6"/>
  <c r="B10" i="5"/>
  <c r="G10" i="5" s="1"/>
  <c r="A11" i="5"/>
  <c r="C10" i="5"/>
  <c r="K10" i="5"/>
  <c r="C9" i="6"/>
  <c r="D9" i="6"/>
  <c r="B9" i="6"/>
  <c r="C11" i="5" l="1"/>
  <c r="A11" i="6"/>
  <c r="A12" i="5"/>
  <c r="B11" i="5"/>
  <c r="G11" i="5" s="1"/>
  <c r="K11" i="5"/>
  <c r="D10" i="6"/>
  <c r="B10" i="6"/>
  <c r="C10" i="6"/>
  <c r="H9" i="5"/>
  <c r="I10" i="5"/>
  <c r="D10" i="5"/>
  <c r="F10" i="5" s="1"/>
  <c r="H10" i="5" s="1"/>
  <c r="L7" i="5"/>
  <c r="M7" i="5"/>
  <c r="M8" i="5" l="1"/>
  <c r="I11" i="5"/>
  <c r="D11" i="5"/>
  <c r="F11" i="5" s="1"/>
  <c r="A13" i="5"/>
  <c r="C12" i="5"/>
  <c r="A12" i="6"/>
  <c r="B12" i="5"/>
  <c r="G12" i="5" s="1"/>
  <c r="K12" i="5"/>
  <c r="J9" i="5"/>
  <c r="C11" i="6"/>
  <c r="D11" i="6"/>
  <c r="B11" i="6"/>
  <c r="J10" i="5"/>
  <c r="L10" i="5" s="1"/>
  <c r="L9" i="5" l="1"/>
  <c r="H11" i="5"/>
  <c r="D12" i="6"/>
  <c r="C12" i="6"/>
  <c r="B12" i="6"/>
  <c r="I12" i="5"/>
  <c r="D12" i="5"/>
  <c r="F12" i="5" s="1"/>
  <c r="H12" i="5" s="1"/>
  <c r="J12" i="5" s="1"/>
  <c r="L12" i="5" s="1"/>
  <c r="M9" i="5"/>
  <c r="A14" i="5"/>
  <c r="C13" i="5"/>
  <c r="A13" i="6"/>
  <c r="B13" i="5"/>
  <c r="G13" i="5" s="1"/>
  <c r="K13" i="5"/>
  <c r="A14" i="6" l="1"/>
  <c r="A15" i="5"/>
  <c r="C14" i="5"/>
  <c r="B14" i="5"/>
  <c r="G14" i="5" s="1"/>
  <c r="K14" i="5"/>
  <c r="I13" i="5"/>
  <c r="D13" i="5"/>
  <c r="F13" i="5" s="1"/>
  <c r="J11" i="5"/>
  <c r="M10" i="5"/>
  <c r="C13" i="6"/>
  <c r="D13" i="6"/>
  <c r="B13" i="6"/>
  <c r="M11" i="5" l="1"/>
  <c r="H13" i="5"/>
  <c r="D14" i="5"/>
  <c r="F14" i="5" s="1"/>
  <c r="H14" i="5" s="1"/>
  <c r="I14" i="5"/>
  <c r="C15" i="5"/>
  <c r="A15" i="6"/>
  <c r="A16" i="5"/>
  <c r="B15" i="5"/>
  <c r="G15" i="5" s="1"/>
  <c r="K15" i="5"/>
  <c r="L11" i="5"/>
  <c r="D14" i="6"/>
  <c r="B14" i="6"/>
  <c r="C14" i="6"/>
  <c r="C15" i="6" l="1"/>
  <c r="D15" i="6"/>
  <c r="B15" i="6"/>
  <c r="J14" i="5"/>
  <c r="L14" i="5" s="1"/>
  <c r="J13" i="5"/>
  <c r="D15" i="5"/>
  <c r="F15" i="5" s="1"/>
  <c r="H15" i="5" s="1"/>
  <c r="J15" i="5" s="1"/>
  <c r="L15" i="5" s="1"/>
  <c r="I15" i="5"/>
  <c r="B16" i="5"/>
  <c r="G16" i="5" s="1"/>
  <c r="A16" i="6"/>
  <c r="C16" i="5"/>
  <c r="A17" i="5"/>
  <c r="K16" i="5"/>
  <c r="M12" i="5"/>
  <c r="M13" i="5" s="1"/>
  <c r="M14" i="5" s="1"/>
  <c r="M15" i="5" l="1"/>
  <c r="D16" i="6"/>
  <c r="C16" i="6"/>
  <c r="B16" i="6"/>
  <c r="L13" i="5"/>
  <c r="B17" i="5"/>
  <c r="G17" i="5" s="1"/>
  <c r="A17" i="6"/>
  <c r="A18" i="5"/>
  <c r="C17" i="5"/>
  <c r="K17" i="5"/>
  <c r="D16" i="5"/>
  <c r="F16" i="5" s="1"/>
  <c r="H16" i="5" s="1"/>
  <c r="I16" i="5"/>
  <c r="I17" i="5" l="1"/>
  <c r="D17" i="5"/>
  <c r="F17" i="5" s="1"/>
  <c r="H17" i="5" s="1"/>
  <c r="J17" i="5" s="1"/>
  <c r="L17" i="5" s="1"/>
  <c r="J16" i="5"/>
  <c r="C17" i="6"/>
  <c r="D17" i="6"/>
  <c r="B17" i="6"/>
  <c r="A18" i="6"/>
  <c r="B18" i="5"/>
  <c r="G18" i="5" s="1"/>
  <c r="C18" i="5"/>
  <c r="A19" i="5"/>
  <c r="K18" i="5"/>
  <c r="M16" i="5"/>
  <c r="M17" i="5" s="1"/>
  <c r="D18" i="6" l="1"/>
  <c r="B18" i="6"/>
  <c r="C18" i="6"/>
  <c r="L16" i="5"/>
  <c r="C19" i="5"/>
  <c r="B19" i="5"/>
  <c r="G19" i="5" s="1"/>
  <c r="A19" i="6"/>
  <c r="A20" i="5"/>
  <c r="K19" i="5"/>
  <c r="B16" i="9"/>
  <c r="I18" i="5"/>
  <c r="D18" i="5"/>
  <c r="F18" i="5" s="1"/>
  <c r="H18" i="5" s="1"/>
  <c r="J18" i="5" s="1"/>
  <c r="L18" i="5" s="1"/>
  <c r="D19" i="5" l="1"/>
  <c r="F19" i="5" s="1"/>
  <c r="H19" i="5" s="1"/>
  <c r="I19" i="5"/>
  <c r="M18" i="5"/>
  <c r="A21" i="5"/>
  <c r="C20" i="5"/>
  <c r="A20" i="6"/>
  <c r="B20" i="5"/>
  <c r="G20" i="5" s="1"/>
  <c r="K20" i="5"/>
  <c r="C19" i="6"/>
  <c r="D19" i="6"/>
  <c r="B19" i="6"/>
  <c r="I20" i="5" l="1"/>
  <c r="D20" i="5"/>
  <c r="F20" i="5" s="1"/>
  <c r="H20" i="5" s="1"/>
  <c r="J20" i="5" s="1"/>
  <c r="L20" i="5" s="1"/>
  <c r="D20" i="6"/>
  <c r="C20" i="6"/>
  <c r="B20" i="6"/>
  <c r="A22" i="5"/>
  <c r="C21" i="5"/>
  <c r="B21" i="5"/>
  <c r="G21" i="5" s="1"/>
  <c r="A21" i="6"/>
  <c r="K21" i="5"/>
  <c r="J19" i="5"/>
  <c r="L19" i="5" s="1"/>
  <c r="C21" i="6" l="1"/>
  <c r="D21" i="6"/>
  <c r="B21" i="6"/>
  <c r="A22" i="6"/>
  <c r="A23" i="5"/>
  <c r="B22" i="5"/>
  <c r="G22" i="5" s="1"/>
  <c r="C22" i="5"/>
  <c r="K22" i="5"/>
  <c r="I21" i="5"/>
  <c r="D21" i="5"/>
  <c r="F21" i="5" s="1"/>
  <c r="H21" i="5" s="1"/>
  <c r="J21" i="5" s="1"/>
  <c r="L21" i="5" s="1"/>
  <c r="M19" i="5"/>
  <c r="M20" i="5" s="1"/>
  <c r="M21" i="5" s="1"/>
  <c r="D22" i="5" l="1"/>
  <c r="F22" i="5" s="1"/>
  <c r="H22" i="5" s="1"/>
  <c r="I22" i="5"/>
  <c r="C23" i="5"/>
  <c r="A24" i="5"/>
  <c r="B23" i="5"/>
  <c r="G23" i="5" s="1"/>
  <c r="A23" i="6"/>
  <c r="K23" i="5"/>
  <c r="D22" i="6"/>
  <c r="B22" i="6"/>
  <c r="C22" i="6"/>
  <c r="B24" i="5" l="1"/>
  <c r="G24" i="5" s="1"/>
  <c r="A24" i="6"/>
  <c r="C24" i="5"/>
  <c r="A25" i="5"/>
  <c r="K24" i="5"/>
  <c r="D23" i="5"/>
  <c r="F23" i="5" s="1"/>
  <c r="H23" i="5" s="1"/>
  <c r="J23" i="5" s="1"/>
  <c r="L23" i="5" s="1"/>
  <c r="I23" i="5"/>
  <c r="C23" i="6"/>
  <c r="D23" i="6"/>
  <c r="B23" i="6"/>
  <c r="J22" i="5"/>
  <c r="B25" i="5" l="1"/>
  <c r="G25" i="5" s="1"/>
  <c r="A26" i="5"/>
  <c r="A25" i="6"/>
  <c r="C25" i="5"/>
  <c r="K25" i="5"/>
  <c r="L22" i="5"/>
  <c r="M22" i="5"/>
  <c r="M23" i="5" s="1"/>
  <c r="M24" i="5" s="1"/>
  <c r="D24" i="6"/>
  <c r="C24" i="6"/>
  <c r="B24" i="6"/>
  <c r="D24" i="5"/>
  <c r="F24" i="5" s="1"/>
  <c r="H24" i="5" s="1"/>
  <c r="J24" i="5" s="1"/>
  <c r="L24" i="5" s="1"/>
  <c r="I24" i="5"/>
  <c r="C25" i="6" l="1"/>
  <c r="D25" i="6"/>
  <c r="B25" i="6"/>
  <c r="D25" i="5"/>
  <c r="F25" i="5" s="1"/>
  <c r="H25" i="5" s="1"/>
  <c r="J25" i="5" s="1"/>
  <c r="L25" i="5" s="1"/>
  <c r="I25" i="5"/>
  <c r="A26" i="6"/>
  <c r="B26" i="5"/>
  <c r="G26" i="5" s="1"/>
  <c r="C26" i="5"/>
  <c r="A27" i="5"/>
  <c r="K26" i="5"/>
  <c r="D26" i="6" l="1"/>
  <c r="B26" i="6"/>
  <c r="C26" i="6"/>
  <c r="C27" i="5"/>
  <c r="B27" i="5"/>
  <c r="G27" i="5" s="1"/>
  <c r="A27" i="6"/>
  <c r="A28" i="5"/>
  <c r="K27" i="5"/>
  <c r="I26" i="5"/>
  <c r="D26" i="5"/>
  <c r="F26" i="5" s="1"/>
  <c r="H26" i="5" s="1"/>
  <c r="J26" i="5" s="1"/>
  <c r="L26" i="5" s="1"/>
  <c r="M25" i="5"/>
  <c r="C27" i="6" l="1"/>
  <c r="D27" i="6"/>
  <c r="B27" i="6"/>
  <c r="A29" i="5"/>
  <c r="C28" i="5"/>
  <c r="A28" i="6"/>
  <c r="B28" i="5"/>
  <c r="G28" i="5" s="1"/>
  <c r="K28" i="5"/>
  <c r="D27" i="5"/>
  <c r="F27" i="5" s="1"/>
  <c r="H27" i="5" s="1"/>
  <c r="I27" i="5"/>
  <c r="M26" i="5"/>
  <c r="D28" i="6" l="1"/>
  <c r="C28" i="6"/>
  <c r="B28" i="6"/>
  <c r="I28" i="5"/>
  <c r="D28" i="5"/>
  <c r="F28" i="5" s="1"/>
  <c r="H28" i="5" s="1"/>
  <c r="J28" i="5" s="1"/>
  <c r="L28" i="5" s="1"/>
  <c r="A30" i="5"/>
  <c r="C29" i="5"/>
  <c r="B29" i="5"/>
  <c r="G29" i="5" s="1"/>
  <c r="A29" i="6"/>
  <c r="K29" i="5"/>
  <c r="J27" i="5"/>
  <c r="I29" i="5" l="1"/>
  <c r="D29" i="5"/>
  <c r="F29" i="5" s="1"/>
  <c r="H29" i="5" s="1"/>
  <c r="J29" i="5" s="1"/>
  <c r="L29" i="5" s="1"/>
  <c r="A30" i="6"/>
  <c r="B30" i="5"/>
  <c r="G30" i="5" s="1"/>
  <c r="B19" i="9" s="1"/>
  <c r="C30" i="5"/>
  <c r="K30" i="5"/>
  <c r="L27" i="5"/>
  <c r="M27" i="5"/>
  <c r="M28" i="5" s="1"/>
  <c r="C29" i="6"/>
  <c r="D29" i="6"/>
  <c r="B29" i="6"/>
  <c r="D30" i="5" l="1"/>
  <c r="F30" i="5" s="1"/>
  <c r="I30" i="5"/>
  <c r="B18" i="9" s="1"/>
  <c r="B7" i="8"/>
  <c r="B15" i="9"/>
  <c r="B26" i="9"/>
  <c r="D30" i="6"/>
  <c r="B30" i="9" s="1"/>
  <c r="B30" i="6"/>
  <c r="B29" i="9" s="1"/>
  <c r="C30" i="6"/>
  <c r="M29" i="5"/>
  <c r="B11" i="7" l="1"/>
  <c r="B31" i="9"/>
  <c r="B12" i="7"/>
  <c r="B21" i="9"/>
  <c r="H30" i="5"/>
  <c r="B17" i="9"/>
  <c r="B20" i="9" s="1"/>
  <c r="J30" i="5" l="1"/>
  <c r="B32" i="9"/>
  <c r="B35" i="9" l="1"/>
  <c r="B33" i="9"/>
  <c r="B10" i="7" s="1"/>
  <c r="B9" i="7"/>
  <c r="L30" i="5"/>
  <c r="B34" i="9" s="1"/>
  <c r="B23" i="9"/>
  <c r="B24" i="9"/>
  <c r="B6" i="7" s="1"/>
  <c r="B28" i="9"/>
  <c r="B22" i="9"/>
  <c r="B36" i="9" s="1"/>
  <c r="M30" i="5"/>
  <c r="B11" i="8" l="1"/>
  <c r="B5" i="7"/>
  <c r="B12" i="8"/>
  <c r="B8" i="8"/>
  <c r="B27" i="9"/>
  <c r="B7" i="7" s="1"/>
</calcChain>
</file>

<file path=xl/sharedStrings.xml><?xml version="1.0" encoding="utf-8"?>
<sst xmlns="http://schemas.openxmlformats.org/spreadsheetml/2006/main" count="208" uniqueCount="198">
  <si>
    <t>README</t>
  </si>
  <si>
    <t>À quoi sert ce classeur</t>
  </si>
  <si>
    <t>Décider de l'ouverture d'une septième agence BAOBAB à Bamako (Mali). Horizon 24 mois, du 1er janvier 2027 au 31 décembre 2028.</t>
  </si>
  <si>
    <t>Qui l'a produit, et quand</t>
  </si>
  <si>
    <t>Direction financière BAOBAB, septembre 2026. Version 1.0.</t>
  </si>
  <si>
    <t>Les sources</t>
  </si>
  <si>
    <t>Les investissements viennent des trois devis reçus en août 2026. La montée en charge est calibrée sur l'ouverture de Libreville (feuilles RAW et CLEAN) : 95 % de la croisière atteints au mois 13, retenu à 14 mois pour Bamako, le marché malien étant moins dense.</t>
  </si>
  <si>
    <t>La règle des couleurs</t>
  </si>
  <si>
    <t>Bleu = une saisie, et toutes les saisies sont sur HYPOTHESES. Noir = une formule. Vert = un lien vers une autre feuille du classeur. Rouge = un lien vers un autre classeur — il n'y en a aucun ici, et c'est voulu.</t>
  </si>
  <si>
    <t>Pourquoi le taux de change est au centre</t>
  </si>
  <si>
    <t>On encaisse en francs CFA et on décaisse en dollars : le stock est importé et payé par le groupe. Le résultat en dollars dépend donc directement du taux. Et le franc CFA n'est pas une devise flottante : il est arrimé à l'euro à parité fixe (655,957 XOF pour 1 EUR). Le « risque de change » de ce plan est en réalité un risque EUR/USD, que personne à Bamako ne pilote.</t>
  </si>
  <si>
    <t>VAN — définition</t>
  </si>
  <si>
    <t>Somme des flux mensuels actualisés des mois 1 à 24, moins l'investissement du mois 0. Taux d'actualisation : 14 % par an, exigé par la direction, converti en taux mensuel équivalent.</t>
  </si>
  <si>
    <t>TRI — définition</t>
  </si>
  <si>
    <t>Taux qui annule la VAN. Calculé sur les flux mensuels, mois 0 inclus, puis annualisé. Il n'a de sens que parce que les flux changent de signe une seule fois.</t>
  </si>
  <si>
    <t>Taux limite — définition</t>
  </si>
  <si>
    <t>Taux de change de départ au-delà duquel la VAN devient négative, à dérive et volumes inchangés. Lu par Valeur cible, et recalculé par formule : la VAN vaut (valeur actuelle des encaissements CFA) / taux − (valeur actuelle des décaissements USD).</t>
  </si>
  <si>
    <t>Comment actualiser ce classeur</t>
  </si>
  <si>
    <t>Changer les valeurs bleues de HYPOTHESES, rien d'autre. Vérifier ensuite que les huit contrôles de QUALITE passent, et que REPONSES!B34 vaut toujours zéro. Une seule borne : H_MONTEE doit valoir au moins 2 — la courbe de montée en charge divise par (H_MONTEE − 1), et rendrait #DIV/0! à 1. Le cas n'a pas été corrigé : il a été écrit ici.</t>
  </si>
  <si>
    <t>Les deux natures de flux, et pourquoi elles sont séparées</t>
  </si>
  <si>
    <t>CALCULS sépare volontairement la marge locale (encaissée en XOF, donc sensible au taux) des achats (décaissés en USD, donc insensibles). Ce n'est pas une redondance : c'est ce qui permet d'écrire la VAN sous la forme entrées/taux − sorties, et donc d'inverser la formule pour trouver le taux de bascule sans tâtonner.</t>
  </si>
  <si>
    <t>Ce que ce modèle ne dit pas</t>
  </si>
  <si>
    <t>Il ne dit rien du besoin en fonds de roulement au-delà du stock initial, rien de la fiscalité malienne, rien du risque de sécurité. Trois trous connus, écrits ici pour qu'on ne les découvre pas en réunion.</t>
  </si>
  <si>
    <t>Les quatorze hypothèses</t>
  </si>
  <si>
    <t>Tout ce que ce plan suppose est ici, et nulle part ailleurs. Une cellule bleue hors de cette feuille est un bug.</t>
  </si>
  <si>
    <t>Code</t>
  </si>
  <si>
    <t>Valeur</t>
  </si>
  <si>
    <t>Ce que c'est</t>
  </si>
  <si>
    <t>H_AMENAGEMENT</t>
  </si>
  <si>
    <t>Aménagement du local — cloisons, rayonnage, groupe électrogène</t>
  </si>
  <si>
    <t>H_MATERIEL</t>
  </si>
  <si>
    <t>Matériel roulant et informatique — une camionnette, six postes</t>
  </si>
  <si>
    <t>H_STOCK_INITIAL</t>
  </si>
  <si>
    <t>Stock initial — payé en dollars, comme tous les achats du groupe</t>
  </si>
  <si>
    <t>H_VOLUME_M1</t>
  </si>
  <si>
    <t>Volume du premier mois, en unités</t>
  </si>
  <si>
    <t>H_VOLUME_CROISIERE</t>
  </si>
  <si>
    <t>Volume de croisière, en unités par mois</t>
  </si>
  <si>
    <t>H_MONTEE</t>
  </si>
  <si>
    <t>Durée de la montée en charge, en mois — calibrée sur Libreville</t>
  </si>
  <si>
    <t>H_PRIX_XOF</t>
  </si>
  <si>
    <t>Prix de vente moyen par unité — encaissé en francs CFA</t>
  </si>
  <si>
    <t>H_COUT_USD</t>
  </si>
  <si>
    <t>Coût d'achat moyen par unité — décaissé en dollars</t>
  </si>
  <si>
    <t>H_LOYER_XOF</t>
  </si>
  <si>
    <t>Loyer mensuel du local</t>
  </si>
  <si>
    <t>H_PERSONNEL_XOF</t>
  </si>
  <si>
    <t>Masse salariale mensuelle — onze personnes</t>
  </si>
  <si>
    <t>H_AUTRES_XOF</t>
  </si>
  <si>
    <t>Autres charges mensuelles — énergie, transport, assurances</t>
  </si>
  <si>
    <t>H_TAUX_XOF</t>
  </si>
  <si>
    <t>Taux de change au démarrage, en XOF pour 1 USD</t>
  </si>
  <si>
    <t>H_DERIVE_TAUX</t>
  </si>
  <si>
    <t>Dérive mensuelle du taux retenue au plan — soit 5,5 % par an</t>
  </si>
  <si>
    <t>H_ACTUALISATION</t>
  </si>
  <si>
    <t>Taux d'actualisation annuel exigé par la direction</t>
  </si>
  <si>
    <t>Les trois scénarios</t>
  </si>
  <si>
    <t>Scenario</t>
  </si>
  <si>
    <t>Volume_croisiere</t>
  </si>
  <si>
    <t>Prix_XOF</t>
  </si>
  <si>
    <t>Derive_Taux</t>
  </si>
  <si>
    <t>Pessimiste</t>
  </si>
  <si>
    <t>Base</t>
  </si>
  <si>
    <t>Optimiste</t>
  </si>
  <si>
    <t>La ligne « Base » doit être identique aux hypothèses du haut. La feuille QUALITE le vérifie.</t>
  </si>
  <si>
    <t>Libreville — les 24 premiers mois, extraction brute</t>
  </si>
  <si>
    <t>Source : export du SI commercial, 3 septembre 2026. On n'y touche pas — on la copie vers CLEAN.</t>
  </si>
  <si>
    <t>Periode</t>
  </si>
  <si>
    <t>Mois</t>
  </si>
  <si>
    <t>Volume</t>
  </si>
  <si>
    <t>CA_XAF</t>
  </si>
  <si>
    <t>janv-24</t>
  </si>
  <si>
    <t>févr-24</t>
  </si>
  <si>
    <t>mars-24</t>
  </si>
  <si>
    <t>avr-24</t>
  </si>
  <si>
    <t>mai-24</t>
  </si>
  <si>
    <t>juin-24</t>
  </si>
  <si>
    <t>juil-24</t>
  </si>
  <si>
    <t>août-24</t>
  </si>
  <si>
    <t>sept-24</t>
  </si>
  <si>
    <t>oct-24</t>
  </si>
  <si>
    <t>nov-24</t>
  </si>
  <si>
    <t>déc-24</t>
  </si>
  <si>
    <t>janv-25</t>
  </si>
  <si>
    <t>févr-25</t>
  </si>
  <si>
    <t>mars-25</t>
  </si>
  <si>
    <t>avr-25</t>
  </si>
  <si>
    <t>mai-25</t>
  </si>
  <si>
    <t>juin-25</t>
  </si>
  <si>
    <t>juil-25</t>
  </si>
  <si>
    <t>août-25</t>
  </si>
  <si>
    <t>sept-25</t>
  </si>
  <si>
    <t>oct-25</t>
  </si>
  <si>
    <t>nov-25</t>
  </si>
  <si>
    <t>déc-25</t>
  </si>
  <si>
    <t>Libreville — la courbe de montée en charge</t>
  </si>
  <si>
    <t>C'est d'ici que sort H_MONTEE. L'hypothèse n'est pas un chiffre rond : c'est la dernière ouverture du groupe, relue.</t>
  </si>
  <si>
    <t>Part_croisiere</t>
  </si>
  <si>
    <t>Lecture</t>
  </si>
  <si>
    <t>Volume de croisière observé</t>
  </si>
  <si>
    <t>Mois où 95 % est atteint</t>
  </si>
  <si>
    <t>Hypothèse retenue pour Bamako</t>
  </si>
  <si>
    <t>Un mois de plus que Libreville : le marché malien est moins dense.</t>
  </si>
  <si>
    <t>La projection sur 24 mois</t>
  </si>
  <si>
    <t>Une ligne par mois, le mois 0 portant l'investissement. Aucune valeur en dur : tout descend de HYPOTHESES.</t>
  </si>
  <si>
    <t>Taux d'actualisation mensuel</t>
  </si>
  <si>
    <t>Taux_XOF_USD</t>
  </si>
  <si>
    <t>CA_XOF</t>
  </si>
  <si>
    <t>Charges_XOF</t>
  </si>
  <si>
    <t>CA_USD</t>
  </si>
  <si>
    <t>Charges_USD</t>
  </si>
  <si>
    <t>Marge_locale_USD</t>
  </si>
  <si>
    <t>Achats_USD</t>
  </si>
  <si>
    <t>Flux_USD</t>
  </si>
  <si>
    <t>Actualisation</t>
  </si>
  <si>
    <t>Flux_actualise</t>
  </si>
  <si>
    <t>Cumul_USD</t>
  </si>
  <si>
    <t>Les trois scénarios, recalculés côte à côte</t>
  </si>
  <si>
    <t>Le Gestionnaire de scénarios explore. Ce bloc-ci documente : il reste dans le classeur, et il se recalcule.</t>
  </si>
  <si>
    <t>Table de données à deux entrées — VAN en USD</t>
  </si>
  <si>
    <t>420 simulations. En ligne les volumes de croisière, en colonne le taux de change de départ.</t>
  </si>
  <si>
    <t>VAN</t>
  </si>
  <si>
    <t>Bamako — la décision en une page</t>
  </si>
  <si>
    <t>Neuf chiffres. Si la direction en veut un dixième, c'est que l'un des neuf ne répond pas.</t>
  </si>
  <si>
    <t>Investissement</t>
  </si>
  <si>
    <t>VAN à 14 %</t>
  </si>
  <si>
    <t>TRI annuel</t>
  </si>
  <si>
    <t>Retour sur investissement</t>
  </si>
  <si>
    <t>Seuil mensuel</t>
  </si>
  <si>
    <t>Taux limite</t>
  </si>
  <si>
    <t>Marge de sécurité</t>
  </si>
  <si>
    <t>VAN pessimiste</t>
  </si>
  <si>
    <t>VAN optimiste</t>
  </si>
  <si>
    <t>La phrase à dire en réunion</t>
  </si>
  <si>
    <t>Le projet est rentable au plan de base, et il cesse de l'être si le franc CFA part de 644 au lieu de 631.40 — soit 2.1 % de marge. Le reste se discute ; ça, non.</t>
  </si>
  <si>
    <t>Contrôles de qualité</t>
  </si>
  <si>
    <t>Huit contrôles. Tant qu'un seul ne passe pas, le modèle n'est pas prêt à sortir.</t>
  </si>
  <si>
    <t>Contrôle</t>
  </si>
  <si>
    <t>Ce que ça veut dire</t>
  </si>
  <si>
    <t>Hypothèses renseignées  ·  doit valoir 14</t>
  </si>
  <si>
    <t>quatorze, ni plus ni moins : une hypothèse de plus est une hypothèse cachée</t>
  </si>
  <si>
    <t>Hypothèses manquantes  ·  doit valoir 0</t>
  </si>
  <si>
    <t>le même contrôle, écrit dans le sens où on le lit</t>
  </si>
  <si>
    <t>Volume du mois 24 moins la croisière  ·  doit valoir 0</t>
  </si>
  <si>
    <t>si la montée en charge n'atteint jamais la croisière, la courbe est fausse</t>
  </si>
  <si>
    <t>Cumul du mois 24 moins la somme des flux  ·  doit valoir 0</t>
  </si>
  <si>
    <t>le cumul et la somme doivent tomber d'accord, sinon une ligne a glissé</t>
  </si>
  <si>
    <t>Scénario Base moins l'hypothèse de volume  ·  doit valoir 0</t>
  </si>
  <si>
    <t>le scénario de base EST le plan : deux chiffres, une vérité</t>
  </si>
  <si>
    <t>Scénario Base moins l'hypothèse de prix  ·  doit valoir 0</t>
  </si>
  <si>
    <t>le piège classique : on modifie une hypothèse et on oublie le scénario</t>
  </si>
  <si>
    <t>La VAN est-elle positive ?</t>
  </si>
  <si>
    <t>PASS ne veut pas dire « il faut y aller » : lisez la marge de sécurité</t>
  </si>
  <si>
    <t>Les trois scénarios sont-ils ordonnés ?</t>
  </si>
  <si>
    <t>pessimiste &lt; base &lt; optimiste : sinon un paramètre est inversé</t>
  </si>
  <si>
    <t>TP 9 — La septième agence</t>
  </si>
  <si>
    <t>Les cellules jaunes se remplissent une fois le modèle construit. Les trois premières se lisent dans les outils ; les autres se calculent.</t>
  </si>
  <si>
    <t>①  CE QUE VOUS LISEZ DANS LES OUTILS</t>
  </si>
  <si>
    <t>Taux limite trouvé par Valeur cible, en XOF pour 1 USD</t>
  </si>
  <si>
    <t>VAN du scénario pessimiste, lue dans le rapport de synthèse</t>
  </si>
  <si>
    <t>VAN au croisement taux 660 / volume 18 000 de la table de données</t>
  </si>
  <si>
    <t>②  CE QUE LES FORMULES VÉRIFIENT</t>
  </si>
  <si>
    <t>Investissement initial total</t>
  </si>
  <si>
    <t>Charges fixes mensuelles</t>
  </si>
  <si>
    <t>Taux de change au mois 24</t>
  </si>
  <si>
    <t>Volume total vendu sur 24 mois</t>
  </si>
  <si>
    <t>Volume du mois 12</t>
  </si>
  <si>
    <t>Chiffre d'affaires cumulé, en USD</t>
  </si>
  <si>
    <t>Achats cumulés, en USD</t>
  </si>
  <si>
    <t>Charges cumulées, en USD</t>
  </si>
  <si>
    <t>Marge brute cumulée, en USD</t>
  </si>
  <si>
    <t>Taux de marge brute moyen</t>
  </si>
  <si>
    <t>Résultat cumulé sur 24 mois, en USD</t>
  </si>
  <si>
    <t>VAN du projet, en USD  ·  le flux du mois 0 n'entre pas dans VAN</t>
  </si>
  <si>
    <t>TRI annuel du projet</t>
  </si>
  <si>
    <t>Seuil de rentabilité mensuel, en unités</t>
  </si>
  <si>
    <t>Mois où le volume de croisière est atteint</t>
  </si>
  <si>
    <t>Mois de retour sur investissement</t>
  </si>
  <si>
    <t>Meilleur mois en résultat, en USD</t>
  </si>
  <si>
    <t>VAN du scénario pessimiste</t>
  </si>
  <si>
    <t>VAN du scénario optimiste</t>
  </si>
  <si>
    <t>Écart entre optimiste et pessimiste</t>
  </si>
  <si>
    <t>💎  Taux de change au-delà duquel le projet devient perdant</t>
  </si>
  <si>
    <t>Marge de sécurité sur le taux de change</t>
  </si>
  <si>
    <t>Valeurs en dur hors HYPOTHESES  ·  doit valoir 0</t>
  </si>
  <si>
    <t>R_ECART_TAUX — Valeur cible moins formule  ·  doit valoir 0</t>
  </si>
  <si>
    <t>R_CONTROLE — résultat moins (CA − achats − charges)  ·  doit valoir 0</t>
  </si>
  <si>
    <t>ANNEXE_IA</t>
  </si>
  <si>
    <t>Le prompt de cadrage</t>
  </si>
  <si>
    <t>Ce que vous avez demandé pour obtenir la liste des hypothèses à chiffrer, avant d'écrire la moindre formule.</t>
  </si>
  <si>
    <t>Le prompt de structure</t>
  </si>
  <si>
    <t>Ce que vous avez demandé pour obtenir l'architecture du classeur.</t>
  </si>
  <si>
    <t>L'erreur de l'IA</t>
  </si>
  <si>
    <t>Ce qu'elle a proposé et qui était faux ou incomplet, et comment vous l'avez attrapé. Au moins une erreur, décrite précisément.</t>
  </si>
  <si>
    <t>Le V qui l'a attrapée</t>
  </si>
  <si>
    <t>V1 source · V2 calcul · V3 cohérence · V4 terrain · V5 lisibilité.</t>
  </si>
  <si>
    <t>Ce que vous n'avez pas suivi</t>
  </si>
  <si>
    <t>Une suggestion de l'IA que vous avez écartée, et pourquoi.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</si>
</sst>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\ &quot;USD&quot;"/>
    <numFmt numFmtId="165" formatCode="#,##0\ &quot;XOF&quot;"/>
    <numFmt numFmtId="166" formatCode="#,##0.00\ &quot;USD&quot;"/>
    <numFmt numFmtId="167" formatCode="0.0000000"/>
    <numFmt numFmtId="168" formatCode="0.000000"/>
    <numFmt numFmtId="169" formatCode="#,##0&quot; mois&quot;"/>
    <numFmt numFmtId="170" formatCode="#,##0&quot; unités&quot;"/>
    <numFmt numFmtId="171" formatCode="0.0000%"/>
  </numFmts>
  <fonts count="8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i/>
      <sz val="10"/>
      <color rgb="FF6B7280"/>
      <name val="Calibri"/>
      <family val="2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sz val="11"/>
      <color rgb="FF008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43044"/>
      </patternFill>
    </fill>
    <fill>
      <patternFill patternType="solid">
        <fgColor rgb="FFEFF4FE"/>
      </patternFill>
    </fill>
    <fill>
      <patternFill patternType="solid">
        <fgColor rgb="FFFFF6D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6DBE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0" borderId="1" xfId="0" applyBorder="1" applyAlignment="1">
      <alignment vertical="top" wrapText="1"/>
    </xf>
    <xf numFmtId="0" fontId="3" fillId="0" borderId="0" xfId="0" applyFont="1"/>
    <xf numFmtId="0" fontId="4" fillId="2" borderId="0" xfId="0" applyFont="1" applyFill="1" applyAlignment="1">
      <alignment horizontal="left" vertical="center"/>
    </xf>
    <xf numFmtId="164" fontId="5" fillId="3" borderId="1" xfId="0" applyNumberFormat="1" applyFont="1" applyFill="1" applyBorder="1"/>
    <xf numFmtId="3" fontId="5" fillId="3" borderId="1" xfId="0" applyNumberFormat="1" applyFont="1" applyFill="1" applyBorder="1"/>
    <xf numFmtId="165" fontId="5" fillId="3" borderId="1" xfId="0" applyNumberFormat="1" applyFont="1" applyFill="1" applyBorder="1"/>
    <xf numFmtId="166" fontId="5" fillId="3" borderId="1" xfId="0" applyNumberFormat="1" applyFont="1" applyFill="1" applyBorder="1"/>
    <xf numFmtId="4" fontId="5" fillId="3" borderId="1" xfId="0" applyNumberFormat="1" applyFont="1" applyFill="1" applyBorder="1"/>
    <xf numFmtId="10" fontId="5" fillId="3" borderId="1" xfId="0" applyNumberFormat="1" applyFont="1" applyFill="1" applyBorder="1"/>
    <xf numFmtId="0" fontId="2" fillId="0" borderId="0" xfId="0" applyFont="1"/>
    <xf numFmtId="3" fontId="5" fillId="3" borderId="0" xfId="0" applyNumberFormat="1" applyFont="1" applyFill="1"/>
    <xf numFmtId="165" fontId="5" fillId="3" borderId="0" xfId="0" applyNumberFormat="1" applyFont="1" applyFill="1"/>
    <xf numFmtId="10" fontId="5" fillId="3" borderId="0" xfId="0" applyNumberFormat="1" applyFont="1" applyFill="1"/>
    <xf numFmtId="0" fontId="0" fillId="0" borderId="1" xfId="0" applyBorder="1"/>
    <xf numFmtId="3" fontId="0" fillId="0" borderId="1" xfId="0" applyNumberFormat="1" applyBorder="1"/>
    <xf numFmtId="10" fontId="6" fillId="0" borderId="1" xfId="0" applyNumberFormat="1" applyFont="1" applyBorder="1"/>
    <xf numFmtId="3" fontId="0" fillId="0" borderId="0" xfId="0" applyNumberFormat="1"/>
    <xf numFmtId="167" fontId="6" fillId="0" borderId="0" xfId="0" applyNumberFormat="1" applyFont="1"/>
    <xf numFmtId="3" fontId="6" fillId="0" borderId="1" xfId="0" applyNumberFormat="1" applyFont="1" applyBorder="1"/>
    <xf numFmtId="4" fontId="6" fillId="0" borderId="1" xfId="0" applyNumberFormat="1" applyFont="1" applyBorder="1"/>
    <xf numFmtId="165" fontId="6" fillId="0" borderId="1" xfId="0" applyNumberFormat="1" applyFont="1" applyBorder="1"/>
    <xf numFmtId="166" fontId="6" fillId="0" borderId="1" xfId="0" applyNumberFormat="1" applyFont="1" applyBorder="1"/>
    <xf numFmtId="168" fontId="6" fillId="0" borderId="1" xfId="0" applyNumberFormat="1" applyFont="1" applyBorder="1"/>
    <xf numFmtId="3" fontId="7" fillId="0" borderId="0" xfId="0" applyNumberFormat="1" applyFont="1"/>
    <xf numFmtId="166" fontId="6" fillId="0" borderId="0" xfId="0" applyNumberFormat="1" applyFont="1"/>
    <xf numFmtId="3" fontId="2" fillId="0" borderId="0" xfId="0" applyNumberFormat="1" applyFont="1"/>
    <xf numFmtId="4" fontId="2" fillId="0" borderId="0" xfId="0" applyNumberFormat="1" applyFont="1"/>
    <xf numFmtId="164" fontId="7" fillId="0" borderId="1" xfId="0" applyNumberFormat="1" applyFont="1" applyBorder="1"/>
    <xf numFmtId="10" fontId="7" fillId="0" borderId="1" xfId="0" applyNumberFormat="1" applyFont="1" applyBorder="1"/>
    <xf numFmtId="169" fontId="7" fillId="0" borderId="1" xfId="0" applyNumberFormat="1" applyFont="1" applyBorder="1"/>
    <xf numFmtId="170" fontId="7" fillId="0" borderId="1" xfId="0" applyNumberFormat="1" applyFont="1" applyBorder="1"/>
    <xf numFmtId="4" fontId="7" fillId="0" borderId="1" xfId="0" applyNumberFormat="1" applyFont="1" applyBorder="1"/>
    <xf numFmtId="3" fontId="6" fillId="4" borderId="1" xfId="0" applyNumberFormat="1" applyFont="1" applyFill="1" applyBorder="1"/>
    <xf numFmtId="166" fontId="6" fillId="4" borderId="1" xfId="0" applyNumberFormat="1" applyFont="1" applyFill="1" applyBorder="1"/>
    <xf numFmtId="0" fontId="6" fillId="4" borderId="1" xfId="0" applyFont="1" applyFill="1" applyBorder="1"/>
    <xf numFmtId="4" fontId="5" fillId="4" borderId="1" xfId="0" applyNumberFormat="1" applyFont="1" applyFill="1" applyBorder="1"/>
    <xf numFmtId="164" fontId="5" fillId="4" borderId="1" xfId="0" applyNumberFormat="1" applyFont="1" applyFill="1" applyBorder="1"/>
    <xf numFmtId="164" fontId="6" fillId="4" borderId="1" xfId="0" applyNumberFormat="1" applyFont="1" applyFill="1" applyBorder="1"/>
    <xf numFmtId="165" fontId="6" fillId="4" borderId="1" xfId="0" applyNumberFormat="1" applyFont="1" applyFill="1" applyBorder="1"/>
    <xf numFmtId="171" fontId="6" fillId="4" borderId="1" xfId="0" applyNumberFormat="1" applyFont="1" applyFill="1" applyBorder="1"/>
    <xf numFmtId="4" fontId="6" fillId="4" borderId="1" xfId="0" applyNumberFormat="1" applyFont="1" applyFill="1" applyBorder="1"/>
    <xf numFmtId="10" fontId="6" fillId="4" borderId="1" xfId="0" applyNumberFormat="1" applyFont="1" applyFill="1" applyBorder="1"/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Scenarios" displayName="t_Scenarios" ref="A21:D24">
  <autoFilter ref="A21:D24" xr:uid="{00000000-0009-0000-0100-000001000000}"/>
  <tableColumns count="4">
    <tableColumn id="1" xr3:uid="{00000000-0010-0000-0000-000001000000}" name="Scenario"/>
    <tableColumn id="2" xr3:uid="{00000000-0010-0000-0000-000002000000}" name="Volume_croisiere"/>
    <tableColumn id="3" xr3:uid="{00000000-0010-0000-0000-000003000000}" name="Prix_XOF"/>
    <tableColumn id="4" xr3:uid="{00000000-0010-0000-0000-000004000000}" name="Derive_Tau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Libreville" displayName="t_Libreville" ref="A4:D28">
  <autoFilter ref="A4:D28" xr:uid="{00000000-0009-0000-0100-000002000000}"/>
  <tableColumns count="4">
    <tableColumn id="1" xr3:uid="{00000000-0010-0000-0100-000001000000}" name="Periode"/>
    <tableColumn id="2" xr3:uid="{00000000-0010-0000-0100-000002000000}" name="Mois"/>
    <tableColumn id="3" xr3:uid="{00000000-0010-0000-0100-000003000000}" name="Volume"/>
    <tableColumn id="4" xr3:uid="{00000000-0010-0000-0100-000004000000}" name="CA_XA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cols>
    <col min="1" max="1" width="30" customWidth="1"/>
    <col min="2" max="2" width="104" customWidth="1"/>
  </cols>
  <sheetData>
    <row r="1" spans="1:2" ht="19" x14ac:dyDescent="0.25">
      <c r="A1" s="1" t="s">
        <v>0</v>
      </c>
    </row>
    <row r="3" spans="1:2" ht="46" customHeight="1" x14ac:dyDescent="0.2">
      <c r="A3" s="2" t="s">
        <v>1</v>
      </c>
      <c r="B3" s="3" t="s">
        <v>2</v>
      </c>
    </row>
    <row r="4" spans="1:2" ht="46" customHeight="1" x14ac:dyDescent="0.2">
      <c r="A4" s="2" t="s">
        <v>3</v>
      </c>
      <c r="B4" s="3" t="s">
        <v>4</v>
      </c>
    </row>
    <row r="5" spans="1:2" ht="46" customHeight="1" x14ac:dyDescent="0.2">
      <c r="A5" s="2" t="s">
        <v>5</v>
      </c>
      <c r="B5" s="3" t="s">
        <v>6</v>
      </c>
    </row>
    <row r="6" spans="1:2" ht="46" customHeight="1" x14ac:dyDescent="0.2">
      <c r="A6" s="2" t="s">
        <v>7</v>
      </c>
      <c r="B6" s="3" t="s">
        <v>8</v>
      </c>
    </row>
    <row r="7" spans="1:2" ht="46" customHeight="1" x14ac:dyDescent="0.2">
      <c r="A7" s="2" t="s">
        <v>9</v>
      </c>
      <c r="B7" s="3" t="s">
        <v>10</v>
      </c>
    </row>
    <row r="8" spans="1:2" ht="46" customHeight="1" x14ac:dyDescent="0.2">
      <c r="A8" s="2" t="s">
        <v>11</v>
      </c>
      <c r="B8" s="3" t="s">
        <v>12</v>
      </c>
    </row>
    <row r="9" spans="1:2" ht="46" customHeight="1" x14ac:dyDescent="0.2">
      <c r="A9" s="2" t="s">
        <v>13</v>
      </c>
      <c r="B9" s="3" t="s">
        <v>14</v>
      </c>
    </row>
    <row r="10" spans="1:2" ht="46" customHeight="1" x14ac:dyDescent="0.2">
      <c r="A10" s="2" t="s">
        <v>15</v>
      </c>
      <c r="B10" s="3" t="s">
        <v>16</v>
      </c>
    </row>
    <row r="11" spans="1:2" ht="46" customHeight="1" x14ac:dyDescent="0.2">
      <c r="A11" s="2" t="s">
        <v>17</v>
      </c>
      <c r="B11" s="3" t="s">
        <v>18</v>
      </c>
    </row>
    <row r="12" spans="1:2" ht="46" customHeight="1" x14ac:dyDescent="0.2">
      <c r="A12" s="2" t="s">
        <v>19</v>
      </c>
      <c r="B12" s="3" t="s">
        <v>20</v>
      </c>
    </row>
    <row r="13" spans="1:2" ht="46" customHeight="1" x14ac:dyDescent="0.2">
      <c r="A13" s="2" t="s">
        <v>21</v>
      </c>
      <c r="B13" s="3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workbookViewId="0"/>
  </sheetViews>
  <sheetFormatPr baseColWidth="10" defaultColWidth="8.83203125" defaultRowHeight="15" x14ac:dyDescent="0.2"/>
  <cols>
    <col min="1" max="1" width="26" customWidth="1"/>
    <col min="2" max="2" width="18" customWidth="1"/>
    <col min="3" max="3" width="72" customWidth="1"/>
  </cols>
  <sheetData>
    <row r="1" spans="1:3" ht="19" x14ac:dyDescent="0.25">
      <c r="A1" s="1" t="s">
        <v>23</v>
      </c>
    </row>
    <row r="2" spans="1:3" x14ac:dyDescent="0.2">
      <c r="A2" s="4" t="s">
        <v>24</v>
      </c>
    </row>
    <row r="4" spans="1:3" ht="22" customHeight="1" x14ac:dyDescent="0.2">
      <c r="A4" s="5" t="s">
        <v>25</v>
      </c>
      <c r="B4" s="5" t="s">
        <v>26</v>
      </c>
      <c r="C4" s="5" t="s">
        <v>27</v>
      </c>
    </row>
    <row r="5" spans="1:3" x14ac:dyDescent="0.2">
      <c r="A5" s="2" t="s">
        <v>28</v>
      </c>
      <c r="B5" s="6">
        <v>68000</v>
      </c>
      <c r="C5" s="4" t="s">
        <v>29</v>
      </c>
    </row>
    <row r="6" spans="1:3" x14ac:dyDescent="0.2">
      <c r="A6" s="2" t="s">
        <v>30</v>
      </c>
      <c r="B6" s="6">
        <v>41500</v>
      </c>
      <c r="C6" s="4" t="s">
        <v>31</v>
      </c>
    </row>
    <row r="7" spans="1:3" x14ac:dyDescent="0.2">
      <c r="A7" s="2" t="s">
        <v>32</v>
      </c>
      <c r="B7" s="6">
        <v>95000</v>
      </c>
      <c r="C7" s="4" t="s">
        <v>33</v>
      </c>
    </row>
    <row r="8" spans="1:3" x14ac:dyDescent="0.2">
      <c r="A8" s="2" t="s">
        <v>34</v>
      </c>
      <c r="B8" s="7">
        <v>4200</v>
      </c>
      <c r="C8" s="4" t="s">
        <v>35</v>
      </c>
    </row>
    <row r="9" spans="1:3" x14ac:dyDescent="0.2">
      <c r="A9" s="2" t="s">
        <v>36</v>
      </c>
      <c r="B9" s="7">
        <v>19500</v>
      </c>
      <c r="C9" s="4" t="s">
        <v>37</v>
      </c>
    </row>
    <row r="10" spans="1:3" x14ac:dyDescent="0.2">
      <c r="A10" s="2" t="s">
        <v>38</v>
      </c>
      <c r="B10" s="7">
        <v>14</v>
      </c>
      <c r="C10" s="4" t="s">
        <v>39</v>
      </c>
    </row>
    <row r="11" spans="1:3" x14ac:dyDescent="0.2">
      <c r="A11" s="2" t="s">
        <v>40</v>
      </c>
      <c r="B11" s="8">
        <v>4350</v>
      </c>
      <c r="C11" s="4" t="s">
        <v>41</v>
      </c>
    </row>
    <row r="12" spans="1:3" x14ac:dyDescent="0.2">
      <c r="A12" s="2" t="s">
        <v>42</v>
      </c>
      <c r="B12" s="9">
        <v>4.55</v>
      </c>
      <c r="C12" s="4" t="s">
        <v>43</v>
      </c>
    </row>
    <row r="13" spans="1:3" x14ac:dyDescent="0.2">
      <c r="A13" s="2" t="s">
        <v>44</v>
      </c>
      <c r="B13" s="8">
        <v>2750000</v>
      </c>
      <c r="C13" s="4" t="s">
        <v>45</v>
      </c>
    </row>
    <row r="14" spans="1:3" x14ac:dyDescent="0.2">
      <c r="A14" s="2" t="s">
        <v>46</v>
      </c>
      <c r="B14" s="8">
        <v>6480000</v>
      </c>
      <c r="C14" s="4" t="s">
        <v>47</v>
      </c>
    </row>
    <row r="15" spans="1:3" x14ac:dyDescent="0.2">
      <c r="A15" s="2" t="s">
        <v>48</v>
      </c>
      <c r="B15" s="8">
        <v>1920000</v>
      </c>
      <c r="C15" s="4" t="s">
        <v>49</v>
      </c>
    </row>
    <row r="16" spans="1:3" x14ac:dyDescent="0.2">
      <c r="A16" s="2" t="s">
        <v>50</v>
      </c>
      <c r="B16" s="10">
        <v>631.4</v>
      </c>
      <c r="C16" s="4" t="s">
        <v>51</v>
      </c>
    </row>
    <row r="17" spans="1:4" x14ac:dyDescent="0.2">
      <c r="A17" s="2" t="s">
        <v>52</v>
      </c>
      <c r="B17" s="11">
        <v>4.4999999999999997E-3</v>
      </c>
      <c r="C17" s="4" t="s">
        <v>53</v>
      </c>
    </row>
    <row r="18" spans="1:4" x14ac:dyDescent="0.2">
      <c r="A18" s="2" t="s">
        <v>54</v>
      </c>
      <c r="B18" s="11">
        <v>0.14000000000000001</v>
      </c>
      <c r="C18" s="4" t="s">
        <v>55</v>
      </c>
    </row>
    <row r="20" spans="1:4" ht="19" x14ac:dyDescent="0.25">
      <c r="A20" s="1" t="s">
        <v>56</v>
      </c>
    </row>
    <row r="21" spans="1:4" ht="22" customHeight="1" x14ac:dyDescent="0.2">
      <c r="A21" s="5" t="s">
        <v>57</v>
      </c>
      <c r="B21" s="5" t="s">
        <v>58</v>
      </c>
      <c r="C21" s="5" t="s">
        <v>59</v>
      </c>
      <c r="D21" s="5" t="s">
        <v>60</v>
      </c>
    </row>
    <row r="22" spans="1:4" x14ac:dyDescent="0.2">
      <c r="A22" s="12" t="s">
        <v>61</v>
      </c>
      <c r="B22" s="13">
        <v>16500</v>
      </c>
      <c r="C22" s="14">
        <v>4200</v>
      </c>
      <c r="D22" s="15">
        <v>8.0000000000000002E-3</v>
      </c>
    </row>
    <row r="23" spans="1:4" x14ac:dyDescent="0.2">
      <c r="A23" s="12" t="s">
        <v>62</v>
      </c>
      <c r="B23" s="13">
        <v>19500</v>
      </c>
      <c r="C23" s="14">
        <v>4350</v>
      </c>
      <c r="D23" s="15">
        <v>4.4999999999999997E-3</v>
      </c>
    </row>
    <row r="24" spans="1:4" x14ac:dyDescent="0.2">
      <c r="A24" s="12" t="s">
        <v>63</v>
      </c>
      <c r="B24" s="13">
        <v>22000</v>
      </c>
      <c r="C24" s="14">
        <v>4450</v>
      </c>
      <c r="D24" s="15">
        <v>2E-3</v>
      </c>
    </row>
    <row r="26" spans="1:4" x14ac:dyDescent="0.2">
      <c r="A26" s="4" t="s">
        <v>64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workbookViewId="0"/>
  </sheetViews>
  <sheetFormatPr baseColWidth="10" defaultColWidth="8.83203125" defaultRowHeight="15" x14ac:dyDescent="0.2"/>
  <cols>
    <col min="1" max="1" width="14" customWidth="1"/>
    <col min="2" max="2" width="10" customWidth="1"/>
    <col min="3" max="3" width="14" customWidth="1"/>
    <col min="4" max="4" width="16" customWidth="1"/>
  </cols>
  <sheetData>
    <row r="1" spans="1:4" ht="19" x14ac:dyDescent="0.25">
      <c r="A1" s="1" t="s">
        <v>65</v>
      </c>
    </row>
    <row r="2" spans="1:4" x14ac:dyDescent="0.2">
      <c r="A2" s="4" t="s">
        <v>66</v>
      </c>
    </row>
    <row r="4" spans="1:4" ht="22" customHeight="1" x14ac:dyDescent="0.2">
      <c r="A4" s="5" t="s">
        <v>67</v>
      </c>
      <c r="B4" s="5" t="s">
        <v>68</v>
      </c>
      <c r="C4" s="5" t="s">
        <v>69</v>
      </c>
      <c r="D4" s="5" t="s">
        <v>70</v>
      </c>
    </row>
    <row r="5" spans="1:4" x14ac:dyDescent="0.2">
      <c r="A5" s="16" t="s">
        <v>71</v>
      </c>
      <c r="B5" s="16">
        <v>1</v>
      </c>
      <c r="C5" s="16">
        <v>4121</v>
      </c>
      <c r="D5" s="17">
        <v>16942078</v>
      </c>
    </row>
    <row r="6" spans="1:4" x14ac:dyDescent="0.2">
      <c r="A6" s="16" t="s">
        <v>72</v>
      </c>
      <c r="B6" s="16">
        <v>2</v>
      </c>
      <c r="C6" s="16">
        <v>5557</v>
      </c>
      <c r="D6" s="17">
        <v>22550923</v>
      </c>
    </row>
    <row r="7" spans="1:4" x14ac:dyDescent="0.2">
      <c r="A7" s="16" t="s">
        <v>73</v>
      </c>
      <c r="B7" s="16">
        <v>3</v>
      </c>
      <c r="C7" s="16">
        <v>6640</v>
      </c>
      <c r="D7" s="17">
        <v>27060924</v>
      </c>
    </row>
    <row r="8" spans="1:4" x14ac:dyDescent="0.2">
      <c r="A8" s="16" t="s">
        <v>74</v>
      </c>
      <c r="B8" s="16">
        <v>4</v>
      </c>
      <c r="C8" s="16">
        <v>7406</v>
      </c>
      <c r="D8" s="17">
        <v>31901671</v>
      </c>
    </row>
    <row r="9" spans="1:4" x14ac:dyDescent="0.2">
      <c r="A9" s="16" t="s">
        <v>75</v>
      </c>
      <c r="B9" s="16">
        <v>5</v>
      </c>
      <c r="C9" s="16">
        <v>8616</v>
      </c>
      <c r="D9" s="17">
        <v>34965582</v>
      </c>
    </row>
    <row r="10" spans="1:4" x14ac:dyDescent="0.2">
      <c r="A10" s="16" t="s">
        <v>76</v>
      </c>
      <c r="B10" s="16">
        <v>6</v>
      </c>
      <c r="C10" s="16">
        <v>9823</v>
      </c>
      <c r="D10" s="17">
        <v>41692538</v>
      </c>
    </row>
    <row r="11" spans="1:4" x14ac:dyDescent="0.2">
      <c r="A11" s="16" t="s">
        <v>77</v>
      </c>
      <c r="B11" s="16">
        <v>7</v>
      </c>
      <c r="C11" s="16">
        <v>11337</v>
      </c>
      <c r="D11" s="17">
        <v>45361425</v>
      </c>
    </row>
    <row r="12" spans="1:4" x14ac:dyDescent="0.2">
      <c r="A12" s="16" t="s">
        <v>78</v>
      </c>
      <c r="B12" s="16">
        <v>8</v>
      </c>
      <c r="C12" s="16">
        <v>12005</v>
      </c>
      <c r="D12" s="17">
        <v>49322232</v>
      </c>
    </row>
    <row r="13" spans="1:4" x14ac:dyDescent="0.2">
      <c r="A13" s="16" t="s">
        <v>79</v>
      </c>
      <c r="B13" s="16">
        <v>9</v>
      </c>
      <c r="C13" s="16">
        <v>12518</v>
      </c>
      <c r="D13" s="17">
        <v>53061209</v>
      </c>
    </row>
    <row r="14" spans="1:4" x14ac:dyDescent="0.2">
      <c r="A14" s="16" t="s">
        <v>80</v>
      </c>
      <c r="B14" s="16">
        <v>10</v>
      </c>
      <c r="C14" s="16">
        <v>14058</v>
      </c>
      <c r="D14" s="17">
        <v>56160524</v>
      </c>
    </row>
    <row r="15" spans="1:4" x14ac:dyDescent="0.2">
      <c r="A15" s="16" t="s">
        <v>81</v>
      </c>
      <c r="B15" s="16">
        <v>11</v>
      </c>
      <c r="C15" s="16">
        <v>15901</v>
      </c>
      <c r="D15" s="17">
        <v>66320593</v>
      </c>
    </row>
    <row r="16" spans="1:4" x14ac:dyDescent="0.2">
      <c r="A16" s="16" t="s">
        <v>82</v>
      </c>
      <c r="B16" s="16">
        <v>12</v>
      </c>
      <c r="C16" s="16">
        <v>15917</v>
      </c>
      <c r="D16" s="17">
        <v>64041047</v>
      </c>
    </row>
    <row r="17" spans="1:4" x14ac:dyDescent="0.2">
      <c r="A17" s="16" t="s">
        <v>83</v>
      </c>
      <c r="B17" s="16">
        <v>13</v>
      </c>
      <c r="C17" s="16">
        <v>18100</v>
      </c>
      <c r="D17" s="17">
        <v>73632870</v>
      </c>
    </row>
    <row r="18" spans="1:4" x14ac:dyDescent="0.2">
      <c r="A18" s="16" t="s">
        <v>84</v>
      </c>
      <c r="B18" s="16">
        <v>14</v>
      </c>
      <c r="C18" s="16">
        <v>17141</v>
      </c>
      <c r="D18" s="17">
        <v>72051268</v>
      </c>
    </row>
    <row r="19" spans="1:4" x14ac:dyDescent="0.2">
      <c r="A19" s="16" t="s">
        <v>85</v>
      </c>
      <c r="B19" s="16">
        <v>15</v>
      </c>
      <c r="C19" s="16">
        <v>17024</v>
      </c>
      <c r="D19" s="17">
        <v>69393545</v>
      </c>
    </row>
    <row r="20" spans="1:4" x14ac:dyDescent="0.2">
      <c r="A20" s="16" t="s">
        <v>86</v>
      </c>
      <c r="B20" s="16">
        <v>16</v>
      </c>
      <c r="C20" s="16">
        <v>18418</v>
      </c>
      <c r="D20" s="17">
        <v>74905403</v>
      </c>
    </row>
    <row r="21" spans="1:4" x14ac:dyDescent="0.2">
      <c r="A21" s="16" t="s">
        <v>87</v>
      </c>
      <c r="B21" s="16">
        <v>17</v>
      </c>
      <c r="C21" s="16">
        <v>16768</v>
      </c>
      <c r="D21" s="17">
        <v>69596500</v>
      </c>
    </row>
    <row r="22" spans="1:4" x14ac:dyDescent="0.2">
      <c r="A22" s="16" t="s">
        <v>88</v>
      </c>
      <c r="B22" s="16">
        <v>18</v>
      </c>
      <c r="C22" s="16">
        <v>18147</v>
      </c>
      <c r="D22" s="17">
        <v>73099810</v>
      </c>
    </row>
    <row r="23" spans="1:4" x14ac:dyDescent="0.2">
      <c r="A23" s="16" t="s">
        <v>89</v>
      </c>
      <c r="B23" s="16">
        <v>19</v>
      </c>
      <c r="C23" s="16">
        <v>18049</v>
      </c>
      <c r="D23" s="17">
        <v>72603198</v>
      </c>
    </row>
    <row r="24" spans="1:4" x14ac:dyDescent="0.2">
      <c r="A24" s="16" t="s">
        <v>90</v>
      </c>
      <c r="B24" s="16">
        <v>20</v>
      </c>
      <c r="C24" s="16">
        <v>16754</v>
      </c>
      <c r="D24" s="17">
        <v>68572917</v>
      </c>
    </row>
    <row r="25" spans="1:4" x14ac:dyDescent="0.2">
      <c r="A25" s="16" t="s">
        <v>91</v>
      </c>
      <c r="B25" s="16">
        <v>21</v>
      </c>
      <c r="C25" s="16">
        <v>17160</v>
      </c>
      <c r="D25" s="17">
        <v>69723965</v>
      </c>
    </row>
    <row r="26" spans="1:4" x14ac:dyDescent="0.2">
      <c r="A26" s="16" t="s">
        <v>92</v>
      </c>
      <c r="B26" s="16">
        <v>22</v>
      </c>
      <c r="C26" s="16">
        <v>18411</v>
      </c>
      <c r="D26" s="17">
        <v>73387812</v>
      </c>
    </row>
    <row r="27" spans="1:4" x14ac:dyDescent="0.2">
      <c r="A27" s="16" t="s">
        <v>93</v>
      </c>
      <c r="B27" s="16">
        <v>23</v>
      </c>
      <c r="C27" s="16">
        <v>17957</v>
      </c>
      <c r="D27" s="17">
        <v>73808358</v>
      </c>
    </row>
    <row r="28" spans="1:4" x14ac:dyDescent="0.2">
      <c r="A28" s="16" t="s">
        <v>94</v>
      </c>
      <c r="B28" s="16">
        <v>24</v>
      </c>
      <c r="C28" s="16">
        <v>17328</v>
      </c>
      <c r="D28" s="17">
        <v>70516736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workbookViewId="0"/>
  </sheetViews>
  <sheetFormatPr baseColWidth="10" defaultColWidth="8.83203125" defaultRowHeight="15" x14ac:dyDescent="0.2"/>
  <cols>
    <col min="1" max="1" width="10" customWidth="1"/>
    <col min="2" max="2" width="14" customWidth="1"/>
    <col min="3" max="3" width="18" customWidth="1"/>
    <col min="4" max="4" width="46" customWidth="1"/>
  </cols>
  <sheetData>
    <row r="1" spans="1:4" ht="19" x14ac:dyDescent="0.25">
      <c r="A1" s="1" t="s">
        <v>95</v>
      </c>
    </row>
    <row r="2" spans="1:4" x14ac:dyDescent="0.2">
      <c r="A2" s="4" t="s">
        <v>96</v>
      </c>
    </row>
    <row r="4" spans="1:4" ht="22" customHeight="1" x14ac:dyDescent="0.2">
      <c r="A4" s="5" t="s">
        <v>68</v>
      </c>
      <c r="B4" s="5" t="s">
        <v>69</v>
      </c>
      <c r="C4" s="5" t="s">
        <v>97</v>
      </c>
      <c r="D4" s="5" t="s">
        <v>98</v>
      </c>
    </row>
    <row r="5" spans="1:4" x14ac:dyDescent="0.2">
      <c r="A5" s="16">
        <v>1</v>
      </c>
      <c r="B5" s="16">
        <v>4121</v>
      </c>
      <c r="C5" s="18">
        <f t="shared" ref="C5:C28" si="0">B5/MAX($B$5:$B$28)</f>
        <v>0.22374850689542838</v>
      </c>
    </row>
    <row r="6" spans="1:4" x14ac:dyDescent="0.2">
      <c r="A6" s="16">
        <v>2</v>
      </c>
      <c r="B6" s="16">
        <v>5557</v>
      </c>
      <c r="C6" s="18">
        <f t="shared" si="0"/>
        <v>0.30171571288956456</v>
      </c>
    </row>
    <row r="7" spans="1:4" x14ac:dyDescent="0.2">
      <c r="A7" s="16">
        <v>3</v>
      </c>
      <c r="B7" s="16">
        <v>6640</v>
      </c>
      <c r="C7" s="18">
        <f t="shared" si="0"/>
        <v>0.36051688565533718</v>
      </c>
    </row>
    <row r="8" spans="1:4" x14ac:dyDescent="0.2">
      <c r="A8" s="16">
        <v>4</v>
      </c>
      <c r="B8" s="16">
        <v>7406</v>
      </c>
      <c r="C8" s="18">
        <f t="shared" si="0"/>
        <v>0.40210663481376913</v>
      </c>
    </row>
    <row r="9" spans="1:4" x14ac:dyDescent="0.2">
      <c r="A9" s="16">
        <v>5</v>
      </c>
      <c r="B9" s="16">
        <v>8616</v>
      </c>
      <c r="C9" s="18">
        <f t="shared" si="0"/>
        <v>0.46780323596481704</v>
      </c>
    </row>
    <row r="10" spans="1:4" x14ac:dyDescent="0.2">
      <c r="A10" s="16">
        <v>6</v>
      </c>
      <c r="B10" s="16">
        <v>9823</v>
      </c>
      <c r="C10" s="18">
        <f t="shared" si="0"/>
        <v>0.53333695298077965</v>
      </c>
    </row>
    <row r="11" spans="1:4" x14ac:dyDescent="0.2">
      <c r="A11" s="16">
        <v>7</v>
      </c>
      <c r="B11" s="16">
        <v>11337</v>
      </c>
      <c r="C11" s="18">
        <f t="shared" si="0"/>
        <v>0.61553914648713215</v>
      </c>
    </row>
    <row r="12" spans="1:4" x14ac:dyDescent="0.2">
      <c r="A12" s="16">
        <v>8</v>
      </c>
      <c r="B12" s="16">
        <v>12005</v>
      </c>
      <c r="C12" s="18">
        <f t="shared" si="0"/>
        <v>0.6518080138994462</v>
      </c>
    </row>
    <row r="13" spans="1:4" x14ac:dyDescent="0.2">
      <c r="A13" s="16">
        <v>9</v>
      </c>
      <c r="B13" s="16">
        <v>12518</v>
      </c>
      <c r="C13" s="18">
        <f t="shared" si="0"/>
        <v>0.67966120099902272</v>
      </c>
    </row>
    <row r="14" spans="1:4" x14ac:dyDescent="0.2">
      <c r="A14" s="16">
        <v>10</v>
      </c>
      <c r="B14" s="16">
        <v>14058</v>
      </c>
      <c r="C14" s="18">
        <f t="shared" si="0"/>
        <v>0.76327505700944731</v>
      </c>
    </row>
    <row r="15" spans="1:4" x14ac:dyDescent="0.2">
      <c r="A15" s="16">
        <v>11</v>
      </c>
      <c r="B15" s="16">
        <v>15901</v>
      </c>
      <c r="C15" s="18">
        <f t="shared" si="0"/>
        <v>0.86334021066348132</v>
      </c>
    </row>
    <row r="16" spans="1:4" x14ac:dyDescent="0.2">
      <c r="A16" s="16">
        <v>12</v>
      </c>
      <c r="B16" s="16">
        <v>15917</v>
      </c>
      <c r="C16" s="18">
        <f t="shared" si="0"/>
        <v>0.86420892605060262</v>
      </c>
    </row>
    <row r="17" spans="1:4" x14ac:dyDescent="0.2">
      <c r="A17" s="16">
        <v>13</v>
      </c>
      <c r="B17" s="16">
        <v>18100</v>
      </c>
      <c r="C17" s="18">
        <f t="shared" si="0"/>
        <v>0.98273428168096433</v>
      </c>
    </row>
    <row r="18" spans="1:4" x14ac:dyDescent="0.2">
      <c r="A18" s="16">
        <v>14</v>
      </c>
      <c r="B18" s="16">
        <v>17141</v>
      </c>
      <c r="C18" s="18">
        <f t="shared" si="0"/>
        <v>0.93066565316538175</v>
      </c>
    </row>
    <row r="19" spans="1:4" x14ac:dyDescent="0.2">
      <c r="A19" s="16">
        <v>15</v>
      </c>
      <c r="B19" s="16">
        <v>17024</v>
      </c>
      <c r="C19" s="18">
        <f t="shared" si="0"/>
        <v>0.9243131718970572</v>
      </c>
    </row>
    <row r="20" spans="1:4" x14ac:dyDescent="0.2">
      <c r="A20" s="16">
        <v>16</v>
      </c>
      <c r="B20" s="16">
        <v>18418</v>
      </c>
      <c r="C20" s="18">
        <f t="shared" si="0"/>
        <v>1</v>
      </c>
    </row>
    <row r="21" spans="1:4" x14ac:dyDescent="0.2">
      <c r="A21" s="16">
        <v>17</v>
      </c>
      <c r="B21" s="16">
        <v>16768</v>
      </c>
      <c r="C21" s="18">
        <f t="shared" si="0"/>
        <v>0.91041372570311652</v>
      </c>
    </row>
    <row r="22" spans="1:4" x14ac:dyDescent="0.2">
      <c r="A22" s="16">
        <v>18</v>
      </c>
      <c r="B22" s="16">
        <v>18147</v>
      </c>
      <c r="C22" s="18">
        <f t="shared" si="0"/>
        <v>0.98528613313063307</v>
      </c>
    </row>
    <row r="23" spans="1:4" x14ac:dyDescent="0.2">
      <c r="A23" s="16">
        <v>19</v>
      </c>
      <c r="B23" s="16">
        <v>18049</v>
      </c>
      <c r="C23" s="18">
        <f t="shared" si="0"/>
        <v>0.97996525138451518</v>
      </c>
    </row>
    <row r="24" spans="1:4" x14ac:dyDescent="0.2">
      <c r="A24" s="16">
        <v>20</v>
      </c>
      <c r="B24" s="16">
        <v>16754</v>
      </c>
      <c r="C24" s="18">
        <f t="shared" si="0"/>
        <v>0.90965359973938542</v>
      </c>
    </row>
    <row r="25" spans="1:4" x14ac:dyDescent="0.2">
      <c r="A25" s="16">
        <v>21</v>
      </c>
      <c r="B25" s="16">
        <v>17160</v>
      </c>
      <c r="C25" s="18">
        <f t="shared" si="0"/>
        <v>0.93169725268758818</v>
      </c>
    </row>
    <row r="26" spans="1:4" x14ac:dyDescent="0.2">
      <c r="A26" s="16">
        <v>22</v>
      </c>
      <c r="B26" s="16">
        <v>18411</v>
      </c>
      <c r="C26" s="18">
        <f t="shared" si="0"/>
        <v>0.99961993701813445</v>
      </c>
    </row>
    <row r="27" spans="1:4" x14ac:dyDescent="0.2">
      <c r="A27" s="16">
        <v>23</v>
      </c>
      <c r="B27" s="16">
        <v>17957</v>
      </c>
      <c r="C27" s="18">
        <f t="shared" si="0"/>
        <v>0.97497013790856768</v>
      </c>
    </row>
    <row r="28" spans="1:4" x14ac:dyDescent="0.2">
      <c r="A28" s="16">
        <v>24</v>
      </c>
      <c r="B28" s="16">
        <v>17328</v>
      </c>
      <c r="C28" s="18">
        <f t="shared" si="0"/>
        <v>0.94081876425236177</v>
      </c>
    </row>
    <row r="30" spans="1:4" x14ac:dyDescent="0.2">
      <c r="A30" s="12" t="s">
        <v>99</v>
      </c>
      <c r="B30" s="19">
        <v>18418</v>
      </c>
    </row>
    <row r="31" spans="1:4" x14ac:dyDescent="0.2">
      <c r="A31" s="12" t="s">
        <v>100</v>
      </c>
      <c r="B31">
        <v>13</v>
      </c>
    </row>
    <row r="32" spans="1:4" x14ac:dyDescent="0.2">
      <c r="A32" s="12" t="s">
        <v>101</v>
      </c>
      <c r="B32">
        <v>14</v>
      </c>
      <c r="D32" s="4" t="s">
        <v>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0"/>
  <sheetViews>
    <sheetView workbookViewId="0"/>
  </sheetViews>
  <sheetFormatPr baseColWidth="10" defaultColWidth="8.83203125" defaultRowHeight="15" x14ac:dyDescent="0.2"/>
  <cols>
    <col min="1" max="1" width="9" customWidth="1"/>
    <col min="2" max="2" width="13" customWidth="1"/>
    <col min="3" max="3" width="12" customWidth="1"/>
    <col min="4" max="5" width="16" customWidth="1"/>
    <col min="6" max="12" width="14" customWidth="1"/>
    <col min="13" max="13" width="15" customWidth="1"/>
  </cols>
  <sheetData>
    <row r="1" spans="1:13" ht="19" x14ac:dyDescent="0.25">
      <c r="A1" s="1" t="s">
        <v>103</v>
      </c>
    </row>
    <row r="2" spans="1:13" x14ac:dyDescent="0.2">
      <c r="A2" s="4" t="s">
        <v>104</v>
      </c>
    </row>
    <row r="3" spans="1:13" x14ac:dyDescent="0.2">
      <c r="A3" s="12" t="s">
        <v>105</v>
      </c>
      <c r="B3" s="20">
        <f>(1+H_ACTUALISATION)^(1/12)-1</f>
        <v>1.0978851950173452E-2</v>
      </c>
    </row>
    <row r="5" spans="1:13" ht="22" customHeight="1" x14ac:dyDescent="0.2">
      <c r="A5" s="5" t="s">
        <v>68</v>
      </c>
      <c r="B5" s="5" t="s">
        <v>106</v>
      </c>
      <c r="C5" s="5" t="s">
        <v>69</v>
      </c>
      <c r="D5" s="5" t="s">
        <v>107</v>
      </c>
      <c r="E5" s="5" t="s">
        <v>108</v>
      </c>
      <c r="F5" s="5" t="s">
        <v>109</v>
      </c>
      <c r="G5" s="5" t="s">
        <v>110</v>
      </c>
      <c r="H5" s="5" t="s">
        <v>111</v>
      </c>
      <c r="I5" s="5" t="s">
        <v>112</v>
      </c>
      <c r="J5" s="5" t="s">
        <v>113</v>
      </c>
      <c r="K5" s="5" t="s">
        <v>114</v>
      </c>
      <c r="L5" s="5" t="s">
        <v>115</v>
      </c>
      <c r="M5" s="5" t="s">
        <v>116</v>
      </c>
    </row>
    <row r="6" spans="1:13" x14ac:dyDescent="0.2">
      <c r="A6" s="21">
        <f>0</f>
        <v>0</v>
      </c>
      <c r="B6" s="22">
        <f t="shared" ref="B6:B30" si="0">H_TAUX_XOF*(1+H_DERIVE_TAUX)^A6</f>
        <v>631.4</v>
      </c>
      <c r="C6" s="21">
        <f>0</f>
        <v>0</v>
      </c>
      <c r="D6" s="23">
        <f t="shared" ref="D6:D30" si="1">C6*H_PRIX_XOF</f>
        <v>0</v>
      </c>
      <c r="E6" s="23">
        <f>0</f>
        <v>0</v>
      </c>
      <c r="F6" s="24">
        <f t="shared" ref="F6:F30" si="2">D6/B6</f>
        <v>0</v>
      </c>
      <c r="G6" s="24">
        <f t="shared" ref="G6:G30" si="3">E6/B6</f>
        <v>0</v>
      </c>
      <c r="H6" s="24">
        <f t="shared" ref="H6:H30" si="4">F6-G6</f>
        <v>0</v>
      </c>
      <c r="I6" s="24">
        <f t="shared" ref="I6:I30" si="5">C6*H_COUT_USD</f>
        <v>0</v>
      </c>
      <c r="J6" s="24">
        <f>-(H_AMENAGEMENT+H_MATERIEL+H_STOCK_INITIAL)</f>
        <v>-204500</v>
      </c>
      <c r="K6" s="25">
        <f t="shared" ref="K6:K30" si="6">1/(1+$B$3)^A6</f>
        <v>1</v>
      </c>
      <c r="L6" s="24">
        <f t="shared" ref="L6:L30" si="7">J6*K6</f>
        <v>-204500</v>
      </c>
      <c r="M6" s="24">
        <f>J6</f>
        <v>-204500</v>
      </c>
    </row>
    <row r="7" spans="1:13" x14ac:dyDescent="0.2">
      <c r="A7" s="21">
        <f t="shared" ref="A7:A30" si="8">A6+1</f>
        <v>1</v>
      </c>
      <c r="B7" s="22">
        <f t="shared" si="0"/>
        <v>634.24129999999991</v>
      </c>
      <c r="C7" s="21">
        <f t="shared" ref="C7:C30" si="9">MIN(H_VOLUME_CROISIERE,H_VOLUME_M1+(H_VOLUME_CROISIERE-H_VOLUME_M1)*(A7-1)/(H_MONTEE-1))</f>
        <v>4200</v>
      </c>
      <c r="D7" s="23">
        <f t="shared" si="1"/>
        <v>18270000</v>
      </c>
      <c r="E7" s="23">
        <f t="shared" ref="E7:E30" si="10">H_LOYER_XOF+H_PERSONNEL_XOF+H_AUTRES_XOF</f>
        <v>11150000</v>
      </c>
      <c r="F7" s="24">
        <f t="shared" si="2"/>
        <v>28806.071127818392</v>
      </c>
      <c r="G7" s="24">
        <f t="shared" si="3"/>
        <v>17580.059828964153</v>
      </c>
      <c r="H7" s="24">
        <f t="shared" si="4"/>
        <v>11226.011298854239</v>
      </c>
      <c r="I7" s="24">
        <f t="shared" si="5"/>
        <v>19110</v>
      </c>
      <c r="J7" s="24">
        <f t="shared" ref="J7:J30" si="11">H7-I7</f>
        <v>-7883.9887011457613</v>
      </c>
      <c r="K7" s="25">
        <f t="shared" si="6"/>
        <v>0.98914037427291845</v>
      </c>
      <c r="L7" s="24">
        <f t="shared" si="7"/>
        <v>-7798.3715346147783</v>
      </c>
      <c r="M7" s="24">
        <f t="shared" ref="M7:M30" si="12">M6+J7</f>
        <v>-212383.98870114575</v>
      </c>
    </row>
    <row r="8" spans="1:13" x14ac:dyDescent="0.2">
      <c r="A8" s="21">
        <f t="shared" si="8"/>
        <v>2</v>
      </c>
      <c r="B8" s="22">
        <f t="shared" si="0"/>
        <v>637.09538584999984</v>
      </c>
      <c r="C8" s="21">
        <f t="shared" si="9"/>
        <v>5376.9230769230771</v>
      </c>
      <c r="D8" s="23">
        <f t="shared" si="1"/>
        <v>23389615.384615384</v>
      </c>
      <c r="E8" s="23">
        <f t="shared" si="10"/>
        <v>11150000</v>
      </c>
      <c r="F8" s="24">
        <f t="shared" si="2"/>
        <v>36712.894025137903</v>
      </c>
      <c r="G8" s="24">
        <f t="shared" si="3"/>
        <v>17501.303961139027</v>
      </c>
      <c r="H8" s="24">
        <f t="shared" si="4"/>
        <v>19211.590063998876</v>
      </c>
      <c r="I8" s="24">
        <f t="shared" si="5"/>
        <v>24465</v>
      </c>
      <c r="J8" s="24">
        <f t="shared" si="11"/>
        <v>-5253.4099360011242</v>
      </c>
      <c r="K8" s="25">
        <f t="shared" si="6"/>
        <v>0.97839868001676922</v>
      </c>
      <c r="L8" s="24">
        <f t="shared" si="7"/>
        <v>-5139.9293469704799</v>
      </c>
      <c r="M8" s="24">
        <f t="shared" si="12"/>
        <v>-217637.39863714686</v>
      </c>
    </row>
    <row r="9" spans="1:13" x14ac:dyDescent="0.2">
      <c r="A9" s="21">
        <f t="shared" si="8"/>
        <v>3</v>
      </c>
      <c r="B9" s="22">
        <f t="shared" si="0"/>
        <v>639.96231508632491</v>
      </c>
      <c r="C9" s="21">
        <f t="shared" si="9"/>
        <v>6553.8461538461543</v>
      </c>
      <c r="D9" s="23">
        <f t="shared" si="1"/>
        <v>28509230.769230772</v>
      </c>
      <c r="E9" s="23">
        <f t="shared" si="10"/>
        <v>11150000</v>
      </c>
      <c r="F9" s="24">
        <f t="shared" si="2"/>
        <v>44548.296199886623</v>
      </c>
      <c r="G9" s="24">
        <f t="shared" si="3"/>
        <v>17422.900907057268</v>
      </c>
      <c r="H9" s="24">
        <f t="shared" si="4"/>
        <v>27125.395292829355</v>
      </c>
      <c r="I9" s="24">
        <f t="shared" si="5"/>
        <v>29820</v>
      </c>
      <c r="J9" s="24">
        <f t="shared" si="11"/>
        <v>-2694.6047071706453</v>
      </c>
      <c r="K9" s="25">
        <f t="shared" si="6"/>
        <v>0.96777363653991655</v>
      </c>
      <c r="L9" s="24">
        <f t="shared" si="7"/>
        <v>-2607.7673964961123</v>
      </c>
      <c r="M9" s="24">
        <f t="shared" si="12"/>
        <v>-220332.00334431752</v>
      </c>
    </row>
    <row r="10" spans="1:13" x14ac:dyDescent="0.2">
      <c r="A10" s="21">
        <f t="shared" si="8"/>
        <v>4</v>
      </c>
      <c r="B10" s="22">
        <f t="shared" si="0"/>
        <v>642.84214550421314</v>
      </c>
      <c r="C10" s="21">
        <f t="shared" si="9"/>
        <v>7730.7692307692305</v>
      </c>
      <c r="D10" s="23">
        <f t="shared" si="1"/>
        <v>33628846.153846152</v>
      </c>
      <c r="E10" s="23">
        <f t="shared" si="10"/>
        <v>11150000</v>
      </c>
      <c r="F10" s="24">
        <f t="shared" si="2"/>
        <v>52312.758877172513</v>
      </c>
      <c r="G10" s="24">
        <f t="shared" si="3"/>
        <v>17344.849086169514</v>
      </c>
      <c r="H10" s="24">
        <f t="shared" si="4"/>
        <v>34967.909791002996</v>
      </c>
      <c r="I10" s="24">
        <f t="shared" si="5"/>
        <v>35175</v>
      </c>
      <c r="J10" s="24">
        <f t="shared" si="11"/>
        <v>-207.09020899700408</v>
      </c>
      <c r="K10" s="25">
        <f t="shared" si="6"/>
        <v>0.95726397705855626</v>
      </c>
      <c r="L10" s="24">
        <f t="shared" si="7"/>
        <v>-198.23999707435974</v>
      </c>
      <c r="M10" s="24">
        <f t="shared" si="12"/>
        <v>-220539.09355331451</v>
      </c>
    </row>
    <row r="11" spans="1:13" x14ac:dyDescent="0.2">
      <c r="A11" s="21">
        <f t="shared" si="8"/>
        <v>5</v>
      </c>
      <c r="B11" s="22">
        <f t="shared" si="0"/>
        <v>645.73493515898213</v>
      </c>
      <c r="C11" s="21">
        <f t="shared" si="9"/>
        <v>8907.6923076923085</v>
      </c>
      <c r="D11" s="23">
        <f t="shared" si="1"/>
        <v>38748461.538461544</v>
      </c>
      <c r="E11" s="23">
        <f t="shared" si="10"/>
        <v>11150000</v>
      </c>
      <c r="F11" s="24">
        <f t="shared" si="2"/>
        <v>60006.760403820401</v>
      </c>
      <c r="G11" s="24">
        <f t="shared" si="3"/>
        <v>17267.146925006979</v>
      </c>
      <c r="H11" s="24">
        <f t="shared" si="4"/>
        <v>42739.613478813422</v>
      </c>
      <c r="I11" s="24">
        <f t="shared" si="5"/>
        <v>40530</v>
      </c>
      <c r="J11" s="24">
        <f t="shared" si="11"/>
        <v>2209.6134788134223</v>
      </c>
      <c r="K11" s="25">
        <f t="shared" si="6"/>
        <v>0.94686844854568286</v>
      </c>
      <c r="L11" s="24">
        <f t="shared" si="7"/>
        <v>2092.2132865696944</v>
      </c>
      <c r="M11" s="24">
        <f t="shared" si="12"/>
        <v>-218329.48007450107</v>
      </c>
    </row>
    <row r="12" spans="1:13" x14ac:dyDescent="0.2">
      <c r="A12" s="21">
        <f t="shared" si="8"/>
        <v>6</v>
      </c>
      <c r="B12" s="22">
        <f t="shared" si="0"/>
        <v>648.64074236719739</v>
      </c>
      <c r="C12" s="21">
        <f t="shared" si="9"/>
        <v>10084.615384615385</v>
      </c>
      <c r="D12" s="23">
        <f t="shared" si="1"/>
        <v>43868076.92307692</v>
      </c>
      <c r="E12" s="23">
        <f t="shared" si="10"/>
        <v>11150000</v>
      </c>
      <c r="F12" s="24">
        <f t="shared" si="2"/>
        <v>67630.776264502783</v>
      </c>
      <c r="G12" s="24">
        <f t="shared" si="3"/>
        <v>17189.792857149809</v>
      </c>
      <c r="H12" s="24">
        <f t="shared" si="4"/>
        <v>50440.983407352978</v>
      </c>
      <c r="I12" s="24">
        <f t="shared" si="5"/>
        <v>45885</v>
      </c>
      <c r="J12" s="24">
        <f t="shared" si="11"/>
        <v>4555.9834073529782</v>
      </c>
      <c r="K12" s="25">
        <f t="shared" si="6"/>
        <v>0.93658581158169441</v>
      </c>
      <c r="L12" s="24">
        <f t="shared" si="7"/>
        <v>4267.0694171284222</v>
      </c>
      <c r="M12" s="24">
        <f t="shared" si="12"/>
        <v>-213773.49666714808</v>
      </c>
    </row>
    <row r="13" spans="1:13" x14ac:dyDescent="0.2">
      <c r="A13" s="21">
        <f t="shared" si="8"/>
        <v>7</v>
      </c>
      <c r="B13" s="22">
        <f t="shared" si="0"/>
        <v>651.55962570784993</v>
      </c>
      <c r="C13" s="21">
        <f t="shared" si="9"/>
        <v>11261.538461538461</v>
      </c>
      <c r="D13" s="23">
        <f t="shared" si="1"/>
        <v>48987692.307692304</v>
      </c>
      <c r="E13" s="23">
        <f t="shared" si="10"/>
        <v>11150000</v>
      </c>
      <c r="F13" s="24">
        <f t="shared" si="2"/>
        <v>75185.279097783889</v>
      </c>
      <c r="G13" s="24">
        <f t="shared" si="3"/>
        <v>17112.785323195425</v>
      </c>
      <c r="H13" s="24">
        <f t="shared" si="4"/>
        <v>58072.493774588467</v>
      </c>
      <c r="I13" s="24">
        <f t="shared" si="5"/>
        <v>51239.999999999993</v>
      </c>
      <c r="J13" s="24">
        <f t="shared" si="11"/>
        <v>6832.4937745884745</v>
      </c>
      <c r="K13" s="25">
        <f t="shared" si="6"/>
        <v>0.92641484020662224</v>
      </c>
      <c r="L13" s="24">
        <f t="shared" si="7"/>
        <v>6329.7236283981229</v>
      </c>
      <c r="M13" s="24">
        <f t="shared" si="12"/>
        <v>-206941.0028925596</v>
      </c>
    </row>
    <row r="14" spans="1:13" x14ac:dyDescent="0.2">
      <c r="A14" s="21">
        <f t="shared" si="8"/>
        <v>8</v>
      </c>
      <c r="B14" s="22">
        <f t="shared" si="0"/>
        <v>654.49164402353495</v>
      </c>
      <c r="C14" s="21">
        <f t="shared" si="9"/>
        <v>12438.461538461539</v>
      </c>
      <c r="D14" s="23">
        <f t="shared" si="1"/>
        <v>54107307.692307696</v>
      </c>
      <c r="E14" s="23">
        <f t="shared" si="10"/>
        <v>11150000</v>
      </c>
      <c r="F14" s="24">
        <f t="shared" si="2"/>
        <v>82670.738712077495</v>
      </c>
      <c r="G14" s="24">
        <f t="shared" si="3"/>
        <v>17036.122770727161</v>
      </c>
      <c r="H14" s="24">
        <f t="shared" si="4"/>
        <v>65634.615941350334</v>
      </c>
      <c r="I14" s="24">
        <f t="shared" si="5"/>
        <v>56595</v>
      </c>
      <c r="J14" s="24">
        <f t="shared" si="11"/>
        <v>9039.6159413503337</v>
      </c>
      <c r="K14" s="25">
        <f t="shared" si="6"/>
        <v>0.91635432177396425</v>
      </c>
      <c r="L14" s="24">
        <f t="shared" si="7"/>
        <v>8283.4911350332004</v>
      </c>
      <c r="M14" s="24">
        <f t="shared" si="12"/>
        <v>-197901.38695120928</v>
      </c>
    </row>
    <row r="15" spans="1:13" x14ac:dyDescent="0.2">
      <c r="A15" s="21">
        <f t="shared" si="8"/>
        <v>9</v>
      </c>
      <c r="B15" s="22">
        <f t="shared" si="0"/>
        <v>657.43685642164087</v>
      </c>
      <c r="C15" s="21">
        <f t="shared" si="9"/>
        <v>13615.384615384615</v>
      </c>
      <c r="D15" s="23">
        <f t="shared" si="1"/>
        <v>59226923.07692308</v>
      </c>
      <c r="E15" s="23">
        <f t="shared" si="10"/>
        <v>11150000</v>
      </c>
      <c r="F15" s="24">
        <f t="shared" si="2"/>
        <v>90087.622101518529</v>
      </c>
      <c r="G15" s="24">
        <f t="shared" si="3"/>
        <v>16959.803654282889</v>
      </c>
      <c r="H15" s="24">
        <f t="shared" si="4"/>
        <v>73127.818447235637</v>
      </c>
      <c r="I15" s="24">
        <f t="shared" si="5"/>
        <v>61950</v>
      </c>
      <c r="J15" s="24">
        <f t="shared" si="11"/>
        <v>11177.818447235637</v>
      </c>
      <c r="K15" s="25">
        <f t="shared" si="6"/>
        <v>0.90640305680610544</v>
      </c>
      <c r="L15" s="24">
        <f t="shared" si="7"/>
        <v>10131.608808998057</v>
      </c>
      <c r="M15" s="24">
        <f t="shared" si="12"/>
        <v>-186723.56850397366</v>
      </c>
    </row>
    <row r="16" spans="1:13" x14ac:dyDescent="0.2">
      <c r="A16" s="21">
        <f t="shared" si="8"/>
        <v>10</v>
      </c>
      <c r="B16" s="22">
        <f t="shared" si="0"/>
        <v>660.39532227553809</v>
      </c>
      <c r="C16" s="21">
        <f t="shared" si="9"/>
        <v>14792.307692307691</v>
      </c>
      <c r="D16" s="23">
        <f t="shared" si="1"/>
        <v>64346538.461538456</v>
      </c>
      <c r="E16" s="23">
        <f t="shared" si="10"/>
        <v>11150000</v>
      </c>
      <c r="F16" s="24">
        <f t="shared" si="2"/>
        <v>97436.393461749904</v>
      </c>
      <c r="G16" s="24">
        <f t="shared" si="3"/>
        <v>16883.826435323936</v>
      </c>
      <c r="H16" s="24">
        <f t="shared" si="4"/>
        <v>80552.567026425968</v>
      </c>
      <c r="I16" s="24">
        <f t="shared" si="5"/>
        <v>67305</v>
      </c>
      <c r="J16" s="24">
        <f t="shared" si="11"/>
        <v>13247.567026425968</v>
      </c>
      <c r="K16" s="25">
        <f t="shared" si="6"/>
        <v>0.8965598588513084</v>
      </c>
      <c r="L16" s="24">
        <f t="shared" si="7"/>
        <v>11877.236823335714</v>
      </c>
      <c r="M16" s="24">
        <f t="shared" si="12"/>
        <v>-173476.00147754769</v>
      </c>
    </row>
    <row r="17" spans="1:13" x14ac:dyDescent="0.2">
      <c r="A17" s="21">
        <f t="shared" si="8"/>
        <v>11</v>
      </c>
      <c r="B17" s="22">
        <f t="shared" si="0"/>
        <v>663.36710122577813</v>
      </c>
      <c r="C17" s="21">
        <f t="shared" si="9"/>
        <v>15969.23076923077</v>
      </c>
      <c r="D17" s="23">
        <f t="shared" si="1"/>
        <v>69466153.84615384</v>
      </c>
      <c r="E17" s="23">
        <f t="shared" si="10"/>
        <v>11150000</v>
      </c>
      <c r="F17" s="24">
        <f t="shared" si="2"/>
        <v>104717.51420562371</v>
      </c>
      <c r="G17" s="24">
        <f t="shared" si="3"/>
        <v>16808.189582204013</v>
      </c>
      <c r="H17" s="24">
        <f t="shared" si="4"/>
        <v>87909.324623419699</v>
      </c>
      <c r="I17" s="24">
        <f t="shared" si="5"/>
        <v>72660</v>
      </c>
      <c r="J17" s="24">
        <f t="shared" si="11"/>
        <v>15249.324623419699</v>
      </c>
      <c r="K17" s="25">
        <f t="shared" si="6"/>
        <v>0.88682355434225824</v>
      </c>
      <c r="L17" s="24">
        <f t="shared" si="7"/>
        <v>13523.460263859977</v>
      </c>
      <c r="M17" s="24">
        <f t="shared" si="12"/>
        <v>-158226.67685412799</v>
      </c>
    </row>
    <row r="18" spans="1:13" x14ac:dyDescent="0.2">
      <c r="A18" s="21">
        <f t="shared" si="8"/>
        <v>12</v>
      </c>
      <c r="B18" s="22">
        <f t="shared" si="0"/>
        <v>666.35225318129392</v>
      </c>
      <c r="C18" s="21">
        <f t="shared" si="9"/>
        <v>17146.153846153844</v>
      </c>
      <c r="D18" s="23">
        <f t="shared" si="1"/>
        <v>74585769.230769217</v>
      </c>
      <c r="E18" s="23">
        <f t="shared" si="10"/>
        <v>11150000</v>
      </c>
      <c r="F18" s="24">
        <f t="shared" si="2"/>
        <v>111931.44297881848</v>
      </c>
      <c r="G18" s="24">
        <f t="shared" si="3"/>
        <v>16732.891570138396</v>
      </c>
      <c r="H18" s="24">
        <f t="shared" si="4"/>
        <v>95198.551408680083</v>
      </c>
      <c r="I18" s="24">
        <f t="shared" si="5"/>
        <v>78014.999999999985</v>
      </c>
      <c r="J18" s="24">
        <f t="shared" si="11"/>
        <v>17183.551408680098</v>
      </c>
      <c r="K18" s="25">
        <f t="shared" si="6"/>
        <v>0.87719298245614108</v>
      </c>
      <c r="L18" s="24">
        <f t="shared" si="7"/>
        <v>15073.290709368519</v>
      </c>
      <c r="M18" s="24">
        <f t="shared" si="12"/>
        <v>-141043.12544544789</v>
      </c>
    </row>
    <row r="19" spans="1:13" x14ac:dyDescent="0.2">
      <c r="A19" s="21">
        <f t="shared" si="8"/>
        <v>13</v>
      </c>
      <c r="B19" s="22">
        <f t="shared" si="0"/>
        <v>669.35083832060968</v>
      </c>
      <c r="C19" s="21">
        <f t="shared" si="9"/>
        <v>18323.076923076922</v>
      </c>
      <c r="D19" s="23">
        <f t="shared" si="1"/>
        <v>79705384.615384609</v>
      </c>
      <c r="E19" s="23">
        <f t="shared" si="10"/>
        <v>11150000</v>
      </c>
      <c r="F19" s="24">
        <f t="shared" si="2"/>
        <v>119078.63567537186</v>
      </c>
      <c r="G19" s="24">
        <f t="shared" si="3"/>
        <v>16657.930881173121</v>
      </c>
      <c r="H19" s="24">
        <f t="shared" si="4"/>
        <v>102420.70479419874</v>
      </c>
      <c r="I19" s="24">
        <f t="shared" si="5"/>
        <v>83369.999999999985</v>
      </c>
      <c r="J19" s="24">
        <f t="shared" si="11"/>
        <v>19050.704794198755</v>
      </c>
      <c r="K19" s="25">
        <f t="shared" si="6"/>
        <v>0.867666994976245</v>
      </c>
      <c r="L19" s="24">
        <f t="shared" si="7"/>
        <v>16529.667780961976</v>
      </c>
      <c r="M19" s="24">
        <f t="shared" si="12"/>
        <v>-121992.42065124914</v>
      </c>
    </row>
    <row r="20" spans="1:13" x14ac:dyDescent="0.2">
      <c r="A20" s="21">
        <f t="shared" si="8"/>
        <v>14</v>
      </c>
      <c r="B20" s="22">
        <f t="shared" si="0"/>
        <v>672.36291709305237</v>
      </c>
      <c r="C20" s="21">
        <f t="shared" si="9"/>
        <v>19500</v>
      </c>
      <c r="D20" s="23">
        <f t="shared" si="1"/>
        <v>84825000</v>
      </c>
      <c r="E20" s="23">
        <f t="shared" si="10"/>
        <v>11150000</v>
      </c>
      <c r="F20" s="24">
        <f t="shared" si="2"/>
        <v>126159.54545312998</v>
      </c>
      <c r="G20" s="24">
        <f t="shared" si="3"/>
        <v>16583.306004154427</v>
      </c>
      <c r="H20" s="24">
        <f t="shared" si="4"/>
        <v>109576.23944897555</v>
      </c>
      <c r="I20" s="24">
        <f t="shared" si="5"/>
        <v>88725</v>
      </c>
      <c r="J20" s="24">
        <f t="shared" si="11"/>
        <v>20851.239448975553</v>
      </c>
      <c r="K20" s="25">
        <f t="shared" si="6"/>
        <v>0.85824445615506151</v>
      </c>
      <c r="L20" s="24">
        <f t="shared" si="7"/>
        <v>17895.460661044988</v>
      </c>
      <c r="M20" s="24">
        <f t="shared" si="12"/>
        <v>-101141.18120227358</v>
      </c>
    </row>
    <row r="21" spans="1:13" x14ac:dyDescent="0.2">
      <c r="A21" s="21">
        <f t="shared" si="8"/>
        <v>15</v>
      </c>
      <c r="B21" s="22">
        <f t="shared" si="0"/>
        <v>675.38855021997108</v>
      </c>
      <c r="C21" s="21">
        <f t="shared" si="9"/>
        <v>19500</v>
      </c>
      <c r="D21" s="23">
        <f t="shared" si="1"/>
        <v>84825000</v>
      </c>
      <c r="E21" s="23">
        <f t="shared" si="10"/>
        <v>11150000</v>
      </c>
      <c r="F21" s="24">
        <f t="shared" si="2"/>
        <v>125594.37078459928</v>
      </c>
      <c r="G21" s="24">
        <f t="shared" si="3"/>
        <v>16509.015434698285</v>
      </c>
      <c r="H21" s="24">
        <f t="shared" si="4"/>
        <v>109085.35534990099</v>
      </c>
      <c r="I21" s="24">
        <f t="shared" si="5"/>
        <v>88725</v>
      </c>
      <c r="J21" s="24">
        <f t="shared" si="11"/>
        <v>20360.355349900987</v>
      </c>
      <c r="K21" s="25">
        <f t="shared" si="6"/>
        <v>0.84892424257887489</v>
      </c>
      <c r="L21" s="24">
        <f t="shared" si="7"/>
        <v>17284.399244051438</v>
      </c>
      <c r="M21" s="24">
        <f t="shared" si="12"/>
        <v>-80780.825852372596</v>
      </c>
    </row>
    <row r="22" spans="1:13" x14ac:dyDescent="0.2">
      <c r="A22" s="21">
        <f t="shared" si="8"/>
        <v>16</v>
      </c>
      <c r="B22" s="22">
        <f t="shared" si="0"/>
        <v>678.42779869596075</v>
      </c>
      <c r="C22" s="21">
        <f t="shared" si="9"/>
        <v>19500</v>
      </c>
      <c r="D22" s="23">
        <f t="shared" si="1"/>
        <v>84825000</v>
      </c>
      <c r="E22" s="23">
        <f t="shared" si="10"/>
        <v>11150000</v>
      </c>
      <c r="F22" s="24">
        <f t="shared" si="2"/>
        <v>125031.72800856079</v>
      </c>
      <c r="G22" s="24">
        <f t="shared" si="3"/>
        <v>16435.057675160067</v>
      </c>
      <c r="H22" s="24">
        <f t="shared" si="4"/>
        <v>108596.67033340072</v>
      </c>
      <c r="I22" s="24">
        <f t="shared" si="5"/>
        <v>88725</v>
      </c>
      <c r="J22" s="24">
        <f t="shared" si="11"/>
        <v>19871.670333400718</v>
      </c>
      <c r="K22" s="25">
        <f t="shared" si="6"/>
        <v>0.8397052430338221</v>
      </c>
      <c r="L22" s="24">
        <f t="shared" si="7"/>
        <v>16686.345766796243</v>
      </c>
      <c r="M22" s="24">
        <f t="shared" si="12"/>
        <v>-60909.155518971878</v>
      </c>
    </row>
    <row r="23" spans="1:13" x14ac:dyDescent="0.2">
      <c r="A23" s="21">
        <f t="shared" si="8"/>
        <v>17</v>
      </c>
      <c r="B23" s="22">
        <f t="shared" si="0"/>
        <v>681.4807237900925</v>
      </c>
      <c r="C23" s="21">
        <f t="shared" si="9"/>
        <v>19500</v>
      </c>
      <c r="D23" s="23">
        <f t="shared" si="1"/>
        <v>84825000</v>
      </c>
      <c r="E23" s="23">
        <f t="shared" si="10"/>
        <v>11150000</v>
      </c>
      <c r="F23" s="24">
        <f t="shared" si="2"/>
        <v>124471.60578253938</v>
      </c>
      <c r="G23" s="24">
        <f t="shared" si="3"/>
        <v>16361.431234604352</v>
      </c>
      <c r="H23" s="24">
        <f t="shared" si="4"/>
        <v>108110.17454793502</v>
      </c>
      <c r="I23" s="24">
        <f t="shared" si="5"/>
        <v>88725</v>
      </c>
      <c r="J23" s="24">
        <f t="shared" si="11"/>
        <v>19385.174547935021</v>
      </c>
      <c r="K23" s="25">
        <f t="shared" si="6"/>
        <v>0.83058635837340689</v>
      </c>
      <c r="L23" s="24">
        <f t="shared" si="7"/>
        <v>16101.061534202203</v>
      </c>
      <c r="M23" s="24">
        <f t="shared" si="12"/>
        <v>-41523.980971036857</v>
      </c>
    </row>
    <row r="24" spans="1:13" x14ac:dyDescent="0.2">
      <c r="A24" s="21">
        <f t="shared" si="8"/>
        <v>18</v>
      </c>
      <c r="B24" s="22">
        <f t="shared" si="0"/>
        <v>684.54738704714782</v>
      </c>
      <c r="C24" s="21">
        <f t="shared" si="9"/>
        <v>19500</v>
      </c>
      <c r="D24" s="23">
        <f t="shared" si="1"/>
        <v>84825000</v>
      </c>
      <c r="E24" s="23">
        <f t="shared" si="10"/>
        <v>11150000</v>
      </c>
      <c r="F24" s="24">
        <f t="shared" si="2"/>
        <v>123913.99281487247</v>
      </c>
      <c r="G24" s="24">
        <f t="shared" si="3"/>
        <v>16288.134628774867</v>
      </c>
      <c r="H24" s="24">
        <f t="shared" si="4"/>
        <v>107625.85818609761</v>
      </c>
      <c r="I24" s="24">
        <f t="shared" si="5"/>
        <v>88725</v>
      </c>
      <c r="J24" s="24">
        <f t="shared" si="11"/>
        <v>18900.858186097612</v>
      </c>
      <c r="K24" s="25">
        <f t="shared" si="6"/>
        <v>0.82156650138745202</v>
      </c>
      <c r="L24" s="24">
        <f t="shared" si="7"/>
        <v>15528.311933172597</v>
      </c>
      <c r="M24" s="24">
        <f t="shared" si="12"/>
        <v>-22623.122784939245</v>
      </c>
    </row>
    <row r="25" spans="1:13" x14ac:dyDescent="0.2">
      <c r="A25" s="21">
        <f t="shared" si="8"/>
        <v>19</v>
      </c>
      <c r="B25" s="22">
        <f t="shared" si="0"/>
        <v>687.62785028886003</v>
      </c>
      <c r="C25" s="21">
        <f t="shared" si="9"/>
        <v>19500</v>
      </c>
      <c r="D25" s="23">
        <f t="shared" si="1"/>
        <v>84825000</v>
      </c>
      <c r="E25" s="23">
        <f t="shared" si="10"/>
        <v>11150000</v>
      </c>
      <c r="F25" s="24">
        <f t="shared" si="2"/>
        <v>123358.87786448229</v>
      </c>
      <c r="G25" s="24">
        <f t="shared" si="3"/>
        <v>16215.166380064575</v>
      </c>
      <c r="H25" s="24">
        <f t="shared" si="4"/>
        <v>107143.71148441771</v>
      </c>
      <c r="I25" s="24">
        <f t="shared" si="5"/>
        <v>88725</v>
      </c>
      <c r="J25" s="24">
        <f t="shared" si="11"/>
        <v>18418.711484417712</v>
      </c>
      <c r="K25" s="25">
        <f t="shared" si="6"/>
        <v>0.81264459667247646</v>
      </c>
      <c r="L25" s="24">
        <f t="shared" si="7"/>
        <v>14967.866365481343</v>
      </c>
      <c r="M25" s="24">
        <f t="shared" si="12"/>
        <v>-4204.4113005215331</v>
      </c>
    </row>
    <row r="26" spans="1:13" x14ac:dyDescent="0.2">
      <c r="A26" s="21">
        <f t="shared" si="8"/>
        <v>20</v>
      </c>
      <c r="B26" s="22">
        <f t="shared" si="0"/>
        <v>690.7221756151597</v>
      </c>
      <c r="C26" s="21">
        <f t="shared" si="9"/>
        <v>19500</v>
      </c>
      <c r="D26" s="23">
        <f t="shared" si="1"/>
        <v>84825000</v>
      </c>
      <c r="E26" s="23">
        <f t="shared" si="10"/>
        <v>11150000</v>
      </c>
      <c r="F26" s="24">
        <f t="shared" si="2"/>
        <v>122806.24974064941</v>
      </c>
      <c r="G26" s="24">
        <f t="shared" si="3"/>
        <v>16142.525017485894</v>
      </c>
      <c r="H26" s="24">
        <f t="shared" si="4"/>
        <v>106663.72472316351</v>
      </c>
      <c r="I26" s="24">
        <f t="shared" si="5"/>
        <v>88725</v>
      </c>
      <c r="J26" s="24">
        <f t="shared" si="11"/>
        <v>17938.724723163512</v>
      </c>
      <c r="K26" s="25">
        <f t="shared" si="6"/>
        <v>0.80381958050347813</v>
      </c>
      <c r="L26" s="24">
        <f t="shared" si="7"/>
        <v>14419.498181740666</v>
      </c>
      <c r="M26" s="24">
        <f t="shared" si="12"/>
        <v>13734.313422641979</v>
      </c>
    </row>
    <row r="27" spans="1:13" x14ac:dyDescent="0.2">
      <c r="A27" s="21">
        <f t="shared" si="8"/>
        <v>21</v>
      </c>
      <c r="B27" s="22">
        <f t="shared" si="0"/>
        <v>693.83042540542783</v>
      </c>
      <c r="C27" s="21">
        <f t="shared" si="9"/>
        <v>19500</v>
      </c>
      <c r="D27" s="23">
        <f t="shared" si="1"/>
        <v>84825000</v>
      </c>
      <c r="E27" s="23">
        <f t="shared" si="10"/>
        <v>11150000</v>
      </c>
      <c r="F27" s="24">
        <f t="shared" si="2"/>
        <v>122256.09730278687</v>
      </c>
      <c r="G27" s="24">
        <f t="shared" si="3"/>
        <v>16070.209076641011</v>
      </c>
      <c r="H27" s="24">
        <f t="shared" si="4"/>
        <v>106185.88822614586</v>
      </c>
      <c r="I27" s="24">
        <f t="shared" si="5"/>
        <v>88725</v>
      </c>
      <c r="J27" s="24">
        <f t="shared" si="11"/>
        <v>17460.888226145864</v>
      </c>
      <c r="K27" s="25">
        <f t="shared" si="6"/>
        <v>0.79509040070711079</v>
      </c>
      <c r="L27" s="24">
        <f t="shared" si="7"/>
        <v>13882.984616428388</v>
      </c>
      <c r="M27" s="24">
        <f t="shared" si="12"/>
        <v>31195.201648787843</v>
      </c>
    </row>
    <row r="28" spans="1:13" x14ac:dyDescent="0.2">
      <c r="A28" s="21">
        <f t="shared" si="8"/>
        <v>22</v>
      </c>
      <c r="B28" s="22">
        <f t="shared" si="0"/>
        <v>696.95266231975222</v>
      </c>
      <c r="C28" s="21">
        <f t="shared" si="9"/>
        <v>19500</v>
      </c>
      <c r="D28" s="23">
        <f t="shared" si="1"/>
        <v>84825000</v>
      </c>
      <c r="E28" s="23">
        <f t="shared" si="10"/>
        <v>11150000</v>
      </c>
      <c r="F28" s="24">
        <f t="shared" si="2"/>
        <v>121708.40946021592</v>
      </c>
      <c r="G28" s="24">
        <f t="shared" si="3"/>
        <v>15998.217099692396</v>
      </c>
      <c r="H28" s="24">
        <f t="shared" si="4"/>
        <v>105710.19236052352</v>
      </c>
      <c r="I28" s="24">
        <f t="shared" si="5"/>
        <v>88725</v>
      </c>
      <c r="J28" s="24">
        <f t="shared" si="11"/>
        <v>16985.192360523521</v>
      </c>
      <c r="K28" s="25">
        <f t="shared" si="6"/>
        <v>0.78645601653623631</v>
      </c>
      <c r="L28" s="24">
        <f t="shared" si="7"/>
        <v>13358.106723959041</v>
      </c>
      <c r="M28" s="24">
        <f t="shared" si="12"/>
        <v>48180.394009311363</v>
      </c>
    </row>
    <row r="29" spans="1:13" x14ac:dyDescent="0.2">
      <c r="A29" s="21">
        <f t="shared" si="8"/>
        <v>23</v>
      </c>
      <c r="B29" s="22">
        <f t="shared" si="0"/>
        <v>700.08894930019119</v>
      </c>
      <c r="C29" s="21">
        <f t="shared" si="9"/>
        <v>19500</v>
      </c>
      <c r="D29" s="23">
        <f t="shared" si="1"/>
        <v>84825000</v>
      </c>
      <c r="E29" s="23">
        <f t="shared" si="10"/>
        <v>11150000</v>
      </c>
      <c r="F29" s="24">
        <f t="shared" si="2"/>
        <v>121163.17517194216</v>
      </c>
      <c r="G29" s="24">
        <f t="shared" si="3"/>
        <v>15926.547635333394</v>
      </c>
      <c r="H29" s="24">
        <f t="shared" si="4"/>
        <v>105236.62753660876</v>
      </c>
      <c r="I29" s="24">
        <f t="shared" si="5"/>
        <v>88725</v>
      </c>
      <c r="J29" s="24">
        <f t="shared" si="11"/>
        <v>16511.627536608765</v>
      </c>
      <c r="K29" s="25">
        <f t="shared" si="6"/>
        <v>0.77791539854584135</v>
      </c>
      <c r="L29" s="24">
        <f t="shared" si="7"/>
        <v>12844.649315781497</v>
      </c>
      <c r="M29" s="24">
        <f t="shared" si="12"/>
        <v>64692.021545920128</v>
      </c>
    </row>
    <row r="30" spans="1:13" x14ac:dyDescent="0.2">
      <c r="A30" s="21">
        <f t="shared" si="8"/>
        <v>24</v>
      </c>
      <c r="B30" s="22">
        <f t="shared" si="0"/>
        <v>703.23934957204165</v>
      </c>
      <c r="C30" s="21">
        <f t="shared" si="9"/>
        <v>19500</v>
      </c>
      <c r="D30" s="23">
        <f t="shared" si="1"/>
        <v>84825000</v>
      </c>
      <c r="E30" s="23">
        <f t="shared" si="10"/>
        <v>11150000</v>
      </c>
      <c r="F30" s="24">
        <f t="shared" si="2"/>
        <v>120620.38344643328</v>
      </c>
      <c r="G30" s="24">
        <f t="shared" si="3"/>
        <v>15855.199238758987</v>
      </c>
      <c r="H30" s="24">
        <f t="shared" si="4"/>
        <v>104765.18420767429</v>
      </c>
      <c r="I30" s="24">
        <f t="shared" si="5"/>
        <v>88725</v>
      </c>
      <c r="J30" s="24">
        <f t="shared" si="11"/>
        <v>16040.184207674291</v>
      </c>
      <c r="K30" s="25">
        <f t="shared" si="6"/>
        <v>0.76946752847029998</v>
      </c>
      <c r="L30" s="24">
        <f t="shared" si="7"/>
        <v>12342.400898487473</v>
      </c>
      <c r="M30" s="24">
        <f t="shared" si="12"/>
        <v>80732.205753594419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57"/>
  <sheetViews>
    <sheetView workbookViewId="0"/>
  </sheetViews>
  <sheetFormatPr baseColWidth="10" defaultColWidth="8.83203125" defaultRowHeight="15" x14ac:dyDescent="0.2"/>
  <cols>
    <col min="1" max="1" width="10" customWidth="1"/>
    <col min="2" max="21" width="12" customWidth="1"/>
  </cols>
  <sheetData>
    <row r="1" spans="1:4" ht="19" x14ac:dyDescent="0.25">
      <c r="A1" s="1" t="s">
        <v>117</v>
      </c>
    </row>
    <row r="2" spans="1:4" x14ac:dyDescent="0.2">
      <c r="A2" s="4" t="s">
        <v>118</v>
      </c>
    </row>
    <row r="5" spans="1:4" ht="22" customHeight="1" x14ac:dyDescent="0.2">
      <c r="A5" s="5" t="s">
        <v>68</v>
      </c>
      <c r="B5" s="5" t="s">
        <v>61</v>
      </c>
      <c r="C5" s="5" t="s">
        <v>62</v>
      </c>
      <c r="D5" s="5" t="s">
        <v>63</v>
      </c>
    </row>
    <row r="6" spans="1:4" x14ac:dyDescent="0.2">
      <c r="A6" s="26">
        <f>CALCULS!A6</f>
        <v>0</v>
      </c>
      <c r="B6" s="27">
        <f>-(H_AMENAGEMENT+H_MATERIEL+H_STOCK_INITIAL)</f>
        <v>-204500</v>
      </c>
      <c r="C6" s="27">
        <f>-(H_AMENAGEMENT+H_MATERIEL+H_STOCK_INITIAL)</f>
        <v>-204500</v>
      </c>
      <c r="D6" s="27">
        <f>-(H_AMENAGEMENT+H_MATERIEL+H_STOCK_INITIAL)</f>
        <v>-204500</v>
      </c>
    </row>
    <row r="7" spans="1:4" x14ac:dyDescent="0.2">
      <c r="A7" s="26">
        <f>CALCULS!A7</f>
        <v>1</v>
      </c>
      <c r="B7" s="27">
        <f>(MIN(INDEX(t_Scenarios[Volume_croisiere],1),H_VOLUME_M1+(INDEX(t_Scenarios[Volume_croisiere],1)-H_VOLUME_M1)*($A7-1)/(H_MONTEE-1))*INDEX(t_Scenarios[Prix_XOF],1)-(H_LOYER_XOF+H_PERSONNEL_XOF+H_AUTRES_XOF))/(H_TAUX_XOF*(1+INDEX(t_Scenarios[Derive_Taux],1))^$A7)-MIN(INDEX(t_Scenarios[Volume_croisiere],1),H_VOLUME_M1+(INDEX(t_Scenarios[Volume_croisiere],1)-H_VOLUME_M1)*($A7-1)/(H_MONTEE-1))*H_COUT_USD</f>
        <v>-8912.8317017864047</v>
      </c>
      <c r="C7" s="27">
        <f>(MIN(INDEX(t_Scenarios[Volume_croisiere],2),H_VOLUME_M1+(INDEX(t_Scenarios[Volume_croisiere],2)-H_VOLUME_M1)*($A7-1)/(H_MONTEE-1))*INDEX(t_Scenarios[Prix_XOF],2)-(H_LOYER_XOF+H_PERSONNEL_XOF+H_AUTRES_XOF))/(H_TAUX_XOF*(1+INDEX(t_Scenarios[Derive_Taux],2))^$A7)-MIN(INDEX(t_Scenarios[Volume_croisiere],2),H_VOLUME_M1+(INDEX(t_Scenarios[Volume_croisiere],2)-H_VOLUME_M1)*($A7-1)/(H_MONTEE-1))*H_COUT_USD</f>
        <v>-7883.9887011457613</v>
      </c>
      <c r="D7" s="27">
        <f>(MIN(INDEX(t_Scenarios[Volume_croisiere],3),H_VOLUME_M1+(INDEX(t_Scenarios[Volume_croisiere],3)-H_VOLUME_M1)*($A7-1)/(H_MONTEE-1))*INDEX(t_Scenarios[Prix_XOF],3)-(H_LOYER_XOF+H_PERSONNEL_XOF+H_AUTRES_XOF))/(H_TAUX_XOF*(1+INDEX(t_Scenarios[Derive_Taux],3))^$A7)-MIN(INDEX(t_Scenarios[Volume_croisiere],3),H_VOLUME_M1+(INDEX(t_Scenarios[Volume_croisiere],3)-H_VOLUME_M1)*($A7-1)/(H_MONTEE-1))*H_COUT_USD</f>
        <v>-7192.1189423496999</v>
      </c>
    </row>
    <row r="8" spans="1:4" x14ac:dyDescent="0.2">
      <c r="A8" s="26">
        <f>CALCULS!A8</f>
        <v>2</v>
      </c>
      <c r="B8" s="27">
        <f>(MIN(INDEX(t_Scenarios[Volume_croisiere],1),H_VOLUME_M1+(INDEX(t_Scenarios[Volume_croisiere],1)-H_VOLUME_M1)*($A8-1)/(H_MONTEE-1))*INDEX(t_Scenarios[Prix_XOF],1)-(H_LOYER_XOF+H_PERSONNEL_XOF+H_AUTRES_XOF))/(H_TAUX_XOF*(1+INDEX(t_Scenarios[Derive_Taux],1))^$A8)-MIN(INDEX(t_Scenarios[Volume_croisiere],1),H_VOLUME_M1+(INDEX(t_Scenarios[Volume_croisiere],1)-H_VOLUME_M1)*($A8-1)/(H_MONTEE-1))*H_COUT_USD</f>
        <v>-7104.5589861410335</v>
      </c>
      <c r="C8" s="27">
        <f>(MIN(INDEX(t_Scenarios[Volume_croisiere],2),H_VOLUME_M1+(INDEX(t_Scenarios[Volume_croisiere],2)-H_VOLUME_M1)*($A8-1)/(H_MONTEE-1))*INDEX(t_Scenarios[Prix_XOF],2)-(H_LOYER_XOF+H_PERSONNEL_XOF+H_AUTRES_XOF))/(H_TAUX_XOF*(1+INDEX(t_Scenarios[Derive_Taux],2))^$A8)-MIN(INDEX(t_Scenarios[Volume_croisiere],2),H_VOLUME_M1+(INDEX(t_Scenarios[Volume_croisiere],2)-H_VOLUME_M1)*($A8-1)/(H_MONTEE-1))*H_COUT_USD</f>
        <v>-5253.4099360011278</v>
      </c>
      <c r="D8" s="27">
        <f>(MIN(INDEX(t_Scenarios[Volume_croisiere],3),H_VOLUME_M1+(INDEX(t_Scenarios[Volume_croisiere],3)-H_VOLUME_M1)*($A8-1)/(H_MONTEE-1))*INDEX(t_Scenarios[Prix_XOF],3)-(H_LOYER_XOF+H_PERSONNEL_XOF+H_AUTRES_XOF))/(H_TAUX_XOF*(1+INDEX(t_Scenarios[Derive_Taux],3))^$A8)-MIN(INDEX(t_Scenarios[Volume_croisiere],3),H_VOLUME_M1+(INDEX(t_Scenarios[Volume_croisiere],3)-H_VOLUME_M1)*($A8-1)/(H_MONTEE-1))*H_COUT_USD</f>
        <v>-3834.2860672517127</v>
      </c>
    </row>
    <row r="9" spans="1:4" x14ac:dyDescent="0.2">
      <c r="A9" s="26">
        <f>CALCULS!A9</f>
        <v>3</v>
      </c>
      <c r="B9" s="27">
        <f>(MIN(INDEX(t_Scenarios[Volume_croisiere],1),H_VOLUME_M1+(INDEX(t_Scenarios[Volume_croisiere],1)-H_VOLUME_M1)*($A9-1)/(H_MONTEE-1))*INDEX(t_Scenarios[Prix_XOF],1)-(H_LOYER_XOF+H_PERSONNEL_XOF+H_AUTRES_XOF))/(H_TAUX_XOF*(1+INDEX(t_Scenarios[Derive_Taux],1))^$A9)-MIN(INDEX(t_Scenarios[Volume_croisiere],1),H_VOLUME_M1+(INDEX(t_Scenarios[Volume_croisiere],1)-H_VOLUME_M1)*($A9-1)/(H_MONTEE-1))*H_COUT_USD</f>
        <v>-5393.9646461974044</v>
      </c>
      <c r="C9" s="27">
        <f>(MIN(INDEX(t_Scenarios[Volume_croisiere],2),H_VOLUME_M1+(INDEX(t_Scenarios[Volume_croisiere],2)-H_VOLUME_M1)*($A9-1)/(H_MONTEE-1))*INDEX(t_Scenarios[Prix_XOF],2)-(H_LOYER_XOF+H_PERSONNEL_XOF+H_AUTRES_XOF))/(H_TAUX_XOF*(1+INDEX(t_Scenarios[Derive_Taux],2))^$A9)-MIN(INDEX(t_Scenarios[Volume_croisiere],2),H_VOLUME_M1+(INDEX(t_Scenarios[Volume_croisiere],2)-H_VOLUME_M1)*($A9-1)/(H_MONTEE-1))*H_COUT_USD</f>
        <v>-2694.6047071706489</v>
      </c>
      <c r="D9" s="27">
        <f>(MIN(INDEX(t_Scenarios[Volume_croisiere],3),H_VOLUME_M1+(INDEX(t_Scenarios[Volume_croisiere],3)-H_VOLUME_M1)*($A9-1)/(H_MONTEE-1))*INDEX(t_Scenarios[Prix_XOF],3)-(H_LOYER_XOF+H_PERSONNEL_XOF+H_AUTRES_XOF))/(H_TAUX_XOF*(1+INDEX(t_Scenarios[Derive_Taux],3))^$A9)-MIN(INDEX(t_Scenarios[Volume_croisiere],3),H_VOLUME_M1+(INDEX(t_Scenarios[Volume_croisiere],3)-H_VOLUME_M1)*($A9-1)/(H_MONTEE-1))*H_COUT_USD</f>
        <v>-514.77545549891875</v>
      </c>
    </row>
    <row r="10" spans="1:4" x14ac:dyDescent="0.2">
      <c r="A10" s="26">
        <f>CALCULS!A10</f>
        <v>4</v>
      </c>
      <c r="B10" s="27">
        <f>(MIN(INDEX(t_Scenarios[Volume_croisiere],1),H_VOLUME_M1+(INDEX(t_Scenarios[Volume_croisiere],1)-H_VOLUME_M1)*($A10-1)/(H_MONTEE-1))*INDEX(t_Scenarios[Prix_XOF],1)-(H_LOYER_XOF+H_PERSONNEL_XOF+H_AUTRES_XOF))/(H_TAUX_XOF*(1+INDEX(t_Scenarios[Derive_Taux],1))^$A10)-MIN(INDEX(t_Scenarios[Volume_croisiere],1),H_VOLUME_M1+(INDEX(t_Scenarios[Volume_croisiere],1)-H_VOLUME_M1)*($A10-1)/(H_MONTEE-1))*H_COUT_USD</f>
        <v>-3779.8832953366436</v>
      </c>
      <c r="C10" s="27">
        <f>(MIN(INDEX(t_Scenarios[Volume_croisiere],2),H_VOLUME_M1+(INDEX(t_Scenarios[Volume_croisiere],2)-H_VOLUME_M1)*($A10-1)/(H_MONTEE-1))*INDEX(t_Scenarios[Prix_XOF],2)-(H_LOYER_XOF+H_PERSONNEL_XOF+H_AUTRES_XOF))/(H_TAUX_XOF*(1+INDEX(t_Scenarios[Derive_Taux],2))^$A10)-MIN(INDEX(t_Scenarios[Volume_croisiere],2),H_VOLUME_M1+(INDEX(t_Scenarios[Volume_croisiere],2)-H_VOLUME_M1)*($A10-1)/(H_MONTEE-1))*H_COUT_USD</f>
        <v>-207.09020899699681</v>
      </c>
      <c r="D10" s="27">
        <f>(MIN(INDEX(t_Scenarios[Volume_croisiere],3),H_VOLUME_M1+(INDEX(t_Scenarios[Volume_croisiere],3)-H_VOLUME_M1)*($A10-1)/(H_MONTEE-1))*INDEX(t_Scenarios[Prix_XOF],3)-(H_LOYER_XOF+H_PERSONNEL_XOF+H_AUTRES_XOF))/(H_TAUX_XOF*(1+INDEX(t_Scenarios[Derive_Taux],3))^$A10)-MIN(INDEX(t_Scenarios[Volume_croisiere],3),H_VOLUME_M1+(INDEX(t_Scenarios[Volume_croisiere],3)-H_VOLUME_M1)*($A10-1)/(H_MONTEE-1))*H_COUT_USD</f>
        <v>2766.5276776107348</v>
      </c>
    </row>
    <row r="11" spans="1:4" x14ac:dyDescent="0.2">
      <c r="A11" s="26">
        <f>CALCULS!A11</f>
        <v>5</v>
      </c>
      <c r="B11" s="27">
        <f>(MIN(INDEX(t_Scenarios[Volume_croisiere],1),H_VOLUME_M1+(INDEX(t_Scenarios[Volume_croisiere],1)-H_VOLUME_M1)*($A11-1)/(H_MONTEE-1))*INDEX(t_Scenarios[Prix_XOF],1)-(H_LOYER_XOF+H_PERSONNEL_XOF+H_AUTRES_XOF))/(H_TAUX_XOF*(1+INDEX(t_Scenarios[Derive_Taux],1))^$A11)-MIN(INDEX(t_Scenarios[Volume_croisiere],1),H_VOLUME_M1+(INDEX(t_Scenarios[Volume_croisiere],1)-H_VOLUME_M1)*($A11-1)/(H_MONTEE-1))*H_COUT_USD</f>
        <v>-2261.1618925591974</v>
      </c>
      <c r="C11" s="27">
        <f>(MIN(INDEX(t_Scenarios[Volume_croisiere],2),H_VOLUME_M1+(INDEX(t_Scenarios[Volume_croisiere],2)-H_VOLUME_M1)*($A11-1)/(H_MONTEE-1))*INDEX(t_Scenarios[Prix_XOF],2)-(H_LOYER_XOF+H_PERSONNEL_XOF+H_AUTRES_XOF))/(H_TAUX_XOF*(1+INDEX(t_Scenarios[Derive_Taux],2))^$A11)-MIN(INDEX(t_Scenarios[Volume_croisiere],2),H_VOLUME_M1+(INDEX(t_Scenarios[Volume_croisiere],2)-H_VOLUME_M1)*($A11-1)/(H_MONTEE-1))*H_COUT_USD</f>
        <v>2209.6134788134223</v>
      </c>
      <c r="D11" s="27">
        <f>(MIN(INDEX(t_Scenarios[Volume_croisiere],3),H_VOLUME_M1+(INDEX(t_Scenarios[Volume_croisiere],3)-H_VOLUME_M1)*($A11-1)/(H_MONTEE-1))*INDEX(t_Scenarios[Prix_XOF],3)-(H_LOYER_XOF+H_PERSONNEL_XOF+H_AUTRES_XOF))/(H_TAUX_XOF*(1+INDEX(t_Scenarios[Derive_Taux],3))^$A11)-MIN(INDEX(t_Scenarios[Volume_croisiere],3),H_VOLUME_M1+(INDEX(t_Scenarios[Volume_croisiere],3)-H_VOLUME_M1)*($A11-1)/(H_MONTEE-1))*H_COUT_USD</f>
        <v>6009.7378112346341</v>
      </c>
    </row>
    <row r="12" spans="1:4" x14ac:dyDescent="0.2">
      <c r="A12" s="26">
        <f>CALCULS!A12</f>
        <v>6</v>
      </c>
      <c r="B12" s="27">
        <f>(MIN(INDEX(t_Scenarios[Volume_croisiere],1),H_VOLUME_M1+(INDEX(t_Scenarios[Volume_croisiere],1)-H_VOLUME_M1)*($A12-1)/(H_MONTEE-1))*INDEX(t_Scenarios[Prix_XOF],1)-(H_LOYER_XOF+H_PERSONNEL_XOF+H_AUTRES_XOF))/(H_TAUX_XOF*(1+INDEX(t_Scenarios[Derive_Taux],1))^$A12)-MIN(INDEX(t_Scenarios[Volume_croisiere],1),H_VOLUME_M1+(INDEX(t_Scenarios[Volume_croisiere],1)-H_VOLUME_M1)*($A12-1)/(H_MONTEE-1))*H_COUT_USD</f>
        <v>-836.65961992817756</v>
      </c>
      <c r="C12" s="27">
        <f>(MIN(INDEX(t_Scenarios[Volume_croisiere],2),H_VOLUME_M1+(INDEX(t_Scenarios[Volume_croisiere],2)-H_VOLUME_M1)*($A12-1)/(H_MONTEE-1))*INDEX(t_Scenarios[Prix_XOF],2)-(H_LOYER_XOF+H_PERSONNEL_XOF+H_AUTRES_XOF))/(H_TAUX_XOF*(1+INDEX(t_Scenarios[Derive_Taux],2))^$A12)-MIN(INDEX(t_Scenarios[Volume_croisiere],2),H_VOLUME_M1+(INDEX(t_Scenarios[Volume_croisiere],2)-H_VOLUME_M1)*($A12-1)/(H_MONTEE-1))*H_COUT_USD</f>
        <v>4555.9834073529782</v>
      </c>
      <c r="D12" s="27">
        <f>(MIN(INDEX(t_Scenarios[Volume_croisiere],3),H_VOLUME_M1+(INDEX(t_Scenarios[Volume_croisiere],3)-H_VOLUME_M1)*($A12-1)/(H_MONTEE-1))*INDEX(t_Scenarios[Prix_XOF],3)-(H_LOYER_XOF+H_PERSONNEL_XOF+H_AUTRES_XOF))/(H_TAUX_XOF*(1+INDEX(t_Scenarios[Derive_Taux],3))^$A12)-MIN(INDEX(t_Scenarios[Volume_croisiere],3),H_VOLUME_M1+(INDEX(t_Scenarios[Volume_croisiere],3)-H_VOLUME_M1)*($A12-1)/(H_MONTEE-1))*H_COUT_USD</f>
        <v>9214.9691197480279</v>
      </c>
    </row>
    <row r="13" spans="1:4" x14ac:dyDescent="0.2">
      <c r="A13" s="26">
        <f>CALCULS!A13</f>
        <v>7</v>
      </c>
      <c r="B13" s="27">
        <f>(MIN(INDEX(t_Scenarios[Volume_croisiere],1),H_VOLUME_M1+(INDEX(t_Scenarios[Volume_croisiere],1)-H_VOLUME_M1)*($A13-1)/(H_MONTEE-1))*INDEX(t_Scenarios[Prix_XOF],1)-(H_LOYER_XOF+H_PERSONNEL_XOF+H_AUTRES_XOF))/(H_TAUX_XOF*(1+INDEX(t_Scenarios[Derive_Taux],1))^$A13)-MIN(INDEX(t_Scenarios[Volume_croisiere],1),H_VOLUME_M1+(INDEX(t_Scenarios[Volume_croisiere],1)-H_VOLUME_M1)*($A13-1)/(H_MONTEE-1))*H_COUT_USD</f>
        <v>494.75223881959391</v>
      </c>
      <c r="C13" s="27">
        <f>(MIN(INDEX(t_Scenarios[Volume_croisiere],2),H_VOLUME_M1+(INDEX(t_Scenarios[Volume_croisiere],2)-H_VOLUME_M1)*($A13-1)/(H_MONTEE-1))*INDEX(t_Scenarios[Prix_XOF],2)-(H_LOYER_XOF+H_PERSONNEL_XOF+H_AUTRES_XOF))/(H_TAUX_XOF*(1+INDEX(t_Scenarios[Derive_Taux],2))^$A13)-MIN(INDEX(t_Scenarios[Volume_croisiere],2),H_VOLUME_M1+(INDEX(t_Scenarios[Volume_croisiere],2)-H_VOLUME_M1)*($A13-1)/(H_MONTEE-1))*H_COUT_USD</f>
        <v>6832.4937745884672</v>
      </c>
      <c r="D13" s="27">
        <f>(MIN(INDEX(t_Scenarios[Volume_croisiere],3),H_VOLUME_M1+(INDEX(t_Scenarios[Volume_croisiere],3)-H_VOLUME_M1)*($A13-1)/(H_MONTEE-1))*INDEX(t_Scenarios[Prix_XOF],3)-(H_LOYER_XOF+H_PERSONNEL_XOF+H_AUTRES_XOF))/(H_TAUX_XOF*(1+INDEX(t_Scenarios[Derive_Taux],3))^$A13)-MIN(INDEX(t_Scenarios[Volume_croisiere],3),H_VOLUME_M1+(INDEX(t_Scenarios[Volume_croisiere],3)-H_VOLUME_M1)*($A13-1)/(H_MONTEE-1))*H_COUT_USD</f>
        <v>12382.33547350447</v>
      </c>
    </row>
    <row r="14" spans="1:4" x14ac:dyDescent="0.2">
      <c r="A14" s="26">
        <f>CALCULS!A14</f>
        <v>8</v>
      </c>
      <c r="B14" s="27">
        <f>(MIN(INDEX(t_Scenarios[Volume_croisiere],1),H_VOLUME_M1+(INDEX(t_Scenarios[Volume_croisiere],1)-H_VOLUME_M1)*($A14-1)/(H_MONTEE-1))*INDEX(t_Scenarios[Prix_XOF],1)-(H_LOYER_XOF+H_PERSONNEL_XOF+H_AUTRES_XOF))/(H_TAUX_XOF*(1+INDEX(t_Scenarios[Derive_Taux],1))^$A14)-MIN(INDEX(t_Scenarios[Volume_croisiere],1),H_VOLUME_M1+(INDEX(t_Scenarios[Volume_croisiere],1)-H_VOLUME_M1)*($A14-1)/(H_MONTEE-1))*H_COUT_USD</f>
        <v>1734.1904185055973</v>
      </c>
      <c r="C14" s="27">
        <f>(MIN(INDEX(t_Scenarios[Volume_croisiere],2),H_VOLUME_M1+(INDEX(t_Scenarios[Volume_croisiere],2)-H_VOLUME_M1)*($A14-1)/(H_MONTEE-1))*INDEX(t_Scenarios[Prix_XOF],2)-(H_LOYER_XOF+H_PERSONNEL_XOF+H_AUTRES_XOF))/(H_TAUX_XOF*(1+INDEX(t_Scenarios[Derive_Taux],2))^$A14)-MIN(INDEX(t_Scenarios[Volume_croisiere],2),H_VOLUME_M1+(INDEX(t_Scenarios[Volume_croisiere],2)-H_VOLUME_M1)*($A14-1)/(H_MONTEE-1))*H_COUT_USD</f>
        <v>9039.6159413503337</v>
      </c>
      <c r="D14" s="27">
        <f>(MIN(INDEX(t_Scenarios[Volume_croisiere],3),H_VOLUME_M1+(INDEX(t_Scenarios[Volume_croisiere],3)-H_VOLUME_M1)*($A14-1)/(H_MONTEE-1))*INDEX(t_Scenarios[Prix_XOF],3)-(H_LOYER_XOF+H_PERSONNEL_XOF+H_AUTRES_XOF))/(H_TAUX_XOF*(1+INDEX(t_Scenarios[Derive_Taux],3))^$A14)-MIN(INDEX(t_Scenarios[Volume_croisiere],3),H_VOLUME_M1+(INDEX(t_Scenarios[Volume_croisiere],3)-H_VOLUME_M1)*($A14-1)/(H_MONTEE-1))*H_COUT_USD</f>
        <v>15511.950439594802</v>
      </c>
    </row>
    <row r="15" spans="1:4" x14ac:dyDescent="0.2">
      <c r="A15" s="26">
        <f>CALCULS!A15</f>
        <v>9</v>
      </c>
      <c r="B15" s="27">
        <f>(MIN(INDEX(t_Scenarios[Volume_croisiere],1),H_VOLUME_M1+(INDEX(t_Scenarios[Volume_croisiere],1)-H_VOLUME_M1)*($A15-1)/(H_MONTEE-1))*INDEX(t_Scenarios[Prix_XOF],1)-(H_LOYER_XOF+H_PERSONNEL_XOF+H_AUTRES_XOF))/(H_TAUX_XOF*(1+INDEX(t_Scenarios[Derive_Taux],1))^$A15)-MIN(INDEX(t_Scenarios[Volume_croisiere],1),H_VOLUME_M1+(INDEX(t_Scenarios[Volume_croisiere],1)-H_VOLUME_M1)*($A15-1)/(H_MONTEE-1))*H_COUT_USD</f>
        <v>2882.7597915955121</v>
      </c>
      <c r="C15" s="27">
        <f>(MIN(INDEX(t_Scenarios[Volume_croisiere],2),H_VOLUME_M1+(INDEX(t_Scenarios[Volume_croisiere],2)-H_VOLUME_M1)*($A15-1)/(H_MONTEE-1))*INDEX(t_Scenarios[Prix_XOF],2)-(H_LOYER_XOF+H_PERSONNEL_XOF+H_AUTRES_XOF))/(H_TAUX_XOF*(1+INDEX(t_Scenarios[Derive_Taux],2))^$A15)-MIN(INDEX(t_Scenarios[Volume_croisiere],2),H_VOLUME_M1+(INDEX(t_Scenarios[Volume_croisiere],2)-H_VOLUME_M1)*($A15-1)/(H_MONTEE-1))*H_COUT_USD</f>
        <v>11177.818447235637</v>
      </c>
      <c r="D15" s="27">
        <f>(MIN(INDEX(t_Scenarios[Volume_croisiere],3),H_VOLUME_M1+(INDEX(t_Scenarios[Volume_croisiere],3)-H_VOLUME_M1)*($A15-1)/(H_MONTEE-1))*INDEX(t_Scenarios[Prix_XOF],3)-(H_LOYER_XOF+H_PERSONNEL_XOF+H_AUTRES_XOF))/(H_TAUX_XOF*(1+INDEX(t_Scenarios[Derive_Taux],3))^$A15)-MIN(INDEX(t_Scenarios[Volume_croisiere],3),H_VOLUME_M1+(INDEX(t_Scenarios[Volume_croisiere],3)-H_VOLUME_M1)*($A15-1)/(H_MONTEE-1))*H_COUT_USD</f>
        <v>18603.927282603967</v>
      </c>
    </row>
    <row r="16" spans="1:4" x14ac:dyDescent="0.2">
      <c r="A16" s="26">
        <f>CALCULS!A16</f>
        <v>10</v>
      </c>
      <c r="B16" s="27">
        <f>(MIN(INDEX(t_Scenarios[Volume_croisiere],1),H_VOLUME_M1+(INDEX(t_Scenarios[Volume_croisiere],1)-H_VOLUME_M1)*($A16-1)/(H_MONTEE-1))*INDEX(t_Scenarios[Prix_XOF],1)-(H_LOYER_XOF+H_PERSONNEL_XOF+H_AUTRES_XOF))/(H_TAUX_XOF*(1+INDEX(t_Scenarios[Derive_Taux],1))^$A16)-MIN(INDEX(t_Scenarios[Volume_croisiere],1),H_VOLUME_M1+(INDEX(t_Scenarios[Volume_croisiere],1)-H_VOLUME_M1)*($A16-1)/(H_MONTEE-1))*H_COUT_USD</f>
        <v>3941.5534861494452</v>
      </c>
      <c r="C16" s="27">
        <f>(MIN(INDEX(t_Scenarios[Volume_croisiere],2),H_VOLUME_M1+(INDEX(t_Scenarios[Volume_croisiere],2)-H_VOLUME_M1)*($A16-1)/(H_MONTEE-1))*INDEX(t_Scenarios[Prix_XOF],2)-(H_LOYER_XOF+H_PERSONNEL_XOF+H_AUTRES_XOF))/(H_TAUX_XOF*(1+INDEX(t_Scenarios[Derive_Taux],2))^$A16)-MIN(INDEX(t_Scenarios[Volume_croisiere],2),H_VOLUME_M1+(INDEX(t_Scenarios[Volume_croisiere],2)-H_VOLUME_M1)*($A16-1)/(H_MONTEE-1))*H_COUT_USD</f>
        <v>13247.567026425968</v>
      </c>
      <c r="D16" s="27">
        <f>(MIN(INDEX(t_Scenarios[Volume_croisiere],3),H_VOLUME_M1+(INDEX(t_Scenarios[Volume_croisiere],3)-H_VOLUME_M1)*($A16-1)/(H_MONTEE-1))*INDEX(t_Scenarios[Prix_XOF],3)-(H_LOYER_XOF+H_PERSONNEL_XOF+H_AUTRES_XOF))/(H_TAUX_XOF*(1+INDEX(t_Scenarios[Derive_Taux],3))^$A16)-MIN(INDEX(t_Scenarios[Volume_croisiere],3),H_VOLUME_M1+(INDEX(t_Scenarios[Volume_croisiere],3)-H_VOLUME_M1)*($A16-1)/(H_MONTEE-1))*H_COUT_USD</f>
        <v>21658.378965366239</v>
      </c>
    </row>
    <row r="17" spans="1:4" x14ac:dyDescent="0.2">
      <c r="A17" s="26">
        <f>CALCULS!A17</f>
        <v>11</v>
      </c>
      <c r="B17" s="27">
        <f>(MIN(INDEX(t_Scenarios[Volume_croisiere],1),H_VOLUME_M1+(INDEX(t_Scenarios[Volume_croisiere],1)-H_VOLUME_M1)*($A17-1)/(H_MONTEE-1))*INDEX(t_Scenarios[Prix_XOF],1)-(H_LOYER_XOF+H_PERSONNEL_XOF+H_AUTRES_XOF))/(H_TAUX_XOF*(1+INDEX(t_Scenarios[Derive_Taux],1))^$A17)-MIN(INDEX(t_Scenarios[Volume_croisiere],1),H_VOLUME_M1+(INDEX(t_Scenarios[Volume_croisiere],1)-H_VOLUME_M1)*($A17-1)/(H_MONTEE-1))*H_COUT_USD</f>
        <v>4911.6530026472392</v>
      </c>
      <c r="C17" s="27">
        <f>(MIN(INDEX(t_Scenarios[Volume_croisiere],2),H_VOLUME_M1+(INDEX(t_Scenarios[Volume_croisiere],2)-H_VOLUME_M1)*($A17-1)/(H_MONTEE-1))*INDEX(t_Scenarios[Prix_XOF],2)-(H_LOYER_XOF+H_PERSONNEL_XOF+H_AUTRES_XOF))/(H_TAUX_XOF*(1+INDEX(t_Scenarios[Derive_Taux],2))^$A17)-MIN(INDEX(t_Scenarios[Volume_croisiere],2),H_VOLUME_M1+(INDEX(t_Scenarios[Volume_croisiere],2)-H_VOLUME_M1)*($A17-1)/(H_MONTEE-1))*H_COUT_USD</f>
        <v>15249.324623419685</v>
      </c>
      <c r="D17" s="27">
        <f>(MIN(INDEX(t_Scenarios[Volume_croisiere],3),H_VOLUME_M1+(INDEX(t_Scenarios[Volume_croisiere],3)-H_VOLUME_M1)*($A17-1)/(H_MONTEE-1))*INDEX(t_Scenarios[Prix_XOF],3)-(H_LOYER_XOF+H_PERSONNEL_XOF+H_AUTRES_XOF))/(H_TAUX_XOF*(1+INDEX(t_Scenarios[Derive_Taux],3))^$A17)-MIN(INDEX(t_Scenarios[Volume_croisiere],3),H_VOLUME_M1+(INDEX(t_Scenarios[Volume_croisiere],3)-H_VOLUME_M1)*($A17-1)/(H_MONTEE-1))*H_COUT_USD</f>
        <v>24675.418149718476</v>
      </c>
    </row>
    <row r="18" spans="1:4" x14ac:dyDescent="0.2">
      <c r="A18" s="26">
        <f>CALCULS!A18</f>
        <v>12</v>
      </c>
      <c r="B18" s="27">
        <f>(MIN(INDEX(t_Scenarios[Volume_croisiere],1),H_VOLUME_M1+(INDEX(t_Scenarios[Volume_croisiere],1)-H_VOLUME_M1)*($A18-1)/(H_MONTEE-1))*INDEX(t_Scenarios[Prix_XOF],1)-(H_LOYER_XOF+H_PERSONNEL_XOF+H_AUTRES_XOF))/(H_TAUX_XOF*(1+INDEX(t_Scenarios[Derive_Taux],1))^$A18)-MIN(INDEX(t_Scenarios[Volume_croisiere],1),H_VOLUME_M1+(INDEX(t_Scenarios[Volume_croisiere],1)-H_VOLUME_M1)*($A18-1)/(H_MONTEE-1))*H_COUT_USD</f>
        <v>5794.1283296991023</v>
      </c>
      <c r="C18" s="27">
        <f>(MIN(INDEX(t_Scenarios[Volume_croisiere],2),H_VOLUME_M1+(INDEX(t_Scenarios[Volume_croisiere],2)-H_VOLUME_M1)*($A18-1)/(H_MONTEE-1))*INDEX(t_Scenarios[Prix_XOF],2)-(H_LOYER_XOF+H_PERSONNEL_XOF+H_AUTRES_XOF))/(H_TAUX_XOF*(1+INDEX(t_Scenarios[Derive_Taux],2))^$A18)-MIN(INDEX(t_Scenarios[Volume_croisiere],2),H_VOLUME_M1+(INDEX(t_Scenarios[Volume_croisiere],2)-H_VOLUME_M1)*($A18-1)/(H_MONTEE-1))*H_COUT_USD</f>
        <v>17183.551408680098</v>
      </c>
      <c r="D18" s="27">
        <f>(MIN(INDEX(t_Scenarios[Volume_croisiere],3),H_VOLUME_M1+(INDEX(t_Scenarios[Volume_croisiere],3)-H_VOLUME_M1)*($A18-1)/(H_MONTEE-1))*INDEX(t_Scenarios[Prix_XOF],3)-(H_LOYER_XOF+H_PERSONNEL_XOF+H_AUTRES_XOF))/(H_TAUX_XOF*(1+INDEX(t_Scenarios[Derive_Taux],3))^$A18)-MIN(INDEX(t_Scenarios[Volume_croisiere],3),H_VOLUME_M1+(INDEX(t_Scenarios[Volume_croisiere],3)-H_VOLUME_M1)*($A18-1)/(H_MONTEE-1))*H_COUT_USD</f>
        <v>27655.15719725177</v>
      </c>
    </row>
    <row r="19" spans="1:4" x14ac:dyDescent="0.2">
      <c r="A19" s="26">
        <f>CALCULS!A19</f>
        <v>13</v>
      </c>
      <c r="B19" s="27">
        <f>(MIN(INDEX(t_Scenarios[Volume_croisiere],1),H_VOLUME_M1+(INDEX(t_Scenarios[Volume_croisiere],1)-H_VOLUME_M1)*($A19-1)/(H_MONTEE-1))*INDEX(t_Scenarios[Prix_XOF],1)-(H_LOYER_XOF+H_PERSONNEL_XOF+H_AUTRES_XOF))/(H_TAUX_XOF*(1+INDEX(t_Scenarios[Derive_Taux],1))^$A19)-MIN(INDEX(t_Scenarios[Volume_croisiere],1),H_VOLUME_M1+(INDEX(t_Scenarios[Volume_croisiere],1)-H_VOLUME_M1)*($A19-1)/(H_MONTEE-1))*H_COUT_USD</f>
        <v>6590.038058651975</v>
      </c>
      <c r="C19" s="27">
        <f>(MIN(INDEX(t_Scenarios[Volume_croisiere],2),H_VOLUME_M1+(INDEX(t_Scenarios[Volume_croisiere],2)-H_VOLUME_M1)*($A19-1)/(H_MONTEE-1))*INDEX(t_Scenarios[Prix_XOF],2)-(H_LOYER_XOF+H_PERSONNEL_XOF+H_AUTRES_XOF))/(H_TAUX_XOF*(1+INDEX(t_Scenarios[Derive_Taux],2))^$A19)-MIN(INDEX(t_Scenarios[Volume_croisiere],2),H_VOLUME_M1+(INDEX(t_Scenarios[Volume_croisiere],2)-H_VOLUME_M1)*($A19-1)/(H_MONTEE-1))*H_COUT_USD</f>
        <v>19050.70479419874</v>
      </c>
      <c r="D19" s="27">
        <f>(MIN(INDEX(t_Scenarios[Volume_croisiere],3),H_VOLUME_M1+(INDEX(t_Scenarios[Volume_croisiere],3)-H_VOLUME_M1)*($A19-1)/(H_MONTEE-1))*INDEX(t_Scenarios[Prix_XOF],3)-(H_LOYER_XOF+H_PERSONNEL_XOF+H_AUTRES_XOF))/(H_TAUX_XOF*(1+INDEX(t_Scenarios[Derive_Taux],3))^$A19)-MIN(INDEX(t_Scenarios[Volume_croisiere],3),H_VOLUME_M1+(INDEX(t_Scenarios[Volume_croisiere],3)-H_VOLUME_M1)*($A19-1)/(H_MONTEE-1))*H_COUT_USD</f>
        <v>30597.708170061189</v>
      </c>
    </row>
    <row r="20" spans="1:4" x14ac:dyDescent="0.2">
      <c r="A20" s="26">
        <f>CALCULS!A20</f>
        <v>14</v>
      </c>
      <c r="B20" s="27">
        <f>(MIN(INDEX(t_Scenarios[Volume_croisiere],1),H_VOLUME_M1+(INDEX(t_Scenarios[Volume_croisiere],1)-H_VOLUME_M1)*($A20-1)/(H_MONTEE-1))*INDEX(t_Scenarios[Prix_XOF],1)-(H_LOYER_XOF+H_PERSONNEL_XOF+H_AUTRES_XOF))/(H_TAUX_XOF*(1+INDEX(t_Scenarios[Derive_Taux],1))^$A20)-MIN(INDEX(t_Scenarios[Volume_croisiere],1),H_VOLUME_M1+(INDEX(t_Scenarios[Volume_croisiere],1)-H_VOLUME_M1)*($A20-1)/(H_MONTEE-1))*H_COUT_USD</f>
        <v>7300.4294971018244</v>
      </c>
      <c r="C20" s="27">
        <f>(MIN(INDEX(t_Scenarios[Volume_croisiere],2),H_VOLUME_M1+(INDEX(t_Scenarios[Volume_croisiere],2)-H_VOLUME_M1)*($A20-1)/(H_MONTEE-1))*INDEX(t_Scenarios[Prix_XOF],2)-(H_LOYER_XOF+H_PERSONNEL_XOF+H_AUTRES_XOF))/(H_TAUX_XOF*(1+INDEX(t_Scenarios[Derive_Taux],2))^$A20)-MIN(INDEX(t_Scenarios[Volume_croisiere],2),H_VOLUME_M1+(INDEX(t_Scenarios[Volume_croisiere],2)-H_VOLUME_M1)*($A20-1)/(H_MONTEE-1))*H_COUT_USD</f>
        <v>20851.239448975539</v>
      </c>
      <c r="D20" s="27">
        <f>(MIN(INDEX(t_Scenarios[Volume_croisiere],3),H_VOLUME_M1+(INDEX(t_Scenarios[Volume_croisiere],3)-H_VOLUME_M1)*($A20-1)/(H_MONTEE-1))*INDEX(t_Scenarios[Prix_XOF],3)-(H_LOYER_XOF+H_PERSONNEL_XOF+H_AUTRES_XOF))/(H_TAUX_XOF*(1+INDEX(t_Scenarios[Derive_Taux],3))^$A20)-MIN(INDEX(t_Scenarios[Volume_croisiere],3),H_VOLUME_M1+(INDEX(t_Scenarios[Volume_croisiere],3)-H_VOLUME_M1)*($A20-1)/(H_MONTEE-1))*H_COUT_USD</f>
        <v>33503.182831493614</v>
      </c>
    </row>
    <row r="21" spans="1:4" x14ac:dyDescent="0.2">
      <c r="A21" s="26">
        <f>CALCULS!A21</f>
        <v>15</v>
      </c>
      <c r="B21" s="27">
        <f>(MIN(INDEX(t_Scenarios[Volume_croisiere],1),H_VOLUME_M1+(INDEX(t_Scenarios[Volume_croisiere],1)-H_VOLUME_M1)*($A21-1)/(H_MONTEE-1))*INDEX(t_Scenarios[Prix_XOF],1)-(H_LOYER_XOF+H_PERSONNEL_XOF+H_AUTRES_XOF))/(H_TAUX_XOF*(1+INDEX(t_Scenarios[Derive_Taux],1))^$A21)-MIN(INDEX(t_Scenarios[Volume_croisiere],1),H_VOLUME_M1+(INDEX(t_Scenarios[Volume_croisiere],1)-H_VOLUME_M1)*($A21-1)/(H_MONTEE-1))*H_COUT_USD</f>
        <v>6646.6562471248326</v>
      </c>
      <c r="C21" s="27">
        <f>(MIN(INDEX(t_Scenarios[Volume_croisiere],2),H_VOLUME_M1+(INDEX(t_Scenarios[Volume_croisiere],2)-H_VOLUME_M1)*($A21-1)/(H_MONTEE-1))*INDEX(t_Scenarios[Prix_XOF],2)-(H_LOYER_XOF+H_PERSONNEL_XOF+H_AUTRES_XOF))/(H_TAUX_XOF*(1+INDEX(t_Scenarios[Derive_Taux],2))^$A21)-MIN(INDEX(t_Scenarios[Volume_croisiere],2),H_VOLUME_M1+(INDEX(t_Scenarios[Volume_croisiere],2)-H_VOLUME_M1)*($A21-1)/(H_MONTEE-1))*H_COUT_USD</f>
        <v>20360.355349901001</v>
      </c>
      <c r="D21" s="27">
        <f>(MIN(INDEX(t_Scenarios[Volume_croisiere],3),H_VOLUME_M1+(INDEX(t_Scenarios[Volume_croisiere],3)-H_VOLUME_M1)*($A21-1)/(H_MONTEE-1))*INDEX(t_Scenarios[Prix_XOF],3)-(H_LOYER_XOF+H_PERSONNEL_XOF+H_AUTRES_XOF))/(H_TAUX_XOF*(1+INDEX(t_Scenarios[Derive_Taux],3))^$A21)-MIN(INDEX(t_Scenarios[Volume_croisiere],3),H_VOLUME_M1+(INDEX(t_Scenarios[Volume_croisiere],3)-H_VOLUME_M1)*($A21-1)/(H_MONTEE-1))*H_COUT_USD</f>
        <v>33236.509811869822</v>
      </c>
    </row>
    <row r="22" spans="1:4" x14ac:dyDescent="0.2">
      <c r="A22" s="26">
        <f>CALCULS!A22</f>
        <v>16</v>
      </c>
      <c r="B22" s="27">
        <f>(MIN(INDEX(t_Scenarios[Volume_croisiere],1),H_VOLUME_M1+(INDEX(t_Scenarios[Volume_croisiere],1)-H_VOLUME_M1)*($A22-1)/(H_MONTEE-1))*INDEX(t_Scenarios[Prix_XOF],1)-(H_LOYER_XOF+H_PERSONNEL_XOF+H_AUTRES_XOF))/(H_TAUX_XOF*(1+INDEX(t_Scenarios[Derive_Taux],1))^$A22)-MIN(INDEX(t_Scenarios[Volume_croisiere],1),H_VOLUME_M1+(INDEX(t_Scenarios[Volume_croisiere],1)-H_VOLUME_M1)*($A22-1)/(H_MONTEE-1))*H_COUT_USD</f>
        <v>5998.071673734943</v>
      </c>
      <c r="C22" s="27">
        <f>(MIN(INDEX(t_Scenarios[Volume_croisiere],2),H_VOLUME_M1+(INDEX(t_Scenarios[Volume_croisiere],2)-H_VOLUME_M1)*($A22-1)/(H_MONTEE-1))*INDEX(t_Scenarios[Prix_XOF],2)-(H_LOYER_XOF+H_PERSONNEL_XOF+H_AUTRES_XOF))/(H_TAUX_XOF*(1+INDEX(t_Scenarios[Derive_Taux],2))^$A22)-MIN(INDEX(t_Scenarios[Volume_croisiere],2),H_VOLUME_M1+(INDEX(t_Scenarios[Volume_croisiere],2)-H_VOLUME_M1)*($A22-1)/(H_MONTEE-1))*H_COUT_USD</f>
        <v>19871.670333400732</v>
      </c>
      <c r="D22" s="27">
        <f>(MIN(INDEX(t_Scenarios[Volume_croisiere],3),H_VOLUME_M1+(INDEX(t_Scenarios[Volume_croisiere],3)-H_VOLUME_M1)*($A22-1)/(H_MONTEE-1))*INDEX(t_Scenarios[Prix_XOF],3)-(H_LOYER_XOF+H_PERSONNEL_XOF+H_AUTRES_XOF))/(H_TAUX_XOF*(1+INDEX(t_Scenarios[Derive_Taux],3))^$A22)-MIN(INDEX(t_Scenarios[Volume_croisiere],3),H_VOLUME_M1+(INDEX(t_Scenarios[Volume_croisiere],3)-H_VOLUME_M1)*($A22-1)/(H_MONTEE-1))*H_COUT_USD</f>
        <v>32970.369073722366</v>
      </c>
    </row>
    <row r="23" spans="1:4" x14ac:dyDescent="0.2">
      <c r="A23" s="26">
        <f>CALCULS!A23</f>
        <v>17</v>
      </c>
      <c r="B23" s="27">
        <f>(MIN(INDEX(t_Scenarios[Volume_croisiere],1),H_VOLUME_M1+(INDEX(t_Scenarios[Volume_croisiere],1)-H_VOLUME_M1)*($A23-1)/(H_MONTEE-1))*INDEX(t_Scenarios[Prix_XOF],1)-(H_LOYER_XOF+H_PERSONNEL_XOF+H_AUTRES_XOF))/(H_TAUX_XOF*(1+INDEX(t_Scenarios[Derive_Taux],1))^$A23)-MIN(INDEX(t_Scenarios[Volume_croisiere],1),H_VOLUME_M1+(INDEX(t_Scenarios[Volume_croisiere],1)-H_VOLUME_M1)*($A23-1)/(H_MONTEE-1))*H_COUT_USD</f>
        <v>5354.6345969592658</v>
      </c>
      <c r="C23" s="27">
        <f>(MIN(INDEX(t_Scenarios[Volume_croisiere],2),H_VOLUME_M1+(INDEX(t_Scenarios[Volume_croisiere],2)-H_VOLUME_M1)*($A23-1)/(H_MONTEE-1))*INDEX(t_Scenarios[Prix_XOF],2)-(H_LOYER_XOF+H_PERSONNEL_XOF+H_AUTRES_XOF))/(H_TAUX_XOF*(1+INDEX(t_Scenarios[Derive_Taux],2))^$A23)-MIN(INDEX(t_Scenarios[Volume_croisiere],2),H_VOLUME_M1+(INDEX(t_Scenarios[Volume_croisiere],2)-H_VOLUME_M1)*($A23-1)/(H_MONTEE-1))*H_COUT_USD</f>
        <v>19385.174547935036</v>
      </c>
      <c r="D23" s="27">
        <f>(MIN(INDEX(t_Scenarios[Volume_croisiere],3),H_VOLUME_M1+(INDEX(t_Scenarios[Volume_croisiere],3)-H_VOLUME_M1)*($A23-1)/(H_MONTEE-1))*INDEX(t_Scenarios[Prix_XOF],3)-(H_LOYER_XOF+H_PERSONNEL_XOF+H_AUTRES_XOF))/(H_TAUX_XOF*(1+INDEX(t_Scenarios[Derive_Taux],3))^$A23)-MIN(INDEX(t_Scenarios[Volume_croisiere],3),H_VOLUME_M1+(INDEX(t_Scenarios[Volume_croisiere],3)-H_VOLUME_M1)*($A23-1)/(H_MONTEE-1))*H_COUT_USD</f>
        <v>32704.759554613149</v>
      </c>
    </row>
    <row r="24" spans="1:4" x14ac:dyDescent="0.2">
      <c r="A24" s="26">
        <f>CALCULS!A24</f>
        <v>18</v>
      </c>
      <c r="B24" s="27">
        <f>(MIN(INDEX(t_Scenarios[Volume_croisiere],1),H_VOLUME_M1+(INDEX(t_Scenarios[Volume_croisiere],1)-H_VOLUME_M1)*($A24-1)/(H_MONTEE-1))*INDEX(t_Scenarios[Prix_XOF],1)-(H_LOYER_XOF+H_PERSONNEL_XOF+H_AUTRES_XOF))/(H_TAUX_XOF*(1+INDEX(t_Scenarios[Derive_Taux],1))^$A24)-MIN(INDEX(t_Scenarios[Volume_croisiere],1),H_VOLUME_M1+(INDEX(t_Scenarios[Volume_croisiere],1)-H_VOLUME_M1)*($A24-1)/(H_MONTEE-1))*H_COUT_USD</f>
        <v>4716.3041636500566</v>
      </c>
      <c r="C24" s="27">
        <f>(MIN(INDEX(t_Scenarios[Volume_croisiere],2),H_VOLUME_M1+(INDEX(t_Scenarios[Volume_croisiere],2)-H_VOLUME_M1)*($A24-1)/(H_MONTEE-1))*INDEX(t_Scenarios[Prix_XOF],2)-(H_LOYER_XOF+H_PERSONNEL_XOF+H_AUTRES_XOF))/(H_TAUX_XOF*(1+INDEX(t_Scenarios[Derive_Taux],2))^$A24)-MIN(INDEX(t_Scenarios[Volume_croisiere],2),H_VOLUME_M1+(INDEX(t_Scenarios[Volume_croisiere],2)-H_VOLUME_M1)*($A24-1)/(H_MONTEE-1))*H_COUT_USD</f>
        <v>18900.858186097612</v>
      </c>
      <c r="D24" s="27">
        <f>(MIN(INDEX(t_Scenarios[Volume_croisiere],3),H_VOLUME_M1+(INDEX(t_Scenarios[Volume_croisiere],3)-H_VOLUME_M1)*($A24-1)/(H_MONTEE-1))*INDEX(t_Scenarios[Prix_XOF],3)-(H_LOYER_XOF+H_PERSONNEL_XOF+H_AUTRES_XOF))/(H_TAUX_XOF*(1+INDEX(t_Scenarios[Derive_Taux],3))^$A24)-MIN(INDEX(t_Scenarios[Volume_croisiere],3),H_VOLUME_M1+(INDEX(t_Scenarios[Volume_croisiere],3)-H_VOLUME_M1)*($A24-1)/(H_MONTEE-1))*H_COUT_USD</f>
        <v>32439.680194224726</v>
      </c>
    </row>
    <row r="25" spans="1:4" x14ac:dyDescent="0.2">
      <c r="A25" s="26">
        <f>CALCULS!A25</f>
        <v>19</v>
      </c>
      <c r="B25" s="27">
        <f>(MIN(INDEX(t_Scenarios[Volume_croisiere],1),H_VOLUME_M1+(INDEX(t_Scenarios[Volume_croisiere],1)-H_VOLUME_M1)*($A25-1)/(H_MONTEE-1))*INDEX(t_Scenarios[Prix_XOF],1)-(H_LOYER_XOF+H_PERSONNEL_XOF+H_AUTRES_XOF))/(H_TAUX_XOF*(1+INDEX(t_Scenarios[Derive_Taux],1))^$A25)-MIN(INDEX(t_Scenarios[Volume_croisiere],1),H_VOLUME_M1+(INDEX(t_Scenarios[Volume_croisiere],1)-H_VOLUME_M1)*($A25-1)/(H_MONTEE-1))*H_COUT_USD</f>
        <v>4083.0398448909255</v>
      </c>
      <c r="C25" s="27">
        <f>(MIN(INDEX(t_Scenarios[Volume_croisiere],2),H_VOLUME_M1+(INDEX(t_Scenarios[Volume_croisiere],2)-H_VOLUME_M1)*($A25-1)/(H_MONTEE-1))*INDEX(t_Scenarios[Prix_XOF],2)-(H_LOYER_XOF+H_PERSONNEL_XOF+H_AUTRES_XOF))/(H_TAUX_XOF*(1+INDEX(t_Scenarios[Derive_Taux],2))^$A25)-MIN(INDEX(t_Scenarios[Volume_croisiere],2),H_VOLUME_M1+(INDEX(t_Scenarios[Volume_croisiere],2)-H_VOLUME_M1)*($A25-1)/(H_MONTEE-1))*H_COUT_USD</f>
        <v>18418.711484417712</v>
      </c>
      <c r="D25" s="27">
        <f>(MIN(INDEX(t_Scenarios[Volume_croisiere],3),H_VOLUME_M1+(INDEX(t_Scenarios[Volume_croisiere],3)-H_VOLUME_M1)*($A25-1)/(H_MONTEE-1))*INDEX(t_Scenarios[Prix_XOF],3)-(H_LOYER_XOF+H_PERSONNEL_XOF+H_AUTRES_XOF))/(H_TAUX_XOF*(1+INDEX(t_Scenarios[Derive_Taux],3))^$A25)-MIN(INDEX(t_Scenarios[Volume_croisiere],3),H_VOLUME_M1+(INDEX(t_Scenarios[Volume_croisiere],3)-H_VOLUME_M1)*($A25-1)/(H_MONTEE-1))*H_COUT_USD</f>
        <v>32175.129934356024</v>
      </c>
    </row>
    <row r="26" spans="1:4" x14ac:dyDescent="0.2">
      <c r="A26" s="26">
        <f>CALCULS!A26</f>
        <v>20</v>
      </c>
      <c r="B26" s="27">
        <f>(MIN(INDEX(t_Scenarios[Volume_croisiere],1),H_VOLUME_M1+(INDEX(t_Scenarios[Volume_croisiere],1)-H_VOLUME_M1)*($A26-1)/(H_MONTEE-1))*INDEX(t_Scenarios[Prix_XOF],1)-(H_LOYER_XOF+H_PERSONNEL_XOF+H_AUTRES_XOF))/(H_TAUX_XOF*(1+INDEX(t_Scenarios[Derive_Taux],1))^$A26)-MIN(INDEX(t_Scenarios[Volume_croisiere],1),H_VOLUME_M1+(INDEX(t_Scenarios[Volume_croisiere],1)-H_VOLUME_M1)*($A26-1)/(H_MONTEE-1))*H_COUT_USD</f>
        <v>3454.8014334235486</v>
      </c>
      <c r="C26" s="27">
        <f>(MIN(INDEX(t_Scenarios[Volume_croisiere],2),H_VOLUME_M1+(INDEX(t_Scenarios[Volume_croisiere],2)-H_VOLUME_M1)*($A26-1)/(H_MONTEE-1))*INDEX(t_Scenarios[Prix_XOF],2)-(H_LOYER_XOF+H_PERSONNEL_XOF+H_AUTRES_XOF))/(H_TAUX_XOF*(1+INDEX(t_Scenarios[Derive_Taux],2))^$A26)-MIN(INDEX(t_Scenarios[Volume_croisiere],2),H_VOLUME_M1+(INDEX(t_Scenarios[Volume_croisiere],2)-H_VOLUME_M1)*($A26-1)/(H_MONTEE-1))*H_COUT_USD</f>
        <v>17938.724723163512</v>
      </c>
      <c r="D26" s="27">
        <f>(MIN(INDEX(t_Scenarios[Volume_croisiere],3),H_VOLUME_M1+(INDEX(t_Scenarios[Volume_croisiere],3)-H_VOLUME_M1)*($A26-1)/(H_MONTEE-1))*INDEX(t_Scenarios[Prix_XOF],3)-(H_LOYER_XOF+H_PERSONNEL_XOF+H_AUTRES_XOF))/(H_TAUX_XOF*(1+INDEX(t_Scenarios[Derive_Taux],3))^$A26)-MIN(INDEX(t_Scenarios[Volume_croisiere],3),H_VOLUME_M1+(INDEX(t_Scenarios[Volume_croisiere],3)-H_VOLUME_M1)*($A26-1)/(H_MONTEE-1))*H_COUT_USD</f>
        <v>31911.107718918152</v>
      </c>
    </row>
    <row r="27" spans="1:4" x14ac:dyDescent="0.2">
      <c r="A27" s="26">
        <f>CALCULS!A27</f>
        <v>21</v>
      </c>
      <c r="B27" s="27">
        <f>(MIN(INDEX(t_Scenarios[Volume_croisiere],1),H_VOLUME_M1+(INDEX(t_Scenarios[Volume_croisiere],1)-H_VOLUME_M1)*($A27-1)/(H_MONTEE-1))*INDEX(t_Scenarios[Prix_XOF],1)-(H_LOYER_XOF+H_PERSONNEL_XOF+H_AUTRES_XOF))/(H_TAUX_XOF*(1+INDEX(t_Scenarios[Derive_Taux],1))^$A27)-MIN(INDEX(t_Scenarios[Volume_croisiere],1),H_VOLUME_M1+(INDEX(t_Scenarios[Volume_croisiere],1)-H_VOLUME_M1)*($A27-1)/(H_MONTEE-1))*H_COUT_USD</f>
        <v>2831.5490410947823</v>
      </c>
      <c r="C27" s="27">
        <f>(MIN(INDEX(t_Scenarios[Volume_croisiere],2),H_VOLUME_M1+(INDEX(t_Scenarios[Volume_croisiere],2)-H_VOLUME_M1)*($A27-1)/(H_MONTEE-1))*INDEX(t_Scenarios[Prix_XOF],2)-(H_LOYER_XOF+H_PERSONNEL_XOF+H_AUTRES_XOF))/(H_TAUX_XOF*(1+INDEX(t_Scenarios[Derive_Taux],2))^$A27)-MIN(INDEX(t_Scenarios[Volume_croisiere],2),H_VOLUME_M1+(INDEX(t_Scenarios[Volume_croisiere],2)-H_VOLUME_M1)*($A27-1)/(H_MONTEE-1))*H_COUT_USD</f>
        <v>17460.888226145864</v>
      </c>
      <c r="D27" s="27">
        <f>(MIN(INDEX(t_Scenarios[Volume_croisiere],3),H_VOLUME_M1+(INDEX(t_Scenarios[Volume_croisiere],3)-H_VOLUME_M1)*($A27-1)/(H_MONTEE-1))*INDEX(t_Scenarios[Prix_XOF],3)-(H_LOYER_XOF+H_PERSONNEL_XOF+H_AUTRES_XOF))/(H_TAUX_XOF*(1+INDEX(t_Scenarios[Derive_Taux],3))^$A27)-MIN(INDEX(t_Scenarios[Volume_croisiere],3),H_VOLUME_M1+(INDEX(t_Scenarios[Volume_croisiere],3)-H_VOLUME_M1)*($A27-1)/(H_MONTEE-1))*H_COUT_USD</f>
        <v>31647.612493930297</v>
      </c>
    </row>
    <row r="28" spans="1:4" x14ac:dyDescent="0.2">
      <c r="A28" s="26">
        <f>CALCULS!A28</f>
        <v>22</v>
      </c>
      <c r="B28" s="27">
        <f>(MIN(INDEX(t_Scenarios[Volume_croisiere],1),H_VOLUME_M1+(INDEX(t_Scenarios[Volume_croisiere],1)-H_VOLUME_M1)*($A28-1)/(H_MONTEE-1))*INDEX(t_Scenarios[Prix_XOF],1)-(H_LOYER_XOF+H_PERSONNEL_XOF+H_AUTRES_XOF))/(H_TAUX_XOF*(1+INDEX(t_Scenarios[Derive_Taux],1))^$A28)-MIN(INDEX(t_Scenarios[Volume_croisiere],1),H_VOLUME_M1+(INDEX(t_Scenarios[Volume_croisiere],1)-H_VOLUME_M1)*($A28-1)/(H_MONTEE-1))*H_COUT_USD</f>
        <v>2213.2430963241932</v>
      </c>
      <c r="C28" s="27">
        <f>(MIN(INDEX(t_Scenarios[Volume_croisiere],2),H_VOLUME_M1+(INDEX(t_Scenarios[Volume_croisiere],2)-H_VOLUME_M1)*($A28-1)/(H_MONTEE-1))*INDEX(t_Scenarios[Prix_XOF],2)-(H_LOYER_XOF+H_PERSONNEL_XOF+H_AUTRES_XOF))/(H_TAUX_XOF*(1+INDEX(t_Scenarios[Derive_Taux],2))^$A28)-MIN(INDEX(t_Scenarios[Volume_croisiere],2),H_VOLUME_M1+(INDEX(t_Scenarios[Volume_croisiere],2)-H_VOLUME_M1)*($A28-1)/(H_MONTEE-1))*H_COUT_USD</f>
        <v>16985.192360523521</v>
      </c>
      <c r="D28" s="27">
        <f>(MIN(INDEX(t_Scenarios[Volume_croisiere],3),H_VOLUME_M1+(INDEX(t_Scenarios[Volume_croisiere],3)-H_VOLUME_M1)*($A28-1)/(H_MONTEE-1))*INDEX(t_Scenarios[Prix_XOF],3)-(H_LOYER_XOF+H_PERSONNEL_XOF+H_AUTRES_XOF))/(H_TAUX_XOF*(1+INDEX(t_Scenarios[Derive_Taux],3))^$A28)-MIN(INDEX(t_Scenarios[Volume_croisiere],3),H_VOLUME_M1+(INDEX(t_Scenarios[Volume_croisiere],3)-H_VOLUME_M1)*($A28-1)/(H_MONTEE-1))*H_COUT_USD</f>
        <v>31384.643207515299</v>
      </c>
    </row>
    <row r="29" spans="1:4" x14ac:dyDescent="0.2">
      <c r="A29" s="26">
        <f>CALCULS!A29</f>
        <v>23</v>
      </c>
      <c r="B29" s="27">
        <f>(MIN(INDEX(t_Scenarios[Volume_croisiere],1),H_VOLUME_M1+(INDEX(t_Scenarios[Volume_croisiere],1)-H_VOLUME_M1)*($A29-1)/(H_MONTEE-1))*INDEX(t_Scenarios[Prix_XOF],1)-(H_LOYER_XOF+H_PERSONNEL_XOF+H_AUTRES_XOF))/(H_TAUX_XOF*(1+INDEX(t_Scenarios[Derive_Taux],1))^$A29)-MIN(INDEX(t_Scenarios[Volume_croisiere],1),H_VOLUME_M1+(INDEX(t_Scenarios[Volume_croisiere],1)-H_VOLUME_M1)*($A29-1)/(H_MONTEE-1))*H_COUT_USD</f>
        <v>1599.8443415914371</v>
      </c>
      <c r="C29" s="27">
        <f>(MIN(INDEX(t_Scenarios[Volume_croisiere],2),H_VOLUME_M1+(INDEX(t_Scenarios[Volume_croisiere],2)-H_VOLUME_M1)*($A29-1)/(H_MONTEE-1))*INDEX(t_Scenarios[Prix_XOF],2)-(H_LOYER_XOF+H_PERSONNEL_XOF+H_AUTRES_XOF))/(H_TAUX_XOF*(1+INDEX(t_Scenarios[Derive_Taux],2))^$A29)-MIN(INDEX(t_Scenarios[Volume_croisiere],2),H_VOLUME_M1+(INDEX(t_Scenarios[Volume_croisiere],2)-H_VOLUME_M1)*($A29-1)/(H_MONTEE-1))*H_COUT_USD</f>
        <v>16511.627536608765</v>
      </c>
      <c r="D29" s="27">
        <f>(MIN(INDEX(t_Scenarios[Volume_croisiere],3),H_VOLUME_M1+(INDEX(t_Scenarios[Volume_croisiere],3)-H_VOLUME_M1)*($A29-1)/(H_MONTEE-1))*INDEX(t_Scenarios[Prix_XOF],3)-(H_LOYER_XOF+H_PERSONNEL_XOF+H_AUTRES_XOF))/(H_TAUX_XOF*(1+INDEX(t_Scenarios[Derive_Taux],3))^$A29)-MIN(INDEX(t_Scenarios[Volume_croisiere],3),H_VOLUME_M1+(INDEX(t_Scenarios[Volume_croisiere],3)-H_VOLUME_M1)*($A29-1)/(H_MONTEE-1))*H_COUT_USD</f>
        <v>31122.198809895519</v>
      </c>
    </row>
    <row r="30" spans="1:4" x14ac:dyDescent="0.2">
      <c r="A30" s="26">
        <f>CALCULS!A30</f>
        <v>24</v>
      </c>
      <c r="B30" s="27">
        <f>(MIN(INDEX(t_Scenarios[Volume_croisiere],1),H_VOLUME_M1+(INDEX(t_Scenarios[Volume_croisiere],1)-H_VOLUME_M1)*($A30-1)/(H_MONTEE-1))*INDEX(t_Scenarios[Prix_XOF],1)-(H_LOYER_XOF+H_PERSONNEL_XOF+H_AUTRES_XOF))/(H_TAUX_XOF*(1+INDEX(t_Scenarios[Derive_Taux],1))^$A30)-MIN(INDEX(t_Scenarios[Volume_croisiere],1),H_VOLUME_M1+(INDEX(t_Scenarios[Volume_croisiere],1)-H_VOLUME_M1)*($A30-1)/(H_MONTEE-1))*H_COUT_USD</f>
        <v>991.31383094389457</v>
      </c>
      <c r="C30" s="27">
        <f>(MIN(INDEX(t_Scenarios[Volume_croisiere],2),H_VOLUME_M1+(INDEX(t_Scenarios[Volume_croisiere],2)-H_VOLUME_M1)*($A30-1)/(H_MONTEE-1))*INDEX(t_Scenarios[Prix_XOF],2)-(H_LOYER_XOF+H_PERSONNEL_XOF+H_AUTRES_XOF))/(H_TAUX_XOF*(1+INDEX(t_Scenarios[Derive_Taux],2))^$A30)-MIN(INDEX(t_Scenarios[Volume_croisiere],2),H_VOLUME_M1+(INDEX(t_Scenarios[Volume_croisiere],2)-H_VOLUME_M1)*($A30-1)/(H_MONTEE-1))*H_COUT_USD</f>
        <v>16040.184207674291</v>
      </c>
      <c r="D30" s="27">
        <f>(MIN(INDEX(t_Scenarios[Volume_croisiere],3),H_VOLUME_M1+(INDEX(t_Scenarios[Volume_croisiere],3)-H_VOLUME_M1)*($A30-1)/(H_MONTEE-1))*INDEX(t_Scenarios[Prix_XOF],3)-(H_LOYER_XOF+H_PERSONNEL_XOF+H_AUTRES_XOF))/(H_TAUX_XOF*(1+INDEX(t_Scenarios[Derive_Taux],3))^$A30)-MIN(INDEX(t_Scenarios[Volume_croisiere],3),H_VOLUME_M1+(INDEX(t_Scenarios[Volume_croisiere],3)-H_VOLUME_M1)*($A30-1)/(H_MONTEE-1))*H_COUT_USD</f>
        <v>30860.278253388737</v>
      </c>
    </row>
    <row r="33" spans="1:21" ht="19" x14ac:dyDescent="0.25">
      <c r="A33" s="1" t="s">
        <v>119</v>
      </c>
    </row>
    <row r="34" spans="1:21" x14ac:dyDescent="0.2">
      <c r="A34" s="4" t="s">
        <v>120</v>
      </c>
    </row>
    <row r="36" spans="1:21" x14ac:dyDescent="0.2">
      <c r="A36" s="12" t="s">
        <v>121</v>
      </c>
      <c r="B36" s="28">
        <v>15000</v>
      </c>
      <c r="C36" s="28">
        <v>15500</v>
      </c>
      <c r="D36" s="28">
        <v>16000</v>
      </c>
      <c r="E36" s="28">
        <v>16500</v>
      </c>
      <c r="F36" s="28">
        <v>17000</v>
      </c>
      <c r="G36" s="28">
        <v>17500</v>
      </c>
      <c r="H36" s="28">
        <v>18000</v>
      </c>
      <c r="I36" s="28">
        <v>18500</v>
      </c>
      <c r="J36" s="28">
        <v>19000</v>
      </c>
      <c r="K36" s="28">
        <v>19500</v>
      </c>
      <c r="L36" s="28">
        <v>20000</v>
      </c>
      <c r="M36" s="28">
        <v>20500</v>
      </c>
      <c r="N36" s="28">
        <v>21000</v>
      </c>
      <c r="O36" s="28">
        <v>21500</v>
      </c>
      <c r="P36" s="28">
        <v>22000</v>
      </c>
      <c r="Q36" s="28">
        <v>22500</v>
      </c>
      <c r="R36" s="28">
        <v>23000</v>
      </c>
      <c r="S36" s="28">
        <v>23500</v>
      </c>
      <c r="T36" s="28">
        <v>24000</v>
      </c>
      <c r="U36" s="28">
        <v>24500</v>
      </c>
    </row>
    <row r="37" spans="1:21" x14ac:dyDescent="0.2">
      <c r="A37" s="29">
        <v>600</v>
      </c>
      <c r="B37" s="19">
        <v>-24719.65</v>
      </c>
      <c r="C37" s="19">
        <v>-8756.34</v>
      </c>
      <c r="D37" s="19">
        <v>7206.96</v>
      </c>
      <c r="E37" s="19">
        <v>23170.26</v>
      </c>
      <c r="F37" s="19">
        <v>39133.57</v>
      </c>
      <c r="G37" s="19">
        <v>55096.87</v>
      </c>
      <c r="H37" s="19">
        <v>71060.179999999993</v>
      </c>
      <c r="I37" s="19">
        <v>87023.48</v>
      </c>
      <c r="J37" s="19">
        <v>102986.78</v>
      </c>
      <c r="K37" s="19">
        <v>118950.09</v>
      </c>
      <c r="L37" s="19">
        <v>134913.39000000001</v>
      </c>
      <c r="M37" s="19">
        <v>150876.70000000001</v>
      </c>
      <c r="N37" s="19">
        <v>166840</v>
      </c>
      <c r="O37" s="19">
        <v>182803.3</v>
      </c>
      <c r="P37" s="19">
        <v>198766.61</v>
      </c>
      <c r="Q37" s="19">
        <v>214729.91</v>
      </c>
      <c r="R37" s="19">
        <v>230693.21</v>
      </c>
      <c r="S37" s="19">
        <v>246656.52</v>
      </c>
      <c r="T37" s="19">
        <v>262619.82</v>
      </c>
      <c r="U37" s="19">
        <v>278583.13</v>
      </c>
    </row>
    <row r="38" spans="1:21" x14ac:dyDescent="0.2">
      <c r="A38" s="29">
        <v>605</v>
      </c>
      <c r="B38" s="19">
        <v>-35355.910000000003</v>
      </c>
      <c r="C38" s="19">
        <v>-19794.64</v>
      </c>
      <c r="D38" s="19">
        <v>-4233.3599999999997</v>
      </c>
      <c r="E38" s="19">
        <v>11327.91</v>
      </c>
      <c r="F38" s="19">
        <v>26889.18</v>
      </c>
      <c r="G38" s="19">
        <v>42450.46</v>
      </c>
      <c r="H38" s="19">
        <v>58011.73</v>
      </c>
      <c r="I38" s="19">
        <v>73573</v>
      </c>
      <c r="J38" s="19">
        <v>89134.28</v>
      </c>
      <c r="K38" s="19">
        <v>104695.55</v>
      </c>
      <c r="L38" s="19">
        <v>120256.83</v>
      </c>
      <c r="M38" s="19">
        <v>135818.1</v>
      </c>
      <c r="N38" s="19">
        <v>151379.37</v>
      </c>
      <c r="O38" s="19">
        <v>166940.65</v>
      </c>
      <c r="P38" s="19">
        <v>182501.92</v>
      </c>
      <c r="Q38" s="19">
        <v>198063.19</v>
      </c>
      <c r="R38" s="19">
        <v>213624.47</v>
      </c>
      <c r="S38" s="19">
        <v>229185.74</v>
      </c>
      <c r="T38" s="19">
        <v>244747.02</v>
      </c>
      <c r="U38" s="19">
        <v>260308.29</v>
      </c>
    </row>
    <row r="39" spans="1:21" x14ac:dyDescent="0.2">
      <c r="A39" s="29">
        <v>610</v>
      </c>
      <c r="B39" s="19">
        <v>-45817.81</v>
      </c>
      <c r="C39" s="19">
        <v>-30651.98</v>
      </c>
      <c r="D39" s="19">
        <v>-15486.14</v>
      </c>
      <c r="E39" s="19">
        <v>-320.31</v>
      </c>
      <c r="F39" s="19">
        <v>14845.53</v>
      </c>
      <c r="G39" s="19">
        <v>30011.360000000001</v>
      </c>
      <c r="H39" s="19">
        <v>45177.19</v>
      </c>
      <c r="I39" s="19">
        <v>60343.03</v>
      </c>
      <c r="J39" s="19">
        <v>75508.86</v>
      </c>
      <c r="K39" s="19">
        <v>90674.7</v>
      </c>
      <c r="L39" s="19">
        <v>105840.53</v>
      </c>
      <c r="M39" s="19">
        <v>121006.37</v>
      </c>
      <c r="N39" s="19">
        <v>136172.20000000001</v>
      </c>
      <c r="O39" s="19">
        <v>151338.04</v>
      </c>
      <c r="P39" s="19">
        <v>166503.87</v>
      </c>
      <c r="Q39" s="19">
        <v>181669.7</v>
      </c>
      <c r="R39" s="19">
        <v>196835.54</v>
      </c>
      <c r="S39" s="19">
        <v>212001.37</v>
      </c>
      <c r="T39" s="19">
        <v>227167.21</v>
      </c>
      <c r="U39" s="19">
        <v>242333.04</v>
      </c>
    </row>
    <row r="40" spans="1:21" x14ac:dyDescent="0.2">
      <c r="A40" s="29">
        <v>615</v>
      </c>
      <c r="B40" s="19">
        <v>-56109.599999999999</v>
      </c>
      <c r="C40" s="19">
        <v>-41332.769999999997</v>
      </c>
      <c r="D40" s="19">
        <v>-26555.95</v>
      </c>
      <c r="E40" s="19">
        <v>-11779.12</v>
      </c>
      <c r="F40" s="19">
        <v>2997.7</v>
      </c>
      <c r="G40" s="19">
        <v>17774.53</v>
      </c>
      <c r="H40" s="19">
        <v>32551.35</v>
      </c>
      <c r="I40" s="19">
        <v>47328.18</v>
      </c>
      <c r="J40" s="19">
        <v>62105</v>
      </c>
      <c r="K40" s="19">
        <v>76881.820000000007</v>
      </c>
      <c r="L40" s="19">
        <v>91658.65</v>
      </c>
      <c r="M40" s="19">
        <v>106435.47</v>
      </c>
      <c r="N40" s="19">
        <v>121212.3</v>
      </c>
      <c r="O40" s="19">
        <v>135989.12</v>
      </c>
      <c r="P40" s="19">
        <v>150765.95000000001</v>
      </c>
      <c r="Q40" s="19">
        <v>165542.76999999999</v>
      </c>
      <c r="R40" s="19">
        <v>180319.6</v>
      </c>
      <c r="S40" s="19">
        <v>195096.42</v>
      </c>
      <c r="T40" s="19">
        <v>209873.25</v>
      </c>
      <c r="U40" s="19">
        <v>224650.07</v>
      </c>
    </row>
    <row r="41" spans="1:21" x14ac:dyDescent="0.2">
      <c r="A41" s="29">
        <v>620</v>
      </c>
      <c r="B41" s="19">
        <v>-66235.39</v>
      </c>
      <c r="C41" s="19">
        <v>-51841.3</v>
      </c>
      <c r="D41" s="19">
        <v>-37447.21</v>
      </c>
      <c r="E41" s="19">
        <v>-23053.119999999999</v>
      </c>
      <c r="F41" s="19">
        <v>-8659.0300000000007</v>
      </c>
      <c r="G41" s="19">
        <v>5735.06</v>
      </c>
      <c r="H41" s="19">
        <v>20129.150000000001</v>
      </c>
      <c r="I41" s="19">
        <v>34523.24</v>
      </c>
      <c r="J41" s="19">
        <v>48917.33</v>
      </c>
      <c r="K41" s="19">
        <v>63311.42</v>
      </c>
      <c r="L41" s="19">
        <v>77705.509999999995</v>
      </c>
      <c r="M41" s="19">
        <v>92099.6</v>
      </c>
      <c r="N41" s="19">
        <v>106493.69</v>
      </c>
      <c r="O41" s="19">
        <v>120887.78</v>
      </c>
      <c r="P41" s="19">
        <v>135281.87</v>
      </c>
      <c r="Q41" s="19">
        <v>149675.96</v>
      </c>
      <c r="R41" s="19">
        <v>164070.04999999999</v>
      </c>
      <c r="S41" s="19">
        <v>178464.14</v>
      </c>
      <c r="T41" s="19">
        <v>192858.22</v>
      </c>
      <c r="U41" s="19">
        <v>207252.31</v>
      </c>
    </row>
    <row r="42" spans="1:21" x14ac:dyDescent="0.2">
      <c r="A42" s="29">
        <v>625</v>
      </c>
      <c r="B42" s="19">
        <v>-76199.17</v>
      </c>
      <c r="C42" s="19">
        <v>-62181.69</v>
      </c>
      <c r="D42" s="19">
        <v>-48164.21</v>
      </c>
      <c r="E42" s="19">
        <v>-34146.730000000003</v>
      </c>
      <c r="F42" s="19">
        <v>-20129.25</v>
      </c>
      <c r="G42" s="19">
        <v>-6111.78</v>
      </c>
      <c r="H42" s="19">
        <v>7905.7</v>
      </c>
      <c r="I42" s="19">
        <v>21923.18</v>
      </c>
      <c r="J42" s="19">
        <v>35940.660000000003</v>
      </c>
      <c r="K42" s="19">
        <v>49958.14</v>
      </c>
      <c r="L42" s="19">
        <v>63975.61</v>
      </c>
      <c r="M42" s="19">
        <v>77993.09</v>
      </c>
      <c r="N42" s="19">
        <v>92010.57</v>
      </c>
      <c r="O42" s="19">
        <v>106028.05</v>
      </c>
      <c r="P42" s="19">
        <v>120045.53</v>
      </c>
      <c r="Q42" s="19">
        <v>134063.01</v>
      </c>
      <c r="R42" s="19">
        <v>148080.48000000001</v>
      </c>
      <c r="S42" s="19">
        <v>162097.96</v>
      </c>
      <c r="T42" s="19">
        <v>176115.44</v>
      </c>
      <c r="U42" s="19">
        <v>190132.92</v>
      </c>
    </row>
    <row r="43" spans="1:21" x14ac:dyDescent="0.2">
      <c r="A43" s="29">
        <v>630</v>
      </c>
      <c r="B43" s="19">
        <v>-86004.79</v>
      </c>
      <c r="C43" s="19">
        <v>-72357.95</v>
      </c>
      <c r="D43" s="19">
        <v>-58711.1</v>
      </c>
      <c r="E43" s="19">
        <v>-45064.26</v>
      </c>
      <c r="F43" s="19">
        <v>-31417.41</v>
      </c>
      <c r="G43" s="19">
        <v>-17770.57</v>
      </c>
      <c r="H43" s="19">
        <v>-4123.72</v>
      </c>
      <c r="I43" s="19">
        <v>9523.1200000000008</v>
      </c>
      <c r="J43" s="19">
        <v>23169.97</v>
      </c>
      <c r="K43" s="19">
        <v>36816.81</v>
      </c>
      <c r="L43" s="19">
        <v>50463.66</v>
      </c>
      <c r="M43" s="19">
        <v>64110.5</v>
      </c>
      <c r="N43" s="19">
        <v>77757.350000000006</v>
      </c>
      <c r="O43" s="19">
        <v>91404.19</v>
      </c>
      <c r="P43" s="19">
        <v>105051.04</v>
      </c>
      <c r="Q43" s="19">
        <v>118697.88</v>
      </c>
      <c r="R43" s="19">
        <v>132344.73000000001</v>
      </c>
      <c r="S43" s="19">
        <v>145991.57</v>
      </c>
      <c r="T43" s="19">
        <v>159638.42000000001</v>
      </c>
      <c r="U43" s="19">
        <v>173285.26</v>
      </c>
    </row>
    <row r="44" spans="1:21" x14ac:dyDescent="0.2">
      <c r="A44" s="29">
        <v>635</v>
      </c>
      <c r="B44" s="19">
        <v>-95655.99</v>
      </c>
      <c r="C44" s="19">
        <v>-82373.95</v>
      </c>
      <c r="D44" s="19">
        <v>-69091.899999999994</v>
      </c>
      <c r="E44" s="19">
        <v>-55809.85</v>
      </c>
      <c r="F44" s="19">
        <v>-42527.8</v>
      </c>
      <c r="G44" s="19">
        <v>-29245.75</v>
      </c>
      <c r="H44" s="19">
        <v>-15963.71</v>
      </c>
      <c r="I44" s="19">
        <v>-2681.66</v>
      </c>
      <c r="J44" s="19">
        <v>10600.39</v>
      </c>
      <c r="K44" s="19">
        <v>23882.44</v>
      </c>
      <c r="L44" s="19">
        <v>37164.49</v>
      </c>
      <c r="M44" s="19">
        <v>50446.53</v>
      </c>
      <c r="N44" s="19">
        <v>63728.58</v>
      </c>
      <c r="O44" s="19">
        <v>77010.63</v>
      </c>
      <c r="P44" s="19">
        <v>90292.68</v>
      </c>
      <c r="Q44" s="19">
        <v>103574.73</v>
      </c>
      <c r="R44" s="19">
        <v>116856.78</v>
      </c>
      <c r="S44" s="19">
        <v>130138.82</v>
      </c>
      <c r="T44" s="19">
        <v>143420.87</v>
      </c>
      <c r="U44" s="19">
        <v>156702.92000000001</v>
      </c>
    </row>
    <row r="45" spans="1:21" x14ac:dyDescent="0.2">
      <c r="A45" s="29">
        <v>640</v>
      </c>
      <c r="B45" s="19">
        <v>-105156.4</v>
      </c>
      <c r="C45" s="19">
        <v>-92233.45</v>
      </c>
      <c r="D45" s="19">
        <v>-79310.5</v>
      </c>
      <c r="E45" s="19">
        <v>-66387.539999999994</v>
      </c>
      <c r="F45" s="19">
        <v>-53464.59</v>
      </c>
      <c r="G45" s="19">
        <v>-40541.64</v>
      </c>
      <c r="H45" s="19">
        <v>-27618.69</v>
      </c>
      <c r="I45" s="19">
        <v>-14695.74</v>
      </c>
      <c r="J45" s="19">
        <v>-1772.79</v>
      </c>
      <c r="K45" s="19">
        <v>11150.16</v>
      </c>
      <c r="L45" s="19">
        <v>24073.119999999999</v>
      </c>
      <c r="M45" s="19">
        <v>36996.07</v>
      </c>
      <c r="N45" s="19">
        <v>49919.02</v>
      </c>
      <c r="O45" s="19">
        <v>62841.97</v>
      </c>
      <c r="P45" s="19">
        <v>75764.92</v>
      </c>
      <c r="Q45" s="19">
        <v>88687.87</v>
      </c>
      <c r="R45" s="19">
        <v>101610.82</v>
      </c>
      <c r="S45" s="19">
        <v>114533.78</v>
      </c>
      <c r="T45" s="19">
        <v>127456.73</v>
      </c>
      <c r="U45" s="19">
        <v>140379.68</v>
      </c>
    </row>
    <row r="46" spans="1:21" x14ac:dyDescent="0.2">
      <c r="A46" s="29">
        <v>645</v>
      </c>
      <c r="B46" s="19">
        <v>-114509.51</v>
      </c>
      <c r="C46" s="19">
        <v>-101940.09</v>
      </c>
      <c r="D46" s="19">
        <v>-89370.67</v>
      </c>
      <c r="E46" s="19">
        <v>-76801.240000000005</v>
      </c>
      <c r="F46" s="19">
        <v>-64231.82</v>
      </c>
      <c r="G46" s="19">
        <v>-51662.400000000001</v>
      </c>
      <c r="H46" s="19">
        <v>-39092.980000000003</v>
      </c>
      <c r="I46" s="19">
        <v>-26523.55</v>
      </c>
      <c r="J46" s="19">
        <v>-13954.13</v>
      </c>
      <c r="K46" s="19">
        <v>-1384.71</v>
      </c>
      <c r="L46" s="19">
        <v>11184.71</v>
      </c>
      <c r="M46" s="19">
        <v>23754.13</v>
      </c>
      <c r="N46" s="19">
        <v>36323.56</v>
      </c>
      <c r="O46" s="19">
        <v>48892.98</v>
      </c>
      <c r="P46" s="19">
        <v>61462.400000000001</v>
      </c>
      <c r="Q46" s="19">
        <v>74031.820000000007</v>
      </c>
      <c r="R46" s="19">
        <v>86601.24</v>
      </c>
      <c r="S46" s="19">
        <v>99170.67</v>
      </c>
      <c r="T46" s="19">
        <v>111740.09</v>
      </c>
      <c r="U46" s="19">
        <v>124309.51</v>
      </c>
    </row>
    <row r="47" spans="1:21" x14ac:dyDescent="0.2">
      <c r="A47" s="29">
        <v>650</v>
      </c>
      <c r="B47" s="19">
        <v>-123718.73</v>
      </c>
      <c r="C47" s="19">
        <v>-111497.39</v>
      </c>
      <c r="D47" s="19">
        <v>-99276.06</v>
      </c>
      <c r="E47" s="19">
        <v>-87054.73</v>
      </c>
      <c r="F47" s="19">
        <v>-74833.399999999994</v>
      </c>
      <c r="G47" s="19">
        <v>-62612.07</v>
      </c>
      <c r="H47" s="19">
        <v>-50390.74</v>
      </c>
      <c r="I47" s="19">
        <v>-38169.4</v>
      </c>
      <c r="J47" s="19">
        <v>-25948.07</v>
      </c>
      <c r="K47" s="19">
        <v>-13726.74</v>
      </c>
      <c r="L47" s="19">
        <v>-1505.41</v>
      </c>
      <c r="M47" s="19">
        <v>10715.92</v>
      </c>
      <c r="N47" s="19">
        <v>22937.25</v>
      </c>
      <c r="O47" s="19">
        <v>35158.589999999997</v>
      </c>
      <c r="P47" s="19">
        <v>47379.92</v>
      </c>
      <c r="Q47" s="19">
        <v>59601.25</v>
      </c>
      <c r="R47" s="19">
        <v>71822.58</v>
      </c>
      <c r="S47" s="19">
        <v>84043.91</v>
      </c>
      <c r="T47" s="19">
        <v>96265.24</v>
      </c>
      <c r="U47" s="19">
        <v>108486.58</v>
      </c>
    </row>
    <row r="48" spans="1:21" x14ac:dyDescent="0.2">
      <c r="A48" s="29">
        <v>655</v>
      </c>
      <c r="B48" s="19">
        <v>-132787.34</v>
      </c>
      <c r="C48" s="19">
        <v>-120908.79</v>
      </c>
      <c r="D48" s="19">
        <v>-109030.23</v>
      </c>
      <c r="E48" s="19">
        <v>-97151.679999999993</v>
      </c>
      <c r="F48" s="19">
        <v>-85273.12</v>
      </c>
      <c r="G48" s="19">
        <v>-73394.570000000007</v>
      </c>
      <c r="H48" s="19">
        <v>-61516.01</v>
      </c>
      <c r="I48" s="19">
        <v>-49637.45</v>
      </c>
      <c r="J48" s="19">
        <v>-37758.9</v>
      </c>
      <c r="K48" s="19">
        <v>-25880.34</v>
      </c>
      <c r="L48" s="19">
        <v>-14001.79</v>
      </c>
      <c r="M48" s="19">
        <v>-2123.23</v>
      </c>
      <c r="N48" s="19">
        <v>9755.32</v>
      </c>
      <c r="O48" s="19">
        <v>21633.88</v>
      </c>
      <c r="P48" s="19">
        <v>33512.43</v>
      </c>
      <c r="Q48" s="19">
        <v>45390.99</v>
      </c>
      <c r="R48" s="19">
        <v>57269.55</v>
      </c>
      <c r="S48" s="19">
        <v>69148.100000000006</v>
      </c>
      <c r="T48" s="19">
        <v>81026.66</v>
      </c>
      <c r="U48" s="19">
        <v>92905.21</v>
      </c>
    </row>
    <row r="49" spans="1:21" x14ac:dyDescent="0.2">
      <c r="A49" s="29">
        <v>660</v>
      </c>
      <c r="B49" s="19">
        <v>-141718.56</v>
      </c>
      <c r="C49" s="19">
        <v>-130177.59</v>
      </c>
      <c r="D49" s="19">
        <v>-118636.61</v>
      </c>
      <c r="E49" s="19">
        <v>-107095.64</v>
      </c>
      <c r="F49" s="19">
        <v>-95554.67</v>
      </c>
      <c r="G49" s="19">
        <v>-84013.69</v>
      </c>
      <c r="H49" s="19">
        <v>-72472.72</v>
      </c>
      <c r="I49" s="19">
        <v>-60931.75</v>
      </c>
      <c r="J49" s="19">
        <v>-49390.77</v>
      </c>
      <c r="K49" s="19">
        <v>-37849.800000000003</v>
      </c>
      <c r="L49" s="19">
        <v>-26308.83</v>
      </c>
      <c r="M49" s="19">
        <v>-14767.85</v>
      </c>
      <c r="N49" s="19">
        <v>-3226.88</v>
      </c>
      <c r="O49" s="19">
        <v>8314.09</v>
      </c>
      <c r="P49" s="19">
        <v>19855.060000000001</v>
      </c>
      <c r="Q49" s="19">
        <v>31396.04</v>
      </c>
      <c r="R49" s="19">
        <v>42937.01</v>
      </c>
      <c r="S49" s="19">
        <v>54477.98</v>
      </c>
      <c r="T49" s="19">
        <v>66018.960000000006</v>
      </c>
      <c r="U49" s="19">
        <v>77559.929999999993</v>
      </c>
    </row>
    <row r="50" spans="1:21" x14ac:dyDescent="0.2">
      <c r="A50" s="29">
        <v>665</v>
      </c>
      <c r="B50" s="19">
        <v>-150515.47</v>
      </c>
      <c r="C50" s="19">
        <v>-139307</v>
      </c>
      <c r="D50" s="19">
        <v>-128098.54</v>
      </c>
      <c r="E50" s="19">
        <v>-116890.07</v>
      </c>
      <c r="F50" s="19">
        <v>-105681.60000000001</v>
      </c>
      <c r="G50" s="19">
        <v>-94473.13</v>
      </c>
      <c r="H50" s="19">
        <v>-83264.67</v>
      </c>
      <c r="I50" s="19">
        <v>-72056.2</v>
      </c>
      <c r="J50" s="19">
        <v>-60847.73</v>
      </c>
      <c r="K50" s="19">
        <v>-49639.27</v>
      </c>
      <c r="L50" s="19">
        <v>-38430.800000000003</v>
      </c>
      <c r="M50" s="19">
        <v>-27222.33</v>
      </c>
      <c r="N50" s="19">
        <v>-16013.87</v>
      </c>
      <c r="O50" s="19">
        <v>-4805.3999999999996</v>
      </c>
      <c r="P50" s="19">
        <v>6403.07</v>
      </c>
      <c r="Q50" s="19">
        <v>17611.54</v>
      </c>
      <c r="R50" s="19">
        <v>28820</v>
      </c>
      <c r="S50" s="19">
        <v>40028.47</v>
      </c>
      <c r="T50" s="19">
        <v>51236.94</v>
      </c>
      <c r="U50" s="19">
        <v>62445.4</v>
      </c>
    </row>
    <row r="51" spans="1:21" x14ac:dyDescent="0.2">
      <c r="A51" s="29">
        <v>670</v>
      </c>
      <c r="B51" s="19">
        <v>-159181.07999999999</v>
      </c>
      <c r="C51" s="19">
        <v>-148300.16</v>
      </c>
      <c r="D51" s="19">
        <v>-137419.24</v>
      </c>
      <c r="E51" s="19">
        <v>-126538.31</v>
      </c>
      <c r="F51" s="19">
        <v>-115657.39</v>
      </c>
      <c r="G51" s="19">
        <v>-104776.46</v>
      </c>
      <c r="H51" s="19">
        <v>-93895.54</v>
      </c>
      <c r="I51" s="19">
        <v>-83014.62</v>
      </c>
      <c r="J51" s="19">
        <v>-72133.69</v>
      </c>
      <c r="K51" s="19">
        <v>-61252.77</v>
      </c>
      <c r="L51" s="19">
        <v>-50371.85</v>
      </c>
      <c r="M51" s="19">
        <v>-39490.92</v>
      </c>
      <c r="N51" s="19">
        <v>-28610</v>
      </c>
      <c r="O51" s="19">
        <v>-17729.07</v>
      </c>
      <c r="P51" s="19">
        <v>-6848.15</v>
      </c>
      <c r="Q51" s="19">
        <v>4032.77</v>
      </c>
      <c r="R51" s="19">
        <v>14913.7</v>
      </c>
      <c r="S51" s="19">
        <v>25794.62</v>
      </c>
      <c r="T51" s="19">
        <v>36675.54</v>
      </c>
      <c r="U51" s="19">
        <v>47556.47</v>
      </c>
    </row>
    <row r="52" spans="1:21" x14ac:dyDescent="0.2">
      <c r="A52" s="29">
        <v>675</v>
      </c>
      <c r="B52" s="19">
        <v>-167718.32</v>
      </c>
      <c r="C52" s="19">
        <v>-157160.07999999999</v>
      </c>
      <c r="D52" s="19">
        <v>-146601.85</v>
      </c>
      <c r="E52" s="19">
        <v>-136043.62</v>
      </c>
      <c r="F52" s="19">
        <v>-125485.38</v>
      </c>
      <c r="G52" s="19">
        <v>-114927.15</v>
      </c>
      <c r="H52" s="19">
        <v>-104368.92</v>
      </c>
      <c r="I52" s="19">
        <v>-93810.69</v>
      </c>
      <c r="J52" s="19">
        <v>-83252.45</v>
      </c>
      <c r="K52" s="19">
        <v>-72694.22</v>
      </c>
      <c r="L52" s="19">
        <v>-62135.99</v>
      </c>
      <c r="M52" s="19">
        <v>-51577.75</v>
      </c>
      <c r="N52" s="19">
        <v>-41019.519999999997</v>
      </c>
      <c r="O52" s="19">
        <v>-30461.29</v>
      </c>
      <c r="P52" s="19">
        <v>-19903.060000000001</v>
      </c>
      <c r="Q52" s="19">
        <v>-9344.82</v>
      </c>
      <c r="R52" s="19">
        <v>1213.4100000000001</v>
      </c>
      <c r="S52" s="19">
        <v>11771.64</v>
      </c>
      <c r="T52" s="19">
        <v>22329.88</v>
      </c>
      <c r="U52" s="19">
        <v>32888.11</v>
      </c>
    </row>
    <row r="53" spans="1:21" x14ac:dyDescent="0.2">
      <c r="A53" s="29">
        <v>680</v>
      </c>
      <c r="B53" s="19">
        <v>-176130</v>
      </c>
      <c r="C53" s="19">
        <v>-165889.72</v>
      </c>
      <c r="D53" s="19">
        <v>-155649.43</v>
      </c>
      <c r="E53" s="19">
        <v>-145409.14000000001</v>
      </c>
      <c r="F53" s="19">
        <v>-135168.85</v>
      </c>
      <c r="G53" s="19">
        <v>-124928.57</v>
      </c>
      <c r="H53" s="19">
        <v>-114688.28</v>
      </c>
      <c r="I53" s="19">
        <v>-104447.99</v>
      </c>
      <c r="J53" s="19">
        <v>-94207.7</v>
      </c>
      <c r="K53" s="19">
        <v>-83967.42</v>
      </c>
      <c r="L53" s="19">
        <v>-73727.13</v>
      </c>
      <c r="M53" s="19">
        <v>-63486.84</v>
      </c>
      <c r="N53" s="19">
        <v>-53246.55</v>
      </c>
      <c r="O53" s="19">
        <v>-43006.27</v>
      </c>
      <c r="P53" s="19">
        <v>-32765.98</v>
      </c>
      <c r="Q53" s="19">
        <v>-22525.69</v>
      </c>
      <c r="R53" s="19">
        <v>-12285.4</v>
      </c>
      <c r="S53" s="19">
        <v>-2045.11</v>
      </c>
      <c r="T53" s="19">
        <v>8195.17</v>
      </c>
      <c r="U53" s="19">
        <v>18435.46</v>
      </c>
    </row>
    <row r="54" spans="1:21" x14ac:dyDescent="0.2">
      <c r="A54" s="29">
        <v>685</v>
      </c>
      <c r="B54" s="19">
        <v>-184418.89</v>
      </c>
      <c r="C54" s="19">
        <v>-174491.91</v>
      </c>
      <c r="D54" s="19">
        <v>-164564.92000000001</v>
      </c>
      <c r="E54" s="19">
        <v>-154637.94</v>
      </c>
      <c r="F54" s="19">
        <v>-144710.96</v>
      </c>
      <c r="G54" s="19">
        <v>-134783.97</v>
      </c>
      <c r="H54" s="19">
        <v>-124856.99</v>
      </c>
      <c r="I54" s="19">
        <v>-114930</v>
      </c>
      <c r="J54" s="19">
        <v>-105003.02</v>
      </c>
      <c r="K54" s="19">
        <v>-95076.04</v>
      </c>
      <c r="L54" s="19">
        <v>-85149.05</v>
      </c>
      <c r="M54" s="19">
        <v>-75222.070000000007</v>
      </c>
      <c r="N54" s="19">
        <v>-65295.09</v>
      </c>
      <c r="O54" s="19">
        <v>-55368.1</v>
      </c>
      <c r="P54" s="19">
        <v>-45441.120000000003</v>
      </c>
      <c r="Q54" s="19">
        <v>-35514.14</v>
      </c>
      <c r="R54" s="19">
        <v>-25587.15</v>
      </c>
      <c r="S54" s="19">
        <v>-15660.17</v>
      </c>
      <c r="T54" s="19">
        <v>-5733.18</v>
      </c>
      <c r="U54" s="19">
        <v>4193.8</v>
      </c>
    </row>
    <row r="55" spans="1:21" x14ac:dyDescent="0.2">
      <c r="A55" s="29">
        <v>690</v>
      </c>
      <c r="B55" s="19">
        <v>-192587.65</v>
      </c>
      <c r="C55" s="19">
        <v>-182969.43</v>
      </c>
      <c r="D55" s="19">
        <v>-173351.21</v>
      </c>
      <c r="E55" s="19">
        <v>-163732.99</v>
      </c>
      <c r="F55" s="19">
        <v>-154114.76999999999</v>
      </c>
      <c r="G55" s="19">
        <v>-144496.54999999999</v>
      </c>
      <c r="H55" s="19">
        <v>-134878.32999999999</v>
      </c>
      <c r="I55" s="19">
        <v>-125260.11</v>
      </c>
      <c r="J55" s="19">
        <v>-115641.89</v>
      </c>
      <c r="K55" s="19">
        <v>-106023.67</v>
      </c>
      <c r="L55" s="19">
        <v>-96405.440000000002</v>
      </c>
      <c r="M55" s="19">
        <v>-86787.22</v>
      </c>
      <c r="N55" s="19">
        <v>-77169</v>
      </c>
      <c r="O55" s="19">
        <v>-67550.78</v>
      </c>
      <c r="P55" s="19">
        <v>-57932.56</v>
      </c>
      <c r="Q55" s="19">
        <v>-48314.34</v>
      </c>
      <c r="R55" s="19">
        <v>-38696.120000000003</v>
      </c>
      <c r="S55" s="19">
        <v>-29077.9</v>
      </c>
      <c r="T55" s="19">
        <v>-19459.68</v>
      </c>
      <c r="U55" s="19">
        <v>-9841.4599999999991</v>
      </c>
    </row>
    <row r="56" spans="1:21" x14ac:dyDescent="0.2">
      <c r="A56" s="29">
        <v>695</v>
      </c>
      <c r="B56" s="19">
        <v>-200638.87</v>
      </c>
      <c r="C56" s="19">
        <v>-191324.97</v>
      </c>
      <c r="D56" s="19">
        <v>-182011.07</v>
      </c>
      <c r="E56" s="19">
        <v>-172697.17</v>
      </c>
      <c r="F56" s="19">
        <v>-163383.26999999999</v>
      </c>
      <c r="G56" s="19">
        <v>-154069.37</v>
      </c>
      <c r="H56" s="19">
        <v>-144755.47</v>
      </c>
      <c r="I56" s="19">
        <v>-135441.57</v>
      </c>
      <c r="J56" s="19">
        <v>-126127.67</v>
      </c>
      <c r="K56" s="19">
        <v>-116813.77</v>
      </c>
      <c r="L56" s="19">
        <v>-107499.87</v>
      </c>
      <c r="M56" s="19">
        <v>-98185.97</v>
      </c>
      <c r="N56" s="19">
        <v>-88872.07</v>
      </c>
      <c r="O56" s="19">
        <v>-79558.17</v>
      </c>
      <c r="P56" s="19">
        <v>-70244.27</v>
      </c>
      <c r="Q56" s="19">
        <v>-60930.37</v>
      </c>
      <c r="R56" s="19">
        <v>-51616.47</v>
      </c>
      <c r="S56" s="19">
        <v>-42302.57</v>
      </c>
      <c r="T56" s="19">
        <v>-32988.67</v>
      </c>
      <c r="U56" s="19">
        <v>-23674.77</v>
      </c>
    </row>
    <row r="57" spans="1:21" x14ac:dyDescent="0.2">
      <c r="A57" s="29">
        <v>700</v>
      </c>
      <c r="B57" s="19">
        <v>-208575.08</v>
      </c>
      <c r="C57" s="19">
        <v>-199561.15</v>
      </c>
      <c r="D57" s="19">
        <v>-190547.23</v>
      </c>
      <c r="E57" s="19">
        <v>-181533.3</v>
      </c>
      <c r="F57" s="19">
        <v>-172519.37</v>
      </c>
      <c r="G57" s="19">
        <v>-163505.44</v>
      </c>
      <c r="H57" s="19">
        <v>-154491.51999999999</v>
      </c>
      <c r="I57" s="19">
        <v>-145477.59</v>
      </c>
      <c r="J57" s="19">
        <v>-136463.66</v>
      </c>
      <c r="K57" s="19">
        <v>-127449.74</v>
      </c>
      <c r="L57" s="19">
        <v>-118435.81</v>
      </c>
      <c r="M57" s="19">
        <v>-109421.88</v>
      </c>
      <c r="N57" s="19">
        <v>-100407.96</v>
      </c>
      <c r="O57" s="19">
        <v>-91394.03</v>
      </c>
      <c r="P57" s="19">
        <v>-82380.100000000006</v>
      </c>
      <c r="Q57" s="19">
        <v>-73366.179999999993</v>
      </c>
      <c r="R57" s="19">
        <v>-64352.25</v>
      </c>
      <c r="S57" s="19">
        <v>-55338.32</v>
      </c>
      <c r="T57" s="19">
        <v>-46324.4</v>
      </c>
      <c r="U57" s="19">
        <v>-37310.47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9"/>
  <sheetViews>
    <sheetView workbookViewId="0"/>
  </sheetViews>
  <sheetFormatPr baseColWidth="10" defaultColWidth="8.83203125" defaultRowHeight="15" x14ac:dyDescent="0.2"/>
  <cols>
    <col min="1" max="1" width="34" customWidth="1"/>
    <col min="2" max="2" width="22" customWidth="1"/>
  </cols>
  <sheetData>
    <row r="1" spans="1:2" ht="19" x14ac:dyDescent="0.25">
      <c r="A1" s="1" t="s">
        <v>122</v>
      </c>
    </row>
    <row r="2" spans="1:2" x14ac:dyDescent="0.2">
      <c r="A2" s="4" t="s">
        <v>123</v>
      </c>
    </row>
    <row r="4" spans="1:2" x14ac:dyDescent="0.2">
      <c r="A4" s="12" t="s">
        <v>124</v>
      </c>
      <c r="B4" s="30">
        <f>REPONSES!$B$11</f>
        <v>204500</v>
      </c>
    </row>
    <row r="5" spans="1:2" x14ac:dyDescent="0.2">
      <c r="A5" s="12" t="s">
        <v>125</v>
      </c>
      <c r="B5" s="30">
        <f>REPONSES!$B$23</f>
        <v>33174.538819643931</v>
      </c>
    </row>
    <row r="6" spans="1:2" x14ac:dyDescent="0.2">
      <c r="A6" s="12" t="s">
        <v>126</v>
      </c>
      <c r="B6" s="31">
        <f>REPONSES!$B$24</f>
        <v>0.2709937766043431</v>
      </c>
    </row>
    <row r="7" spans="1:2" x14ac:dyDescent="0.2">
      <c r="A7" s="12" t="s">
        <v>127</v>
      </c>
      <c r="B7" s="32">
        <f>REPONSES!$B$27</f>
        <v>20</v>
      </c>
    </row>
    <row r="8" spans="1:2" x14ac:dyDescent="0.2">
      <c r="A8" s="12" t="s">
        <v>128</v>
      </c>
      <c r="B8" s="33">
        <f>REPONSES!$B$25</f>
        <v>7549</v>
      </c>
    </row>
    <row r="9" spans="1:2" x14ac:dyDescent="0.2">
      <c r="A9" s="12" t="s">
        <v>129</v>
      </c>
      <c r="B9" s="34">
        <f>REPONSES!$B$32</f>
        <v>644.44382162836166</v>
      </c>
    </row>
    <row r="10" spans="1:2" x14ac:dyDescent="0.2">
      <c r="A10" s="12" t="s">
        <v>130</v>
      </c>
      <c r="B10" s="31">
        <f>REPONSES!$B$33</f>
        <v>2.0658570839977353E-2</v>
      </c>
    </row>
    <row r="11" spans="1:2" x14ac:dyDescent="0.2">
      <c r="A11" s="12" t="s">
        <v>131</v>
      </c>
      <c r="B11" s="30">
        <f>REPONSES!$B$29</f>
        <v>-171318.38824305116</v>
      </c>
    </row>
    <row r="12" spans="1:2" x14ac:dyDescent="0.2">
      <c r="A12" s="12" t="s">
        <v>132</v>
      </c>
      <c r="B12" s="30">
        <f>REPONSES!$B$30</f>
        <v>223831.82737064583</v>
      </c>
    </row>
    <row r="15" spans="1:2" x14ac:dyDescent="0.2">
      <c r="A15" s="12" t="s">
        <v>133</v>
      </c>
    </row>
    <row r="16" spans="1:2" x14ac:dyDescent="0.2">
      <c r="A16" s="45" t="s">
        <v>134</v>
      </c>
      <c r="B16" s="46"/>
    </row>
    <row r="17" spans="1:2" x14ac:dyDescent="0.2">
      <c r="A17" s="46"/>
      <c r="B17" s="46"/>
    </row>
    <row r="18" spans="1:2" x14ac:dyDescent="0.2">
      <c r="A18" s="46"/>
      <c r="B18" s="46"/>
    </row>
    <row r="19" spans="1:2" x14ac:dyDescent="0.2">
      <c r="A19" s="46"/>
      <c r="B19" s="46"/>
    </row>
  </sheetData>
  <mergeCells count="1">
    <mergeCell ref="A16:B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2"/>
  <sheetViews>
    <sheetView workbookViewId="0"/>
  </sheetViews>
  <sheetFormatPr baseColWidth="10" defaultColWidth="8.83203125" defaultRowHeight="15" x14ac:dyDescent="0.2"/>
  <cols>
    <col min="1" max="1" width="56" customWidth="1"/>
    <col min="2" max="2" width="18" customWidth="1"/>
    <col min="3" max="3" width="68" customWidth="1"/>
  </cols>
  <sheetData>
    <row r="1" spans="1:3" ht="19" x14ac:dyDescent="0.25">
      <c r="A1" s="1" t="s">
        <v>135</v>
      </c>
    </row>
    <row r="2" spans="1:3" x14ac:dyDescent="0.2">
      <c r="A2" s="4" t="s">
        <v>136</v>
      </c>
    </row>
    <row r="4" spans="1:3" ht="22" customHeight="1" x14ac:dyDescent="0.2">
      <c r="A4" s="5" t="s">
        <v>137</v>
      </c>
      <c r="B4" s="5" t="s">
        <v>26</v>
      </c>
      <c r="C4" s="5" t="s">
        <v>138</v>
      </c>
    </row>
    <row r="5" spans="1:3" x14ac:dyDescent="0.2">
      <c r="A5" s="16" t="s">
        <v>139</v>
      </c>
      <c r="B5" s="35">
        <f>COUNT(HYPOTHESES!$B$5:$B$18)</f>
        <v>14</v>
      </c>
      <c r="C5" s="4" t="s">
        <v>140</v>
      </c>
    </row>
    <row r="6" spans="1:3" x14ac:dyDescent="0.2">
      <c r="A6" s="16" t="s">
        <v>141</v>
      </c>
      <c r="B6" s="35">
        <f>14-COUNT(HYPOTHESES!$B$5:$B$18)</f>
        <v>0</v>
      </c>
      <c r="C6" s="4" t="s">
        <v>142</v>
      </c>
    </row>
    <row r="7" spans="1:3" x14ac:dyDescent="0.2">
      <c r="A7" s="16" t="s">
        <v>143</v>
      </c>
      <c r="B7" s="35">
        <f>ROUND(INDEX(F_VOLUME,24)-H_VOLUME_CROISIERE,0)</f>
        <v>0</v>
      </c>
      <c r="C7" s="4" t="s">
        <v>144</v>
      </c>
    </row>
    <row r="8" spans="1:3" x14ac:dyDescent="0.2">
      <c r="A8" s="16" t="s">
        <v>145</v>
      </c>
      <c r="B8" s="36">
        <f>ROUND(INDEX(F_CUMUL,25)-(SUM(F_FLUX1)-REPONSES!$B$11),2)</f>
        <v>0</v>
      </c>
      <c r="C8" s="4" t="s">
        <v>146</v>
      </c>
    </row>
    <row r="9" spans="1:3" x14ac:dyDescent="0.2">
      <c r="A9" s="16" t="s">
        <v>147</v>
      </c>
      <c r="B9" s="35">
        <f>ROUND(INDEX(t_Scenarios[Volume_croisiere],2)-H_VOLUME_CROISIERE,0)</f>
        <v>0</v>
      </c>
      <c r="C9" s="4" t="s">
        <v>148</v>
      </c>
    </row>
    <row r="10" spans="1:3" x14ac:dyDescent="0.2">
      <c r="A10" s="16" t="s">
        <v>149</v>
      </c>
      <c r="B10" s="35">
        <f>ROUND(INDEX(t_Scenarios[Prix_XOF],2)-H_PRIX_XOF,0)</f>
        <v>0</v>
      </c>
      <c r="C10" s="4" t="s">
        <v>150</v>
      </c>
    </row>
    <row r="11" spans="1:3" x14ac:dyDescent="0.2">
      <c r="A11" s="16" t="s">
        <v>151</v>
      </c>
      <c r="B11" s="37" t="str">
        <f>IF(REPONSES!$B$23&gt;0,"PASS","FAIL")</f>
        <v>PASS</v>
      </c>
      <c r="C11" s="4" t="s">
        <v>152</v>
      </c>
    </row>
    <row r="12" spans="1:3" x14ac:dyDescent="0.2">
      <c r="A12" s="16" t="s">
        <v>153</v>
      </c>
      <c r="B12" s="37" t="str">
        <f>IF(AND(REPONSES!$B$29&lt;REPONSES!$B$23,REPONSES!$B$23&lt;REPONSES!$B$30),"PASS","FAIL")</f>
        <v>PASS</v>
      </c>
      <c r="C12" s="4" t="s">
        <v>154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6"/>
  <sheetViews>
    <sheetView workbookViewId="0"/>
  </sheetViews>
  <sheetFormatPr baseColWidth="10" defaultColWidth="8.83203125" defaultRowHeight="15" x14ac:dyDescent="0.2"/>
  <cols>
    <col min="1" max="1" width="70" customWidth="1"/>
    <col min="2" max="2" width="22" customWidth="1"/>
  </cols>
  <sheetData>
    <row r="1" spans="1:2" ht="19" x14ac:dyDescent="0.25">
      <c r="A1" s="1" t="s">
        <v>155</v>
      </c>
    </row>
    <row r="2" spans="1:2" x14ac:dyDescent="0.2">
      <c r="A2" s="4" t="s">
        <v>156</v>
      </c>
    </row>
    <row r="4" spans="1:2" x14ac:dyDescent="0.2">
      <c r="A4" s="12" t="s">
        <v>157</v>
      </c>
    </row>
    <row r="5" spans="1:2" x14ac:dyDescent="0.2">
      <c r="A5" s="16" t="s">
        <v>158</v>
      </c>
      <c r="B5" s="38">
        <v>644.44000000000005</v>
      </c>
    </row>
    <row r="6" spans="1:2" x14ac:dyDescent="0.2">
      <c r="A6" s="16" t="s">
        <v>159</v>
      </c>
      <c r="B6" s="39">
        <v>-171318.39</v>
      </c>
    </row>
    <row r="7" spans="1:2" x14ac:dyDescent="0.2">
      <c r="A7" s="16" t="s">
        <v>160</v>
      </c>
      <c r="B7" s="39">
        <v>-72472.72</v>
      </c>
    </row>
    <row r="9" spans="1:2" x14ac:dyDescent="0.2">
      <c r="A9" s="12" t="s">
        <v>161</v>
      </c>
    </row>
    <row r="11" spans="1:2" x14ac:dyDescent="0.2">
      <c r="A11" s="16" t="s">
        <v>162</v>
      </c>
      <c r="B11" s="40">
        <f>H_AMENAGEMENT+H_MATERIEL+H_STOCK_INITIAL</f>
        <v>204500</v>
      </c>
    </row>
    <row r="12" spans="1:2" x14ac:dyDescent="0.2">
      <c r="A12" s="16" t="s">
        <v>163</v>
      </c>
      <c r="B12" s="41">
        <f>H_LOYER_XOF+H_PERSONNEL_XOF+H_AUTRES_XOF</f>
        <v>11150000</v>
      </c>
    </row>
    <row r="13" spans="1:2" x14ac:dyDescent="0.2">
      <c r="A13" s="16" t="s">
        <v>105</v>
      </c>
      <c r="B13" s="42">
        <f>(1+H_ACTUALISATION)^(1/12)-1</f>
        <v>1.0978851950173452E-2</v>
      </c>
    </row>
    <row r="14" spans="1:2" x14ac:dyDescent="0.2">
      <c r="A14" s="16" t="s">
        <v>164</v>
      </c>
      <c r="B14" s="43">
        <f>H_TAUX_XOF*(1+H_DERIVE_TAUX)^24</f>
        <v>703.23934957204165</v>
      </c>
    </row>
    <row r="15" spans="1:2" x14ac:dyDescent="0.2">
      <c r="A15" s="16" t="s">
        <v>165</v>
      </c>
      <c r="B15" s="35">
        <f>SUM(F_VOLUME)</f>
        <v>360900</v>
      </c>
    </row>
    <row r="16" spans="1:2" x14ac:dyDescent="0.2">
      <c r="A16" s="16" t="s">
        <v>166</v>
      </c>
      <c r="B16" s="35">
        <f>INDEX(F_VOLUME,12)</f>
        <v>17146.153846153844</v>
      </c>
    </row>
    <row r="17" spans="1:2" x14ac:dyDescent="0.2">
      <c r="A17" s="16" t="s">
        <v>167</v>
      </c>
      <c r="B17" s="36">
        <f>SUM(F_CA_USD)</f>
        <v>2328209.618961494</v>
      </c>
    </row>
    <row r="18" spans="1:2" x14ac:dyDescent="0.2">
      <c r="A18" s="16" t="s">
        <v>168</v>
      </c>
      <c r="B18" s="36">
        <f>SUM(F_ACHATS)</f>
        <v>1642095</v>
      </c>
    </row>
    <row r="19" spans="1:2" x14ac:dyDescent="0.2">
      <c r="A19" s="16" t="s">
        <v>169</v>
      </c>
      <c r="B19" s="36">
        <f>SUM(F_CHARGES_USD)</f>
        <v>400882.4132078999</v>
      </c>
    </row>
    <row r="20" spans="1:2" x14ac:dyDescent="0.2">
      <c r="A20" s="16" t="s">
        <v>170</v>
      </c>
      <c r="B20" s="36">
        <f>B17-B18</f>
        <v>686114.61896149395</v>
      </c>
    </row>
    <row r="21" spans="1:2" x14ac:dyDescent="0.2">
      <c r="A21" s="16" t="s">
        <v>171</v>
      </c>
      <c r="B21" s="44">
        <f>1-B18/B17</f>
        <v>0.29469623927914956</v>
      </c>
    </row>
    <row r="22" spans="1:2" x14ac:dyDescent="0.2">
      <c r="A22" s="16" t="s">
        <v>172</v>
      </c>
      <c r="B22" s="36">
        <f>SUM(F_FLUX1)</f>
        <v>285232.2057535944</v>
      </c>
    </row>
    <row r="23" spans="1:2" x14ac:dyDescent="0.2">
      <c r="A23" s="16" t="s">
        <v>173</v>
      </c>
      <c r="B23" s="36">
        <f>NPV(B13,F_FLUX1)-B11</f>
        <v>33174.538819643931</v>
      </c>
    </row>
    <row r="24" spans="1:2" x14ac:dyDescent="0.2">
      <c r="A24" s="16" t="s">
        <v>174</v>
      </c>
      <c r="B24" s="44">
        <f>(1+IRR(F_FLUX))^12-1</f>
        <v>0.2709937766043431</v>
      </c>
    </row>
    <row r="25" spans="1:2" x14ac:dyDescent="0.2">
      <c r="A25" s="16" t="s">
        <v>175</v>
      </c>
      <c r="B25" s="35">
        <f>ROUNDUP(B12/(H_PRIX_XOF-H_COUT_USD*H_TAUX_XOF),0)</f>
        <v>7549</v>
      </c>
    </row>
    <row r="26" spans="1:2" x14ac:dyDescent="0.2">
      <c r="A26" s="16" t="s">
        <v>176</v>
      </c>
      <c r="B26" s="35">
        <f>COUNTIF(F_VOLUME,"&lt;"&amp;H_VOLUME_CROISIERE)+1</f>
        <v>14</v>
      </c>
    </row>
    <row r="27" spans="1:2" x14ac:dyDescent="0.2">
      <c r="A27" s="16" t="s">
        <v>177</v>
      </c>
      <c r="B27" s="35">
        <f>COUNTIF(F_CUMUL,"&lt;0")</f>
        <v>20</v>
      </c>
    </row>
    <row r="28" spans="1:2" x14ac:dyDescent="0.2">
      <c r="A28" s="16" t="s">
        <v>178</v>
      </c>
      <c r="B28" s="36">
        <f>MAX(F_FLUX1)</f>
        <v>20851.239448975553</v>
      </c>
    </row>
    <row r="29" spans="1:2" x14ac:dyDescent="0.2">
      <c r="A29" s="16" t="s">
        <v>179</v>
      </c>
      <c r="B29" s="36">
        <f>NPV(B13,S_FLUX_PESS)-B11</f>
        <v>-171318.38824305116</v>
      </c>
    </row>
    <row r="30" spans="1:2" x14ac:dyDescent="0.2">
      <c r="A30" s="16" t="s">
        <v>180</v>
      </c>
      <c r="B30" s="36">
        <f>NPV(B13,S_FLUX_OPT)-B11</f>
        <v>223831.82737064583</v>
      </c>
    </row>
    <row r="31" spans="1:2" x14ac:dyDescent="0.2">
      <c r="A31" s="16" t="s">
        <v>181</v>
      </c>
      <c r="B31" s="36">
        <f>B30-B29</f>
        <v>395150.21561369696</v>
      </c>
    </row>
    <row r="32" spans="1:2" x14ac:dyDescent="0.2">
      <c r="A32" s="16" t="s">
        <v>182</v>
      </c>
      <c r="B32" s="43">
        <f>H_TAUX_XOF*SUMPRODUCT(F_MARGE_USD,F_ACTU)/(B11+SUMPRODUCT(F_ACHATS,F_ACTU))</f>
        <v>644.44382162836166</v>
      </c>
    </row>
    <row r="33" spans="1:2" x14ac:dyDescent="0.2">
      <c r="A33" s="16" t="s">
        <v>183</v>
      </c>
      <c r="B33" s="44">
        <f>B32/H_TAUX_XOF-1</f>
        <v>2.0658570839977353E-2</v>
      </c>
    </row>
    <row r="34" spans="1:2" x14ac:dyDescent="0.2">
      <c r="A34" s="16" t="s">
        <v>184</v>
      </c>
      <c r="B34" s="35">
        <f>SUMPRODUCT((Z_AUDIT&lt;&gt;"")*NOT(_xlfn.ISFORMULA(Z_AUDIT)))</f>
        <v>0</v>
      </c>
    </row>
    <row r="35" spans="1:2" x14ac:dyDescent="0.2">
      <c r="A35" s="16" t="s">
        <v>185</v>
      </c>
      <c r="B35" s="43">
        <f>ROUND(B5-B32,0)</f>
        <v>0</v>
      </c>
    </row>
    <row r="36" spans="1:2" x14ac:dyDescent="0.2">
      <c r="A36" s="16" t="s">
        <v>186</v>
      </c>
      <c r="B36" s="36">
        <f>ROUND(B22-(B17-B18-B19),2)</f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"/>
  <sheetViews>
    <sheetView workbookViewId="0"/>
  </sheetViews>
  <sheetFormatPr baseColWidth="10" defaultColWidth="8.83203125" defaultRowHeight="15" x14ac:dyDescent="0.2"/>
  <cols>
    <col min="1" max="1" width="30" customWidth="1"/>
    <col min="2" max="2" width="104" customWidth="1"/>
  </cols>
  <sheetData>
    <row r="1" spans="1:2" ht="19" x14ac:dyDescent="0.25">
      <c r="A1" s="1" t="s">
        <v>187</v>
      </c>
    </row>
    <row r="3" spans="1:2" ht="46" customHeight="1" x14ac:dyDescent="0.2">
      <c r="A3" s="2" t="s">
        <v>188</v>
      </c>
      <c r="B3" s="3" t="s">
        <v>189</v>
      </c>
    </row>
    <row r="4" spans="1:2" ht="46" customHeight="1" x14ac:dyDescent="0.2">
      <c r="A4" s="2" t="s">
        <v>190</v>
      </c>
      <c r="B4" s="3" t="s">
        <v>191</v>
      </c>
    </row>
    <row r="5" spans="1:2" ht="46" customHeight="1" x14ac:dyDescent="0.2">
      <c r="A5" s="2" t="s">
        <v>192</v>
      </c>
      <c r="B5" s="3" t="s">
        <v>193</v>
      </c>
    </row>
    <row r="6" spans="1:2" ht="46" customHeight="1" x14ac:dyDescent="0.2">
      <c r="A6" s="2" t="s">
        <v>194</v>
      </c>
      <c r="B6" s="3" t="s">
        <v>195</v>
      </c>
    </row>
    <row r="7" spans="1:2" ht="46" customHeight="1" x14ac:dyDescent="0.2">
      <c r="A7" s="2" t="s">
        <v>196</v>
      </c>
      <c r="B7" s="3" t="s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10</vt:i4>
      </vt:variant>
      <vt:variant>
        <vt:lpstr>Plages nommées</vt:lpstr>
      </vt:variant>
      <vt:variant>
        <vt:i4>33</vt:i4>
      </vt:variant>
    </vt:vector>
  </HeadingPairs>
  <TitlesOfParts>
    <vt:vector size="43" baseType="lpstr">
      <vt:lpstr>README</vt:lpstr>
      <vt:lpstr>HYPOTHESES</vt:lpstr>
      <vt:lpstr>RAW</vt:lpstr>
      <vt:lpstr>CLEAN</vt:lpstr>
      <vt:lpstr>CALCULS</vt:lpstr>
      <vt:lpstr>ANALYSE</vt:lpstr>
      <vt:lpstr>DASHBOARD</vt:lpstr>
      <vt:lpstr>QUALITE</vt:lpstr>
      <vt:lpstr>REPONSES</vt:lpstr>
      <vt:lpstr>ANNEXE_IA</vt:lpstr>
      <vt:lpstr>F_ACHATS</vt:lpstr>
      <vt:lpstr>F_ACTU</vt:lpstr>
      <vt:lpstr>F_CA_USD</vt:lpstr>
      <vt:lpstr>F_CHARGES_USD</vt:lpstr>
      <vt:lpstr>F_CUMUL</vt:lpstr>
      <vt:lpstr>F_FLUX</vt:lpstr>
      <vt:lpstr>F_FLUX1</vt:lpstr>
      <vt:lpstr>F_MARGE_USD</vt:lpstr>
      <vt:lpstr>F_TAUX</vt:lpstr>
      <vt:lpstr>F_VOLUME</vt:lpstr>
      <vt:lpstr>H_ACTUALISATION</vt:lpstr>
      <vt:lpstr>H_AMENAGEMENT</vt:lpstr>
      <vt:lpstr>H_AUTRES_XOF</vt:lpstr>
      <vt:lpstr>H_COUT_USD</vt:lpstr>
      <vt:lpstr>H_DERIVE_TAUX</vt:lpstr>
      <vt:lpstr>H_LOYER_XOF</vt:lpstr>
      <vt:lpstr>H_MATERIEL</vt:lpstr>
      <vt:lpstr>H_MONTEE</vt:lpstr>
      <vt:lpstr>H_PERSONNEL_XOF</vt:lpstr>
      <vt:lpstr>H_PRIX_XOF</vt:lpstr>
      <vt:lpstr>H_STOCK_INITIAL</vt:lpstr>
      <vt:lpstr>H_TAUX_XOF</vt:lpstr>
      <vt:lpstr>H_VOLUME_CROISIERE</vt:lpstr>
      <vt:lpstr>H_VOLUME_M1</vt:lpstr>
      <vt:lpstr>LIBRE_ANALYSE</vt:lpstr>
      <vt:lpstr>LIBRE_CALCULS</vt:lpstr>
      <vt:lpstr>LIBRE_CLEAN</vt:lpstr>
      <vt:lpstr>LIBRE_DASHBOARD</vt:lpstr>
      <vt:lpstr>R_CONTROLE</vt:lpstr>
      <vt:lpstr>R_ECART_TAUX</vt:lpstr>
      <vt:lpstr>S_FLUX_OPT</vt:lpstr>
      <vt:lpstr>S_FLUX_PESS</vt:lpstr>
      <vt:lpstr>Z_AUDIT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aksanti</cp:lastModifiedBy>
  <dcterms:created xsi:type="dcterms:W3CDTF">2026-09-17T23:13:59Z</dcterms:created>
  <dcterms:modified xsi:type="dcterms:W3CDTF">2026-09-17T23:14:14Z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2026-09-17T23:14:14Z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5ceb0cb7-0969-4605-a05e-0ceeaa2aca04</vt:lpwstr>
  </property>
  <property fmtid="{D5CDD505-2E9C-101B-9397-08002B2CF9AE}" pid="7" name="MSIP_Label_defa4170-0d19-0005-0004-bc88714345d2_ActionId">
    <vt:lpwstr>0855e44b-0833-4390-b131-e95b57e7aebc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