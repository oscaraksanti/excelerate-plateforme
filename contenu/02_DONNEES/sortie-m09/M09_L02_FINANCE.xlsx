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9/"/>
    </mc:Choice>
  </mc:AlternateContent>
  <xr:revisionPtr revIDLastSave="0" documentId="11_5645FF2F51DD5C03C80B07C50EE6B7E8A3AA6A62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VAN_TRI" sheetId="1" r:id="rId1"/>
    <sheet name="EMPRUNT" sheetId="2" r:id="rId2"/>
    <sheet name="SEUIL" sheetId="3" r:id="rId3"/>
    <sheet name="SOLVEUR" sheetId="4" r:id="rId4"/>
    <sheet name="ATTENDU" sheetId="5" r:id="rId5"/>
  </sheets>
  <definedNames>
    <definedName name="FLUX">VAN_TRI!$B$5:$B$11</definedName>
    <definedName name="FLUX_1_N">VAN_TRI!$B$6:$B$11</definedName>
    <definedName name="T_ACT">VAN_TRI!$E$4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B14" i="4" s="1"/>
  <c r="F10" i="4"/>
  <c r="F9" i="4"/>
  <c r="F8" i="4"/>
  <c r="F7" i="4"/>
  <c r="F6" i="4"/>
  <c r="F5" i="4"/>
  <c r="F11" i="4" s="1"/>
  <c r="C21" i="3"/>
  <c r="B21" i="3"/>
  <c r="D21" i="3" s="1"/>
  <c r="D20" i="3"/>
  <c r="C20" i="3"/>
  <c r="B20" i="3"/>
  <c r="D19" i="3"/>
  <c r="C19" i="3"/>
  <c r="B19" i="3"/>
  <c r="D18" i="3"/>
  <c r="C18" i="3"/>
  <c r="B18" i="3"/>
  <c r="C17" i="3"/>
  <c r="B17" i="3"/>
  <c r="D17" i="3" s="1"/>
  <c r="C16" i="3"/>
  <c r="B16" i="3"/>
  <c r="D16" i="3" s="1"/>
  <c r="C15" i="3"/>
  <c r="B15" i="3"/>
  <c r="D15" i="3" s="1"/>
  <c r="B8" i="3"/>
  <c r="B9" i="3" s="1"/>
  <c r="D31" i="2"/>
  <c r="E26" i="2"/>
  <c r="D23" i="2"/>
  <c r="E18" i="2"/>
  <c r="D15" i="2"/>
  <c r="E14" i="2"/>
  <c r="F14" i="2" s="1"/>
  <c r="B15" i="2" s="1"/>
  <c r="D14" i="2"/>
  <c r="B14" i="2"/>
  <c r="G11" i="2"/>
  <c r="G8" i="2"/>
  <c r="E69" i="2" s="1"/>
  <c r="E16" i="1"/>
  <c r="E14" i="1"/>
  <c r="E12" i="1"/>
  <c r="E9" i="1"/>
  <c r="E10" i="1" s="1"/>
  <c r="E8" i="1"/>
  <c r="E6" i="1"/>
  <c r="E7" i="1" s="1"/>
  <c r="B11" i="3" l="1"/>
  <c r="B10" i="3"/>
  <c r="D39" i="2"/>
  <c r="E42" i="2"/>
  <c r="D55" i="2"/>
  <c r="E58" i="2"/>
  <c r="D63" i="2"/>
  <c r="E66" i="2"/>
  <c r="D71" i="2"/>
  <c r="E34" i="2"/>
  <c r="D47" i="2"/>
  <c r="E50" i="2"/>
  <c r="E15" i="2"/>
  <c r="F15" i="2" s="1"/>
  <c r="B16" i="2" s="1"/>
  <c r="F16" i="2" s="1"/>
  <c r="B17" i="2" s="1"/>
  <c r="F17" i="2" s="1"/>
  <c r="B18" i="2" s="1"/>
  <c r="F18" i="2" s="1"/>
  <c r="B19" i="2" s="1"/>
  <c r="F19" i="2" s="1"/>
  <c r="B20" i="2" s="1"/>
  <c r="F20" i="2" s="1"/>
  <c r="B21" i="2" s="1"/>
  <c r="F21" i="2" s="1"/>
  <c r="B22" i="2" s="1"/>
  <c r="F22" i="2" s="1"/>
  <c r="B23" i="2" s="1"/>
  <c r="F23" i="2" s="1"/>
  <c r="B24" i="2" s="1"/>
  <c r="F24" i="2" s="1"/>
  <c r="B25" i="2" s="1"/>
  <c r="F25" i="2" s="1"/>
  <c r="B26" i="2" s="1"/>
  <c r="F26" i="2" s="1"/>
  <c r="B27" i="2" s="1"/>
  <c r="F27" i="2" s="1"/>
  <c r="B28" i="2" s="1"/>
  <c r="F28" i="2" s="1"/>
  <c r="B29" i="2" s="1"/>
  <c r="F29" i="2" s="1"/>
  <c r="B30" i="2" s="1"/>
  <c r="F30" i="2" s="1"/>
  <c r="B31" i="2" s="1"/>
  <c r="F31" i="2" s="1"/>
  <c r="B32" i="2" s="1"/>
  <c r="F32" i="2" s="1"/>
  <c r="B33" i="2" s="1"/>
  <c r="F33" i="2" s="1"/>
  <c r="B34" i="2" s="1"/>
  <c r="F34" i="2" s="1"/>
  <c r="B35" i="2" s="1"/>
  <c r="F35" i="2" s="1"/>
  <c r="B36" i="2" s="1"/>
  <c r="F36" i="2" s="1"/>
  <c r="B37" i="2" s="1"/>
  <c r="F37" i="2" s="1"/>
  <c r="B38" i="2" s="1"/>
  <c r="F38" i="2" s="1"/>
  <c r="B39" i="2" s="1"/>
  <c r="F39" i="2" s="1"/>
  <c r="B40" i="2" s="1"/>
  <c r="F40" i="2" s="1"/>
  <c r="B41" i="2" s="1"/>
  <c r="F41" i="2" s="1"/>
  <c r="B42" i="2" s="1"/>
  <c r="F42" i="2" s="1"/>
  <c r="B43" i="2" s="1"/>
  <c r="F43" i="2" s="1"/>
  <c r="B44" i="2" s="1"/>
  <c r="F44" i="2" s="1"/>
  <c r="B45" i="2" s="1"/>
  <c r="F45" i="2" s="1"/>
  <c r="B46" i="2" s="1"/>
  <c r="F46" i="2" s="1"/>
  <c r="B47" i="2" s="1"/>
  <c r="F47" i="2" s="1"/>
  <c r="B48" i="2" s="1"/>
  <c r="F48" i="2" s="1"/>
  <c r="B49" i="2" s="1"/>
  <c r="F49" i="2" s="1"/>
  <c r="B50" i="2" s="1"/>
  <c r="F50" i="2" s="1"/>
  <c r="B51" i="2" s="1"/>
  <c r="F51" i="2" s="1"/>
  <c r="B52" i="2" s="1"/>
  <c r="F52" i="2" s="1"/>
  <c r="B53" i="2" s="1"/>
  <c r="F53" i="2" s="1"/>
  <c r="B54" i="2" s="1"/>
  <c r="F54" i="2" s="1"/>
  <c r="B55" i="2" s="1"/>
  <c r="F55" i="2" s="1"/>
  <c r="B56" i="2" s="1"/>
  <c r="F56" i="2" s="1"/>
  <c r="B57" i="2" s="1"/>
  <c r="F57" i="2" s="1"/>
  <c r="B58" i="2" s="1"/>
  <c r="F58" i="2" s="1"/>
  <c r="B59" i="2" s="1"/>
  <c r="F59" i="2" s="1"/>
  <c r="B60" i="2" s="1"/>
  <c r="F60" i="2" s="1"/>
  <c r="B61" i="2" s="1"/>
  <c r="F61" i="2" s="1"/>
  <c r="B62" i="2" s="1"/>
  <c r="F62" i="2" s="1"/>
  <c r="B63" i="2" s="1"/>
  <c r="F63" i="2" s="1"/>
  <c r="B64" i="2" s="1"/>
  <c r="F64" i="2" s="1"/>
  <c r="B65" i="2" s="1"/>
  <c r="F65" i="2" s="1"/>
  <c r="B66" i="2" s="1"/>
  <c r="F66" i="2" s="1"/>
  <c r="B67" i="2" s="1"/>
  <c r="F67" i="2" s="1"/>
  <c r="B68" i="2" s="1"/>
  <c r="F68" i="2" s="1"/>
  <c r="B69" i="2" s="1"/>
  <c r="F69" i="2" s="1"/>
  <c r="B70" i="2" s="1"/>
  <c r="F70" i="2" s="1"/>
  <c r="B71" i="2" s="1"/>
  <c r="F71" i="2" s="1"/>
  <c r="B72" i="2" s="1"/>
  <c r="F72" i="2" s="1"/>
  <c r="B73" i="2" s="1"/>
  <c r="F73" i="2" s="1"/>
  <c r="F74" i="2" s="1"/>
  <c r="D20" i="2"/>
  <c r="E23" i="2"/>
  <c r="D28" i="2"/>
  <c r="E31" i="2"/>
  <c r="D36" i="2"/>
  <c r="E39" i="2"/>
  <c r="D44" i="2"/>
  <c r="E47" i="2"/>
  <c r="D52" i="2"/>
  <c r="E55" i="2"/>
  <c r="D60" i="2"/>
  <c r="E63" i="2"/>
  <c r="D68" i="2"/>
  <c r="E71" i="2"/>
  <c r="D17" i="2"/>
  <c r="E20" i="2"/>
  <c r="D25" i="2"/>
  <c r="E28" i="2"/>
  <c r="D33" i="2"/>
  <c r="E36" i="2"/>
  <c r="D41" i="2"/>
  <c r="E44" i="2"/>
  <c r="D49" i="2"/>
  <c r="E52" i="2"/>
  <c r="D57" i="2"/>
  <c r="E60" i="2"/>
  <c r="D65" i="2"/>
  <c r="E68" i="2"/>
  <c r="D73" i="2"/>
  <c r="E17" i="2"/>
  <c r="D22" i="2"/>
  <c r="E25" i="2"/>
  <c r="D30" i="2"/>
  <c r="E33" i="2"/>
  <c r="D38" i="2"/>
  <c r="E41" i="2"/>
  <c r="D46" i="2"/>
  <c r="E49" i="2"/>
  <c r="D54" i="2"/>
  <c r="E57" i="2"/>
  <c r="D62" i="2"/>
  <c r="E65" i="2"/>
  <c r="D70" i="2"/>
  <c r="E73" i="2"/>
  <c r="D19" i="2"/>
  <c r="E22" i="2"/>
  <c r="D27" i="2"/>
  <c r="E30" i="2"/>
  <c r="D35" i="2"/>
  <c r="E38" i="2"/>
  <c r="D43" i="2"/>
  <c r="E46" i="2"/>
  <c r="D51" i="2"/>
  <c r="E54" i="2"/>
  <c r="D59" i="2"/>
  <c r="E62" i="2"/>
  <c r="D67" i="2"/>
  <c r="E70" i="2"/>
  <c r="D16" i="2"/>
  <c r="E19" i="2"/>
  <c r="D24" i="2"/>
  <c r="E27" i="2"/>
  <c r="D32" i="2"/>
  <c r="E35" i="2"/>
  <c r="D40" i="2"/>
  <c r="E43" i="2"/>
  <c r="D48" i="2"/>
  <c r="E51" i="2"/>
  <c r="D56" i="2"/>
  <c r="E59" i="2"/>
  <c r="D64" i="2"/>
  <c r="E67" i="2"/>
  <c r="D72" i="2"/>
  <c r="G9" i="2"/>
  <c r="E16" i="2"/>
  <c r="D21" i="2"/>
  <c r="E24" i="2"/>
  <c r="D29" i="2"/>
  <c r="E32" i="2"/>
  <c r="D37" i="2"/>
  <c r="E40" i="2"/>
  <c r="D45" i="2"/>
  <c r="E48" i="2"/>
  <c r="D53" i="2"/>
  <c r="E56" i="2"/>
  <c r="D61" i="2"/>
  <c r="E64" i="2"/>
  <c r="D69" i="2"/>
  <c r="E72" i="2"/>
  <c r="D18" i="2"/>
  <c r="E21" i="2"/>
  <c r="D26" i="2"/>
  <c r="E29" i="2"/>
  <c r="D34" i="2"/>
  <c r="E37" i="2"/>
  <c r="D42" i="2"/>
  <c r="E45" i="2"/>
  <c r="D50" i="2"/>
  <c r="E53" i="2"/>
  <c r="D58" i="2"/>
  <c r="E61" i="2"/>
  <c r="D66" i="2"/>
  <c r="C71" i="2" l="1"/>
  <c r="C63" i="2"/>
  <c r="C55" i="2"/>
  <c r="C47" i="2"/>
  <c r="C39" i="2"/>
  <c r="C31" i="2"/>
  <c r="C23" i="2"/>
  <c r="C15" i="2"/>
  <c r="G10" i="2"/>
  <c r="C66" i="2"/>
  <c r="C58" i="2"/>
  <c r="C50" i="2"/>
  <c r="C42" i="2"/>
  <c r="C34" i="2"/>
  <c r="C26" i="2"/>
  <c r="C18" i="2"/>
  <c r="C20" i="2"/>
  <c r="C69" i="2"/>
  <c r="C61" i="2"/>
  <c r="C53" i="2"/>
  <c r="C45" i="2"/>
  <c r="C37" i="2"/>
  <c r="C29" i="2"/>
  <c r="C21" i="2"/>
  <c r="C72" i="2"/>
  <c r="C64" i="2"/>
  <c r="C56" i="2"/>
  <c r="C48" i="2"/>
  <c r="C40" i="2"/>
  <c r="C32" i="2"/>
  <c r="C24" i="2"/>
  <c r="C16" i="2"/>
  <c r="C67" i="2"/>
  <c r="C59" i="2"/>
  <c r="C51" i="2"/>
  <c r="C43" i="2"/>
  <c r="C35" i="2"/>
  <c r="C27" i="2"/>
  <c r="C19" i="2"/>
  <c r="C70" i="2"/>
  <c r="C62" i="2"/>
  <c r="C54" i="2"/>
  <c r="C46" i="2"/>
  <c r="C38" i="2"/>
  <c r="C30" i="2"/>
  <c r="C22" i="2"/>
  <c r="C14" i="2"/>
  <c r="C73" i="2"/>
  <c r="C65" i="2"/>
  <c r="C57" i="2"/>
  <c r="C49" i="2"/>
  <c r="C41" i="2"/>
  <c r="C33" i="2"/>
  <c r="C25" i="2"/>
  <c r="C17" i="2"/>
  <c r="C44" i="2"/>
  <c r="C68" i="2"/>
  <c r="C60" i="2"/>
  <c r="C52" i="2"/>
  <c r="C36" i="2"/>
  <c r="C28" i="2"/>
</calcChain>
</file>

<file path=xl/sharedStrings.xml><?xml version="1.0" encoding="utf-8"?>
<sst xmlns="http://schemas.openxmlformats.org/spreadsheetml/2006/main" count="107" uniqueCount="98">
  <si>
    <t>Un entrepôt à Abidjan — six ans de flux</t>
  </si>
  <si>
    <t>Les flux sont annuels. L'année 0, c'est l'investissement : il est déjà payé, il n'a pas à être actualisé.</t>
  </si>
  <si>
    <t>Année</t>
  </si>
  <si>
    <t>Flux</t>
  </si>
  <si>
    <t>Taux d'actualisation exigé</t>
  </si>
  <si>
    <t>❌  Erreur silencieuse — toute la plage dans VAN()</t>
  </si>
  <si>
    <t>VAN() actualise DÉJÀ son premier flux. Toute la série glisse d'une période : la VAN entière se trouve divisée par 1,14. Le signe, lui, ne change jamais — c'est pour ça qu'on ne la voit pas.</t>
  </si>
  <si>
    <t xml:space="preserve">        écart avec la juste</t>
  </si>
  <si>
    <t>❌  Erreur bruyante — l'investissement oublié</t>
  </si>
  <si>
    <t>Celle-là se voit : 320 000 USD de trop. Elle est beaucoup moins grave que la précédente, justement parce qu'elle crie.</t>
  </si>
  <si>
    <t>✅  VAN juste — le flux 0 ajouté à part</t>
  </si>
  <si>
    <t>La seule écriture correcte, et c'est celle du TP.</t>
  </si>
  <si>
    <t>Ce que l'erreur silencieuse coûte</t>
  </si>
  <si>
    <t>13 080 USD de VAN évaporés sur un projet qui en vaut 106 000. Assez pour recaler un dossier devant un comité.</t>
  </si>
  <si>
    <t>TRI du projet</t>
  </si>
  <si>
    <t>TRI prend la plage ENTIÈRE, année 0 comprise — l'inverse de VAN. C'est exactement ce qui fait tomber tout le monde.</t>
  </si>
  <si>
    <t>TRI avec estimation initiale</t>
  </si>
  <si>
    <t>Quand TRI rend #NOMBRE!, ce n'est pas que le taux n'existe pas : c'est que l'itération n'a pas convergé depuis 10 %.</t>
  </si>
  <si>
    <t>TRIM — réinvestissement à 8 %</t>
  </si>
  <si>
    <t>TRI suppose qu'on replace chaque flux au TRI lui-même — 27 % par an, indéfiniment. TRIM ne le suppose pas.</t>
  </si>
  <si>
    <t>Emprunt d'équipement — 150 000 USD sur 5 ans</t>
  </si>
  <si>
    <t>Taux nominal annuel 11,5 %, remboursement mensuel constant. Le tableau se construit en une seule ligne, tirée vers le bas.</t>
  </si>
  <si>
    <t>Capital emprunté</t>
  </si>
  <si>
    <t>Taux annuel</t>
  </si>
  <si>
    <t>Durée en mois</t>
  </si>
  <si>
    <t>Taux mensuel</t>
  </si>
  <si>
    <t>Mensualité (VPM)</t>
  </si>
  <si>
    <t>Coût total du crédit</t>
  </si>
  <si>
    <t>Intérêts de la 1re année</t>
  </si>
  <si>
    <t>Mois</t>
  </si>
  <si>
    <t>Capital dû</t>
  </si>
  <si>
    <t>Mensualité</t>
  </si>
  <si>
    <t>Intérêts</t>
  </si>
  <si>
    <t>Capital remboursé</t>
  </si>
  <si>
    <t>Capital restant</t>
  </si>
  <si>
    <t>Contrôle</t>
  </si>
  <si>
    <t>doit valoir 0,00 : le capital restant au dernier mois</t>
  </si>
  <si>
    <t>Le seuil de rentabilité, calculé puis représenté</t>
  </si>
  <si>
    <t>Le point où la droite des produits croise celle des charges. Un graphique en nuage de points, pas en barres.</t>
  </si>
  <si>
    <t>Prix de vente unitaire</t>
  </si>
  <si>
    <t>Coût variable unitaire</t>
  </si>
  <si>
    <t>Charges fixes du mois</t>
  </si>
  <si>
    <t>Marge sur coût variable</t>
  </si>
  <si>
    <t>Seuil en unités</t>
  </si>
  <si>
    <t>Seuil en chiffre d'affaires</t>
  </si>
  <si>
    <t>Marge de sécurité au volume actuel</t>
  </si>
  <si>
    <t>Volume</t>
  </si>
  <si>
    <t>Produits</t>
  </si>
  <si>
    <t>Charges totales</t>
  </si>
  <si>
    <t>Résultat</t>
  </si>
  <si>
    <t>Répartir 24 000 unités entre six agences</t>
  </si>
  <si>
    <t>Objectif : la marge totale, maximale. Variables : la colonne « À livrer ». Contraintes : ni plus que la capacité, ni moins que le service minimum, et la somme égale au stock.</t>
  </si>
  <si>
    <t>Agence</t>
  </si>
  <si>
    <t>Marge unitaire</t>
  </si>
  <si>
    <t>Capacité</t>
  </si>
  <si>
    <t>Minimum</t>
  </si>
  <si>
    <t>À livrer</t>
  </si>
  <si>
    <t>Marge obtenue</t>
  </si>
  <si>
    <t>Kinshasa</t>
  </si>
  <si>
    <t>Lubumbashi</t>
  </si>
  <si>
    <t>Abidjan</t>
  </si>
  <si>
    <t>Dakar</t>
  </si>
  <si>
    <t>Douala</t>
  </si>
  <si>
    <t>Libreville</t>
  </si>
  <si>
    <t>Total</t>
  </si>
  <si>
    <t>Stock disponible</t>
  </si>
  <si>
    <t>Écart à répartir</t>
  </si>
  <si>
    <t>doit valoir 0 quand le Solveur a fini</t>
  </si>
  <si>
    <t>Ce qu'il faut dire au Solveur</t>
  </si>
  <si>
    <t>Objectif :  $F$11  →  Max</t>
  </si>
  <si>
    <t>Variables :  $E$5:$E$10</t>
  </si>
  <si>
    <t>Contraintes :  $E$5:$E$10 ≤ $C$5:$C$10   (capacité)</t>
  </si>
  <si>
    <t xml:space="preserve">                     $E$5:$E$10 ≥ $D$5:$D$10   (service minimum)</t>
  </si>
  <si>
    <t xml:space="preserve">                     $E$11 = $B$13                   (tout le stock)</t>
  </si>
  <si>
    <t>Méthode :  Simplexe PL — le problème est linéaire</t>
  </si>
  <si>
    <t>Cocher « Rendre les variables sans contrainte non négatives »</t>
  </si>
  <si>
    <t>Ce que vous devez trouver</t>
  </si>
  <si>
    <t>Ce qu'on cherche</t>
  </si>
  <si>
    <t>Valeur</t>
  </si>
  <si>
    <t>Comment la lire</t>
  </si>
  <si>
    <t>VAN fausse — toute la plage dans VAN()</t>
  </si>
  <si>
    <t>exactement la VAN juste divisée par 1,14</t>
  </si>
  <si>
    <t>VAN fausse — investissement oublié</t>
  </si>
  <si>
    <t>320 000 USD de trop : celle-là se voit</t>
  </si>
  <si>
    <t>VAN juste</t>
  </si>
  <si>
    <t>la bonne</t>
  </si>
  <si>
    <t>TRI annuel</t>
  </si>
  <si>
    <t>sur la plage entière</t>
  </si>
  <si>
    <t>Mensualité de l'emprunt</t>
  </si>
  <si>
    <t>VPM rend un nombre négatif : c'est une sortie de trésorerie</t>
  </si>
  <si>
    <t>60 mensualités moins le capital</t>
  </si>
  <si>
    <t>Seuil de rentabilité</t>
  </si>
  <si>
    <t>en unités par mois</t>
  </si>
  <si>
    <t>Marge optimale du Solveur</t>
  </si>
  <si>
    <t>à comparer avec la répartition ci-dessous</t>
  </si>
  <si>
    <t>La répartition optimale</t>
  </si>
  <si>
    <t>Pourquoi Douala reste au minimum</t>
  </si>
  <si>
    <t>Sa marge unitaire est la plus faible des six. Le Solveur ne « punit » personne : il constate qu'un carton envoyé à Douala rapporte 0,60 USD de moins que le même carton envoyé à Abidjan.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</si>
</sst>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USD&quot;"/>
    <numFmt numFmtId="165" formatCode="0.0000%"/>
    <numFmt numFmtId="166" formatCode="#,##0.00\ &quot;USD&quot;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rgb="FFC0392B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EFF4FE"/>
      </patternFill>
    </fill>
    <fill>
      <patternFill patternType="solid">
        <fgColor rgb="FFFDECEA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5" fillId="0" borderId="0" xfId="0" applyFont="1"/>
    <xf numFmtId="10" fontId="4" fillId="3" borderId="0" xfId="0" applyNumberFormat="1" applyFont="1" applyFill="1"/>
    <xf numFmtId="0" fontId="0" fillId="0" borderId="1" xfId="0" applyBorder="1"/>
    <xf numFmtId="164" fontId="4" fillId="3" borderId="0" xfId="0" applyNumberFormat="1" applyFont="1" applyFill="1"/>
    <xf numFmtId="0" fontId="6" fillId="0" borderId="0" xfId="0" applyFont="1"/>
    <xf numFmtId="164" fontId="6" fillId="4" borderId="0" xfId="0" applyNumberFormat="1" applyFont="1" applyFill="1"/>
    <xf numFmtId="10" fontId="6" fillId="0" borderId="0" xfId="0" applyNumberFormat="1" applyFont="1"/>
    <xf numFmtId="164" fontId="7" fillId="0" borderId="0" xfId="0" applyNumberFormat="1" applyFont="1"/>
    <xf numFmtId="10" fontId="7" fillId="0" borderId="0" xfId="0" applyNumberFormat="1" applyFont="1"/>
    <xf numFmtId="3" fontId="4" fillId="3" borderId="0" xfId="0" applyNumberFormat="1" applyFont="1" applyFill="1"/>
    <xf numFmtId="165" fontId="7" fillId="0" borderId="0" xfId="0" applyNumberFormat="1" applyFont="1"/>
    <xf numFmtId="166" fontId="7" fillId="0" borderId="0" xfId="0" applyNumberFormat="1" applyFont="1"/>
    <xf numFmtId="166" fontId="4" fillId="3" borderId="0" xfId="0" applyNumberFormat="1" applyFont="1" applyFill="1"/>
    <xf numFmtId="3" fontId="7" fillId="0" borderId="0" xfId="0" applyNumberFormat="1" applyFont="1"/>
    <xf numFmtId="3" fontId="0" fillId="5" borderId="1" xfId="0" applyNumberFormat="1" applyFill="1" applyBorder="1"/>
    <xf numFmtId="0" fontId="7" fillId="0" borderId="0" xfId="0" applyFont="1"/>
    <xf numFmtId="164" fontId="0" fillId="0" borderId="1" xfId="0" applyNumberFormat="1" applyBorder="1"/>
    <xf numFmtId="10" fontId="0" fillId="0" borderId="1" xfId="0" applyNumberFormat="1" applyBorder="1"/>
    <xf numFmtId="166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6" customWidth="1"/>
    <col min="4" max="4" width="44" customWidth="1"/>
    <col min="5" max="5" width="20" customWidth="1"/>
    <col min="6" max="6" width="46" customWidth="1"/>
  </cols>
  <sheetData>
    <row r="1" spans="1:6" ht="19" x14ac:dyDescent="0.25">
      <c r="A1" s="1" t="s">
        <v>0</v>
      </c>
    </row>
    <row r="2" spans="1:6" x14ac:dyDescent="0.2">
      <c r="A2" s="2" t="s">
        <v>1</v>
      </c>
    </row>
    <row r="4" spans="1:6" ht="22" customHeight="1" x14ac:dyDescent="0.2">
      <c r="A4" s="3" t="s">
        <v>2</v>
      </c>
      <c r="B4" s="3" t="s">
        <v>3</v>
      </c>
      <c r="D4" s="4" t="s">
        <v>4</v>
      </c>
      <c r="E4" s="5">
        <v>0.14000000000000001</v>
      </c>
    </row>
    <row r="5" spans="1:6" x14ac:dyDescent="0.2">
      <c r="A5" s="6">
        <v>0</v>
      </c>
      <c r="B5" s="7">
        <v>-320000</v>
      </c>
    </row>
    <row r="6" spans="1:6" x14ac:dyDescent="0.2">
      <c r="A6" s="6">
        <v>1</v>
      </c>
      <c r="B6" s="7">
        <v>68000</v>
      </c>
      <c r="D6" s="8" t="s">
        <v>5</v>
      </c>
      <c r="E6" s="9">
        <f>NPV(T_ACT,FLUX)</f>
        <v>93431.541726350479</v>
      </c>
      <c r="F6" s="2" t="s">
        <v>6</v>
      </c>
    </row>
    <row r="7" spans="1:6" x14ac:dyDescent="0.2">
      <c r="A7" s="6">
        <v>2</v>
      </c>
      <c r="B7" s="7">
        <v>94000</v>
      </c>
      <c r="D7" s="2" t="s">
        <v>7</v>
      </c>
      <c r="E7" s="10">
        <f>E6/E9-1</f>
        <v>-0.12280701754385959</v>
      </c>
    </row>
    <row r="8" spans="1:6" x14ac:dyDescent="0.2">
      <c r="A8" s="6">
        <v>3</v>
      </c>
      <c r="B8" s="7">
        <v>121000</v>
      </c>
      <c r="D8" s="8" t="s">
        <v>8</v>
      </c>
      <c r="E8" s="9">
        <f>NPV(T_ACT,FLUX_1_N)</f>
        <v>426511.95756803954</v>
      </c>
      <c r="F8" s="2" t="s">
        <v>9</v>
      </c>
    </row>
    <row r="9" spans="1:6" x14ac:dyDescent="0.2">
      <c r="A9" s="6">
        <v>4</v>
      </c>
      <c r="B9" s="7">
        <v>138000</v>
      </c>
      <c r="D9" s="4" t="s">
        <v>10</v>
      </c>
      <c r="E9" s="11">
        <f>NPV(T_ACT,FLUX_1_N)+B5</f>
        <v>106511.95756803954</v>
      </c>
      <c r="F9" s="2" t="s">
        <v>11</v>
      </c>
    </row>
    <row r="10" spans="1:6" x14ac:dyDescent="0.2">
      <c r="A10" s="6">
        <v>5</v>
      </c>
      <c r="B10" s="7">
        <v>142000</v>
      </c>
      <c r="D10" s="4" t="s">
        <v>12</v>
      </c>
      <c r="E10" s="11">
        <f>E9-E6</f>
        <v>13080.415841689057</v>
      </c>
      <c r="F10" s="2" t="s">
        <v>13</v>
      </c>
    </row>
    <row r="11" spans="1:6" x14ac:dyDescent="0.2">
      <c r="A11" s="6">
        <v>6</v>
      </c>
      <c r="B11" s="7">
        <v>126000</v>
      </c>
    </row>
    <row r="12" spans="1:6" x14ac:dyDescent="0.2">
      <c r="D12" s="4" t="s">
        <v>14</v>
      </c>
      <c r="E12" s="12">
        <f>IRR(FLUX)</f>
        <v>0.24106935842949562</v>
      </c>
      <c r="F12" s="2" t="s">
        <v>15</v>
      </c>
    </row>
    <row r="14" spans="1:6" x14ac:dyDescent="0.2">
      <c r="D14" s="4" t="s">
        <v>16</v>
      </c>
      <c r="E14" s="12">
        <f>IRR(FLUX,0.3)</f>
        <v>0.24106935842949717</v>
      </c>
      <c r="F14" s="2" t="s">
        <v>17</v>
      </c>
    </row>
    <row r="16" spans="1:6" x14ac:dyDescent="0.2">
      <c r="D16" s="4" t="s">
        <v>18</v>
      </c>
      <c r="E16" s="12">
        <f>MIRR(FLUX,T_ACT,0.08)</f>
        <v>0.16992779000260838</v>
      </c>
      <c r="F1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baseColWidth="10" defaultColWidth="8.83203125" defaultRowHeight="15" x14ac:dyDescent="0.2"/>
  <cols>
    <col min="1" max="1" width="10" customWidth="1"/>
    <col min="2" max="5" width="16" customWidth="1"/>
    <col min="6" max="7" width="18" customWidth="1"/>
  </cols>
  <sheetData>
    <row r="1" spans="1:7" ht="19" x14ac:dyDescent="0.25">
      <c r="A1" s="1" t="s">
        <v>20</v>
      </c>
    </row>
    <row r="2" spans="1:7" x14ac:dyDescent="0.2">
      <c r="A2" s="2" t="s">
        <v>21</v>
      </c>
    </row>
    <row r="4" spans="1:7" x14ac:dyDescent="0.2">
      <c r="F4" s="4" t="s">
        <v>22</v>
      </c>
      <c r="G4" s="7">
        <v>150000</v>
      </c>
    </row>
    <row r="5" spans="1:7" x14ac:dyDescent="0.2">
      <c r="F5" s="4" t="s">
        <v>23</v>
      </c>
      <c r="G5" s="5">
        <v>0.115</v>
      </c>
    </row>
    <row r="6" spans="1:7" x14ac:dyDescent="0.2">
      <c r="F6" s="4" t="s">
        <v>24</v>
      </c>
      <c r="G6" s="13">
        <v>60</v>
      </c>
    </row>
    <row r="8" spans="1:7" x14ac:dyDescent="0.2">
      <c r="F8" s="4" t="s">
        <v>25</v>
      </c>
      <c r="G8" s="14">
        <f>$G$5/12</f>
        <v>9.5833333333333343E-3</v>
      </c>
    </row>
    <row r="9" spans="1:7" x14ac:dyDescent="0.2">
      <c r="F9" s="4" t="s">
        <v>26</v>
      </c>
      <c r="G9" s="15">
        <f>-PMT($G$8,$G$6,$G$4)</f>
        <v>3298.8911062305592</v>
      </c>
    </row>
    <row r="10" spans="1:7" x14ac:dyDescent="0.2">
      <c r="F10" s="4" t="s">
        <v>27</v>
      </c>
      <c r="G10" s="11">
        <f>$G$9*$G$6-$G$4</f>
        <v>47933.466373833566</v>
      </c>
    </row>
    <row r="11" spans="1:7" x14ac:dyDescent="0.2">
      <c r="F11" s="4" t="s">
        <v>28</v>
      </c>
      <c r="G11" s="11">
        <f>-CUMIPMT($G$8,$G$6,$G$4,1,12,0)</f>
        <v>16034.237454565297</v>
      </c>
    </row>
    <row r="13" spans="1:7" ht="22" customHeight="1" x14ac:dyDescent="0.2">
      <c r="A13" s="3" t="s">
        <v>29</v>
      </c>
      <c r="B13" s="3" t="s">
        <v>30</v>
      </c>
      <c r="C13" s="3" t="s">
        <v>31</v>
      </c>
      <c r="D13" s="3" t="s">
        <v>32</v>
      </c>
      <c r="E13" s="3" t="s">
        <v>33</v>
      </c>
      <c r="F13" s="3" t="s">
        <v>34</v>
      </c>
    </row>
    <row r="14" spans="1:7" x14ac:dyDescent="0.2">
      <c r="A14" s="6">
        <v>1</v>
      </c>
      <c r="B14" s="15">
        <f>$G$4</f>
        <v>150000</v>
      </c>
      <c r="C14" s="15">
        <f t="shared" ref="C14:C45" si="0">$G$9</f>
        <v>3298.8911062305592</v>
      </c>
      <c r="D14" s="15">
        <f t="shared" ref="D14:D45" si="1">-IPMT($G$8,A14,$G$6,$G$4)</f>
        <v>1437.5000000000002</v>
      </c>
      <c r="E14" s="15">
        <f t="shared" ref="E14:E45" si="2">-PPMT($G$8,A14,$G$6,$G$4)</f>
        <v>1861.3911062305597</v>
      </c>
      <c r="F14" s="15">
        <f t="shared" ref="F14:F45" si="3">B14-E14</f>
        <v>148138.60889376944</v>
      </c>
    </row>
    <row r="15" spans="1:7" x14ac:dyDescent="0.2">
      <c r="A15" s="6">
        <v>2</v>
      </c>
      <c r="B15" s="15">
        <f t="shared" ref="B15:B46" si="4">F14</f>
        <v>148138.60889376944</v>
      </c>
      <c r="C15" s="15">
        <f t="shared" si="0"/>
        <v>3298.8911062305592</v>
      </c>
      <c r="D15" s="15">
        <f t="shared" si="1"/>
        <v>1419.6616685652905</v>
      </c>
      <c r="E15" s="15">
        <f t="shared" si="2"/>
        <v>1879.2294376652692</v>
      </c>
      <c r="F15" s="15">
        <f t="shared" si="3"/>
        <v>146259.37945610419</v>
      </c>
    </row>
    <row r="16" spans="1:7" x14ac:dyDescent="0.2">
      <c r="A16" s="6">
        <v>3</v>
      </c>
      <c r="B16" s="15">
        <f t="shared" si="4"/>
        <v>146259.37945610419</v>
      </c>
      <c r="C16" s="15">
        <f t="shared" si="0"/>
        <v>3298.8911062305592</v>
      </c>
      <c r="D16" s="15">
        <f t="shared" si="1"/>
        <v>1401.6523864543315</v>
      </c>
      <c r="E16" s="15">
        <f t="shared" si="2"/>
        <v>1897.238719776228</v>
      </c>
      <c r="F16" s="15">
        <f t="shared" si="3"/>
        <v>144362.14073632797</v>
      </c>
    </row>
    <row r="17" spans="1:6" x14ac:dyDescent="0.2">
      <c r="A17" s="6">
        <v>4</v>
      </c>
      <c r="B17" s="15">
        <f t="shared" si="4"/>
        <v>144362.14073632797</v>
      </c>
      <c r="C17" s="15">
        <f t="shared" si="0"/>
        <v>3298.8911062305592</v>
      </c>
      <c r="D17" s="15">
        <f t="shared" si="1"/>
        <v>1383.4705153898094</v>
      </c>
      <c r="E17" s="15">
        <f t="shared" si="2"/>
        <v>1915.4205908407503</v>
      </c>
      <c r="F17" s="15">
        <f t="shared" si="3"/>
        <v>142446.72014548723</v>
      </c>
    </row>
    <row r="18" spans="1:6" x14ac:dyDescent="0.2">
      <c r="A18" s="6">
        <v>5</v>
      </c>
      <c r="B18" s="15">
        <f t="shared" si="4"/>
        <v>142446.72014548723</v>
      </c>
      <c r="C18" s="15">
        <f t="shared" si="0"/>
        <v>3298.8911062305592</v>
      </c>
      <c r="D18" s="15">
        <f t="shared" si="1"/>
        <v>1365.1144013942521</v>
      </c>
      <c r="E18" s="15">
        <f t="shared" si="2"/>
        <v>1933.7767048363071</v>
      </c>
      <c r="F18" s="15">
        <f t="shared" si="3"/>
        <v>140512.94344065091</v>
      </c>
    </row>
    <row r="19" spans="1:6" x14ac:dyDescent="0.2">
      <c r="A19" s="6">
        <v>6</v>
      </c>
      <c r="B19" s="15">
        <f t="shared" si="4"/>
        <v>140512.94344065091</v>
      </c>
      <c r="C19" s="15">
        <f t="shared" si="0"/>
        <v>3298.8911062305592</v>
      </c>
      <c r="D19" s="15">
        <f t="shared" si="1"/>
        <v>1346.5823746395708</v>
      </c>
      <c r="E19" s="15">
        <f t="shared" si="2"/>
        <v>1952.3087315909886</v>
      </c>
      <c r="F19" s="15">
        <f t="shared" si="3"/>
        <v>138560.63470905993</v>
      </c>
    </row>
    <row r="20" spans="1:6" x14ac:dyDescent="0.2">
      <c r="A20" s="6">
        <v>7</v>
      </c>
      <c r="B20" s="15">
        <f t="shared" si="4"/>
        <v>138560.63470905993</v>
      </c>
      <c r="C20" s="15">
        <f t="shared" si="0"/>
        <v>3298.8911062305592</v>
      </c>
      <c r="D20" s="15">
        <f t="shared" si="1"/>
        <v>1327.8727492951573</v>
      </c>
      <c r="E20" s="15">
        <f t="shared" si="2"/>
        <v>1971.0183569354022</v>
      </c>
      <c r="F20" s="15">
        <f t="shared" si="3"/>
        <v>136589.61635212452</v>
      </c>
    </row>
    <row r="21" spans="1:6" x14ac:dyDescent="0.2">
      <c r="A21" s="6">
        <v>8</v>
      </c>
      <c r="B21" s="15">
        <f t="shared" si="4"/>
        <v>136589.61635212452</v>
      </c>
      <c r="C21" s="15">
        <f t="shared" si="0"/>
        <v>3298.8911062305592</v>
      </c>
      <c r="D21" s="15">
        <f t="shared" si="1"/>
        <v>1308.9838233745259</v>
      </c>
      <c r="E21" s="15">
        <f t="shared" si="2"/>
        <v>1989.9072828560334</v>
      </c>
      <c r="F21" s="15">
        <f t="shared" si="3"/>
        <v>134599.70906926849</v>
      </c>
    </row>
    <row r="22" spans="1:6" x14ac:dyDescent="0.2">
      <c r="A22" s="6">
        <v>9</v>
      </c>
      <c r="B22" s="15">
        <f t="shared" si="4"/>
        <v>134599.70906926849</v>
      </c>
      <c r="C22" s="15">
        <f t="shared" si="0"/>
        <v>3298.8911062305592</v>
      </c>
      <c r="D22" s="15">
        <f t="shared" si="1"/>
        <v>1289.9138785804892</v>
      </c>
      <c r="E22" s="15">
        <f t="shared" si="2"/>
        <v>2008.9772276500701</v>
      </c>
      <c r="F22" s="15">
        <f t="shared" si="3"/>
        <v>132590.73184161843</v>
      </c>
    </row>
    <row r="23" spans="1:6" x14ac:dyDescent="0.2">
      <c r="A23" s="6">
        <v>10</v>
      </c>
      <c r="B23" s="15">
        <f t="shared" si="4"/>
        <v>132590.73184161843</v>
      </c>
      <c r="C23" s="15">
        <f t="shared" si="0"/>
        <v>3298.8911062305592</v>
      </c>
      <c r="D23" s="15">
        <f t="shared" si="1"/>
        <v>1270.6611801488427</v>
      </c>
      <c r="E23" s="15">
        <f t="shared" si="2"/>
        <v>2028.2299260817167</v>
      </c>
      <c r="F23" s="15">
        <f t="shared" si="3"/>
        <v>130562.5019155367</v>
      </c>
    </row>
    <row r="24" spans="1:6" x14ac:dyDescent="0.2">
      <c r="A24" s="6">
        <v>11</v>
      </c>
      <c r="B24" s="15">
        <f t="shared" si="4"/>
        <v>130562.5019155367</v>
      </c>
      <c r="C24" s="15">
        <f t="shared" si="0"/>
        <v>3298.8911062305592</v>
      </c>
      <c r="D24" s="15">
        <f t="shared" si="1"/>
        <v>1251.2239766905595</v>
      </c>
      <c r="E24" s="15">
        <f t="shared" si="2"/>
        <v>2047.6671295399997</v>
      </c>
      <c r="F24" s="15">
        <f t="shared" si="3"/>
        <v>128514.8347859967</v>
      </c>
    </row>
    <row r="25" spans="1:6" x14ac:dyDescent="0.2">
      <c r="A25" s="6">
        <v>12</v>
      </c>
      <c r="B25" s="15">
        <f t="shared" si="4"/>
        <v>128514.8347859967</v>
      </c>
      <c r="C25" s="15">
        <f t="shared" si="0"/>
        <v>3298.8911062305592</v>
      </c>
      <c r="D25" s="15">
        <f t="shared" si="1"/>
        <v>1231.6005000324678</v>
      </c>
      <c r="E25" s="15">
        <f t="shared" si="2"/>
        <v>2067.2906061980912</v>
      </c>
      <c r="F25" s="15">
        <f t="shared" si="3"/>
        <v>126447.54417979861</v>
      </c>
    </row>
    <row r="26" spans="1:6" x14ac:dyDescent="0.2">
      <c r="A26" s="6">
        <v>13</v>
      </c>
      <c r="B26" s="15">
        <f t="shared" si="4"/>
        <v>126447.54417979861</v>
      </c>
      <c r="C26" s="15">
        <f t="shared" si="0"/>
        <v>3298.8911062305592</v>
      </c>
      <c r="D26" s="15">
        <f t="shared" si="1"/>
        <v>1211.7889650564027</v>
      </c>
      <c r="E26" s="15">
        <f t="shared" si="2"/>
        <v>2087.1021411741567</v>
      </c>
      <c r="F26" s="15">
        <f t="shared" si="3"/>
        <v>124360.44203862446</v>
      </c>
    </row>
    <row r="27" spans="1:6" x14ac:dyDescent="0.2">
      <c r="A27" s="6">
        <v>14</v>
      </c>
      <c r="B27" s="15">
        <f t="shared" si="4"/>
        <v>124360.44203862446</v>
      </c>
      <c r="C27" s="15">
        <f t="shared" si="0"/>
        <v>3298.8911062305592</v>
      </c>
      <c r="D27" s="15">
        <f t="shared" si="1"/>
        <v>1191.7875695368173</v>
      </c>
      <c r="E27" s="15">
        <f t="shared" si="2"/>
        <v>2107.1035366937422</v>
      </c>
      <c r="F27" s="15">
        <f t="shared" si="3"/>
        <v>122253.33850193072</v>
      </c>
    </row>
    <row r="28" spans="1:6" x14ac:dyDescent="0.2">
      <c r="A28" s="6">
        <v>15</v>
      </c>
      <c r="B28" s="15">
        <f t="shared" si="4"/>
        <v>122253.33850193072</v>
      </c>
      <c r="C28" s="15">
        <f t="shared" si="0"/>
        <v>3298.8911062305592</v>
      </c>
      <c r="D28" s="15">
        <f t="shared" si="1"/>
        <v>1171.5944939768353</v>
      </c>
      <c r="E28" s="15">
        <f t="shared" si="2"/>
        <v>2127.2966122537241</v>
      </c>
      <c r="F28" s="15">
        <f t="shared" si="3"/>
        <v>120126.041889677</v>
      </c>
    </row>
    <row r="29" spans="1:6" x14ac:dyDescent="0.2">
      <c r="A29" s="6">
        <v>16</v>
      </c>
      <c r="B29" s="15">
        <f t="shared" si="4"/>
        <v>120126.041889677</v>
      </c>
      <c r="C29" s="15">
        <f t="shared" si="0"/>
        <v>3298.8911062305592</v>
      </c>
      <c r="D29" s="15">
        <f t="shared" si="1"/>
        <v>1151.2079014427372</v>
      </c>
      <c r="E29" s="15">
        <f t="shared" si="2"/>
        <v>2147.683204787822</v>
      </c>
      <c r="F29" s="15">
        <f t="shared" si="3"/>
        <v>117978.35868488917</v>
      </c>
    </row>
    <row r="30" spans="1:6" x14ac:dyDescent="0.2">
      <c r="A30" s="6">
        <v>17</v>
      </c>
      <c r="B30" s="15">
        <f t="shared" si="4"/>
        <v>117978.35868488917</v>
      </c>
      <c r="C30" s="15">
        <f t="shared" si="0"/>
        <v>3298.8911062305592</v>
      </c>
      <c r="D30" s="15">
        <f t="shared" si="1"/>
        <v>1130.6259373968539</v>
      </c>
      <c r="E30" s="15">
        <f t="shared" si="2"/>
        <v>2168.2651688337055</v>
      </c>
      <c r="F30" s="15">
        <f t="shared" si="3"/>
        <v>115810.09351605547</v>
      </c>
    </row>
    <row r="31" spans="1:6" x14ac:dyDescent="0.2">
      <c r="A31" s="6">
        <v>18</v>
      </c>
      <c r="B31" s="15">
        <f t="shared" si="4"/>
        <v>115810.09351605547</v>
      </c>
      <c r="C31" s="15">
        <f t="shared" si="0"/>
        <v>3298.8911062305592</v>
      </c>
      <c r="D31" s="15">
        <f t="shared" si="1"/>
        <v>1109.8467295288642</v>
      </c>
      <c r="E31" s="15">
        <f t="shared" si="2"/>
        <v>2189.044376701695</v>
      </c>
      <c r="F31" s="15">
        <f t="shared" si="3"/>
        <v>113621.04913935377</v>
      </c>
    </row>
    <row r="32" spans="1:6" x14ac:dyDescent="0.2">
      <c r="A32" s="6">
        <v>19</v>
      </c>
      <c r="B32" s="15">
        <f t="shared" si="4"/>
        <v>113621.04913935377</v>
      </c>
      <c r="C32" s="15">
        <f t="shared" si="0"/>
        <v>3298.8911062305592</v>
      </c>
      <c r="D32" s="15">
        <f t="shared" si="1"/>
        <v>1088.8683875854729</v>
      </c>
      <c r="E32" s="15">
        <f t="shared" si="2"/>
        <v>2210.0227186450861</v>
      </c>
      <c r="F32" s="15">
        <f t="shared" si="3"/>
        <v>111411.02642070869</v>
      </c>
    </row>
    <row r="33" spans="1:6" x14ac:dyDescent="0.2">
      <c r="A33" s="6">
        <v>20</v>
      </c>
      <c r="B33" s="15">
        <f t="shared" si="4"/>
        <v>111411.02642070869</v>
      </c>
      <c r="C33" s="15">
        <f t="shared" si="0"/>
        <v>3298.8911062305592</v>
      </c>
      <c r="D33" s="15">
        <f t="shared" si="1"/>
        <v>1067.6890031984576</v>
      </c>
      <c r="E33" s="15">
        <f t="shared" si="2"/>
        <v>2231.2021030321016</v>
      </c>
      <c r="F33" s="15">
        <f t="shared" si="3"/>
        <v>109179.82431767658</v>
      </c>
    </row>
    <row r="34" spans="1:6" x14ac:dyDescent="0.2">
      <c r="A34" s="6">
        <v>21</v>
      </c>
      <c r="B34" s="15">
        <f t="shared" si="4"/>
        <v>109179.82431767658</v>
      </c>
      <c r="C34" s="15">
        <f t="shared" si="0"/>
        <v>3298.8911062305592</v>
      </c>
      <c r="D34" s="15">
        <f t="shared" si="1"/>
        <v>1046.3066497110667</v>
      </c>
      <c r="E34" s="15">
        <f t="shared" si="2"/>
        <v>2252.5844565194925</v>
      </c>
      <c r="F34" s="15">
        <f t="shared" si="3"/>
        <v>106927.2398611571</v>
      </c>
    </row>
    <row r="35" spans="1:6" x14ac:dyDescent="0.2">
      <c r="A35" s="6">
        <v>22</v>
      </c>
      <c r="B35" s="15">
        <f t="shared" si="4"/>
        <v>106927.2398611571</v>
      </c>
      <c r="C35" s="15">
        <f t="shared" si="0"/>
        <v>3298.8911062305592</v>
      </c>
      <c r="D35" s="15">
        <f t="shared" si="1"/>
        <v>1024.7193820027549</v>
      </c>
      <c r="E35" s="15">
        <f t="shared" si="2"/>
        <v>2274.1717242278046</v>
      </c>
      <c r="F35" s="15">
        <f t="shared" si="3"/>
        <v>104653.06813692929</v>
      </c>
    </row>
    <row r="36" spans="1:6" x14ac:dyDescent="0.2">
      <c r="A36" s="6">
        <v>23</v>
      </c>
      <c r="B36" s="15">
        <f t="shared" si="4"/>
        <v>104653.06813692929</v>
      </c>
      <c r="C36" s="15">
        <f t="shared" si="0"/>
        <v>3298.8911062305592</v>
      </c>
      <c r="D36" s="15">
        <f t="shared" si="1"/>
        <v>1002.9252363122384</v>
      </c>
      <c r="E36" s="15">
        <f t="shared" si="2"/>
        <v>2295.965869918321</v>
      </c>
      <c r="F36" s="15">
        <f t="shared" si="3"/>
        <v>102357.10226701097</v>
      </c>
    </row>
    <row r="37" spans="1:6" x14ac:dyDescent="0.2">
      <c r="A37" s="6">
        <v>24</v>
      </c>
      <c r="B37" s="15">
        <f t="shared" si="4"/>
        <v>102357.10226701097</v>
      </c>
      <c r="C37" s="15">
        <f t="shared" si="0"/>
        <v>3298.8911062305592</v>
      </c>
      <c r="D37" s="15">
        <f t="shared" si="1"/>
        <v>980.92223005885432</v>
      </c>
      <c r="E37" s="15">
        <f t="shared" si="2"/>
        <v>2317.9688761717048</v>
      </c>
      <c r="F37" s="15">
        <f t="shared" si="3"/>
        <v>100039.13339083926</v>
      </c>
    </row>
    <row r="38" spans="1:6" x14ac:dyDescent="0.2">
      <c r="A38" s="6">
        <v>25</v>
      </c>
      <c r="B38" s="15">
        <f t="shared" si="4"/>
        <v>100039.13339083926</v>
      </c>
      <c r="C38" s="15">
        <f t="shared" si="0"/>
        <v>3298.8911062305592</v>
      </c>
      <c r="D38" s="15">
        <f t="shared" si="1"/>
        <v>958.70836166220874</v>
      </c>
      <c r="E38" s="15">
        <f t="shared" si="2"/>
        <v>2340.1827445683502</v>
      </c>
      <c r="F38" s="15">
        <f t="shared" si="3"/>
        <v>97698.950646270911</v>
      </c>
    </row>
    <row r="39" spans="1:6" x14ac:dyDescent="0.2">
      <c r="A39" s="6">
        <v>26</v>
      </c>
      <c r="B39" s="15">
        <f t="shared" si="4"/>
        <v>97698.950646270911</v>
      </c>
      <c r="C39" s="15">
        <f t="shared" si="0"/>
        <v>3298.8911062305592</v>
      </c>
      <c r="D39" s="15">
        <f t="shared" si="1"/>
        <v>936.28161036009544</v>
      </c>
      <c r="E39" s="15">
        <f t="shared" si="2"/>
        <v>2362.6094958704639</v>
      </c>
      <c r="F39" s="15">
        <f t="shared" si="3"/>
        <v>95336.341150400447</v>
      </c>
    </row>
    <row r="40" spans="1:6" x14ac:dyDescent="0.2">
      <c r="A40" s="6">
        <v>27</v>
      </c>
      <c r="B40" s="15">
        <f t="shared" si="4"/>
        <v>95336.341150400447</v>
      </c>
      <c r="C40" s="15">
        <f t="shared" si="0"/>
        <v>3298.8911062305592</v>
      </c>
      <c r="D40" s="15">
        <f t="shared" si="1"/>
        <v>913.63993602467031</v>
      </c>
      <c r="E40" s="15">
        <f t="shared" si="2"/>
        <v>2385.2511702058891</v>
      </c>
      <c r="F40" s="15">
        <f t="shared" si="3"/>
        <v>92951.089980194563</v>
      </c>
    </row>
    <row r="41" spans="1:6" x14ac:dyDescent="0.2">
      <c r="A41" s="6">
        <v>28</v>
      </c>
      <c r="B41" s="15">
        <f t="shared" si="4"/>
        <v>92951.089980194563</v>
      </c>
      <c r="C41" s="15">
        <f t="shared" si="0"/>
        <v>3298.8911062305592</v>
      </c>
      <c r="D41" s="15">
        <f t="shared" si="1"/>
        <v>890.78127897686386</v>
      </c>
      <c r="E41" s="15">
        <f t="shared" si="2"/>
        <v>2408.1098272536956</v>
      </c>
      <c r="F41" s="15">
        <f t="shared" si="3"/>
        <v>90542.980152940872</v>
      </c>
    </row>
    <row r="42" spans="1:6" x14ac:dyDescent="0.2">
      <c r="A42" s="6">
        <v>29</v>
      </c>
      <c r="B42" s="15">
        <f t="shared" si="4"/>
        <v>90542.980152940872</v>
      </c>
      <c r="C42" s="15">
        <f t="shared" si="0"/>
        <v>3298.8911062305592</v>
      </c>
      <c r="D42" s="15">
        <f t="shared" si="1"/>
        <v>867.70355979901592</v>
      </c>
      <c r="E42" s="15">
        <f t="shared" si="2"/>
        <v>2431.1875464315435</v>
      </c>
      <c r="F42" s="15">
        <f t="shared" si="3"/>
        <v>88111.792606509334</v>
      </c>
    </row>
    <row r="43" spans="1:6" x14ac:dyDescent="0.2">
      <c r="A43" s="6">
        <v>30</v>
      </c>
      <c r="B43" s="15">
        <f t="shared" si="4"/>
        <v>88111.792606509334</v>
      </c>
      <c r="C43" s="15">
        <f t="shared" si="0"/>
        <v>3298.8911062305592</v>
      </c>
      <c r="D43" s="15">
        <f t="shared" si="1"/>
        <v>844.40467914571366</v>
      </c>
      <c r="E43" s="15">
        <f t="shared" si="2"/>
        <v>2454.4864270848457</v>
      </c>
      <c r="F43" s="15">
        <f t="shared" si="3"/>
        <v>85657.306179424486</v>
      </c>
    </row>
    <row r="44" spans="1:6" x14ac:dyDescent="0.2">
      <c r="A44" s="6">
        <v>31</v>
      </c>
      <c r="B44" s="15">
        <f t="shared" si="4"/>
        <v>85657.306179424486</v>
      </c>
      <c r="C44" s="15">
        <f t="shared" si="0"/>
        <v>3298.8911062305592</v>
      </c>
      <c r="D44" s="15">
        <f t="shared" si="1"/>
        <v>820.88251755281738</v>
      </c>
      <c r="E44" s="15">
        <f t="shared" si="2"/>
        <v>2478.008588677742</v>
      </c>
      <c r="F44" s="15">
        <f t="shared" si="3"/>
        <v>83179.297590746748</v>
      </c>
    </row>
    <row r="45" spans="1:6" x14ac:dyDescent="0.2">
      <c r="A45" s="6">
        <v>32</v>
      </c>
      <c r="B45" s="15">
        <f t="shared" si="4"/>
        <v>83179.297590746748</v>
      </c>
      <c r="C45" s="15">
        <f t="shared" si="0"/>
        <v>3298.8911062305592</v>
      </c>
      <c r="D45" s="15">
        <f t="shared" si="1"/>
        <v>797.13493524465559</v>
      </c>
      <c r="E45" s="15">
        <f t="shared" si="2"/>
        <v>2501.7561709859037</v>
      </c>
      <c r="F45" s="15">
        <f t="shared" si="3"/>
        <v>80677.541419760848</v>
      </c>
    </row>
    <row r="46" spans="1:6" x14ac:dyDescent="0.2">
      <c r="A46" s="6">
        <v>33</v>
      </c>
      <c r="B46" s="15">
        <f t="shared" si="4"/>
        <v>80677.541419760848</v>
      </c>
      <c r="C46" s="15">
        <f t="shared" ref="C46:C73" si="5">$G$9</f>
        <v>3298.8911062305592</v>
      </c>
      <c r="D46" s="15">
        <f t="shared" ref="D46:D73" si="6">-IPMT($G$8,A46,$G$6,$G$4)</f>
        <v>773.15977193937408</v>
      </c>
      <c r="E46" s="15">
        <f t="shared" ref="E46:E73" si="7">-PPMT($G$8,A46,$G$6,$G$4)</f>
        <v>2525.7313342911852</v>
      </c>
      <c r="F46" s="15">
        <f t="shared" ref="F46:F77" si="8">B46-E46</f>
        <v>78151.810085469668</v>
      </c>
    </row>
    <row r="47" spans="1:6" x14ac:dyDescent="0.2">
      <c r="A47" s="6">
        <v>34</v>
      </c>
      <c r="B47" s="15">
        <f t="shared" ref="B47:B73" si="9">F46</f>
        <v>78151.810085469668</v>
      </c>
      <c r="C47" s="15">
        <f t="shared" si="5"/>
        <v>3298.8911062305592</v>
      </c>
      <c r="D47" s="15">
        <f t="shared" si="6"/>
        <v>748.9548466524169</v>
      </c>
      <c r="E47" s="15">
        <f t="shared" si="7"/>
        <v>2549.9362595781427</v>
      </c>
      <c r="F47" s="15">
        <f t="shared" si="8"/>
        <v>75601.873825891525</v>
      </c>
    </row>
    <row r="48" spans="1:6" x14ac:dyDescent="0.2">
      <c r="A48" s="6">
        <v>35</v>
      </c>
      <c r="B48" s="15">
        <f t="shared" si="9"/>
        <v>75601.873825891525</v>
      </c>
      <c r="C48" s="15">
        <f t="shared" si="5"/>
        <v>3298.8911062305592</v>
      </c>
      <c r="D48" s="15">
        <f t="shared" si="6"/>
        <v>724.51795749812618</v>
      </c>
      <c r="E48" s="15">
        <f t="shared" si="7"/>
        <v>2574.3731487324335</v>
      </c>
      <c r="F48" s="15">
        <f t="shared" si="8"/>
        <v>73027.500677159085</v>
      </c>
    </row>
    <row r="49" spans="1:6" x14ac:dyDescent="0.2">
      <c r="A49" s="6">
        <v>36</v>
      </c>
      <c r="B49" s="15">
        <f t="shared" si="9"/>
        <v>73027.500677159085</v>
      </c>
      <c r="C49" s="15">
        <f t="shared" si="5"/>
        <v>3298.8911062305592</v>
      </c>
      <c r="D49" s="15">
        <f t="shared" si="6"/>
        <v>699.84688148944042</v>
      </c>
      <c r="E49" s="15">
        <f t="shared" si="7"/>
        <v>2599.0442247411188</v>
      </c>
      <c r="F49" s="15">
        <f t="shared" si="8"/>
        <v>70428.456452417973</v>
      </c>
    </row>
    <row r="50" spans="1:6" x14ac:dyDescent="0.2">
      <c r="A50" s="6">
        <v>37</v>
      </c>
      <c r="B50" s="15">
        <f t="shared" si="9"/>
        <v>70428.456452417973</v>
      </c>
      <c r="C50" s="15">
        <f t="shared" si="5"/>
        <v>3298.8911062305592</v>
      </c>
      <c r="D50" s="15">
        <f t="shared" si="6"/>
        <v>674.93937433567123</v>
      </c>
      <c r="E50" s="15">
        <f t="shared" si="7"/>
        <v>2623.9517318948879</v>
      </c>
      <c r="F50" s="15">
        <f t="shared" si="8"/>
        <v>67804.50472052308</v>
      </c>
    </row>
    <row r="51" spans="1:6" x14ac:dyDescent="0.2">
      <c r="A51" s="6">
        <v>38</v>
      </c>
      <c r="B51" s="15">
        <f t="shared" si="9"/>
        <v>67804.50472052308</v>
      </c>
      <c r="C51" s="15">
        <f t="shared" si="5"/>
        <v>3298.8911062305592</v>
      </c>
      <c r="D51" s="15">
        <f t="shared" si="6"/>
        <v>649.79317023834528</v>
      </c>
      <c r="E51" s="15">
        <f t="shared" si="7"/>
        <v>2649.0979359922144</v>
      </c>
      <c r="F51" s="15">
        <f t="shared" si="8"/>
        <v>65155.406784530867</v>
      </c>
    </row>
    <row r="52" spans="1:6" x14ac:dyDescent="0.2">
      <c r="A52" s="6">
        <v>39</v>
      </c>
      <c r="B52" s="15">
        <f t="shared" si="9"/>
        <v>65155.406784530867</v>
      </c>
      <c r="C52" s="15">
        <f t="shared" si="5"/>
        <v>3298.8911062305592</v>
      </c>
      <c r="D52" s="15">
        <f t="shared" si="6"/>
        <v>624.40598168508666</v>
      </c>
      <c r="E52" s="15">
        <f t="shared" si="7"/>
        <v>2674.4851245454734</v>
      </c>
      <c r="F52" s="15">
        <f t="shared" si="8"/>
        <v>62480.921659985397</v>
      </c>
    </row>
    <row r="53" spans="1:6" x14ac:dyDescent="0.2">
      <c r="A53" s="6">
        <v>40</v>
      </c>
      <c r="B53" s="15">
        <f t="shared" si="9"/>
        <v>62480.921659985397</v>
      </c>
      <c r="C53" s="15">
        <f t="shared" si="5"/>
        <v>3298.8911062305592</v>
      </c>
      <c r="D53" s="15">
        <f t="shared" si="6"/>
        <v>598.77549924152584</v>
      </c>
      <c r="E53" s="15">
        <f t="shared" si="7"/>
        <v>2700.1156069890339</v>
      </c>
      <c r="F53" s="15">
        <f t="shared" si="8"/>
        <v>59780.806052996362</v>
      </c>
    </row>
    <row r="54" spans="1:6" x14ac:dyDescent="0.2">
      <c r="A54" s="6">
        <v>41</v>
      </c>
      <c r="B54" s="15">
        <f t="shared" si="9"/>
        <v>59780.806052996362</v>
      </c>
      <c r="C54" s="15">
        <f t="shared" si="5"/>
        <v>3298.8911062305592</v>
      </c>
      <c r="D54" s="15">
        <f t="shared" si="6"/>
        <v>572.89939134121425</v>
      </c>
      <c r="E54" s="15">
        <f t="shared" si="7"/>
        <v>2725.9917148893451</v>
      </c>
      <c r="F54" s="15">
        <f t="shared" si="8"/>
        <v>57054.814338107019</v>
      </c>
    </row>
    <row r="55" spans="1:6" x14ac:dyDescent="0.2">
      <c r="A55" s="6">
        <v>42</v>
      </c>
      <c r="B55" s="15">
        <f t="shared" si="9"/>
        <v>57054.814338107019</v>
      </c>
      <c r="C55" s="15">
        <f t="shared" si="5"/>
        <v>3298.8911062305592</v>
      </c>
      <c r="D55" s="15">
        <f t="shared" si="6"/>
        <v>546.77530407352469</v>
      </c>
      <c r="E55" s="15">
        <f t="shared" si="7"/>
        <v>2752.115802157035</v>
      </c>
      <c r="F55" s="15">
        <f t="shared" si="8"/>
        <v>54302.698535949981</v>
      </c>
    </row>
    <row r="56" spans="1:6" x14ac:dyDescent="0.2">
      <c r="A56" s="6">
        <v>43</v>
      </c>
      <c r="B56" s="15">
        <f t="shared" si="9"/>
        <v>54302.698535949981</v>
      </c>
      <c r="C56" s="15">
        <f t="shared" si="5"/>
        <v>3298.8911062305592</v>
      </c>
      <c r="D56" s="15">
        <f t="shared" si="6"/>
        <v>520.40086096951961</v>
      </c>
      <c r="E56" s="15">
        <f t="shared" si="7"/>
        <v>2778.4902452610399</v>
      </c>
      <c r="F56" s="15">
        <f t="shared" si="8"/>
        <v>51524.208290688941</v>
      </c>
    </row>
    <row r="57" spans="1:6" x14ac:dyDescent="0.2">
      <c r="A57" s="6">
        <v>44</v>
      </c>
      <c r="B57" s="15">
        <f t="shared" si="9"/>
        <v>51524.208290688941</v>
      </c>
      <c r="C57" s="15">
        <f t="shared" si="5"/>
        <v>3298.8911062305592</v>
      </c>
      <c r="D57" s="15">
        <f t="shared" si="6"/>
        <v>493.77366278576807</v>
      </c>
      <c r="E57" s="15">
        <f t="shared" si="7"/>
        <v>2805.1174434447912</v>
      </c>
      <c r="F57" s="15">
        <f t="shared" si="8"/>
        <v>48719.090847244152</v>
      </c>
    </row>
    <row r="58" spans="1:6" x14ac:dyDescent="0.2">
      <c r="A58" s="6">
        <v>45</v>
      </c>
      <c r="B58" s="15">
        <f t="shared" si="9"/>
        <v>48719.090847244152</v>
      </c>
      <c r="C58" s="15">
        <f t="shared" si="5"/>
        <v>3298.8911062305592</v>
      </c>
      <c r="D58" s="15">
        <f t="shared" si="6"/>
        <v>466.89128728608887</v>
      </c>
      <c r="E58" s="15">
        <f t="shared" si="7"/>
        <v>2831.9998189444709</v>
      </c>
      <c r="F58" s="15">
        <f t="shared" si="8"/>
        <v>45887.091028299677</v>
      </c>
    </row>
    <row r="59" spans="1:6" x14ac:dyDescent="0.2">
      <c r="A59" s="6">
        <v>46</v>
      </c>
      <c r="B59" s="15">
        <f t="shared" si="9"/>
        <v>45887.091028299677</v>
      </c>
      <c r="C59" s="15">
        <f t="shared" si="5"/>
        <v>3298.8911062305592</v>
      </c>
      <c r="D59" s="15">
        <f t="shared" si="6"/>
        <v>439.75128902120429</v>
      </c>
      <c r="E59" s="15">
        <f t="shared" si="7"/>
        <v>2859.139817209355</v>
      </c>
      <c r="F59" s="15">
        <f t="shared" si="8"/>
        <v>43027.951211090323</v>
      </c>
    </row>
    <row r="60" spans="1:6" x14ac:dyDescent="0.2">
      <c r="A60" s="6">
        <v>47</v>
      </c>
      <c r="B60" s="15">
        <f t="shared" si="9"/>
        <v>43027.951211090323</v>
      </c>
      <c r="C60" s="15">
        <f t="shared" si="5"/>
        <v>3298.8911062305592</v>
      </c>
      <c r="D60" s="15">
        <f t="shared" si="6"/>
        <v>412.3511991062814</v>
      </c>
      <c r="E60" s="15">
        <f t="shared" si="7"/>
        <v>2886.5399071242778</v>
      </c>
      <c r="F60" s="15">
        <f t="shared" si="8"/>
        <v>40141.411303966044</v>
      </c>
    </row>
    <row r="61" spans="1:6" x14ac:dyDescent="0.2">
      <c r="A61" s="6">
        <v>48</v>
      </c>
      <c r="B61" s="15">
        <f t="shared" si="9"/>
        <v>40141.411303966044</v>
      </c>
      <c r="C61" s="15">
        <f t="shared" si="5"/>
        <v>3298.8911062305592</v>
      </c>
      <c r="D61" s="15">
        <f t="shared" si="6"/>
        <v>384.68852499634039</v>
      </c>
      <c r="E61" s="15">
        <f t="shared" si="7"/>
        <v>2914.202581234219</v>
      </c>
      <c r="F61" s="15">
        <f t="shared" si="8"/>
        <v>37227.208722731826</v>
      </c>
    </row>
    <row r="62" spans="1:6" x14ac:dyDescent="0.2">
      <c r="A62" s="6">
        <v>49</v>
      </c>
      <c r="B62" s="15">
        <f t="shared" si="9"/>
        <v>37227.208722731826</v>
      </c>
      <c r="C62" s="15">
        <f t="shared" si="5"/>
        <v>3298.8911062305592</v>
      </c>
      <c r="D62" s="15">
        <f t="shared" si="6"/>
        <v>356.76075025951241</v>
      </c>
      <c r="E62" s="15">
        <f t="shared" si="7"/>
        <v>2942.1303559710468</v>
      </c>
      <c r="F62" s="15">
        <f t="shared" si="8"/>
        <v>34285.078366760776</v>
      </c>
    </row>
    <row r="63" spans="1:6" x14ac:dyDescent="0.2">
      <c r="A63" s="6">
        <v>50</v>
      </c>
      <c r="B63" s="15">
        <f t="shared" si="9"/>
        <v>34285.078366760776</v>
      </c>
      <c r="C63" s="15">
        <f t="shared" si="5"/>
        <v>3298.8911062305592</v>
      </c>
      <c r="D63" s="15">
        <f t="shared" si="6"/>
        <v>328.56533434812314</v>
      </c>
      <c r="E63" s="15">
        <f t="shared" si="7"/>
        <v>2970.3257718824361</v>
      </c>
      <c r="F63" s="15">
        <f t="shared" si="8"/>
        <v>31314.75259487834</v>
      </c>
    </row>
    <row r="64" spans="1:6" x14ac:dyDescent="0.2">
      <c r="A64" s="6">
        <v>51</v>
      </c>
      <c r="B64" s="15">
        <f t="shared" si="9"/>
        <v>31314.75259487834</v>
      </c>
      <c r="C64" s="15">
        <f t="shared" si="5"/>
        <v>3298.8911062305592</v>
      </c>
      <c r="D64" s="15">
        <f t="shared" si="6"/>
        <v>300.09971236758321</v>
      </c>
      <c r="E64" s="15">
        <f t="shared" si="7"/>
        <v>2998.7913938629758</v>
      </c>
      <c r="F64" s="15">
        <f t="shared" si="8"/>
        <v>28315.961201015365</v>
      </c>
    </row>
    <row r="65" spans="1:7" x14ac:dyDescent="0.2">
      <c r="A65" s="6">
        <v>52</v>
      </c>
      <c r="B65" s="15">
        <f t="shared" si="9"/>
        <v>28315.961201015365</v>
      </c>
      <c r="C65" s="15">
        <f t="shared" si="5"/>
        <v>3298.8911062305592</v>
      </c>
      <c r="D65" s="15">
        <f t="shared" si="6"/>
        <v>271.36129484306298</v>
      </c>
      <c r="E65" s="15">
        <f t="shared" si="7"/>
        <v>3027.5298113874965</v>
      </c>
      <c r="F65" s="15">
        <f t="shared" si="8"/>
        <v>25288.431389627869</v>
      </c>
    </row>
    <row r="66" spans="1:7" x14ac:dyDescent="0.2">
      <c r="A66" s="6">
        <v>53</v>
      </c>
      <c r="B66" s="15">
        <f t="shared" si="9"/>
        <v>25288.431389627869</v>
      </c>
      <c r="C66" s="15">
        <f t="shared" si="5"/>
        <v>3298.8911062305592</v>
      </c>
      <c r="D66" s="15">
        <f t="shared" si="6"/>
        <v>242.34746748393286</v>
      </c>
      <c r="E66" s="15">
        <f t="shared" si="7"/>
        <v>3056.5436387466266</v>
      </c>
      <c r="F66" s="15">
        <f t="shared" si="8"/>
        <v>22231.887750881244</v>
      </c>
    </row>
    <row r="67" spans="1:7" x14ac:dyDescent="0.2">
      <c r="A67" s="6">
        <v>54</v>
      </c>
      <c r="B67" s="15">
        <f t="shared" si="9"/>
        <v>22231.887750881244</v>
      </c>
      <c r="C67" s="15">
        <f t="shared" si="5"/>
        <v>3298.8911062305592</v>
      </c>
      <c r="D67" s="15">
        <f t="shared" si="6"/>
        <v>213.05559094594435</v>
      </c>
      <c r="E67" s="15">
        <f t="shared" si="7"/>
        <v>3085.8355152846152</v>
      </c>
      <c r="F67" s="15">
        <f t="shared" si="8"/>
        <v>19146.052235596628</v>
      </c>
    </row>
    <row r="68" spans="1:7" x14ac:dyDescent="0.2">
      <c r="A68" s="6">
        <v>55</v>
      </c>
      <c r="B68" s="15">
        <f t="shared" si="9"/>
        <v>19146.052235596628</v>
      </c>
      <c r="C68" s="15">
        <f t="shared" si="5"/>
        <v>3298.8911062305592</v>
      </c>
      <c r="D68" s="15">
        <f t="shared" si="6"/>
        <v>183.48300059113342</v>
      </c>
      <c r="E68" s="15">
        <f t="shared" si="7"/>
        <v>3115.4081056394261</v>
      </c>
      <c r="F68" s="15">
        <f t="shared" si="8"/>
        <v>16030.644129957202</v>
      </c>
    </row>
    <row r="69" spans="1:7" x14ac:dyDescent="0.2">
      <c r="A69" s="6">
        <v>56</v>
      </c>
      <c r="B69" s="15">
        <f t="shared" si="9"/>
        <v>16030.644129957202</v>
      </c>
      <c r="C69" s="15">
        <f t="shared" si="5"/>
        <v>3298.8911062305592</v>
      </c>
      <c r="D69" s="15">
        <f t="shared" si="6"/>
        <v>153.62700624542228</v>
      </c>
      <c r="E69" s="15">
        <f t="shared" si="7"/>
        <v>3145.2640999851369</v>
      </c>
      <c r="F69" s="15">
        <f t="shared" si="8"/>
        <v>12885.380029972064</v>
      </c>
    </row>
    <row r="70" spans="1:7" x14ac:dyDescent="0.2">
      <c r="A70" s="6">
        <v>57</v>
      </c>
      <c r="B70" s="15">
        <f t="shared" si="9"/>
        <v>12885.380029972064</v>
      </c>
      <c r="C70" s="15">
        <f t="shared" si="5"/>
        <v>3298.8911062305592</v>
      </c>
      <c r="D70" s="15">
        <f t="shared" si="6"/>
        <v>123.48489195389804</v>
      </c>
      <c r="E70" s="15">
        <f t="shared" si="7"/>
        <v>3175.4062142766611</v>
      </c>
      <c r="F70" s="15">
        <f t="shared" si="8"/>
        <v>9709.9738156954027</v>
      </c>
    </row>
    <row r="71" spans="1:7" x14ac:dyDescent="0.2">
      <c r="A71" s="6">
        <v>58</v>
      </c>
      <c r="B71" s="15">
        <f t="shared" si="9"/>
        <v>9709.9738156954027</v>
      </c>
      <c r="C71" s="15">
        <f t="shared" si="5"/>
        <v>3298.8911062305592</v>
      </c>
      <c r="D71" s="15">
        <f t="shared" si="6"/>
        <v>93.053915733746692</v>
      </c>
      <c r="E71" s="15">
        <f t="shared" si="7"/>
        <v>3205.8371904968126</v>
      </c>
      <c r="F71" s="15">
        <f t="shared" si="8"/>
        <v>6504.1366251985901</v>
      </c>
    </row>
    <row r="72" spans="1:7" x14ac:dyDescent="0.2">
      <c r="A72" s="6">
        <v>59</v>
      </c>
      <c r="B72" s="15">
        <f t="shared" si="9"/>
        <v>6504.1366251985901</v>
      </c>
      <c r="C72" s="15">
        <f t="shared" si="5"/>
        <v>3298.8911062305592</v>
      </c>
      <c r="D72" s="15">
        <f t="shared" si="6"/>
        <v>62.331309324818911</v>
      </c>
      <c r="E72" s="15">
        <f t="shared" si="7"/>
        <v>3236.5597969057408</v>
      </c>
      <c r="F72" s="15">
        <f t="shared" si="8"/>
        <v>3267.5768282928493</v>
      </c>
    </row>
    <row r="73" spans="1:7" x14ac:dyDescent="0.2">
      <c r="A73" s="6">
        <v>60</v>
      </c>
      <c r="B73" s="15">
        <f t="shared" si="9"/>
        <v>3267.5768282928493</v>
      </c>
      <c r="C73" s="15">
        <f t="shared" si="5"/>
        <v>3298.8911062305592</v>
      </c>
      <c r="D73" s="15">
        <f t="shared" si="6"/>
        <v>31.31427793780556</v>
      </c>
      <c r="E73" s="15">
        <f t="shared" si="7"/>
        <v>3267.5768282927538</v>
      </c>
      <c r="F73" s="15">
        <f t="shared" si="8"/>
        <v>9.5496943686157465E-11</v>
      </c>
    </row>
    <row r="74" spans="1:7" x14ac:dyDescent="0.2">
      <c r="A74" s="4" t="s">
        <v>35</v>
      </c>
      <c r="F74" s="15">
        <f>ROUND(F73,2)</f>
        <v>0</v>
      </c>
      <c r="G74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ColWidth="8.83203125" defaultRowHeight="15" x14ac:dyDescent="0.2"/>
  <cols>
    <col min="1" max="1" width="30" customWidth="1"/>
    <col min="2" max="4" width="18" customWidth="1"/>
    <col min="5" max="5" width="46" customWidth="1"/>
  </cols>
  <sheetData>
    <row r="1" spans="1:4" ht="19" x14ac:dyDescent="0.25">
      <c r="A1" s="1" t="s">
        <v>37</v>
      </c>
    </row>
    <row r="2" spans="1:4" x14ac:dyDescent="0.2">
      <c r="A2" s="2" t="s">
        <v>38</v>
      </c>
    </row>
    <row r="4" spans="1:4" x14ac:dyDescent="0.2">
      <c r="A4" s="4" t="s">
        <v>39</v>
      </c>
      <c r="B4" s="16">
        <v>14.8</v>
      </c>
    </row>
    <row r="5" spans="1:4" x14ac:dyDescent="0.2">
      <c r="A5" s="4" t="s">
        <v>40</v>
      </c>
      <c r="B5" s="16">
        <v>11.35</v>
      </c>
    </row>
    <row r="6" spans="1:4" x14ac:dyDescent="0.2">
      <c r="A6" s="4" t="s">
        <v>41</v>
      </c>
      <c r="B6" s="7">
        <v>21500</v>
      </c>
    </row>
    <row r="8" spans="1:4" x14ac:dyDescent="0.2">
      <c r="A8" s="4" t="s">
        <v>42</v>
      </c>
      <c r="B8" s="15">
        <f>B4-B5</f>
        <v>3.4500000000000011</v>
      </c>
    </row>
    <row r="9" spans="1:4" x14ac:dyDescent="0.2">
      <c r="A9" s="4" t="s">
        <v>43</v>
      </c>
      <c r="B9" s="17">
        <f>ROUNDUP(B6/B8,0)</f>
        <v>6232</v>
      </c>
    </row>
    <row r="10" spans="1:4" x14ac:dyDescent="0.2">
      <c r="A10" s="4" t="s">
        <v>44</v>
      </c>
      <c r="B10" s="11">
        <f>B9*B4</f>
        <v>92233.600000000006</v>
      </c>
    </row>
    <row r="11" spans="1:4" x14ac:dyDescent="0.2">
      <c r="A11" s="4" t="s">
        <v>45</v>
      </c>
      <c r="B11" s="12">
        <f>C11/B9-1</f>
        <v>0.50834403080872903</v>
      </c>
      <c r="C11" s="13">
        <v>9400</v>
      </c>
    </row>
    <row r="14" spans="1:4" ht="22" customHeight="1" x14ac:dyDescent="0.2">
      <c r="A14" s="3" t="s">
        <v>46</v>
      </c>
      <c r="B14" s="3" t="s">
        <v>47</v>
      </c>
      <c r="C14" s="3" t="s">
        <v>48</v>
      </c>
      <c r="D14" s="3" t="s">
        <v>49</v>
      </c>
    </row>
    <row r="15" spans="1:4" x14ac:dyDescent="0.2">
      <c r="A15" s="13">
        <v>0</v>
      </c>
      <c r="B15" s="11">
        <f t="shared" ref="B15:B21" si="0">A15*$B$4</f>
        <v>0</v>
      </c>
      <c r="C15" s="11">
        <f t="shared" ref="C15:C21" si="1">$B$6+A15*$B$5</f>
        <v>21500</v>
      </c>
      <c r="D15" s="11">
        <f t="shared" ref="D15:D21" si="2">B15-C15</f>
        <v>-21500</v>
      </c>
    </row>
    <row r="16" spans="1:4" x14ac:dyDescent="0.2">
      <c r="A16" s="13">
        <v>2000</v>
      </c>
      <c r="B16" s="11">
        <f t="shared" si="0"/>
        <v>29600</v>
      </c>
      <c r="C16" s="11">
        <f t="shared" si="1"/>
        <v>44200</v>
      </c>
      <c r="D16" s="11">
        <f t="shared" si="2"/>
        <v>-14600</v>
      </c>
    </row>
    <row r="17" spans="1:4" x14ac:dyDescent="0.2">
      <c r="A17" s="13">
        <v>4000</v>
      </c>
      <c r="B17" s="11">
        <f t="shared" si="0"/>
        <v>59200</v>
      </c>
      <c r="C17" s="11">
        <f t="shared" si="1"/>
        <v>66900</v>
      </c>
      <c r="D17" s="11">
        <f t="shared" si="2"/>
        <v>-7700</v>
      </c>
    </row>
    <row r="18" spans="1:4" x14ac:dyDescent="0.2">
      <c r="A18" s="13">
        <v>6000</v>
      </c>
      <c r="B18" s="11">
        <f t="shared" si="0"/>
        <v>88800</v>
      </c>
      <c r="C18" s="11">
        <f t="shared" si="1"/>
        <v>89600</v>
      </c>
      <c r="D18" s="11">
        <f t="shared" si="2"/>
        <v>-800</v>
      </c>
    </row>
    <row r="19" spans="1:4" x14ac:dyDescent="0.2">
      <c r="A19" s="13">
        <v>8000</v>
      </c>
      <c r="B19" s="11">
        <f t="shared" si="0"/>
        <v>118400</v>
      </c>
      <c r="C19" s="11">
        <f t="shared" si="1"/>
        <v>112300</v>
      </c>
      <c r="D19" s="11">
        <f t="shared" si="2"/>
        <v>6100</v>
      </c>
    </row>
    <row r="20" spans="1:4" x14ac:dyDescent="0.2">
      <c r="A20" s="13">
        <v>10000</v>
      </c>
      <c r="B20" s="11">
        <f t="shared" si="0"/>
        <v>148000</v>
      </c>
      <c r="C20" s="11">
        <f t="shared" si="1"/>
        <v>135000</v>
      </c>
      <c r="D20" s="11">
        <f t="shared" si="2"/>
        <v>13000</v>
      </c>
    </row>
    <row r="21" spans="1:4" x14ac:dyDescent="0.2">
      <c r="A21" s="13">
        <v>12000</v>
      </c>
      <c r="B21" s="11">
        <f t="shared" si="0"/>
        <v>177600</v>
      </c>
      <c r="C21" s="11">
        <f t="shared" si="1"/>
        <v>157700</v>
      </c>
      <c r="D21" s="11">
        <f t="shared" si="2"/>
        <v>19900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baseColWidth="10" defaultColWidth="8.83203125" defaultRowHeight="15" x14ac:dyDescent="0.2"/>
  <cols>
    <col min="1" max="1" width="16" customWidth="1"/>
    <col min="2" max="2" width="18" customWidth="1"/>
    <col min="3" max="3" width="14" customWidth="1"/>
    <col min="4" max="4" width="16" customWidth="1"/>
    <col min="5" max="5" width="18" customWidth="1"/>
    <col min="6" max="6" width="20" customWidth="1"/>
    <col min="7" max="7" width="48" customWidth="1"/>
  </cols>
  <sheetData>
    <row r="1" spans="1:6" ht="19" x14ac:dyDescent="0.25">
      <c r="A1" s="1" t="s">
        <v>50</v>
      </c>
    </row>
    <row r="2" spans="1:6" x14ac:dyDescent="0.2">
      <c r="A2" s="2" t="s">
        <v>51</v>
      </c>
    </row>
    <row r="4" spans="1:6" ht="22" customHeight="1" x14ac:dyDescent="0.2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</row>
    <row r="5" spans="1:6" x14ac:dyDescent="0.2">
      <c r="A5" s="6" t="s">
        <v>58</v>
      </c>
      <c r="B5" s="16">
        <v>1.92</v>
      </c>
      <c r="C5" s="13">
        <v>8000</v>
      </c>
      <c r="D5" s="13">
        <v>2000</v>
      </c>
      <c r="E5" s="18">
        <v>2000</v>
      </c>
      <c r="F5" s="11">
        <f t="shared" ref="F5:F10" si="0">E5*B5</f>
        <v>3840</v>
      </c>
    </row>
    <row r="6" spans="1:6" x14ac:dyDescent="0.2">
      <c r="A6" s="6" t="s">
        <v>59</v>
      </c>
      <c r="B6" s="16">
        <v>1.64</v>
      </c>
      <c r="C6" s="13">
        <v>5000</v>
      </c>
      <c r="D6" s="13">
        <v>1500</v>
      </c>
      <c r="E6" s="18">
        <v>1500</v>
      </c>
      <c r="F6" s="11">
        <f t="shared" si="0"/>
        <v>2460</v>
      </c>
    </row>
    <row r="7" spans="1:6" x14ac:dyDescent="0.2">
      <c r="A7" s="6" t="s">
        <v>60</v>
      </c>
      <c r="B7" s="16">
        <v>2.15</v>
      </c>
      <c r="C7" s="13">
        <v>6500</v>
      </c>
      <c r="D7" s="13">
        <v>1500</v>
      </c>
      <c r="E7" s="18">
        <v>1500</v>
      </c>
      <c r="F7" s="11">
        <f t="shared" si="0"/>
        <v>3225</v>
      </c>
    </row>
    <row r="8" spans="1:6" x14ac:dyDescent="0.2">
      <c r="A8" s="6" t="s">
        <v>61</v>
      </c>
      <c r="B8" s="16">
        <v>1.78</v>
      </c>
      <c r="C8" s="13">
        <v>4500</v>
      </c>
      <c r="D8" s="13">
        <v>1200</v>
      </c>
      <c r="E8" s="18">
        <v>1200</v>
      </c>
      <c r="F8" s="11">
        <f t="shared" si="0"/>
        <v>2136</v>
      </c>
    </row>
    <row r="9" spans="1:6" x14ac:dyDescent="0.2">
      <c r="A9" s="6" t="s">
        <v>62</v>
      </c>
      <c r="B9" s="16">
        <v>1.55</v>
      </c>
      <c r="C9" s="13">
        <v>5500</v>
      </c>
      <c r="D9" s="13">
        <v>1200</v>
      </c>
      <c r="E9" s="18">
        <v>1200</v>
      </c>
      <c r="F9" s="11">
        <f t="shared" si="0"/>
        <v>1860</v>
      </c>
    </row>
    <row r="10" spans="1:6" x14ac:dyDescent="0.2">
      <c r="A10" s="6" t="s">
        <v>63</v>
      </c>
      <c r="B10" s="16">
        <v>2.04</v>
      </c>
      <c r="C10" s="13">
        <v>3500</v>
      </c>
      <c r="D10" s="13">
        <v>1000</v>
      </c>
      <c r="E10" s="18">
        <v>1000</v>
      </c>
      <c r="F10" s="11">
        <f t="shared" si="0"/>
        <v>2040</v>
      </c>
    </row>
    <row r="11" spans="1:6" x14ac:dyDescent="0.2">
      <c r="A11" s="4" t="s">
        <v>64</v>
      </c>
      <c r="E11" s="17">
        <f>SUM(E5:E10)</f>
        <v>8400</v>
      </c>
      <c r="F11" s="11">
        <f>SUM(F5:F10)</f>
        <v>15561</v>
      </c>
    </row>
    <row r="13" spans="1:6" x14ac:dyDescent="0.2">
      <c r="A13" s="4" t="s">
        <v>65</v>
      </c>
      <c r="B13" s="13">
        <v>24000</v>
      </c>
    </row>
    <row r="14" spans="1:6" x14ac:dyDescent="0.2">
      <c r="A14" s="4" t="s">
        <v>66</v>
      </c>
      <c r="B14" s="17">
        <f>B13-E11</f>
        <v>15600</v>
      </c>
      <c r="C14" s="2" t="s">
        <v>67</v>
      </c>
    </row>
    <row r="16" spans="1:6" x14ac:dyDescent="0.2">
      <c r="A16" s="4" t="s">
        <v>68</v>
      </c>
    </row>
    <row r="17" spans="1:1" x14ac:dyDescent="0.2">
      <c r="A17" s="4" t="s">
        <v>69</v>
      </c>
    </row>
    <row r="18" spans="1:1" x14ac:dyDescent="0.2">
      <c r="A18" s="19" t="s">
        <v>70</v>
      </c>
    </row>
    <row r="19" spans="1:1" x14ac:dyDescent="0.2">
      <c r="A19" s="19" t="s">
        <v>71</v>
      </c>
    </row>
    <row r="20" spans="1:1" x14ac:dyDescent="0.2">
      <c r="A20" s="19" t="s">
        <v>72</v>
      </c>
    </row>
    <row r="21" spans="1:1" x14ac:dyDescent="0.2">
      <c r="A21" s="19" t="s">
        <v>73</v>
      </c>
    </row>
    <row r="22" spans="1:1" x14ac:dyDescent="0.2">
      <c r="A22" s="19" t="s">
        <v>74</v>
      </c>
    </row>
    <row r="23" spans="1:1" x14ac:dyDescent="0.2">
      <c r="A23" s="1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baseColWidth="10" defaultColWidth="8.83203125" defaultRowHeight="15" x14ac:dyDescent="0.2"/>
  <cols>
    <col min="1" max="1" width="46" customWidth="1"/>
    <col min="2" max="2" width="20" customWidth="1"/>
    <col min="3" max="3" width="52" customWidth="1"/>
  </cols>
  <sheetData>
    <row r="1" spans="1:3" ht="19" x14ac:dyDescent="0.25">
      <c r="A1" s="1" t="s">
        <v>76</v>
      </c>
    </row>
    <row r="4" spans="1:3" ht="22" customHeight="1" x14ac:dyDescent="0.2">
      <c r="A4" s="3" t="s">
        <v>77</v>
      </c>
      <c r="B4" s="3" t="s">
        <v>78</v>
      </c>
      <c r="C4" s="3" t="s">
        <v>79</v>
      </c>
    </row>
    <row r="5" spans="1:3" x14ac:dyDescent="0.2">
      <c r="A5" s="6" t="s">
        <v>80</v>
      </c>
      <c r="B5" s="20">
        <v>93431.54</v>
      </c>
      <c r="C5" s="2" t="s">
        <v>81</v>
      </c>
    </row>
    <row r="6" spans="1:3" x14ac:dyDescent="0.2">
      <c r="A6" s="6" t="s">
        <v>82</v>
      </c>
      <c r="B6" s="20">
        <v>426511.96</v>
      </c>
      <c r="C6" s="2" t="s">
        <v>83</v>
      </c>
    </row>
    <row r="7" spans="1:3" x14ac:dyDescent="0.2">
      <c r="A7" s="6" t="s">
        <v>84</v>
      </c>
      <c r="B7" s="20">
        <v>106511.96</v>
      </c>
      <c r="C7" s="2" t="s">
        <v>85</v>
      </c>
    </row>
    <row r="8" spans="1:3" x14ac:dyDescent="0.2">
      <c r="A8" s="6" t="s">
        <v>86</v>
      </c>
      <c r="B8" s="21">
        <v>0.24106900000000001</v>
      </c>
      <c r="C8" s="2" t="s">
        <v>87</v>
      </c>
    </row>
    <row r="9" spans="1:3" x14ac:dyDescent="0.2">
      <c r="A9" s="6" t="s">
        <v>88</v>
      </c>
      <c r="B9" s="22">
        <v>3298.89</v>
      </c>
      <c r="C9" s="2" t="s">
        <v>89</v>
      </c>
    </row>
    <row r="10" spans="1:3" x14ac:dyDescent="0.2">
      <c r="A10" s="6" t="s">
        <v>27</v>
      </c>
      <c r="B10" s="20">
        <v>47933.47</v>
      </c>
      <c r="C10" s="2" t="s">
        <v>90</v>
      </c>
    </row>
    <row r="11" spans="1:3" x14ac:dyDescent="0.2">
      <c r="A11" s="6" t="s">
        <v>91</v>
      </c>
      <c r="B11" s="23">
        <v>6232</v>
      </c>
      <c r="C11" s="2" t="s">
        <v>92</v>
      </c>
    </row>
    <row r="12" spans="1:3" x14ac:dyDescent="0.2">
      <c r="A12" s="6" t="s">
        <v>93</v>
      </c>
      <c r="B12" s="20">
        <v>46669</v>
      </c>
      <c r="C12" s="2" t="s">
        <v>94</v>
      </c>
    </row>
    <row r="14" spans="1:3" ht="19" x14ac:dyDescent="0.25">
      <c r="A14" s="1" t="s">
        <v>95</v>
      </c>
    </row>
    <row r="15" spans="1:3" ht="22" customHeight="1" x14ac:dyDescent="0.2">
      <c r="A15" s="3" t="s">
        <v>52</v>
      </c>
      <c r="B15" s="3" t="s">
        <v>56</v>
      </c>
    </row>
    <row r="16" spans="1:3" x14ac:dyDescent="0.2">
      <c r="A16" s="6" t="s">
        <v>58</v>
      </c>
      <c r="B16" s="23">
        <v>8000</v>
      </c>
    </row>
    <row r="17" spans="1:3" x14ac:dyDescent="0.2">
      <c r="A17" s="6" t="s">
        <v>59</v>
      </c>
      <c r="B17" s="23">
        <v>1500</v>
      </c>
    </row>
    <row r="18" spans="1:3" x14ac:dyDescent="0.2">
      <c r="A18" s="6" t="s">
        <v>60</v>
      </c>
      <c r="B18" s="23">
        <v>6500</v>
      </c>
    </row>
    <row r="19" spans="1:3" x14ac:dyDescent="0.2">
      <c r="A19" s="6" t="s">
        <v>61</v>
      </c>
      <c r="B19" s="23">
        <v>3300</v>
      </c>
    </row>
    <row r="20" spans="1:3" x14ac:dyDescent="0.2">
      <c r="A20" s="6" t="s">
        <v>62</v>
      </c>
      <c r="B20" s="23">
        <v>1200</v>
      </c>
    </row>
    <row r="21" spans="1:3" x14ac:dyDescent="0.2">
      <c r="A21" s="6" t="s">
        <v>63</v>
      </c>
      <c r="B21" s="23">
        <v>3500</v>
      </c>
    </row>
    <row r="23" spans="1:3" x14ac:dyDescent="0.2">
      <c r="A23" s="4" t="s">
        <v>96</v>
      </c>
    </row>
    <row r="24" spans="1:3" x14ac:dyDescent="0.2">
      <c r="A24" s="24" t="s">
        <v>97</v>
      </c>
      <c r="B24" s="25"/>
      <c r="C24" s="25"/>
    </row>
    <row r="25" spans="1:3" x14ac:dyDescent="0.2">
      <c r="A25" s="25"/>
      <c r="B25" s="25"/>
      <c r="C25" s="25"/>
    </row>
    <row r="26" spans="1:3" x14ac:dyDescent="0.2">
      <c r="A26" s="25"/>
      <c r="B26" s="25"/>
      <c r="C26" s="25"/>
    </row>
    <row r="27" spans="1:3" x14ac:dyDescent="0.2">
      <c r="A27" s="25"/>
      <c r="B27" s="25"/>
      <c r="C27" s="25"/>
    </row>
  </sheetData>
  <mergeCells count="1">
    <mergeCell ref="A24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VAN_TRI</vt:lpstr>
      <vt:lpstr>EMPRUNT</vt:lpstr>
      <vt:lpstr>SEUIL</vt:lpstr>
      <vt:lpstr>SOLVEUR</vt:lpstr>
      <vt:lpstr>ATTENDU</vt:lpstr>
      <vt:lpstr>FLUX</vt:lpstr>
      <vt:lpstr>FLUX_1_N</vt:lpstr>
      <vt:lpstr>T_ACT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2026-09-17T23:02:48Z</dcterms:created>
  <dcterms:modified xsi:type="dcterms:W3CDTF">2026-09-17T23:02:57Z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2026-09-17T23:02:56Z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ce5173a1-5741-4181-8f3a-3c1a47b739c7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