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missions" sheetId="1" state="visible" r:id="rId3"/>
    <sheet name="BAREMES" sheetId="2" state="visible" r:id="rId4"/>
    <sheet name="Repor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<sst xmlns="http://schemas.openxmlformats.org/spreadsheetml/2006/main" count="202" uniqueCount="121">
  <si>
    <t xml:space="preserve">Matricule</t>
  </si>
  <si>
    <t xml:space="preserve">Nom</t>
  </si>
  <si>
    <t xml:space="preserve">Agence</t>
  </si>
  <si>
    <t xml:space="preserve">Devise</t>
  </si>
  <si>
    <t xml:space="preserve">Date_Embauche</t>
  </si>
  <si>
    <t xml:space="preserve">Objectif</t>
  </si>
  <si>
    <t xml:space="preserve">Realise</t>
  </si>
  <si>
    <t xml:space="preserve">Taux_Realisation</t>
  </si>
  <si>
    <t xml:space="preserve">Anciennete</t>
  </si>
  <si>
    <t xml:space="preserve">Taux_Commission</t>
  </si>
  <si>
    <t xml:space="preserve">Commission_Locale</t>
  </si>
  <si>
    <t xml:space="preserve">Commission_USD</t>
  </si>
  <si>
    <t xml:space="preserve">BAO-001</t>
  </si>
  <si>
    <t xml:space="preserve">Thomas TSHIALA</t>
  </si>
  <si>
    <t xml:space="preserve">Kinshasa</t>
  </si>
  <si>
    <t xml:space="preserve">CDF</t>
  </si>
  <si>
    <t xml:space="preserve">BAO-002</t>
  </si>
  <si>
    <t xml:space="preserve">Mariam MASSAMBA</t>
  </si>
  <si>
    <t xml:space="preserve">Lubumbashi</t>
  </si>
  <si>
    <t xml:space="preserve">BAO-003</t>
  </si>
  <si>
    <t xml:space="preserve">Patrick KALALA</t>
  </si>
  <si>
    <t xml:space="preserve">Abidjan</t>
  </si>
  <si>
    <t xml:space="preserve">XOF</t>
  </si>
  <si>
    <t xml:space="preserve">BAO-004</t>
  </si>
  <si>
    <t xml:space="preserve">Thomas OUEDRAOGO</t>
  </si>
  <si>
    <t xml:space="preserve">Dakar</t>
  </si>
  <si>
    <t xml:space="preserve">BAO-005</t>
  </si>
  <si>
    <t xml:space="preserve">Fatou LOKO</t>
  </si>
  <si>
    <t xml:space="preserve">Douala</t>
  </si>
  <si>
    <t xml:space="preserve">XAF</t>
  </si>
  <si>
    <t xml:space="preserve">BAO-006</t>
  </si>
  <si>
    <t xml:space="preserve">Chantal BINTOU</t>
  </si>
  <si>
    <t xml:space="preserve">Libreville</t>
  </si>
  <si>
    <t xml:space="preserve">BAO-007</t>
  </si>
  <si>
    <t xml:space="preserve">Dieudonné TRAORE</t>
  </si>
  <si>
    <t xml:space="preserve">BAO-008</t>
  </si>
  <si>
    <t xml:space="preserve">Mariam TRAORE</t>
  </si>
  <si>
    <t xml:space="preserve">BAO-009</t>
  </si>
  <si>
    <t xml:space="preserve">Moussa OUEDRAOGO</t>
  </si>
  <si>
    <t xml:space="preserve">BAO-010</t>
  </si>
  <si>
    <t xml:space="preserve">Thomas SAMBA</t>
  </si>
  <si>
    <t xml:space="preserve">BAO-011</t>
  </si>
  <si>
    <t xml:space="preserve">Joséphine DIALLO</t>
  </si>
  <si>
    <t xml:space="preserve">BAO-012</t>
  </si>
  <si>
    <t xml:space="preserve">Nadège NZUZI</t>
  </si>
  <si>
    <t xml:space="preserve">BAO-013</t>
  </si>
  <si>
    <t xml:space="preserve">Thomas KIPRE</t>
  </si>
  <si>
    <t xml:space="preserve">BAO-014</t>
  </si>
  <si>
    <t xml:space="preserve">Rachel KOFFI</t>
  </si>
  <si>
    <t xml:space="preserve">BAO-015</t>
  </si>
  <si>
    <t xml:space="preserve">Chantal TRAORE</t>
  </si>
  <si>
    <t xml:space="preserve">BAO-016</t>
  </si>
  <si>
    <t xml:space="preserve">Grâce TRAORE</t>
  </si>
  <si>
    <t xml:space="preserve">BAO-017</t>
  </si>
  <si>
    <t xml:space="preserve">Rachel BINTOU</t>
  </si>
  <si>
    <t xml:space="preserve">BAO-018</t>
  </si>
  <si>
    <t xml:space="preserve">Emmanuel OUEDRAOGO</t>
  </si>
  <si>
    <t xml:space="preserve">BAO-019</t>
  </si>
  <si>
    <t xml:space="preserve">Serge TRAORE</t>
  </si>
  <si>
    <t xml:space="preserve">BAO-020</t>
  </si>
  <si>
    <t xml:space="preserve">BAO-021</t>
  </si>
  <si>
    <t xml:space="preserve">Aïcha ESSONO</t>
  </si>
  <si>
    <t xml:space="preserve">BAO-022</t>
  </si>
  <si>
    <t xml:space="preserve">Blaise ILUNGA</t>
  </si>
  <si>
    <t xml:space="preserve">BAO-023</t>
  </si>
  <si>
    <t xml:space="preserve">Célestin NDIAYE</t>
  </si>
  <si>
    <t xml:space="preserve">BAO-024</t>
  </si>
  <si>
    <t xml:space="preserve">Célestin DIALLO</t>
  </si>
  <si>
    <t xml:space="preserve">BAO-025</t>
  </si>
  <si>
    <t xml:space="preserve">Mariam NZUZI</t>
  </si>
  <si>
    <t xml:space="preserve">BAO-026</t>
  </si>
  <si>
    <t xml:space="preserve">Aline MASSAMBA</t>
  </si>
  <si>
    <t xml:space="preserve">BAO-027</t>
  </si>
  <si>
    <t xml:space="preserve">Dieudonné NDIAYE</t>
  </si>
  <si>
    <t xml:space="preserve">BAO-028</t>
  </si>
  <si>
    <t xml:space="preserve">Joséphine SAMBA</t>
  </si>
  <si>
    <t xml:space="preserve">BAO-029</t>
  </si>
  <si>
    <t xml:space="preserve">Thomas MABIALA</t>
  </si>
  <si>
    <t xml:space="preserve">BAO-030</t>
  </si>
  <si>
    <t xml:space="preserve">Nadège KALALA</t>
  </si>
  <si>
    <t xml:space="preserve">BAO-031</t>
  </si>
  <si>
    <t xml:space="preserve">Thomas KOFFI</t>
  </si>
  <si>
    <t xml:space="preserve">BAO-032</t>
  </si>
  <si>
    <t xml:space="preserve">Joséphine LOKO</t>
  </si>
  <si>
    <t xml:space="preserve">BAO-033</t>
  </si>
  <si>
    <t xml:space="preserve">Aïcha MASSAMBA</t>
  </si>
  <si>
    <t xml:space="preserve">BAO-034</t>
  </si>
  <si>
    <t xml:space="preserve">Célestin KOUADIO</t>
  </si>
  <si>
    <t xml:space="preserve">BAO-035</t>
  </si>
  <si>
    <t xml:space="preserve">Nadège ILUNGA</t>
  </si>
  <si>
    <t xml:space="preserve">BAO-036</t>
  </si>
  <si>
    <t xml:space="preserve">Junior MABIALA</t>
  </si>
  <si>
    <t xml:space="preserve">BAO-037</t>
  </si>
  <si>
    <t xml:space="preserve">Junior NGOMA</t>
  </si>
  <si>
    <t xml:space="preserve">BAO-038</t>
  </si>
  <si>
    <t xml:space="preserve">Junior BAKAYOKO</t>
  </si>
  <si>
    <t xml:space="preserve">BAO-039</t>
  </si>
  <si>
    <t xml:space="preserve">Espérance MBARGA</t>
  </si>
  <si>
    <t xml:space="preserve">BAO-040</t>
  </si>
  <si>
    <t xml:space="preserve">Fatou SAMBA</t>
  </si>
  <si>
    <t xml:space="preserve">BAO-041</t>
  </si>
  <si>
    <t xml:space="preserve">Moussa MUKENDI</t>
  </si>
  <si>
    <t xml:space="preserve">BAO-042</t>
  </si>
  <si>
    <t xml:space="preserve">Olivier DIALLO</t>
  </si>
  <si>
    <t xml:space="preserve">BAREMES — toutes les hypothèses, et nulle part ailleurs</t>
  </si>
  <si>
    <t xml:space="preserve">Une valeur d'hypothèse ne s'écrit jamais dans une formule. Elle vit ici, elle porte un nom, et tout le classeur pointe dessus.</t>
  </si>
  <si>
    <t xml:space="preserve">Seuil bas</t>
  </si>
  <si>
    <t xml:space="preserve">Seuil haut</t>
  </si>
  <si>
    <t xml:space="preserve">Taux de commission</t>
  </si>
  <si>
    <t xml:space="preserve">Bonus d'ancienneté</t>
  </si>
  <si>
    <t xml:space="preserve">Ancienneté requise (ans)</t>
  </si>
  <si>
    <t xml:space="preserve">Plafond de commission</t>
  </si>
  <si>
    <t xml:space="preserve">Mois de référence</t>
  </si>
  <si>
    <t xml:space="preserve">Taux_USD</t>
  </si>
  <si>
    <t xml:space="preserve">Le reporting de Nadège — sans tableau croisé</t>
  </si>
  <si>
    <t xml:space="preserve">Agence pilote</t>
  </si>
  <si>
    <t xml:space="preserve">CA réalisé de l'agence pilote</t>
  </si>
  <si>
    <t xml:space="preserve">Nombre de commerciaux de l'agence pilote</t>
  </si>
  <si>
    <t xml:space="preserve">Commission moyenne de l'agence pilote (USD)</t>
  </si>
  <si>
    <t xml:space="preserve">CA des commerciaux au-dessus de leur objectif</t>
  </si>
  <si>
    <t xml:space="preserve">Total de contrôle — doit valoir 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</si>
</sst>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0,%"/>
    <numFmt numFmtId="167" formatCode="0,%"/>
    <numFmt numFmtId="168" formatCode="###,000"/>
    <numFmt numFmtId="169" formatCode="mmm\ 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101418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Baremes" displayName="t_Baremes" ref="A4:C8" headerRowCount="1" totalsRowCount="0" totalsRowShown="0">
  <autoFilter ref="A4:C8"/>
  <tableColumns count="3">
    <tableColumn id="1" name="Seuil bas"/>
    <tableColumn id="2" name="Seuil haut"/>
    <tableColumn id="3" name="Taux de commission"/>
  </tableColumns>
</table>
</file>

<file path=xl/tables/table2.xml><?xml version="1.0" encoding="utf-8"?>
<table xmlns="http://schemas.openxmlformats.org/spreadsheetml/2006/main" id="2" name="t_Com" displayName="t_Com" ref="A1:L43" headerRowCount="1" totalsRowCount="0" totalsRowShown="0">
  <autoFilter ref="A1:L43"/>
  <tableColumns count="12">
    <tableColumn id="1" name="Matricule"/>
    <tableColumn id="2" name="Nom"/>
    <tableColumn id="3" name="Agence"/>
    <tableColumn id="4" name="Devise"/>
    <tableColumn id="5" name="Date_Embauche"/>
    <tableColumn id="6" name="Objectif"/>
    <tableColumn id="7" name="Realise"/>
    <tableColumn id="8" name="Taux_Realisation"/>
    <tableColumn id="9" name="Anciennete"/>
    <tableColumn id="10" name="Taux_Commission"/>
    <tableColumn id="11" name="Commission_Locale"/>
    <tableColumn id="12" name="Commission_USD"/>
  </tableColumns>
</table>
</file>

<file path=xl/tables/table3.xml><?xml version="1.0" encoding="utf-8"?>
<table xmlns="http://schemas.openxmlformats.org/spreadsheetml/2006/main" id="3" name="t_Taux" displayName="t_Taux" ref="E9:F12" headerRowCount="1" totalsRowCount="0" totalsRowShown="0">
  <autoFilter ref="E9:F12"/>
  <tableColumns count="2">
    <tableColumn id="1" name="Devise"/>
    <tableColumn id="2" name="Taux_US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2" t="n">
        <v>45556</v>
      </c>
      <c r="F2" s="0" t="n">
        <v>7050000</v>
      </c>
      <c r="G2" s="0" t="n">
        <v>7050000</v>
      </c>
      <c r="H2" s="3" t="n">
        <v>1</v>
      </c>
      <c r="I2" s="0" t="n">
        <v>1</v>
      </c>
      <c r="J2" s="4" t="n">
        <v>0.06</v>
      </c>
      <c r="K2" s="0" t="n">
        <v>423000</v>
      </c>
      <c r="L2" s="5" t="n">
        <v>139.88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15</v>
      </c>
      <c r="E3" s="2" t="n">
        <v>45914</v>
      </c>
      <c r="F3" s="0" t="n">
        <v>11940000</v>
      </c>
      <c r="G3" s="0" t="n">
        <v>11928000</v>
      </c>
      <c r="H3" s="3" t="n">
        <v>0.999</v>
      </c>
      <c r="I3" s="0" t="n">
        <v>0</v>
      </c>
      <c r="J3" s="4" t="n">
        <v>0.04</v>
      </c>
      <c r="K3" s="0" t="n">
        <v>477120</v>
      </c>
      <c r="L3" s="5" t="n">
        <v>157.78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2" t="n">
        <v>45214</v>
      </c>
      <c r="F4" s="0" t="n">
        <v>2320000</v>
      </c>
      <c r="G4" s="0" t="n">
        <v>2784000</v>
      </c>
      <c r="H4" s="3" t="n">
        <v>1.2</v>
      </c>
      <c r="I4" s="0" t="n">
        <v>2</v>
      </c>
      <c r="J4" s="4" t="n">
        <v>0.08</v>
      </c>
      <c r="K4" s="0" t="n">
        <v>233856</v>
      </c>
      <c r="L4" s="5" t="n">
        <v>389.11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25</v>
      </c>
      <c r="D5" s="0" t="s">
        <v>22</v>
      </c>
      <c r="E5" s="2" t="n">
        <v>42882</v>
      </c>
      <c r="F5" s="0" t="n">
        <v>2030000</v>
      </c>
      <c r="G5" s="0" t="n">
        <v>0</v>
      </c>
      <c r="H5" s="3" t="n">
        <v>0</v>
      </c>
      <c r="I5" s="0" t="n">
        <v>9</v>
      </c>
      <c r="J5" s="4" t="n">
        <v>0</v>
      </c>
      <c r="K5" s="0" t="n">
        <v>0</v>
      </c>
      <c r="L5" s="5" t="n">
        <v>0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2" t="n">
        <v>46256</v>
      </c>
      <c r="F6" s="0" t="n">
        <v>1270000</v>
      </c>
      <c r="G6" s="0" t="n">
        <v>3112000</v>
      </c>
      <c r="H6" s="3" t="n">
        <v>2.4504</v>
      </c>
      <c r="I6" s="0" t="n">
        <v>0</v>
      </c>
      <c r="J6" s="4" t="n">
        <v>0.08</v>
      </c>
      <c r="K6" s="0" t="n">
        <v>248960</v>
      </c>
      <c r="L6" s="5" t="n">
        <v>414.24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29</v>
      </c>
      <c r="E7" s="2" t="n">
        <v>44373</v>
      </c>
      <c r="F7" s="0" t="n">
        <v>1760000</v>
      </c>
      <c r="G7" s="0" t="n">
        <v>1408000</v>
      </c>
      <c r="H7" s="3" t="n">
        <v>0.8</v>
      </c>
      <c r="I7" s="0" t="n">
        <v>5</v>
      </c>
      <c r="J7" s="4" t="n">
        <v>0.04</v>
      </c>
      <c r="K7" s="0" t="n">
        <v>56320</v>
      </c>
      <c r="L7" s="5" t="n">
        <v>93.71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14</v>
      </c>
      <c r="D8" s="0" t="s">
        <v>15</v>
      </c>
      <c r="E8" s="2" t="n">
        <v>42996</v>
      </c>
      <c r="F8" s="0" t="n">
        <v>0</v>
      </c>
      <c r="G8" s="0" t="n">
        <v>3600000</v>
      </c>
      <c r="H8" s="3" t="n">
        <v>0</v>
      </c>
      <c r="I8" s="0" t="n">
        <v>8</v>
      </c>
      <c r="J8" s="4" t="n">
        <v>0</v>
      </c>
      <c r="K8" s="0" t="n">
        <v>0</v>
      </c>
      <c r="L8" s="5" t="n">
        <v>0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18</v>
      </c>
      <c r="D9" s="0" t="s">
        <v>15</v>
      </c>
      <c r="E9" s="2" t="n">
        <v>45536</v>
      </c>
      <c r="F9" s="0" t="n">
        <v>9180000</v>
      </c>
      <c r="G9" s="0" t="n">
        <v>13899000</v>
      </c>
      <c r="H9" s="3" t="n">
        <v>1.5141</v>
      </c>
      <c r="I9" s="0" t="n">
        <v>2</v>
      </c>
      <c r="J9" s="4" t="n">
        <v>0.08</v>
      </c>
      <c r="K9" s="0" t="n">
        <v>1167516</v>
      </c>
      <c r="L9" s="5" t="n">
        <v>386.08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0" t="s">
        <v>21</v>
      </c>
      <c r="D10" s="0" t="s">
        <v>22</v>
      </c>
      <c r="E10" s="2" t="n">
        <v>45537</v>
      </c>
      <c r="F10" s="0" t="n">
        <v>1290000</v>
      </c>
      <c r="G10" s="0" t="n">
        <v>1718000</v>
      </c>
      <c r="H10" s="3" t="n">
        <v>1.3318</v>
      </c>
      <c r="I10" s="0" t="n">
        <v>1</v>
      </c>
      <c r="J10" s="4" t="n">
        <v>0.08</v>
      </c>
      <c r="K10" s="0" t="n">
        <v>137440</v>
      </c>
      <c r="L10" s="5" t="n">
        <v>228.69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0" t="s">
        <v>25</v>
      </c>
      <c r="D11" s="0" t="s">
        <v>22</v>
      </c>
      <c r="E11" s="2" t="n">
        <v>45916</v>
      </c>
      <c r="F11" s="0" t="n">
        <v>1790000</v>
      </c>
      <c r="G11" s="0" t="n">
        <v>1770000</v>
      </c>
      <c r="H11" s="3" t="n">
        <v>0.9888</v>
      </c>
      <c r="I11" s="0" t="n">
        <v>0</v>
      </c>
      <c r="J11" s="4" t="n">
        <v>0.04</v>
      </c>
      <c r="K11" s="0" t="n">
        <v>70800</v>
      </c>
      <c r="L11" s="5" t="n">
        <v>117.8</v>
      </c>
    </row>
    <row r="12" customFormat="false" ht="15" hidden="false" customHeight="false" outlineLevel="0" collapsed="false">
      <c r="A12" s="0" t="s">
        <v>41</v>
      </c>
      <c r="B12" s="0" t="s">
        <v>42</v>
      </c>
      <c r="C12" s="0" t="s">
        <v>28</v>
      </c>
      <c r="D12" s="0" t="s">
        <v>29</v>
      </c>
      <c r="E12" s="2" t="n">
        <v>45882</v>
      </c>
      <c r="F12" s="0" t="n">
        <v>1900000</v>
      </c>
      <c r="G12" s="0" t="n">
        <v>2612000</v>
      </c>
      <c r="H12" s="3" t="n">
        <v>1.3747</v>
      </c>
      <c r="I12" s="0" t="n">
        <v>1</v>
      </c>
      <c r="J12" s="4" t="n">
        <v>0.08</v>
      </c>
      <c r="K12" s="0" t="n">
        <v>208960</v>
      </c>
      <c r="L12" s="5" t="n">
        <v>347.69</v>
      </c>
    </row>
    <row r="13" customFormat="false" ht="15" hidden="false" customHeight="false" outlineLevel="0" collapsed="false">
      <c r="A13" s="0" t="s">
        <v>43</v>
      </c>
      <c r="B13" s="0" t="s">
        <v>44</v>
      </c>
      <c r="C13" s="0" t="s">
        <v>32</v>
      </c>
      <c r="D13" s="0" t="s">
        <v>29</v>
      </c>
      <c r="E13" s="2" t="n">
        <v>45186</v>
      </c>
      <c r="F13" s="0" t="n">
        <v>2320000</v>
      </c>
      <c r="G13" s="0" t="n">
        <v>2714000</v>
      </c>
      <c r="H13" s="3" t="n">
        <v>1.1698</v>
      </c>
      <c r="I13" s="0" t="n">
        <v>2</v>
      </c>
      <c r="J13" s="4" t="n">
        <v>0.06</v>
      </c>
      <c r="K13" s="0" t="n">
        <v>170982</v>
      </c>
      <c r="L13" s="5" t="n">
        <v>284.5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14</v>
      </c>
      <c r="D14" s="0" t="s">
        <v>15</v>
      </c>
      <c r="E14" s="2" t="n">
        <v>42721</v>
      </c>
      <c r="F14" s="0" t="n">
        <v>7710000</v>
      </c>
      <c r="G14" s="0" t="n">
        <v>5335000</v>
      </c>
      <c r="H14" s="3" t="n">
        <v>0.692</v>
      </c>
      <c r="I14" s="0" t="n">
        <v>9</v>
      </c>
      <c r="J14" s="4" t="n">
        <v>0</v>
      </c>
      <c r="K14" s="0" t="n">
        <v>0</v>
      </c>
      <c r="L14" s="5" t="n">
        <v>0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18</v>
      </c>
      <c r="D15" s="0" t="s">
        <v>15</v>
      </c>
      <c r="E15" s="2" t="n">
        <v>43517</v>
      </c>
      <c r="F15" s="0" t="n">
        <v>9010000</v>
      </c>
      <c r="G15" s="0" t="n">
        <v>6370000</v>
      </c>
      <c r="H15" s="3" t="n">
        <v>0.707</v>
      </c>
      <c r="I15" s="0" t="n">
        <v>7</v>
      </c>
      <c r="J15" s="4" t="n">
        <v>0</v>
      </c>
      <c r="K15" s="0" t="n">
        <v>0</v>
      </c>
      <c r="L15" s="5" t="n">
        <v>0</v>
      </c>
    </row>
    <row r="16" customFormat="false" ht="15" hidden="false" customHeight="false" outlineLevel="0" collapsed="false">
      <c r="A16" s="0" t="s">
        <v>49</v>
      </c>
      <c r="B16" s="0" t="s">
        <v>50</v>
      </c>
      <c r="C16" s="0" t="s">
        <v>21</v>
      </c>
      <c r="D16" s="0" t="s">
        <v>22</v>
      </c>
      <c r="E16" s="2" t="n">
        <v>45430</v>
      </c>
      <c r="F16" s="0" t="n">
        <v>2160000</v>
      </c>
      <c r="G16" s="0" t="n">
        <v>3469000</v>
      </c>
      <c r="H16" s="3" t="n">
        <v>1.606</v>
      </c>
      <c r="I16" s="0" t="n">
        <v>2</v>
      </c>
      <c r="J16" s="4" t="n">
        <v>0.08</v>
      </c>
      <c r="K16" s="0" t="n">
        <v>270450</v>
      </c>
      <c r="L16" s="5" t="n">
        <v>450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25</v>
      </c>
      <c r="D17" s="0" t="s">
        <v>22</v>
      </c>
      <c r="E17" s="2" t="n">
        <v>45121</v>
      </c>
      <c r="F17" s="0" t="n">
        <v>1950000</v>
      </c>
      <c r="G17" s="0" t="n">
        <v>2461000</v>
      </c>
      <c r="H17" s="3" t="n">
        <v>1.2621</v>
      </c>
      <c r="I17" s="0" t="n">
        <v>3</v>
      </c>
      <c r="J17" s="4" t="n">
        <v>0.08</v>
      </c>
      <c r="K17" s="0" t="n">
        <v>206724</v>
      </c>
      <c r="L17" s="5" t="n">
        <v>343.97</v>
      </c>
    </row>
    <row r="18" customFormat="false" ht="15" hidden="false" customHeight="false" outlineLevel="0" collapsed="false">
      <c r="A18" s="0" t="s">
        <v>53</v>
      </c>
      <c r="B18" s="0" t="s">
        <v>54</v>
      </c>
      <c r="C18" s="0" t="s">
        <v>28</v>
      </c>
      <c r="D18" s="0" t="s">
        <v>29</v>
      </c>
      <c r="E18" s="2" t="n">
        <v>43424</v>
      </c>
      <c r="F18" s="0" t="n">
        <v>2310000</v>
      </c>
      <c r="G18" s="0" t="n">
        <v>1294000</v>
      </c>
      <c r="H18" s="3" t="n">
        <v>0.5602</v>
      </c>
      <c r="I18" s="0" t="n">
        <v>7</v>
      </c>
      <c r="J18" s="4" t="n">
        <v>0</v>
      </c>
      <c r="K18" s="0" t="n">
        <v>0</v>
      </c>
      <c r="L18" s="5" t="n">
        <v>0</v>
      </c>
    </row>
    <row r="19" customFormat="false" ht="15" hidden="false" customHeight="false" outlineLevel="0" collapsed="false">
      <c r="A19" s="0" t="s">
        <v>55</v>
      </c>
      <c r="B19" s="0" t="s">
        <v>56</v>
      </c>
      <c r="C19" s="0" t="s">
        <v>32</v>
      </c>
      <c r="D19" s="0" t="s">
        <v>29</v>
      </c>
      <c r="E19" s="2" t="n">
        <v>43608</v>
      </c>
      <c r="F19" s="0" t="n">
        <v>2430000</v>
      </c>
      <c r="G19" s="0" t="n">
        <v>2299000</v>
      </c>
      <c r="H19" s="3" t="n">
        <v>0.9461</v>
      </c>
      <c r="I19" s="0" t="n">
        <v>7</v>
      </c>
      <c r="J19" s="4" t="n">
        <v>0.04</v>
      </c>
      <c r="K19" s="0" t="n">
        <v>91960</v>
      </c>
      <c r="L19" s="5" t="n">
        <v>153.01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0" t="s">
        <v>14</v>
      </c>
      <c r="D20" s="0" t="s">
        <v>15</v>
      </c>
      <c r="E20" s="2" t="n">
        <v>44826</v>
      </c>
      <c r="F20" s="0" t="n">
        <v>9520000</v>
      </c>
      <c r="G20" s="0" t="n">
        <v>13890000</v>
      </c>
      <c r="H20" s="3" t="n">
        <v>1.459</v>
      </c>
      <c r="I20" s="0" t="n">
        <v>3</v>
      </c>
      <c r="J20" s="4" t="n">
        <v>0.08</v>
      </c>
      <c r="K20" s="0" t="n">
        <v>1166760</v>
      </c>
      <c r="L20" s="5" t="n">
        <v>385.83</v>
      </c>
    </row>
    <row r="21" customFormat="false" ht="15" hidden="false" customHeight="false" outlineLevel="0" collapsed="false">
      <c r="A21" s="0" t="s">
        <v>59</v>
      </c>
      <c r="B21" s="0" t="s">
        <v>42</v>
      </c>
      <c r="C21" s="0" t="s">
        <v>18</v>
      </c>
      <c r="D21" s="0" t="s">
        <v>15</v>
      </c>
      <c r="E21" s="2" t="n">
        <v>42970</v>
      </c>
      <c r="F21" s="0" t="n">
        <v>8290000</v>
      </c>
      <c r="G21" s="0" t="n">
        <v>12916000</v>
      </c>
      <c r="H21" s="3" t="n">
        <v>1.558</v>
      </c>
      <c r="I21" s="0" t="n">
        <v>9</v>
      </c>
      <c r="J21" s="4" t="n">
        <v>0.08</v>
      </c>
      <c r="K21" s="0" t="n">
        <v>1084944</v>
      </c>
      <c r="L21" s="5" t="n">
        <v>358.78</v>
      </c>
    </row>
    <row r="22" customFormat="false" ht="15" hidden="false" customHeight="false" outlineLevel="0" collapsed="false">
      <c r="A22" s="0" t="s">
        <v>60</v>
      </c>
      <c r="B22" s="0" t="s">
        <v>61</v>
      </c>
      <c r="C22" s="0" t="s">
        <v>21</v>
      </c>
      <c r="D22" s="0" t="s">
        <v>22</v>
      </c>
      <c r="E22" s="2" t="n">
        <v>44911</v>
      </c>
      <c r="F22" s="0" t="n">
        <v>1830000</v>
      </c>
      <c r="G22" s="0" t="n">
        <v>2950000</v>
      </c>
      <c r="H22" s="3" t="n">
        <v>1.612</v>
      </c>
      <c r="I22" s="0" t="n">
        <v>3</v>
      </c>
      <c r="J22" s="4" t="n">
        <v>0.08</v>
      </c>
      <c r="K22" s="0" t="n">
        <v>247800</v>
      </c>
      <c r="L22" s="5" t="n">
        <v>412.31</v>
      </c>
    </row>
    <row r="23" customFormat="false" ht="15" hidden="false" customHeight="false" outlineLevel="0" collapsed="false">
      <c r="A23" s="0" t="s">
        <v>62</v>
      </c>
      <c r="B23" s="0" t="s">
        <v>63</v>
      </c>
      <c r="C23" s="0" t="s">
        <v>25</v>
      </c>
      <c r="D23" s="0" t="s">
        <v>22</v>
      </c>
      <c r="E23" s="2" t="n">
        <v>42849</v>
      </c>
      <c r="F23" s="0" t="n">
        <v>1600000</v>
      </c>
      <c r="G23" s="0" t="n">
        <v>1757000</v>
      </c>
      <c r="H23" s="3" t="n">
        <v>1.0981</v>
      </c>
      <c r="I23" s="0" t="n">
        <v>9</v>
      </c>
      <c r="J23" s="4" t="n">
        <v>0.06</v>
      </c>
      <c r="K23" s="0" t="n">
        <v>110691</v>
      </c>
      <c r="L23" s="5" t="n">
        <v>184.18</v>
      </c>
    </row>
    <row r="24" customFormat="false" ht="15" hidden="false" customHeight="false" outlineLevel="0" collapsed="false">
      <c r="A24" s="0" t="s">
        <v>64</v>
      </c>
      <c r="B24" s="0" t="s">
        <v>65</v>
      </c>
      <c r="C24" s="0" t="s">
        <v>28</v>
      </c>
      <c r="D24" s="0" t="s">
        <v>29</v>
      </c>
      <c r="E24" s="2" t="n">
        <v>42601</v>
      </c>
      <c r="F24" s="0" t="n">
        <v>1830000</v>
      </c>
      <c r="G24" s="0" t="n">
        <v>1034000</v>
      </c>
      <c r="H24" s="3" t="n">
        <v>0.565</v>
      </c>
      <c r="I24" s="0" t="n">
        <v>10</v>
      </c>
      <c r="J24" s="4" t="n">
        <v>0</v>
      </c>
      <c r="K24" s="0" t="n">
        <v>0</v>
      </c>
      <c r="L24" s="5" t="n">
        <v>0</v>
      </c>
    </row>
    <row r="25" customFormat="false" ht="15" hidden="false" customHeight="false" outlineLevel="0" collapsed="false">
      <c r="A25" s="0" t="s">
        <v>66</v>
      </c>
      <c r="B25" s="0" t="s">
        <v>67</v>
      </c>
      <c r="C25" s="0" t="s">
        <v>32</v>
      </c>
      <c r="D25" s="0" t="s">
        <v>29</v>
      </c>
      <c r="E25" s="2" t="n">
        <v>43010</v>
      </c>
      <c r="F25" s="0" t="n">
        <v>2030000</v>
      </c>
      <c r="G25" s="0" t="n">
        <v>1561000</v>
      </c>
      <c r="H25" s="3" t="n">
        <v>0.769</v>
      </c>
      <c r="I25" s="0" t="n">
        <v>8</v>
      </c>
      <c r="J25" s="4" t="n">
        <v>0</v>
      </c>
      <c r="K25" s="0" t="n">
        <v>0</v>
      </c>
      <c r="L25" s="5" t="n">
        <v>0</v>
      </c>
    </row>
    <row r="26" customFormat="false" ht="15" hidden="false" customHeight="false" outlineLevel="0" collapsed="false">
      <c r="A26" s="0" t="s">
        <v>68</v>
      </c>
      <c r="B26" s="0" t="s">
        <v>69</v>
      </c>
      <c r="C26" s="0" t="s">
        <v>14</v>
      </c>
      <c r="D26" s="0" t="s">
        <v>15</v>
      </c>
      <c r="E26" s="2" t="n">
        <v>43111</v>
      </c>
      <c r="F26" s="0" t="n">
        <v>10510000</v>
      </c>
      <c r="G26" s="0" t="n">
        <v>13127000</v>
      </c>
      <c r="H26" s="3" t="n">
        <v>1.249</v>
      </c>
      <c r="I26" s="0" t="n">
        <v>8</v>
      </c>
      <c r="J26" s="4" t="n">
        <v>0.08</v>
      </c>
      <c r="K26" s="0" t="n">
        <v>1102668</v>
      </c>
      <c r="L26" s="5" t="n">
        <v>364.64</v>
      </c>
    </row>
    <row r="27" customFormat="false" ht="15" hidden="false" customHeight="false" outlineLevel="0" collapsed="false">
      <c r="A27" s="0" t="s">
        <v>70</v>
      </c>
      <c r="B27" s="0" t="s">
        <v>71</v>
      </c>
      <c r="C27" s="0" t="s">
        <v>18</v>
      </c>
      <c r="D27" s="0" t="s">
        <v>15</v>
      </c>
      <c r="E27" s="2" t="n">
        <v>45284</v>
      </c>
      <c r="F27" s="0" t="n">
        <v>11150000</v>
      </c>
      <c r="G27" s="0" t="n">
        <v>17784000</v>
      </c>
      <c r="H27" s="3" t="n">
        <v>1.595</v>
      </c>
      <c r="I27" s="0" t="n">
        <v>2</v>
      </c>
      <c r="J27" s="4" t="n">
        <v>0.08</v>
      </c>
      <c r="K27" s="0" t="n">
        <v>1360800</v>
      </c>
      <c r="L27" s="5" t="n">
        <v>450</v>
      </c>
    </row>
    <row r="28" customFormat="false" ht="15" hidden="false" customHeight="false" outlineLevel="0" collapsed="false">
      <c r="A28" s="0" t="s">
        <v>72</v>
      </c>
      <c r="B28" s="0" t="s">
        <v>73</v>
      </c>
      <c r="C28" s="0" t="s">
        <v>21</v>
      </c>
      <c r="D28" s="0" t="s">
        <v>22</v>
      </c>
      <c r="E28" s="2" t="n">
        <v>46008</v>
      </c>
      <c r="F28" s="0" t="n">
        <v>1540000</v>
      </c>
      <c r="G28" s="0" t="n">
        <v>1843000</v>
      </c>
      <c r="H28" s="3" t="n">
        <v>1.1968</v>
      </c>
      <c r="I28" s="0" t="n">
        <v>0</v>
      </c>
      <c r="J28" s="4" t="n">
        <v>0.06</v>
      </c>
      <c r="K28" s="0" t="n">
        <v>110580</v>
      </c>
      <c r="L28" s="5" t="n">
        <v>183.99</v>
      </c>
    </row>
    <row r="29" customFormat="false" ht="15" hidden="false" customHeight="false" outlineLevel="0" collapsed="false">
      <c r="A29" s="0" t="s">
        <v>74</v>
      </c>
      <c r="B29" s="0" t="s">
        <v>75</v>
      </c>
      <c r="C29" s="0" t="s">
        <v>25</v>
      </c>
      <c r="D29" s="0" t="s">
        <v>22</v>
      </c>
      <c r="E29" s="2" t="n">
        <v>43383</v>
      </c>
      <c r="F29" s="0" t="n">
        <v>1790000</v>
      </c>
      <c r="G29" s="0" t="n">
        <v>1300000</v>
      </c>
      <c r="H29" s="3" t="n">
        <v>0.7263</v>
      </c>
      <c r="I29" s="0" t="n">
        <v>7</v>
      </c>
      <c r="J29" s="4" t="n">
        <v>0</v>
      </c>
      <c r="K29" s="0" t="n">
        <v>0</v>
      </c>
      <c r="L29" s="5" t="n">
        <v>0</v>
      </c>
    </row>
    <row r="30" customFormat="false" ht="15" hidden="false" customHeight="false" outlineLevel="0" collapsed="false">
      <c r="A30" s="0" t="s">
        <v>76</v>
      </c>
      <c r="B30" s="0" t="s">
        <v>77</v>
      </c>
      <c r="C30" s="0" t="s">
        <v>28</v>
      </c>
      <c r="D30" s="0" t="s">
        <v>29</v>
      </c>
      <c r="E30" s="2" t="n">
        <v>43647</v>
      </c>
      <c r="F30" s="0" t="n">
        <v>1750000</v>
      </c>
      <c r="G30" s="0" t="n">
        <v>1248000</v>
      </c>
      <c r="H30" s="3" t="n">
        <v>0.7131</v>
      </c>
      <c r="I30" s="0" t="n">
        <v>7</v>
      </c>
      <c r="J30" s="4" t="n">
        <v>0</v>
      </c>
      <c r="K30" s="0" t="n">
        <v>0</v>
      </c>
      <c r="L30" s="5" t="n">
        <v>0</v>
      </c>
    </row>
    <row r="31" customFormat="false" ht="15" hidden="false" customHeight="false" outlineLevel="0" collapsed="false">
      <c r="A31" s="0" t="s">
        <v>78</v>
      </c>
      <c r="B31" s="0" t="s">
        <v>79</v>
      </c>
      <c r="C31" s="0" t="s">
        <v>32</v>
      </c>
      <c r="D31" s="0" t="s">
        <v>29</v>
      </c>
      <c r="E31" s="2" t="n">
        <v>44512</v>
      </c>
      <c r="F31" s="0" t="n">
        <v>2380000</v>
      </c>
      <c r="G31" s="0" t="n">
        <v>1445000</v>
      </c>
      <c r="H31" s="3" t="n">
        <v>0.6071</v>
      </c>
      <c r="I31" s="0" t="n">
        <v>4</v>
      </c>
      <c r="J31" s="4" t="n">
        <v>0</v>
      </c>
      <c r="K31" s="0" t="n">
        <v>0</v>
      </c>
      <c r="L31" s="5" t="n">
        <v>0</v>
      </c>
    </row>
    <row r="32" customFormat="false" ht="15" hidden="false" customHeight="false" outlineLevel="0" collapsed="false">
      <c r="A32" s="0" t="s">
        <v>80</v>
      </c>
      <c r="B32" s="0" t="s">
        <v>81</v>
      </c>
      <c r="C32" s="0" t="s">
        <v>14</v>
      </c>
      <c r="D32" s="0" t="s">
        <v>15</v>
      </c>
      <c r="E32" s="2" t="n">
        <v>44054</v>
      </c>
      <c r="F32" s="0" t="n">
        <v>9520000</v>
      </c>
      <c r="G32" s="0" t="n">
        <v>8673000</v>
      </c>
      <c r="H32" s="3" t="n">
        <v>0.911</v>
      </c>
      <c r="I32" s="0" t="n">
        <v>6</v>
      </c>
      <c r="J32" s="4" t="n">
        <v>0.04</v>
      </c>
      <c r="K32" s="0" t="n">
        <v>346920</v>
      </c>
      <c r="L32" s="5" t="n">
        <v>114.72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0" t="s">
        <v>18</v>
      </c>
      <c r="D33" s="0" t="s">
        <v>15</v>
      </c>
      <c r="E33" s="2" t="n">
        <v>43178</v>
      </c>
      <c r="F33" s="0" t="n">
        <v>12280000</v>
      </c>
      <c r="G33" s="0" t="n">
        <v>14478000</v>
      </c>
      <c r="H33" s="3" t="n">
        <v>1.179</v>
      </c>
      <c r="I33" s="0" t="n">
        <v>8</v>
      </c>
      <c r="J33" s="4" t="n">
        <v>0.06</v>
      </c>
      <c r="K33" s="0" t="n">
        <v>912114</v>
      </c>
      <c r="L33" s="5" t="n">
        <v>301.62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21</v>
      </c>
      <c r="D34" s="0" t="s">
        <v>22</v>
      </c>
      <c r="E34" s="2" t="n">
        <v>45769</v>
      </c>
      <c r="F34" s="0" t="n">
        <v>1810000</v>
      </c>
      <c r="G34" s="0" t="n">
        <v>1665000</v>
      </c>
      <c r="H34" s="3" t="n">
        <v>0.9199</v>
      </c>
      <c r="I34" s="0" t="n">
        <v>1</v>
      </c>
      <c r="J34" s="4" t="n">
        <v>0.04</v>
      </c>
      <c r="K34" s="0" t="n">
        <v>66600</v>
      </c>
      <c r="L34" s="5" t="n">
        <v>110.82</v>
      </c>
    </row>
    <row r="35" customFormat="false" ht="15" hidden="false" customHeight="false" outlineLevel="0" collapsed="false">
      <c r="A35" s="0" t="s">
        <v>86</v>
      </c>
      <c r="B35" s="0" t="s">
        <v>87</v>
      </c>
      <c r="C35" s="0" t="s">
        <v>25</v>
      </c>
      <c r="D35" s="0" t="s">
        <v>22</v>
      </c>
      <c r="E35" s="2" t="n">
        <v>43121</v>
      </c>
      <c r="F35" s="0" t="n">
        <v>1760000</v>
      </c>
      <c r="G35" s="0" t="n">
        <v>1346000</v>
      </c>
      <c r="H35" s="3" t="n">
        <v>0.7648</v>
      </c>
      <c r="I35" s="0" t="n">
        <v>8</v>
      </c>
      <c r="J35" s="4" t="n">
        <v>0</v>
      </c>
      <c r="K35" s="0" t="n">
        <v>0</v>
      </c>
      <c r="L35" s="5" t="n">
        <v>0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28</v>
      </c>
      <c r="D36" s="0" t="s">
        <v>29</v>
      </c>
      <c r="E36" s="2" t="n">
        <v>43700</v>
      </c>
      <c r="F36" s="0" t="n">
        <v>1830000</v>
      </c>
      <c r="G36" s="0" t="n">
        <v>2525000</v>
      </c>
      <c r="H36" s="3" t="n">
        <v>1.3798</v>
      </c>
      <c r="I36" s="0" t="n">
        <v>7</v>
      </c>
      <c r="J36" s="4" t="n">
        <v>0.08</v>
      </c>
      <c r="K36" s="0" t="n">
        <v>212100</v>
      </c>
      <c r="L36" s="5" t="n">
        <v>352.91</v>
      </c>
    </row>
    <row r="37" customFormat="false" ht="15" hidden="false" customHeight="false" outlineLevel="0" collapsed="false">
      <c r="A37" s="0" t="s">
        <v>90</v>
      </c>
      <c r="B37" s="0" t="s">
        <v>91</v>
      </c>
      <c r="C37" s="0" t="s">
        <v>32</v>
      </c>
      <c r="D37" s="0" t="s">
        <v>29</v>
      </c>
      <c r="E37" s="2" t="n">
        <v>45357</v>
      </c>
      <c r="F37" s="0" t="n">
        <v>2070000</v>
      </c>
      <c r="G37" s="0" t="n">
        <v>1637000</v>
      </c>
      <c r="H37" s="3" t="n">
        <v>0.7908</v>
      </c>
      <c r="I37" s="0" t="n">
        <v>2</v>
      </c>
      <c r="J37" s="4" t="n">
        <v>0</v>
      </c>
      <c r="K37" s="0" t="n">
        <v>0</v>
      </c>
      <c r="L37" s="5" t="n">
        <v>0</v>
      </c>
    </row>
    <row r="38" customFormat="false" ht="15" hidden="false" customHeight="false" outlineLevel="0" collapsed="false">
      <c r="A38" s="0" t="s">
        <v>92</v>
      </c>
      <c r="B38" s="0" t="s">
        <v>93</v>
      </c>
      <c r="C38" s="0" t="s">
        <v>14</v>
      </c>
      <c r="D38" s="0" t="s">
        <v>15</v>
      </c>
      <c r="E38" s="2" t="n">
        <v>42926</v>
      </c>
      <c r="F38" s="0" t="n">
        <v>8020000</v>
      </c>
      <c r="G38" s="0" t="n">
        <v>9111000</v>
      </c>
      <c r="H38" s="3" t="n">
        <v>1.136</v>
      </c>
      <c r="I38" s="0" t="n">
        <v>9</v>
      </c>
      <c r="J38" s="4" t="n">
        <v>0.06</v>
      </c>
      <c r="K38" s="0" t="n">
        <v>573993</v>
      </c>
      <c r="L38" s="5" t="n">
        <v>189.81</v>
      </c>
    </row>
    <row r="39" customFormat="false" ht="15" hidden="false" customHeight="false" outlineLevel="0" collapsed="false">
      <c r="A39" s="0" t="s">
        <v>94</v>
      </c>
      <c r="B39" s="0" t="s">
        <v>95</v>
      </c>
      <c r="C39" s="0" t="s">
        <v>18</v>
      </c>
      <c r="D39" s="0" t="s">
        <v>15</v>
      </c>
      <c r="E39" s="2" t="n">
        <v>44696</v>
      </c>
      <c r="F39" s="0" t="n">
        <v>7400000</v>
      </c>
      <c r="G39" s="0" t="n">
        <v>7844000</v>
      </c>
      <c r="H39" s="3" t="n">
        <v>1.06</v>
      </c>
      <c r="I39" s="0" t="n">
        <v>4</v>
      </c>
      <c r="J39" s="4" t="n">
        <v>0.06</v>
      </c>
      <c r="K39" s="0" t="n">
        <v>494172</v>
      </c>
      <c r="L39" s="5" t="n">
        <v>163.42</v>
      </c>
    </row>
    <row r="40" customFormat="false" ht="15" hidden="false" customHeight="false" outlineLevel="0" collapsed="false">
      <c r="A40" s="0" t="s">
        <v>96</v>
      </c>
      <c r="B40" s="0" t="s">
        <v>97</v>
      </c>
      <c r="C40" s="0" t="s">
        <v>21</v>
      </c>
      <c r="D40" s="0" t="s">
        <v>22</v>
      </c>
      <c r="E40" s="2" t="n">
        <v>45561</v>
      </c>
      <c r="F40" s="0" t="n">
        <v>1910000</v>
      </c>
      <c r="G40" s="0" t="n">
        <v>1984000</v>
      </c>
      <c r="H40" s="3" t="n">
        <v>1.0387</v>
      </c>
      <c r="I40" s="0" t="n">
        <v>1</v>
      </c>
      <c r="J40" s="4" t="n">
        <v>0.06</v>
      </c>
      <c r="K40" s="0" t="n">
        <v>119040</v>
      </c>
      <c r="L40" s="5" t="n">
        <v>198.07</v>
      </c>
    </row>
    <row r="41" customFormat="false" ht="15" hidden="false" customHeight="false" outlineLevel="0" collapsed="false">
      <c r="A41" s="0" t="s">
        <v>98</v>
      </c>
      <c r="B41" s="0" t="s">
        <v>99</v>
      </c>
      <c r="C41" s="0" t="s">
        <v>25</v>
      </c>
      <c r="D41" s="0" t="s">
        <v>22</v>
      </c>
      <c r="E41" s="2" t="n">
        <v>42968</v>
      </c>
      <c r="F41" s="0" t="n">
        <v>2330000</v>
      </c>
      <c r="G41" s="0" t="n">
        <v>1873000</v>
      </c>
      <c r="H41" s="3" t="n">
        <v>0.8039</v>
      </c>
      <c r="I41" s="0" t="n">
        <v>9</v>
      </c>
      <c r="J41" s="4" t="n">
        <v>0.04</v>
      </c>
      <c r="K41" s="0" t="n">
        <v>74920</v>
      </c>
      <c r="L41" s="5" t="n">
        <v>124.66</v>
      </c>
    </row>
    <row r="42" customFormat="false" ht="15" hidden="false" customHeight="false" outlineLevel="0" collapsed="false">
      <c r="A42" s="0" t="s">
        <v>100</v>
      </c>
      <c r="B42" s="0" t="s">
        <v>101</v>
      </c>
      <c r="C42" s="0" t="s">
        <v>28</v>
      </c>
      <c r="D42" s="0" t="s">
        <v>29</v>
      </c>
      <c r="E42" s="2" t="n">
        <v>46082</v>
      </c>
      <c r="F42" s="0" t="n">
        <v>1950000</v>
      </c>
      <c r="G42" s="0" t="n">
        <v>2861000</v>
      </c>
      <c r="H42" s="3" t="n">
        <v>1.4672</v>
      </c>
      <c r="I42" s="0" t="n">
        <v>0</v>
      </c>
      <c r="J42" s="4" t="n">
        <v>0.08</v>
      </c>
      <c r="K42" s="0" t="n">
        <v>228880</v>
      </c>
      <c r="L42" s="5" t="n">
        <v>380.83</v>
      </c>
    </row>
    <row r="43" customFormat="false" ht="15" hidden="false" customHeight="false" outlineLevel="0" collapsed="false">
      <c r="A43" s="0" t="s">
        <v>102</v>
      </c>
      <c r="B43" s="0" t="s">
        <v>103</v>
      </c>
      <c r="C43" s="0" t="s">
        <v>32</v>
      </c>
      <c r="D43" s="0" t="s">
        <v>29</v>
      </c>
      <c r="E43" s="2" t="n">
        <v>45386</v>
      </c>
      <c r="F43" s="0" t="n">
        <v>1700000</v>
      </c>
      <c r="G43" s="0" t="n">
        <v>2220000</v>
      </c>
      <c r="H43" s="3" t="n">
        <v>1.3059</v>
      </c>
      <c r="I43" s="0" t="n">
        <v>2</v>
      </c>
      <c r="J43" s="4" t="n">
        <v>0.08</v>
      </c>
      <c r="K43" s="0" t="n">
        <v>186480</v>
      </c>
      <c r="L43" s="5" t="n">
        <v>310.28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6" t="s">
        <v>104</v>
      </c>
    </row>
    <row r="2" customFormat="false" ht="15" hidden="false" customHeight="false" outlineLevel="0" collapsed="false">
      <c r="A2" s="7" t="s">
        <v>105</v>
      </c>
    </row>
    <row r="4" customFormat="false" ht="21.75" hidden="false" customHeight="true" outlineLevel="0" collapsed="false">
      <c r="A4" s="1" t="s">
        <v>106</v>
      </c>
      <c r="B4" s="1" t="s">
        <v>107</v>
      </c>
      <c r="C4" s="1" t="s">
        <v>108</v>
      </c>
      <c r="E4" s="8" t="s">
        <v>109</v>
      </c>
      <c r="F4" s="4" t="n">
        <v>0.05</v>
      </c>
    </row>
    <row r="5" customFormat="false" ht="15" hidden="false" customHeight="false" outlineLevel="0" collapsed="false">
      <c r="A5" s="4" t="n">
        <v>0</v>
      </c>
      <c r="B5" s="4" t="n">
        <v>0.8</v>
      </c>
      <c r="C5" s="4" t="n">
        <v>0</v>
      </c>
      <c r="E5" s="8" t="s">
        <v>110</v>
      </c>
      <c r="F5" s="0" t="n">
        <v>2</v>
      </c>
    </row>
    <row r="6" customFormat="false" ht="15" hidden="false" customHeight="false" outlineLevel="0" collapsed="false">
      <c r="A6" s="4" t="n">
        <v>0.8</v>
      </c>
      <c r="B6" s="4" t="n">
        <v>1</v>
      </c>
      <c r="C6" s="4" t="n">
        <v>0.04</v>
      </c>
      <c r="E6" s="8" t="s">
        <v>111</v>
      </c>
      <c r="F6" s="0" t="n">
        <v>450</v>
      </c>
    </row>
    <row r="7" customFormat="false" ht="15" hidden="false" customHeight="false" outlineLevel="0" collapsed="false">
      <c r="A7" s="4" t="n">
        <v>1</v>
      </c>
      <c r="B7" s="4" t="n">
        <v>1.2</v>
      </c>
      <c r="C7" s="4" t="n">
        <v>0.06</v>
      </c>
      <c r="E7" s="8" t="s">
        <v>112</v>
      </c>
      <c r="F7" s="9" t="n">
        <v>46266</v>
      </c>
    </row>
    <row r="8" customFormat="false" ht="15" hidden="false" customHeight="false" outlineLevel="0" collapsed="false">
      <c r="A8" s="4" t="n">
        <v>1.2</v>
      </c>
      <c r="B8" s="4" t="n">
        <v>99</v>
      </c>
      <c r="C8" s="4" t="n">
        <v>0.08</v>
      </c>
    </row>
    <row r="9" customFormat="false" ht="21.75" hidden="false" customHeight="true" outlineLevel="0" collapsed="false">
      <c r="E9" s="10" t="s">
        <v>3</v>
      </c>
      <c r="F9" s="10" t="s">
        <v>113</v>
      </c>
    </row>
    <row r="10" customFormat="false" ht="15" hidden="false" customHeight="false" outlineLevel="0" collapsed="false">
      <c r="E10" s="0" t="s">
        <v>15</v>
      </c>
      <c r="F10" s="0" t="n">
        <v>3024</v>
      </c>
    </row>
    <row r="11" customFormat="false" ht="15" hidden="false" customHeight="false" outlineLevel="0" collapsed="false">
      <c r="E11" s="0" t="s">
        <v>22</v>
      </c>
      <c r="F11" s="0" t="n">
        <v>601</v>
      </c>
    </row>
    <row r="12" customFormat="false" ht="15" hidden="false" customHeight="false" outlineLevel="0" collapsed="false">
      <c r="E12" s="0" t="s">
        <v>29</v>
      </c>
      <c r="F12" s="0" t="n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6" t="s">
        <v>114</v>
      </c>
    </row>
    <row r="3" customFormat="false" ht="15" hidden="false" customHeight="false" outlineLevel="0" collapsed="false">
      <c r="A3" s="0" t="s">
        <v>115</v>
      </c>
      <c r="B3" s="0" t="s">
        <v>14</v>
      </c>
    </row>
    <row r="5" customFormat="false" ht="15" hidden="false" customHeight="false" outlineLevel="0" collapsed="false">
      <c r="A5" s="0" t="s">
        <v>116</v>
      </c>
      <c r="B5" s="0" t="n">
        <f aca="false">SUMIFS(t_Com[Realise],t_Com[Agence],$B$3)</f>
        <v>60786000</v>
      </c>
    </row>
    <row r="6" customFormat="false" ht="15" hidden="false" customHeight="false" outlineLevel="0" collapsed="false">
      <c r="A6" s="0" t="s">
        <v>117</v>
      </c>
      <c r="B6" s="0" t="n">
        <f aca="false">COUNTIFS(t_Com[Agence],$B$3)</f>
        <v>7</v>
      </c>
    </row>
    <row r="7" customFormat="false" ht="15" hidden="false" customHeight="false" outlineLevel="0" collapsed="false">
      <c r="A7" s="0" t="s">
        <v>118</v>
      </c>
      <c r="B7" s="0" t="n">
        <f aca="false">AVERAGEIFS(t_Com[Commission_USD],t_Com[Agence],$B$3)</f>
        <v>170.697142857143</v>
      </c>
    </row>
    <row r="8" customFormat="false" ht="15" hidden="false" customHeight="false" outlineLevel="0" collapsed="false">
      <c r="A8" s="0" t="s">
        <v>119</v>
      </c>
      <c r="B8" s="0" t="n">
        <f aca="false">SUMPRODUCT((t_Com[Taux_Realisation]&gt;=1)*t_Com[Realise])</f>
        <v>145109000</v>
      </c>
    </row>
    <row r="9" customFormat="false" ht="15" hidden="false" customHeight="false" outlineLevel="0" collapsed="false">
      <c r="A9" s="0" t="s">
        <v>120</v>
      </c>
      <c r="B9" s="0" t="n">
        <f aca="false">SUM(t_Com[Realise])-SUMPRODUCT(t_Com[Realise])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2026-09-17T12:53:25Z</dcterms:created>
  <dc:creator>openpyxl</dc:creator>
  <dc:description/>
  <dc:language>fr-FR</dc:language>
  <cp:lastModifiedBy/>
  <dcterms:modified xsi:type="dcterms:W3CDTF">2026-09-17T12:53:25Z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