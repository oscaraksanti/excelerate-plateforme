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<sst xmlns="http://schemas.openxmlformats.org/spreadsheetml/2006/main" count="16" uniqueCount="16">
  <si>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BUDGET 2025 — corrigé</t>
  </si>
  <si>
    <t xml:space="preserve">Taux CDF → USD</t>
  </si>
  <si>
    <t xml:space="preserve">Agence</t>
  </si>
  <si>
    <t xml:space="preserve">CA_CDF</t>
  </si>
  <si>
    <t xml:space="preserve">Charges_CDF</t>
  </si>
  <si>
    <t xml:space="preserve">Resultat_CDF</t>
  </si>
  <si>
    <t xml:space="preserve">Resultat_USD</t>
  </si>
  <si>
    <t xml:space="preserve">Kinshasa</t>
  </si>
  <si>
    <t xml:space="preserve">Lubumbashi</t>
  </si>
  <si>
    <t xml:space="preserve">Abidjan</t>
  </si>
  <si>
    <t xml:space="preserve">Dakar</t>
  </si>
  <si>
    <t xml:space="preserve">Douala</t>
  </si>
  <si>
    <t xml:space="preserve">Libreville</t>
  </si>
  <si>
    <t xml:space="preserve">TOTAL</t>
  </si>
  <si>
    <t xml:space="preserve">Contrôle général — détail vs total</t>
  </si>
  <si>
    <t xml:space="preserve">Report de l'exercice précédent — lien rompu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</si>
</sst>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01418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0" t="n">
        <v>3024</v>
      </c>
    </row>
    <row r="6" customFormat="false" ht="21.75" hidden="false" customHeight="tru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customFormat="false" ht="15" hidden="false" customHeight="false" outlineLevel="0" collapsed="false">
      <c r="A7" s="0" t="s">
        <v>7</v>
      </c>
      <c r="B7" s="0" t="n">
        <v>4820000</v>
      </c>
      <c r="C7" s="0" t="n">
        <v>3140000</v>
      </c>
      <c r="D7" s="0" t="n">
        <v>1680000</v>
      </c>
      <c r="E7" s="0" t="n">
        <v>555.555555555556</v>
      </c>
    </row>
    <row r="8" customFormat="false" ht="15" hidden="false" customHeight="false" outlineLevel="0" collapsed="false">
      <c r="A8" s="0" t="s">
        <v>8</v>
      </c>
      <c r="B8" s="0" t="n">
        <v>2960000</v>
      </c>
      <c r="C8" s="0" t="n">
        <v>2105000</v>
      </c>
      <c r="D8" s="0" t="n">
        <v>855000</v>
      </c>
      <c r="E8" s="0" t="n">
        <v>282.738095238095</v>
      </c>
    </row>
    <row r="9" customFormat="false" ht="15" hidden="false" customHeight="false" outlineLevel="0" collapsed="false">
      <c r="A9" s="0" t="s">
        <v>9</v>
      </c>
      <c r="B9" s="0" t="n">
        <v>3540000</v>
      </c>
      <c r="C9" s="0" t="n">
        <v>2390000</v>
      </c>
      <c r="D9" s="0" t="n">
        <v>1150000</v>
      </c>
      <c r="E9" s="0" t="n">
        <v>380.291005291005</v>
      </c>
    </row>
    <row r="10" customFormat="false" ht="15" hidden="false" customHeight="false" outlineLevel="0" collapsed="false">
      <c r="A10" s="0" t="s">
        <v>10</v>
      </c>
      <c r="B10" s="0" t="n">
        <v>2780000</v>
      </c>
      <c r="C10" s="0" t="n">
        <v>1920000</v>
      </c>
      <c r="D10" s="0" t="n">
        <v>860000</v>
      </c>
      <c r="E10" s="0" t="n">
        <v>284.391534391534</v>
      </c>
    </row>
    <row r="11" customFormat="false" ht="15" hidden="false" customHeight="false" outlineLevel="0" collapsed="false">
      <c r="A11" s="0" t="s">
        <v>11</v>
      </c>
      <c r="B11" s="0" t="n">
        <v>3110000</v>
      </c>
      <c r="C11" s="0" t="n">
        <v>2260000</v>
      </c>
      <c r="D11" s="0" t="n">
        <v>850000</v>
      </c>
      <c r="E11" s="0" t="n">
        <v>281.084656084656</v>
      </c>
    </row>
    <row r="12" customFormat="false" ht="15" hidden="false" customHeight="false" outlineLevel="0" collapsed="false">
      <c r="A12" s="0" t="s">
        <v>12</v>
      </c>
      <c r="B12" s="0" t="n">
        <v>1940000</v>
      </c>
      <c r="C12" s="0" t="n">
        <v>1505000</v>
      </c>
      <c r="D12" s="0" t="n">
        <v>435000</v>
      </c>
      <c r="E12" s="0" t="n">
        <v>143.849206349206</v>
      </c>
    </row>
    <row r="14" customFormat="false" ht="15" hidden="false" customHeight="false" outlineLevel="0" collapsed="false">
      <c r="A14" s="2" t="s">
        <v>13</v>
      </c>
      <c r="B14" s="0" t="n">
        <f aca="false">SUM(B7:B12)</f>
        <v>19150000</v>
      </c>
      <c r="C14" s="0" t="n">
        <f aca="false">SUM(C7:C12)</f>
        <v>13320000</v>
      </c>
      <c r="D14" s="0" t="n">
        <f aca="false">SUM(D7:D12)</f>
        <v>5830000</v>
      </c>
      <c r="E14" s="0" t="n">
        <f aca="false">SUM(E7:E12)</f>
        <v>1927.91005291005</v>
      </c>
    </row>
    <row r="16" customFormat="false" ht="15" hidden="false" customHeight="false" outlineLevel="0" collapsed="false">
      <c r="A16" s="2" t="s">
        <v>14</v>
      </c>
      <c r="E16" s="0" t="n">
        <f aca="false">SUM(E7:E12)-E14</f>
        <v>0</v>
      </c>
    </row>
    <row r="18" customFormat="false" ht="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2026-09-17T12:53:25Z</dcterms:created>
  <dc:creator>openpyxl</dc:creator>
  <dc:description/>
  <dc:language>fr-FR</dc:language>
  <cp:lastModifiedBy/>
  <dcterms:modified xsi:type="dcterms:W3CDTF">2026-09-17T12:53:25Z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