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Commissions" sheetId="2" state="visible" r:id="rId2"/>
    <sheet xmlns:r="http://schemas.openxmlformats.org/officeDocument/2006/relationships" name="BAREMES" sheetId="3" state="visible" r:id="rId3"/>
    <sheet xmlns:r="http://schemas.openxmlformats.org/officeDocument/2006/relationships" name="HERITE" sheetId="4" state="visible" r:id="rId4"/>
    <sheet xmlns:r="http://schemas.openxmlformats.org/officeDocument/2006/relationships" name="AUDIT" sheetId="5" state="visible" r:id="rId5"/>
    <sheet xmlns:r="http://schemas.openxmlformats.org/officeDocument/2006/relationships" name="REPONSES" sheetId="6" state="visible" r:id="rId6"/>
    <sheet xmlns:r="http://schemas.openxmlformats.org/officeDocument/2006/relationships" name="README" sheetId="7" state="visible" r:id="rId7"/>
    <sheet xmlns:r="http://schemas.openxmlformats.org/officeDocument/2006/relationships" name="QUALITE" sheetId="8" state="visible" r:id="rId8"/>
    <sheet xmlns:r="http://schemas.openxmlformats.org/officeDocument/2006/relationships" name="ANNEXE_I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 %"/>
    <numFmt numFmtId="167" formatCode="MMM YYYY"/>
  </numFmts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i val="1"/>
      <color rgb="FF6B7280"/>
      <sz val="10"/>
    </font>
    <font>
      <name val="Calibri"/>
      <b val="1"/>
      <color rgb="FF101418"/>
      <sz val="14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243044"/>
      </patternFill>
    </fill>
    <fill>
      <patternFill patternType="solid">
        <fgColor rgb="FFF2F4F6"/>
      </patternFill>
    </fill>
    <fill>
      <patternFill patternType="solid">
        <fgColor rgb="FFFDECEA"/>
      </patternFill>
    </fill>
  </fills>
  <borders count="2">
    <border>
      <left/>
      <right/>
      <top/>
      <bottom/>
      <diagonal/>
    </border>
    <border>
      <bottom style="thin">
        <color rgb="FFD6DB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" fillId="2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Baremes" displayName="t_Baremes" ref="A4:C8" headerRowCount="1">
  <autoFilter ref="A4:C8"/>
  <tableColumns count="3">
    <tableColumn id="1" name="Seuil bas"/>
    <tableColumn id="2" name="Seuil haut"/>
    <tableColumn id="3" name="Taux de commission"/>
  </tableColumns>
  <tableStyleInfo name="TableStyleMedium2" showRowStripes="1"/>
</table>
</file>

<file path=xl/tables/table2.xml><?xml version="1.0" encoding="utf-8"?>
<table xmlns="http://schemas.openxmlformats.org/spreadsheetml/2006/main" id="2" name="t_Taux" displayName="t_Taux" ref="E9:F12" headerRowCount="1">
  <autoFilter ref="E9:F12"/>
  <tableColumns count="2">
    <tableColumn id="5" name="Devise"/>
    <tableColumn id="6" name="Taux_US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9" customWidth="1" min="4" max="4"/>
    <col width="15" customWidth="1" min="5" max="5"/>
    <col width="14" customWidth="1" min="6" max="6"/>
    <col width="14" customWidth="1" min="7" max="7"/>
    <col width="16" customWidth="1" min="8" max="8"/>
    <col width="12" customWidth="1" min="9" max="9"/>
    <col width="16" customWidth="1" min="10" max="10"/>
    <col width="18" customWidth="1" min="11" max="11"/>
    <col width="16" customWidth="1" min="12" max="12"/>
  </cols>
  <sheetData>
    <row r="1" ht="22" customHeight="1">
      <c r="A1" s="1" t="inlineStr">
        <is>
          <t>Matricule</t>
        </is>
      </c>
      <c r="B1" s="1" t="inlineStr">
        <is>
          <t>Nom</t>
        </is>
      </c>
      <c r="C1" s="1" t="inlineStr">
        <is>
          <t>Agence</t>
        </is>
      </c>
      <c r="D1" s="1" t="inlineStr">
        <is>
          <t>Devise</t>
        </is>
      </c>
      <c r="E1" s="1" t="inlineStr">
        <is>
          <t>Date_Embauche</t>
        </is>
      </c>
      <c r="F1" s="1" t="inlineStr">
        <is>
          <t>Objectif</t>
        </is>
      </c>
      <c r="G1" s="1" t="inlineStr">
        <is>
          <t>Realise</t>
        </is>
      </c>
    </row>
    <row r="2">
      <c r="A2" t="inlineStr">
        <is>
          <t>BAO-001</t>
        </is>
      </c>
      <c r="B2" t="inlineStr">
        <is>
          <t>Thomas TSHIALA</t>
        </is>
      </c>
      <c r="C2" t="inlineStr">
        <is>
          <t>Kinshasa</t>
        </is>
      </c>
      <c r="D2" t="inlineStr">
        <is>
          <t>CDF</t>
        </is>
      </c>
      <c r="E2" s="2" t="n">
        <v>45556</v>
      </c>
      <c r="F2" t="n">
        <v>7050000</v>
      </c>
      <c r="G2" t="n">
        <v>7050000</v>
      </c>
    </row>
    <row r="3">
      <c r="A3" t="inlineStr">
        <is>
          <t>BAO-002</t>
        </is>
      </c>
      <c r="B3" t="inlineStr">
        <is>
          <t>Mariam MASSAMBA</t>
        </is>
      </c>
      <c r="C3" t="inlineStr">
        <is>
          <t>Lubumbashi</t>
        </is>
      </c>
      <c r="D3" t="inlineStr">
        <is>
          <t>CDF</t>
        </is>
      </c>
      <c r="E3" s="2" t="n">
        <v>45914</v>
      </c>
      <c r="F3" t="n">
        <v>11940000</v>
      </c>
      <c r="G3" t="n">
        <v>11928000</v>
      </c>
    </row>
    <row r="4">
      <c r="A4" t="inlineStr">
        <is>
          <t>BAO-003</t>
        </is>
      </c>
      <c r="B4" t="inlineStr">
        <is>
          <t>Patrick KALALA</t>
        </is>
      </c>
      <c r="C4" t="inlineStr">
        <is>
          <t>Abidjan</t>
        </is>
      </c>
      <c r="D4" t="inlineStr">
        <is>
          <t>XOF</t>
        </is>
      </c>
      <c r="E4" s="2" t="n">
        <v>45214</v>
      </c>
      <c r="F4" t="n">
        <v>2320000</v>
      </c>
      <c r="G4" t="n">
        <v>2784000</v>
      </c>
    </row>
    <row r="5">
      <c r="A5" t="inlineStr">
        <is>
          <t>BAO-004</t>
        </is>
      </c>
      <c r="B5" t="inlineStr">
        <is>
          <t>Thomas OUEDRAOGO</t>
        </is>
      </c>
      <c r="C5" t="inlineStr">
        <is>
          <t>Dakar</t>
        </is>
      </c>
      <c r="D5" t="inlineStr">
        <is>
          <t>XOF</t>
        </is>
      </c>
      <c r="E5" s="2" t="n">
        <v>42882</v>
      </c>
      <c r="F5" t="n">
        <v>2030000</v>
      </c>
      <c r="G5" t="n">
        <v>0</v>
      </c>
    </row>
    <row r="6">
      <c r="A6" t="inlineStr">
        <is>
          <t>BAO-005</t>
        </is>
      </c>
      <c r="B6" t="inlineStr">
        <is>
          <t>Fatou LOKO</t>
        </is>
      </c>
      <c r="C6" t="inlineStr">
        <is>
          <t>Douala</t>
        </is>
      </c>
      <c r="D6" t="inlineStr">
        <is>
          <t>XAF</t>
        </is>
      </c>
      <c r="E6" s="2" t="n">
        <v>46256</v>
      </c>
      <c r="F6" t="n">
        <v>1270000</v>
      </c>
      <c r="G6" t="n">
        <v>3112000</v>
      </c>
    </row>
    <row r="7">
      <c r="A7" t="inlineStr">
        <is>
          <t>BAO-006</t>
        </is>
      </c>
      <c r="B7" t="inlineStr">
        <is>
          <t>Chantal BINTOU</t>
        </is>
      </c>
      <c r="C7" t="inlineStr">
        <is>
          <t>Libreville</t>
        </is>
      </c>
      <c r="D7" t="inlineStr">
        <is>
          <t>XAF</t>
        </is>
      </c>
      <c r="E7" s="2" t="n">
        <v>44373</v>
      </c>
      <c r="F7" t="n">
        <v>1760000</v>
      </c>
      <c r="G7" t="n">
        <v>1408000</v>
      </c>
    </row>
    <row r="8">
      <c r="A8" t="inlineStr">
        <is>
          <t>BAO-007</t>
        </is>
      </c>
      <c r="B8" t="inlineStr">
        <is>
          <t>Dieudonné TRAORE</t>
        </is>
      </c>
      <c r="C8" t="inlineStr">
        <is>
          <t>Kinshasa</t>
        </is>
      </c>
      <c r="D8" t="inlineStr">
        <is>
          <t>CDF</t>
        </is>
      </c>
      <c r="E8" s="2" t="n">
        <v>42996</v>
      </c>
      <c r="F8" t="n">
        <v>0</v>
      </c>
      <c r="G8" t="n">
        <v>3600000</v>
      </c>
    </row>
    <row r="9">
      <c r="A9" t="inlineStr">
        <is>
          <t>BAO-008</t>
        </is>
      </c>
      <c r="B9" t="inlineStr">
        <is>
          <t>Mariam TRAORE</t>
        </is>
      </c>
      <c r="C9" t="inlineStr">
        <is>
          <t>Lubumbashi</t>
        </is>
      </c>
      <c r="D9" t="inlineStr">
        <is>
          <t>CDF</t>
        </is>
      </c>
      <c r="E9" s="2" t="n">
        <v>45536</v>
      </c>
      <c r="F9" t="n">
        <v>9180000</v>
      </c>
      <c r="G9" t="n">
        <v>13899000</v>
      </c>
    </row>
    <row r="10">
      <c r="A10" t="inlineStr">
        <is>
          <t>BAO-009</t>
        </is>
      </c>
      <c r="B10" t="inlineStr">
        <is>
          <t>Moussa OUEDRAOGO</t>
        </is>
      </c>
      <c r="C10" t="inlineStr">
        <is>
          <t>Abidjan</t>
        </is>
      </c>
      <c r="D10" t="inlineStr">
        <is>
          <t>XOF</t>
        </is>
      </c>
      <c r="E10" s="2" t="n">
        <v>45537</v>
      </c>
      <c r="F10" t="n">
        <v>1290000</v>
      </c>
      <c r="G10" t="n">
        <v>1718000</v>
      </c>
    </row>
    <row r="11">
      <c r="A11" t="inlineStr">
        <is>
          <t>BAO-010</t>
        </is>
      </c>
      <c r="B11" t="inlineStr">
        <is>
          <t>Thomas SAMBA</t>
        </is>
      </c>
      <c r="C11" t="inlineStr">
        <is>
          <t>Dakar</t>
        </is>
      </c>
      <c r="D11" t="inlineStr">
        <is>
          <t>XOF</t>
        </is>
      </c>
      <c r="E11" s="2" t="n">
        <v>45916</v>
      </c>
      <c r="F11" t="n">
        <v>1790000</v>
      </c>
      <c r="G11" t="n">
        <v>1770000</v>
      </c>
    </row>
    <row r="12">
      <c r="A12" t="inlineStr">
        <is>
          <t>BAO-011</t>
        </is>
      </c>
      <c r="B12" t="inlineStr">
        <is>
          <t>Joséphine DIALLO</t>
        </is>
      </c>
      <c r="C12" t="inlineStr">
        <is>
          <t>Douala</t>
        </is>
      </c>
      <c r="D12" t="inlineStr">
        <is>
          <t>XAF</t>
        </is>
      </c>
      <c r="E12" s="2" t="n">
        <v>45882</v>
      </c>
      <c r="F12" t="n">
        <v>1900000</v>
      </c>
      <c r="G12" t="n">
        <v>2612000</v>
      </c>
    </row>
    <row r="13">
      <c r="A13" t="inlineStr">
        <is>
          <t>BAO-012</t>
        </is>
      </c>
      <c r="B13" t="inlineStr">
        <is>
          <t>Nadège NZUZI</t>
        </is>
      </c>
      <c r="C13" t="inlineStr">
        <is>
          <t>Libreville</t>
        </is>
      </c>
      <c r="D13" t="inlineStr">
        <is>
          <t>XAF</t>
        </is>
      </c>
      <c r="E13" s="2" t="n">
        <v>45186</v>
      </c>
      <c r="F13" t="n">
        <v>2320000</v>
      </c>
      <c r="G13" t="n">
        <v>2714000</v>
      </c>
    </row>
    <row r="14">
      <c r="A14" t="inlineStr">
        <is>
          <t>BAO-013</t>
        </is>
      </c>
      <c r="B14" t="inlineStr">
        <is>
          <t>Thomas KIPRE</t>
        </is>
      </c>
      <c r="C14" t="inlineStr">
        <is>
          <t>Kinshasa</t>
        </is>
      </c>
      <c r="D14" t="inlineStr">
        <is>
          <t>CDF</t>
        </is>
      </c>
      <c r="E14" s="2" t="n">
        <v>42721</v>
      </c>
      <c r="F14" t="n">
        <v>7710000</v>
      </c>
      <c r="G14" t="n">
        <v>5335000</v>
      </c>
    </row>
    <row r="15">
      <c r="A15" t="inlineStr">
        <is>
          <t>BAO-014</t>
        </is>
      </c>
      <c r="B15" t="inlineStr">
        <is>
          <t>Rachel KOFFI</t>
        </is>
      </c>
      <c r="C15" t="inlineStr">
        <is>
          <t>Lubumbashi</t>
        </is>
      </c>
      <c r="D15" t="inlineStr">
        <is>
          <t>CDF</t>
        </is>
      </c>
      <c r="E15" s="2" t="n">
        <v>43517</v>
      </c>
      <c r="F15" t="n">
        <v>9010000</v>
      </c>
      <c r="G15" t="n">
        <v>6370000</v>
      </c>
    </row>
    <row r="16">
      <c r="A16" t="inlineStr">
        <is>
          <t>BAO-015</t>
        </is>
      </c>
      <c r="B16" t="inlineStr">
        <is>
          <t>Chantal TRAORE</t>
        </is>
      </c>
      <c r="C16" t="inlineStr">
        <is>
          <t>Abidjan</t>
        </is>
      </c>
      <c r="D16" t="inlineStr">
        <is>
          <t>XOF</t>
        </is>
      </c>
      <c r="E16" s="2" t="n">
        <v>45430</v>
      </c>
      <c r="F16" t="n">
        <v>2160000</v>
      </c>
      <c r="G16" t="n">
        <v>3469000</v>
      </c>
    </row>
    <row r="17">
      <c r="A17" t="inlineStr">
        <is>
          <t>BAO-016</t>
        </is>
      </c>
      <c r="B17" t="inlineStr">
        <is>
          <t>Grâce TRAORE</t>
        </is>
      </c>
      <c r="C17" t="inlineStr">
        <is>
          <t>Dakar</t>
        </is>
      </c>
      <c r="D17" t="inlineStr">
        <is>
          <t>XOF</t>
        </is>
      </c>
      <c r="E17" s="2" t="n">
        <v>45121</v>
      </c>
      <c r="F17" t="n">
        <v>1950000</v>
      </c>
      <c r="G17" t="n">
        <v>2461000</v>
      </c>
    </row>
    <row r="18">
      <c r="A18" t="inlineStr">
        <is>
          <t>BAO-017</t>
        </is>
      </c>
      <c r="B18" t="inlineStr">
        <is>
          <t>Rachel BINTOU</t>
        </is>
      </c>
      <c r="C18" t="inlineStr">
        <is>
          <t>Douala</t>
        </is>
      </c>
      <c r="D18" t="inlineStr">
        <is>
          <t>XAF</t>
        </is>
      </c>
      <c r="E18" s="2" t="n">
        <v>43424</v>
      </c>
      <c r="F18" t="n">
        <v>2310000</v>
      </c>
      <c r="G18" t="n">
        <v>1294000</v>
      </c>
    </row>
    <row r="19">
      <c r="A19" t="inlineStr">
        <is>
          <t>BAO-018</t>
        </is>
      </c>
      <c r="B19" t="inlineStr">
        <is>
          <t>Emmanuel OUEDRAOGO</t>
        </is>
      </c>
      <c r="C19" t="inlineStr">
        <is>
          <t>Libreville</t>
        </is>
      </c>
      <c r="D19" t="inlineStr">
        <is>
          <t>XAF</t>
        </is>
      </c>
      <c r="E19" s="2" t="n">
        <v>43608</v>
      </c>
      <c r="F19" t="n">
        <v>2430000</v>
      </c>
      <c r="G19" t="n">
        <v>2299000</v>
      </c>
    </row>
    <row r="20">
      <c r="A20" t="inlineStr">
        <is>
          <t>BAO-019</t>
        </is>
      </c>
      <c r="B20" t="inlineStr">
        <is>
          <t>Serge TRAORE</t>
        </is>
      </c>
      <c r="C20" t="inlineStr">
        <is>
          <t>Kinshasa</t>
        </is>
      </c>
      <c r="D20" t="inlineStr">
        <is>
          <t>CDF</t>
        </is>
      </c>
      <c r="E20" s="2" t="n">
        <v>44826</v>
      </c>
      <c r="F20" t="n">
        <v>9520000</v>
      </c>
      <c r="G20" t="n">
        <v>13890000</v>
      </c>
    </row>
    <row r="21">
      <c r="A21" t="inlineStr">
        <is>
          <t>BAO-020</t>
        </is>
      </c>
      <c r="B21" t="inlineStr">
        <is>
          <t>Joséphine DIALLO</t>
        </is>
      </c>
      <c r="C21" t="inlineStr">
        <is>
          <t>Lubumbashi</t>
        </is>
      </c>
      <c r="D21" t="inlineStr">
        <is>
          <t>CDF</t>
        </is>
      </c>
      <c r="E21" s="2" t="n">
        <v>42970</v>
      </c>
      <c r="F21" t="n">
        <v>8290000</v>
      </c>
      <c r="G21" t="n">
        <v>12916000</v>
      </c>
    </row>
    <row r="22">
      <c r="A22" t="inlineStr">
        <is>
          <t>BAO-021</t>
        </is>
      </c>
      <c r="B22" t="inlineStr">
        <is>
          <t>Aïcha ESSONO</t>
        </is>
      </c>
      <c r="C22" t="inlineStr">
        <is>
          <t>Abidjan</t>
        </is>
      </c>
      <c r="D22" t="inlineStr">
        <is>
          <t>XOF</t>
        </is>
      </c>
      <c r="E22" s="2" t="n">
        <v>44911</v>
      </c>
      <c r="F22" t="n">
        <v>1830000</v>
      </c>
      <c r="G22" t="n">
        <v>2950000</v>
      </c>
    </row>
    <row r="23">
      <c r="A23" t="inlineStr">
        <is>
          <t>BAO-022</t>
        </is>
      </c>
      <c r="B23" t="inlineStr">
        <is>
          <t>Blaise ILUNGA</t>
        </is>
      </c>
      <c r="C23" t="inlineStr">
        <is>
          <t>Dakar</t>
        </is>
      </c>
      <c r="D23" t="inlineStr">
        <is>
          <t>XOF</t>
        </is>
      </c>
      <c r="E23" s="2" t="n">
        <v>42849</v>
      </c>
      <c r="F23" t="n">
        <v>1600000</v>
      </c>
      <c r="G23" t="n">
        <v>1757000</v>
      </c>
    </row>
    <row r="24">
      <c r="A24" t="inlineStr">
        <is>
          <t>BAO-023</t>
        </is>
      </c>
      <c r="B24" t="inlineStr">
        <is>
          <t>Célestin NDIAYE</t>
        </is>
      </c>
      <c r="C24" t="inlineStr">
        <is>
          <t>Douala</t>
        </is>
      </c>
      <c r="D24" t="inlineStr">
        <is>
          <t>XAF</t>
        </is>
      </c>
      <c r="E24" s="2" t="n">
        <v>42601</v>
      </c>
      <c r="F24" t="n">
        <v>1830000</v>
      </c>
      <c r="G24" t="n">
        <v>1034000</v>
      </c>
    </row>
    <row r="25">
      <c r="A25" t="inlineStr">
        <is>
          <t>BAO-024</t>
        </is>
      </c>
      <c r="B25" t="inlineStr">
        <is>
          <t>Célestin DIALLO</t>
        </is>
      </c>
      <c r="C25" t="inlineStr">
        <is>
          <t>Libreville</t>
        </is>
      </c>
      <c r="D25" t="inlineStr">
        <is>
          <t>XAF</t>
        </is>
      </c>
      <c r="E25" s="2" t="n">
        <v>43010</v>
      </c>
      <c r="F25" t="n">
        <v>2030000</v>
      </c>
      <c r="G25" t="n">
        <v>1561000</v>
      </c>
    </row>
    <row r="26">
      <c r="A26" t="inlineStr">
        <is>
          <t>BAO-025</t>
        </is>
      </c>
      <c r="B26" t="inlineStr">
        <is>
          <t>Mariam NZUZI</t>
        </is>
      </c>
      <c r="C26" t="inlineStr">
        <is>
          <t>Kinshasa</t>
        </is>
      </c>
      <c r="D26" t="inlineStr">
        <is>
          <t>CDF</t>
        </is>
      </c>
      <c r="E26" s="2" t="n">
        <v>43111</v>
      </c>
      <c r="F26" t="n">
        <v>10510000</v>
      </c>
      <c r="G26" t="n">
        <v>13127000</v>
      </c>
    </row>
    <row r="27">
      <c r="A27" t="inlineStr">
        <is>
          <t>BAO-026</t>
        </is>
      </c>
      <c r="B27" t="inlineStr">
        <is>
          <t>Aline MASSAMBA</t>
        </is>
      </c>
      <c r="C27" t="inlineStr">
        <is>
          <t>Lubumbashi</t>
        </is>
      </c>
      <c r="D27" t="inlineStr">
        <is>
          <t>CDF</t>
        </is>
      </c>
      <c r="E27" s="2" t="n">
        <v>45284</v>
      </c>
      <c r="F27" t="n">
        <v>11150000</v>
      </c>
      <c r="G27" t="n">
        <v>17784000</v>
      </c>
    </row>
    <row r="28">
      <c r="A28" t="inlineStr">
        <is>
          <t>BAO-027</t>
        </is>
      </c>
      <c r="B28" t="inlineStr">
        <is>
          <t>Dieudonné NDIAYE</t>
        </is>
      </c>
      <c r="C28" t="inlineStr">
        <is>
          <t>Abidjan</t>
        </is>
      </c>
      <c r="D28" t="inlineStr">
        <is>
          <t>XOF</t>
        </is>
      </c>
      <c r="E28" s="2" t="n">
        <v>46008</v>
      </c>
      <c r="F28" t="n">
        <v>1540000</v>
      </c>
      <c r="G28" t="n">
        <v>1843000</v>
      </c>
    </row>
    <row r="29">
      <c r="A29" t="inlineStr">
        <is>
          <t>BAO-028</t>
        </is>
      </c>
      <c r="B29" t="inlineStr">
        <is>
          <t>Joséphine SAMBA</t>
        </is>
      </c>
      <c r="C29" t="inlineStr">
        <is>
          <t>Dakar</t>
        </is>
      </c>
      <c r="D29" t="inlineStr">
        <is>
          <t>XOF</t>
        </is>
      </c>
      <c r="E29" s="2" t="n">
        <v>43383</v>
      </c>
      <c r="F29" t="n">
        <v>1790000</v>
      </c>
      <c r="G29" t="n">
        <v>1300000</v>
      </c>
    </row>
    <row r="30">
      <c r="A30" t="inlineStr">
        <is>
          <t>BAO-029</t>
        </is>
      </c>
      <c r="B30" t="inlineStr">
        <is>
          <t>Thomas MABIALA</t>
        </is>
      </c>
      <c r="C30" t="inlineStr">
        <is>
          <t>Douala</t>
        </is>
      </c>
      <c r="D30" t="inlineStr">
        <is>
          <t>XAF</t>
        </is>
      </c>
      <c r="E30" s="2" t="n">
        <v>43647</v>
      </c>
      <c r="F30" t="n">
        <v>1750000</v>
      </c>
      <c r="G30" t="n">
        <v>1248000</v>
      </c>
    </row>
    <row r="31">
      <c r="A31" t="inlineStr">
        <is>
          <t>BAO-030</t>
        </is>
      </c>
      <c r="B31" t="inlineStr">
        <is>
          <t>Nadège KALALA</t>
        </is>
      </c>
      <c r="C31" t="inlineStr">
        <is>
          <t>Libreville</t>
        </is>
      </c>
      <c r="D31" t="inlineStr">
        <is>
          <t>XAF</t>
        </is>
      </c>
      <c r="E31" s="2" t="n">
        <v>44512</v>
      </c>
      <c r="F31" t="n">
        <v>2380000</v>
      </c>
      <c r="G31" t="n">
        <v>1445000</v>
      </c>
    </row>
    <row r="32">
      <c r="A32" t="inlineStr">
        <is>
          <t>BAO-031</t>
        </is>
      </c>
      <c r="B32" t="inlineStr">
        <is>
          <t>Thomas KOFFI</t>
        </is>
      </c>
      <c r="C32" t="inlineStr">
        <is>
          <t>Kinshasa</t>
        </is>
      </c>
      <c r="D32" t="inlineStr">
        <is>
          <t>CDF</t>
        </is>
      </c>
      <c r="E32" s="2" t="n">
        <v>44054</v>
      </c>
      <c r="F32" t="n">
        <v>9520000</v>
      </c>
      <c r="G32" t="n">
        <v>8673000</v>
      </c>
    </row>
    <row r="33">
      <c r="A33" t="inlineStr">
        <is>
          <t>BAO-032</t>
        </is>
      </c>
      <c r="B33" t="inlineStr">
        <is>
          <t>Joséphine LOKO</t>
        </is>
      </c>
      <c r="C33" t="inlineStr">
        <is>
          <t>Lubumbashi</t>
        </is>
      </c>
      <c r="D33" t="inlineStr">
        <is>
          <t>CDF</t>
        </is>
      </c>
      <c r="E33" s="2" t="n">
        <v>43178</v>
      </c>
      <c r="F33" t="n">
        <v>12280000</v>
      </c>
      <c r="G33" t="n">
        <v>14478000</v>
      </c>
    </row>
    <row r="34">
      <c r="A34" t="inlineStr">
        <is>
          <t>BAO-033</t>
        </is>
      </c>
      <c r="B34" t="inlineStr">
        <is>
          <t>Aïcha MASSAMBA</t>
        </is>
      </c>
      <c r="C34" t="inlineStr">
        <is>
          <t>Abidjan</t>
        </is>
      </c>
      <c r="D34" t="inlineStr">
        <is>
          <t>XOF</t>
        </is>
      </c>
      <c r="E34" s="2" t="n">
        <v>45769</v>
      </c>
      <c r="F34" t="n">
        <v>1810000</v>
      </c>
      <c r="G34" t="n">
        <v>1665000</v>
      </c>
    </row>
    <row r="35">
      <c r="A35" t="inlineStr">
        <is>
          <t>BAO-034</t>
        </is>
      </c>
      <c r="B35" t="inlineStr">
        <is>
          <t>Célestin KOUADIO</t>
        </is>
      </c>
      <c r="C35" t="inlineStr">
        <is>
          <t>Dakar</t>
        </is>
      </c>
      <c r="D35" t="inlineStr">
        <is>
          <t>XOF</t>
        </is>
      </c>
      <c r="E35" s="2" t="n">
        <v>43121</v>
      </c>
      <c r="F35" t="n">
        <v>1760000</v>
      </c>
      <c r="G35" t="n">
        <v>1346000</v>
      </c>
    </row>
    <row r="36">
      <c r="A36" t="inlineStr">
        <is>
          <t>BAO-035</t>
        </is>
      </c>
      <c r="B36" t="inlineStr">
        <is>
          <t>Nadège ILUNGA</t>
        </is>
      </c>
      <c r="C36" t="inlineStr">
        <is>
          <t>Douala</t>
        </is>
      </c>
      <c r="D36" t="inlineStr">
        <is>
          <t>XAF</t>
        </is>
      </c>
      <c r="E36" s="2" t="n">
        <v>43700</v>
      </c>
      <c r="F36" t="n">
        <v>1830000</v>
      </c>
      <c r="G36" t="n">
        <v>2525000</v>
      </c>
    </row>
    <row r="37">
      <c r="A37" t="inlineStr">
        <is>
          <t>BAO-036</t>
        </is>
      </c>
      <c r="B37" t="inlineStr">
        <is>
          <t>Junior MABIALA</t>
        </is>
      </c>
      <c r="C37" t="inlineStr">
        <is>
          <t>Libreville</t>
        </is>
      </c>
      <c r="D37" t="inlineStr">
        <is>
          <t>XAF</t>
        </is>
      </c>
      <c r="E37" s="2" t="n">
        <v>45357</v>
      </c>
      <c r="F37" t="n">
        <v>2070000</v>
      </c>
      <c r="G37" t="n">
        <v>1637000</v>
      </c>
    </row>
    <row r="38">
      <c r="A38" t="inlineStr">
        <is>
          <t>BAO-037</t>
        </is>
      </c>
      <c r="B38" t="inlineStr">
        <is>
          <t>Junior NGOMA</t>
        </is>
      </c>
      <c r="C38" t="inlineStr">
        <is>
          <t>Kinshasa</t>
        </is>
      </c>
      <c r="D38" t="inlineStr">
        <is>
          <t>CDF</t>
        </is>
      </c>
      <c r="E38" s="2" t="n">
        <v>42926</v>
      </c>
      <c r="F38" t="n">
        <v>8020000</v>
      </c>
      <c r="G38" t="n">
        <v>9111000</v>
      </c>
    </row>
    <row r="39">
      <c r="A39" t="inlineStr">
        <is>
          <t>BAO-038</t>
        </is>
      </c>
      <c r="B39" t="inlineStr">
        <is>
          <t>Junior BAKAYOKO</t>
        </is>
      </c>
      <c r="C39" t="inlineStr">
        <is>
          <t>Lubumbashi</t>
        </is>
      </c>
      <c r="D39" t="inlineStr">
        <is>
          <t>CDF</t>
        </is>
      </c>
      <c r="E39" s="2" t="n">
        <v>44696</v>
      </c>
      <c r="F39" t="n">
        <v>7400000</v>
      </c>
      <c r="G39" t="n">
        <v>7844000</v>
      </c>
    </row>
    <row r="40">
      <c r="A40" t="inlineStr">
        <is>
          <t>BAO-039</t>
        </is>
      </c>
      <c r="B40" t="inlineStr">
        <is>
          <t>Espérance MBARGA</t>
        </is>
      </c>
      <c r="C40" t="inlineStr">
        <is>
          <t>Abidjan</t>
        </is>
      </c>
      <c r="D40" t="inlineStr">
        <is>
          <t>XOF</t>
        </is>
      </c>
      <c r="E40" s="2" t="n">
        <v>45561</v>
      </c>
      <c r="F40" t="n">
        <v>1910000</v>
      </c>
      <c r="G40" t="n">
        <v>1984000</v>
      </c>
    </row>
    <row r="41">
      <c r="A41" t="inlineStr">
        <is>
          <t>BAO-040</t>
        </is>
      </c>
      <c r="B41" t="inlineStr">
        <is>
          <t>Fatou SAMBA</t>
        </is>
      </c>
      <c r="C41" t="inlineStr">
        <is>
          <t>Dakar</t>
        </is>
      </c>
      <c r="D41" t="inlineStr">
        <is>
          <t>XOF</t>
        </is>
      </c>
      <c r="E41" s="2" t="n">
        <v>42968</v>
      </c>
      <c r="F41" t="n">
        <v>2330000</v>
      </c>
      <c r="G41" t="n">
        <v>1873000</v>
      </c>
    </row>
    <row r="42">
      <c r="A42" t="inlineStr">
        <is>
          <t>BAO-041</t>
        </is>
      </c>
      <c r="B42" t="inlineStr">
        <is>
          <t>Moussa MUKENDI</t>
        </is>
      </c>
      <c r="C42" t="inlineStr">
        <is>
          <t>Douala</t>
        </is>
      </c>
      <c r="D42" t="inlineStr">
        <is>
          <t>XAF</t>
        </is>
      </c>
      <c r="E42" s="2" t="n">
        <v>46082</v>
      </c>
      <c r="F42" t="n">
        <v>1950000</v>
      </c>
      <c r="G42" t="n">
        <v>2861000</v>
      </c>
    </row>
    <row r="43">
      <c r="A43" t="inlineStr">
        <is>
          <t>BAO-042</t>
        </is>
      </c>
      <c r="B43" t="inlineStr">
        <is>
          <t>Olivier DIALLO</t>
        </is>
      </c>
      <c r="C43" t="inlineStr">
        <is>
          <t>Libreville</t>
        </is>
      </c>
      <c r="D43" t="inlineStr">
        <is>
          <t>XAF</t>
        </is>
      </c>
      <c r="E43" s="2" t="n">
        <v>45386</v>
      </c>
      <c r="F43" t="n">
        <v>1700000</v>
      </c>
      <c r="G43" t="n">
        <v>2220000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9" customWidth="1" min="4" max="4"/>
    <col width="15" customWidth="1" min="5" max="5"/>
    <col width="14" customWidth="1" min="6" max="6"/>
    <col width="14" customWidth="1" min="7" max="7"/>
    <col width="16" customWidth="1" min="8" max="8"/>
    <col width="12" customWidth="1" min="9" max="9"/>
    <col width="16" customWidth="1" min="10" max="10"/>
    <col width="18" customWidth="1" min="11" max="11"/>
    <col width="16" customWidth="1" min="12" max="12"/>
  </cols>
  <sheetData>
    <row r="1" ht="22" customHeight="1">
      <c r="A1" s="1" t="inlineStr">
        <is>
          <t>Matricule</t>
        </is>
      </c>
      <c r="B1" s="1" t="inlineStr">
        <is>
          <t>Nom</t>
        </is>
      </c>
      <c r="C1" s="1" t="inlineStr">
        <is>
          <t>Agence</t>
        </is>
      </c>
      <c r="D1" s="1" t="inlineStr">
        <is>
          <t>Devise</t>
        </is>
      </c>
      <c r="E1" s="1" t="inlineStr">
        <is>
          <t>Date_Embauche</t>
        </is>
      </c>
      <c r="F1" s="1" t="inlineStr">
        <is>
          <t>Objectif</t>
        </is>
      </c>
      <c r="G1" s="1" t="inlineStr">
        <is>
          <t>Realise</t>
        </is>
      </c>
      <c r="H1" s="1" t="inlineStr">
        <is>
          <t>Taux_Realisation</t>
        </is>
      </c>
      <c r="I1" s="1" t="inlineStr">
        <is>
          <t>Anciennete</t>
        </is>
      </c>
      <c r="J1" s="1" t="inlineStr">
        <is>
          <t>Taux_Commission</t>
        </is>
      </c>
      <c r="K1" s="1" t="inlineStr">
        <is>
          <t>Commission_Locale</t>
        </is>
      </c>
      <c r="L1" s="1" t="inlineStr">
        <is>
          <t>Commission_USD</t>
        </is>
      </c>
    </row>
    <row r="3">
      <c r="A3" s="3" t="inlineStr">
        <is>
          <t>Colle ici les 42 lignes de RAW, ajoute les cinq colonnes de calcul, puis convertis en tableau structuré nommé t_Com (Ctrl+L).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4" customWidth="1" min="4" max="4"/>
    <col width="26" customWidth="1" min="5" max="5"/>
    <col width="16" customWidth="1" min="6" max="6"/>
    <col width="44" customWidth="1" min="7" max="7"/>
  </cols>
  <sheetData>
    <row r="1">
      <c r="A1" s="4" t="inlineStr">
        <is>
          <t>BAREMES — toutes les hypothèses, et nulle part ailleurs</t>
        </is>
      </c>
    </row>
    <row r="2">
      <c r="A2" s="3" t="inlineStr">
        <is>
          <t>Une valeur d'hypothèse ne s'écrit jamais dans une formule. Elle vit ici, elle porte un nom, et tout le classeur pointe dessus.</t>
        </is>
      </c>
    </row>
    <row r="4" ht="22" customHeight="1">
      <c r="A4" s="1" t="inlineStr">
        <is>
          <t>Seuil bas</t>
        </is>
      </c>
      <c r="B4" s="1" t="inlineStr">
        <is>
          <t>Seuil haut</t>
        </is>
      </c>
      <c r="C4" s="1" t="inlineStr">
        <is>
          <t>Taux de commission</t>
        </is>
      </c>
      <c r="E4" s="5" t="inlineStr">
        <is>
          <t>Bonus d'ancienneté</t>
        </is>
      </c>
      <c r="F4" s="6" t="n">
        <v>0.05</v>
      </c>
      <c r="G4" s="3" t="inlineStr">
        <is>
          <t>← nomme cette cellule  TauxBonus</t>
        </is>
      </c>
    </row>
    <row r="5">
      <c r="A5" s="6" t="n">
        <v>0</v>
      </c>
      <c r="B5" s="6" t="n">
        <v>0.8</v>
      </c>
      <c r="C5" s="6" t="n">
        <v>0</v>
      </c>
      <c r="E5" s="5" t="inlineStr">
        <is>
          <t>Ancienneté requise (ans)</t>
        </is>
      </c>
      <c r="F5" t="n">
        <v>2</v>
      </c>
      <c r="G5" s="3" t="inlineStr">
        <is>
          <t>← nomme cette cellule  AncienneteRequise</t>
        </is>
      </c>
    </row>
    <row r="6">
      <c r="A6" s="6" t="n">
        <v>0.8</v>
      </c>
      <c r="B6" s="6" t="n">
        <v>1</v>
      </c>
      <c r="C6" s="6" t="n">
        <v>0.04</v>
      </c>
      <c r="E6" s="5" t="inlineStr">
        <is>
          <t>Plafond de commission</t>
        </is>
      </c>
      <c r="F6" t="n">
        <v>450</v>
      </c>
      <c r="G6" s="3" t="inlineStr">
        <is>
          <t>← nomme cette cellule  PlafondUSD</t>
        </is>
      </c>
    </row>
    <row r="7">
      <c r="A7" s="6" t="n">
        <v>1</v>
      </c>
      <c r="B7" s="6" t="n">
        <v>1.2</v>
      </c>
      <c r="C7" s="6" t="n">
        <v>0.06</v>
      </c>
      <c r="E7" s="5" t="inlineStr">
        <is>
          <t>Mois de référence</t>
        </is>
      </c>
      <c r="F7" s="7" t="n">
        <v>46266</v>
      </c>
      <c r="G7" s="3" t="inlineStr">
        <is>
          <t>← nomme cette cellule  MoisRef</t>
        </is>
      </c>
    </row>
    <row r="8">
      <c r="A8" s="6" t="n">
        <v>1.2</v>
      </c>
      <c r="B8" s="6" t="n">
        <v>99</v>
      </c>
      <c r="C8" s="6" t="n">
        <v>0.08</v>
      </c>
    </row>
    <row r="9" ht="22" customHeight="1">
      <c r="E9" s="8" t="inlineStr">
        <is>
          <t>Devise</t>
        </is>
      </c>
      <c r="F9" s="8" t="inlineStr">
        <is>
          <t>Taux_USD</t>
        </is>
      </c>
    </row>
    <row r="10">
      <c r="E10" t="inlineStr">
        <is>
          <t>CDF</t>
        </is>
      </c>
      <c r="F10" t="n">
        <v>3024</v>
      </c>
    </row>
    <row r="11">
      <c r="E11" t="inlineStr">
        <is>
          <t>XOF</t>
        </is>
      </c>
      <c r="F11" t="n">
        <v>601</v>
      </c>
    </row>
    <row r="12">
      <c r="E12" t="inlineStr">
        <is>
          <t>XAF</t>
        </is>
      </c>
      <c r="F12" t="n">
        <v>601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BUDGET 2025 — repris de l'ancien contrôleur</t>
        </is>
      </c>
    </row>
    <row r="2">
      <c r="A2" s="3" t="inlineStr">
        <is>
          <t>Nadège : « Ce chiffre est impossible. Tu as quinze minutes. »</t>
        </is>
      </c>
    </row>
    <row r="4">
      <c r="A4" s="5" t="inlineStr">
        <is>
          <t>Taux CDF → USD</t>
        </is>
      </c>
      <c r="B4" t="n">
        <v>3024</v>
      </c>
    </row>
    <row r="6" ht="22" customHeight="1">
      <c r="A6" s="1" t="inlineStr">
        <is>
          <t>Agence</t>
        </is>
      </c>
      <c r="B6" s="1" t="inlineStr">
        <is>
          <t>CA_CDF</t>
        </is>
      </c>
      <c r="C6" s="1" t="inlineStr">
        <is>
          <t>Charges_CDF</t>
        </is>
      </c>
      <c r="D6" s="1" t="inlineStr">
        <is>
          <t>Resultat_CDF</t>
        </is>
      </c>
      <c r="E6" s="1" t="inlineStr">
        <is>
          <t>Resultat_USD</t>
        </is>
      </c>
    </row>
    <row r="7">
      <c r="A7" t="inlineStr">
        <is>
          <t>Kinshasa</t>
        </is>
      </c>
      <c r="B7" t="n">
        <v>4820000</v>
      </c>
      <c r="C7" t="n">
        <v>3140000</v>
      </c>
      <c r="D7">
        <f>B7-C7</f>
        <v/>
      </c>
      <c r="E7">
        <f>D7/$B$4</f>
        <v/>
      </c>
    </row>
    <row r="8">
      <c r="A8" t="inlineStr">
        <is>
          <t>Lubumbashi</t>
        </is>
      </c>
      <c r="B8" t="n">
        <v>2960000</v>
      </c>
      <c r="C8" t="n">
        <v>2105000</v>
      </c>
      <c r="D8">
        <f>B8-C8</f>
        <v/>
      </c>
      <c r="E8">
        <f>D8/$B$4</f>
        <v/>
      </c>
    </row>
    <row r="9">
      <c r="A9" t="inlineStr">
        <is>
          <t>Abidjan</t>
        </is>
      </c>
      <c r="B9" t="n">
        <v>3540000</v>
      </c>
      <c r="C9" t="n">
        <v>2390000</v>
      </c>
      <c r="D9" t="n">
        <v>1680000</v>
      </c>
      <c r="E9">
        <f>D9/$B$4</f>
        <v/>
      </c>
    </row>
    <row r="10">
      <c r="A10" t="inlineStr">
        <is>
          <t>Dakar</t>
        </is>
      </c>
      <c r="B10" t="n">
        <v>2780000</v>
      </c>
      <c r="C10" t="n">
        <v>1920000</v>
      </c>
      <c r="D10">
        <f>B10-C10</f>
        <v/>
      </c>
      <c r="E10">
        <f>D10/2710</f>
        <v/>
      </c>
    </row>
    <row r="11">
      <c r="A11" t="inlineStr">
        <is>
          <t>Douala</t>
        </is>
      </c>
      <c r="B11" t="n">
        <v>3110000</v>
      </c>
      <c r="C11" t="n">
        <v>2260000</v>
      </c>
      <c r="D11">
        <f>B11-C11</f>
        <v/>
      </c>
      <c r="E11">
        <f>D11/$B$4</f>
        <v/>
      </c>
    </row>
    <row r="12">
      <c r="A12" t="inlineStr">
        <is>
          <t>Libreville</t>
        </is>
      </c>
      <c r="B12" t="n">
        <v>1940000</v>
      </c>
      <c r="C12" t="n">
        <v>1505000</v>
      </c>
      <c r="D12">
        <f>B12-C12</f>
        <v/>
      </c>
      <c r="E12">
        <f>D12/$B$4</f>
        <v/>
      </c>
    </row>
    <row r="14">
      <c r="A14" s="9" t="inlineStr">
        <is>
          <t>TOTAL</t>
        </is>
      </c>
      <c r="B14" s="10">
        <f>SUM(B7:B10)</f>
        <v/>
      </c>
      <c r="C14" s="10">
        <f>SUM(C7:C12)</f>
        <v/>
      </c>
      <c r="D14" s="10">
        <f>SUM(D7:D12)</f>
        <v/>
      </c>
      <c r="E14" s="10">
        <f>SUM(E7:E12)</f>
        <v/>
      </c>
    </row>
    <row r="16">
      <c r="A16" s="5" t="inlineStr">
        <is>
          <t>Contrôle général — détail vs total</t>
        </is>
      </c>
      <c r="E16" s="11">
        <f>SUM(E7:E14)</f>
        <v/>
      </c>
    </row>
    <row r="18">
      <c r="A18" s="5" t="inlineStr">
        <is>
          <t>Report de l'exercice précédent</t>
        </is>
      </c>
      <c r="B18">
        <f>'C:\Users\ancien_collegue\Budgets\[Budget_2024.xlsx]Synthese'!$B$28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42" customWidth="1" min="3" max="3"/>
    <col width="42" customWidth="1" min="4" max="4"/>
    <col width="20" customWidth="1" min="5" max="5"/>
    <col width="42" customWidth="1" min="6" max="6"/>
    <col width="30" customWidth="1" min="7" max="7"/>
  </cols>
  <sheetData>
    <row r="1">
      <c r="A1" s="4" t="inlineStr">
        <is>
          <t>AUDIT — les cinq anomalies du fichier hérité</t>
        </is>
      </c>
    </row>
    <row r="2">
      <c r="A2" s="3" t="inlineStr">
        <is>
          <t>Une par ligne. La cause, pas le symptôme : la cellule fausse n'est presque jamais celle qu'il faut corriger.</t>
        </is>
      </c>
    </row>
    <row r="4" ht="22" customHeight="1">
      <c r="A4" s="1" t="inlineStr">
        <is>
          <t>#</t>
        </is>
      </c>
      <c r="B4" s="1" t="inlineStr">
        <is>
          <t>Où</t>
        </is>
      </c>
      <c r="C4" s="1" t="inlineStr">
        <is>
          <t>Ce que j'ai constaté</t>
        </is>
      </c>
      <c r="D4" s="1" t="inlineStr">
        <is>
          <t>La cause</t>
        </is>
      </c>
      <c r="E4" s="1" t="inlineStr">
        <is>
          <t>L'impact chiffré</t>
        </is>
      </c>
      <c r="F4" s="1" t="inlineStr">
        <is>
          <t>La correction</t>
        </is>
      </c>
      <c r="G4" s="1" t="inlineStr">
        <is>
          <t>L'outil qui l'a trouvée</t>
        </is>
      </c>
    </row>
    <row r="5">
      <c r="A5" s="12" t="n">
        <v>1</v>
      </c>
      <c r="B5" s="13" t="n"/>
      <c r="C5" s="13" t="n"/>
      <c r="D5" s="13" t="n"/>
      <c r="E5" s="13" t="n"/>
      <c r="F5" s="13" t="n"/>
      <c r="G5" s="13" t="n"/>
    </row>
    <row r="6">
      <c r="A6" s="12" t="n">
        <v>2</v>
      </c>
      <c r="B6" s="13" t="n"/>
      <c r="C6" s="13" t="n"/>
      <c r="D6" s="13" t="n"/>
      <c r="E6" s="13" t="n"/>
      <c r="F6" s="13" t="n"/>
      <c r="G6" s="13" t="n"/>
    </row>
    <row r="7">
      <c r="A7" s="12" t="n">
        <v>3</v>
      </c>
      <c r="B7" s="13" t="n"/>
      <c r="C7" s="13" t="n"/>
      <c r="D7" s="13" t="n"/>
      <c r="E7" s="13" t="n"/>
      <c r="F7" s="13" t="n"/>
      <c r="G7" s="13" t="n"/>
    </row>
    <row r="8">
      <c r="A8" s="12" t="n">
        <v>4</v>
      </c>
      <c r="B8" s="13" t="n"/>
      <c r="C8" s="13" t="n"/>
      <c r="D8" s="13" t="n"/>
      <c r="E8" s="13" t="n"/>
      <c r="F8" s="13" t="n"/>
      <c r="G8" s="13" t="n"/>
    </row>
    <row r="9">
      <c r="A9" s="12" t="n">
        <v>5</v>
      </c>
      <c r="B9" s="13" t="n"/>
      <c r="C9" s="13" t="n"/>
      <c r="D9" s="13" t="n"/>
      <c r="E9" s="13" t="n"/>
      <c r="F9" s="13" t="n"/>
      <c r="G9" s="1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66" customWidth="1" min="1" max="1"/>
    <col width="22" customWidth="1" min="2" max="2"/>
  </cols>
  <sheetData>
    <row r="1">
      <c r="A1" s="4" t="inlineStr">
        <is>
          <t>REPONSES — une formule par cellule</t>
        </is>
      </c>
    </row>
    <row r="2">
      <c r="A2" s="3" t="inlineStr">
        <is>
          <t>Une valeur tapée à la main ne rapporte que la moitié des points.</t>
        </is>
      </c>
    </row>
    <row r="4">
      <c r="A4" s="13" t="inlineStr">
        <is>
          <t>Nombre de commerciaux ayant atteint leur objectif</t>
        </is>
      </c>
      <c r="B4" s="14" t="n"/>
    </row>
    <row r="5">
      <c r="A5" s="13" t="inlineStr">
        <is>
          <t>Nombre touchant le bonus d'ancienneté (objectif atteint ET ancienneté requise)</t>
        </is>
      </c>
      <c r="B5" s="14" t="n"/>
    </row>
    <row r="6">
      <c r="A6" s="13" t="inlineStr">
        <is>
          <t>Nombre de commerciaux dont la commission a été plafonnée</t>
        </is>
      </c>
      <c r="B6" s="14" t="n"/>
    </row>
    <row r="7">
      <c r="A7" s="13" t="inlineStr">
        <is>
          <t>Commission totale versée, en USD</t>
        </is>
      </c>
      <c r="B7" s="14" t="n"/>
    </row>
    <row r="8">
      <c r="A8" s="13" t="inlineStr">
        <is>
          <t>CA total de l'agence de Kinshasa, en CDF</t>
        </is>
      </c>
      <c r="B8" s="14" t="n"/>
    </row>
    <row r="9">
      <c r="A9" s="13" t="inlineStr">
        <is>
          <t>CA total des agences en zone XOF, converti en USD</t>
        </is>
      </c>
      <c r="B9" s="14" t="n"/>
    </row>
    <row r="10">
      <c r="A10" s="13" t="inlineStr">
        <is>
          <t>Commission du matricule BAO-025, en devise locale</t>
        </is>
      </c>
      <c r="B10" s="14" t="n"/>
    </row>
    <row r="11">
      <c r="A11" s="13" t="inlineStr">
        <is>
          <t>Taux de réalisation moyen, toutes agences</t>
        </is>
      </c>
      <c r="B11" s="14" t="n"/>
    </row>
    <row r="12">
      <c r="A12" s="13" t="inlineStr">
        <is>
          <t>Nombre de commerciaux embauchés depuis au moins deux ans</t>
        </is>
      </c>
      <c r="B12" s="14" t="n"/>
    </row>
    <row r="13">
      <c r="A13" s="13" t="inlineStr">
        <is>
          <t>Montant oublié par la somme tronquée du fichier hérité, en CDF</t>
        </is>
      </c>
      <c r="B13" s="14" t="n"/>
    </row>
    <row r="14">
      <c r="A14" s="13" t="inlineStr">
        <is>
          <t>Résultat consolidé du fichier hérité, en USD, après correction</t>
        </is>
      </c>
      <c r="B14" s="14" t="n"/>
    </row>
    <row r="15">
      <c r="A15" s="13" t="inlineStr">
        <is>
          <t>Commission totale des agences en CDF, en USD</t>
        </is>
      </c>
      <c r="B15" s="14" t="n"/>
    </row>
    <row r="16">
      <c r="A16" s="13" t="inlineStr">
        <is>
          <t>Commission totale des agences en XOF, en USD</t>
        </is>
      </c>
      <c r="B16" s="14" t="n"/>
    </row>
    <row r="17">
      <c r="A17" s="13" t="inlineStr">
        <is>
          <t>Commission totale des agences en XAF, en USD</t>
        </is>
      </c>
      <c r="B17" s="14" t="n"/>
    </row>
    <row r="18">
      <c r="A18" s="13" t="inlineStr">
        <is>
          <t>Contrôle : total − somme des trois devises  →  doit valoir 0</t>
        </is>
      </c>
      <c r="B18" s="1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2" customWidth="1" min="1" max="1"/>
    <col width="84" customWidth="1" min="2" max="2"/>
  </cols>
  <sheetData>
    <row r="1">
      <c r="A1" s="4" t="inlineStr">
        <is>
          <t>README — la carte d'identité du classeur</t>
        </is>
      </c>
    </row>
    <row r="3">
      <c r="A3" s="12" t="inlineStr">
        <is>
          <t>Objectif</t>
        </is>
      </c>
      <c r="B3" s="13" t="inlineStr">
        <is>
          <t>Calculer les commissions 2026 des 42 commerciaux et auditer le budget hérité.</t>
        </is>
      </c>
    </row>
    <row r="4">
      <c r="A4" s="12" t="inlineStr">
        <is>
          <t>Source des données</t>
        </is>
      </c>
      <c r="B4" s="13" t="inlineStr">
        <is>
          <t>Export RH du 1er septembre 2026 + Budget_2025 de l'ancien contrôleur.</t>
        </is>
      </c>
    </row>
    <row r="5">
      <c r="A5" s="12" t="inlineStr">
        <is>
          <t>Date de mise à jour</t>
        </is>
      </c>
      <c r="B5" s="13" t="inlineStr"/>
    </row>
    <row r="6">
      <c r="A6" s="12" t="inlineStr">
        <is>
          <t>Auteur</t>
        </is>
      </c>
      <c r="B6" s="13" t="inlineStr"/>
    </row>
    <row r="7">
      <c r="A7" s="12" t="inlineStr">
        <is>
          <t>Procédure d'actualisation</t>
        </is>
      </c>
      <c r="B7" s="13" t="inlineStr">
        <is>
          <t>Remplacer RAW, vérifier BAREMES, contrôler QUALITE.</t>
        </is>
      </c>
    </row>
    <row r="8">
      <c r="A8" s="12" t="inlineStr">
        <is>
          <t>Hypothèses</t>
        </is>
      </c>
      <c r="B8" s="13" t="inlineStr">
        <is>
          <t>Taux du mois de référence. Commission arrondie à l'unité en devise locale.</t>
        </is>
      </c>
    </row>
    <row r="9">
      <c r="A9" s="12" t="inlineStr">
        <is>
          <t>Définition — Taux de réalisation</t>
        </is>
      </c>
      <c r="B9" s="13" t="inlineStr">
        <is>
          <t>Réalisé ÷ Objectif. Vaut 0 si l'objectif est nul.</t>
        </is>
      </c>
    </row>
    <row r="10">
      <c r="A10" s="12" t="inlineStr">
        <is>
          <t>Définition — Commission</t>
        </is>
      </c>
      <c r="B10" s="13" t="inlineStr">
        <is>
          <t>Taux de palier × Réalisé, + bonus, plafonnée en USD.</t>
        </is>
      </c>
    </row>
    <row r="11">
      <c r="A11" s="12" t="inlineStr">
        <is>
          <t>Limites connues</t>
        </is>
      </c>
      <c r="B11" s="13" t="inlineStr"/>
    </row>
    <row r="12">
      <c r="A12" s="12" t="inlineStr">
        <is>
          <t>Contact</t>
        </is>
      </c>
      <c r="B12" s="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0" customWidth="1" min="4" max="4"/>
  </cols>
  <sheetData>
    <row r="1">
      <c r="A1" s="4" t="inlineStr">
        <is>
          <t>QUALITE — les contrôles</t>
        </is>
      </c>
    </row>
    <row r="2">
      <c r="A2" s="3" t="inlineStr">
        <is>
          <t>Écris l'attendu avant de regarder le constaté. Sinon ce n'est plus un contrôle.</t>
        </is>
      </c>
    </row>
    <row r="4" ht="22" customHeight="1">
      <c r="A4" s="1" t="inlineStr">
        <is>
          <t>Contrôle</t>
        </is>
      </c>
      <c r="B4" s="1" t="inlineStr">
        <is>
          <t>Attendu</t>
        </is>
      </c>
      <c r="C4" s="1" t="inlineStr">
        <is>
          <t>Constaté</t>
        </is>
      </c>
      <c r="D4" s="1" t="inlineStr">
        <is>
          <t>Statut</t>
        </is>
      </c>
    </row>
    <row r="5">
      <c r="A5" t="inlineStr">
        <is>
          <t>Nombre de commerciaux</t>
        </is>
      </c>
      <c r="B5" t="n">
        <v>42</v>
      </c>
    </row>
    <row r="6">
      <c r="A6" t="inlineStr">
        <is>
          <t>Objectifs nuls (division par zéro à traiter)</t>
        </is>
      </c>
      <c r="B6" t="n">
        <v>1</v>
      </c>
    </row>
    <row r="7">
      <c r="A7" t="inlineStr">
        <is>
          <t>Commissions négatives</t>
        </is>
      </c>
      <c r="B7" t="n">
        <v>0</v>
      </c>
    </row>
    <row r="8">
      <c r="A8" t="inlineStr">
        <is>
          <t>Valeurs en dur restantes dans les formules</t>
        </is>
      </c>
      <c r="B8" t="n">
        <v>0</v>
      </c>
    </row>
    <row r="9">
      <c r="A9" t="inlineStr">
        <is>
          <t>Anomalies trouvées dans le fichier hérité</t>
        </is>
      </c>
      <c r="B9" t="n">
        <v>5</v>
      </c>
    </row>
    <row r="10">
      <c r="A10" t="inlineStr">
        <is>
          <t>Écart de contrôle : total − somme des devises</t>
        </is>
      </c>
      <c r="B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34" customWidth="1" min="3" max="3"/>
    <col width="34" customWidth="1" min="4" max="4"/>
    <col width="20" customWidth="1" min="5" max="5"/>
    <col width="40" customWidth="1" min="6" max="6"/>
  </cols>
  <sheetData>
    <row r="1">
      <c r="A1" s="4" t="inlineStr">
        <is>
          <t>ANNEXE_IA — ce que l'IA a fait, et ce qu'elle a raté</t>
        </is>
      </c>
    </row>
    <row r="2">
      <c r="A2" s="3" t="inlineStr">
        <is>
          <t>Le prompt exact, la sortie, l'erreur trouvée, et le V du protocole qui l'a attrapée. « J'ai utilisé l'IA » ne vaut rien.</t>
        </is>
      </c>
    </row>
    <row r="4" ht="22" customHeight="1">
      <c r="A4" s="1" t="inlineStr">
        <is>
          <t>Étape</t>
        </is>
      </c>
      <c r="B4" s="1" t="inlineStr">
        <is>
          <t>Le prompt utilisé</t>
        </is>
      </c>
      <c r="C4" s="1" t="inlineStr">
        <is>
          <t>Ce que l'IA a rendu</t>
        </is>
      </c>
      <c r="D4" s="1" t="inlineStr">
        <is>
          <t>L'erreur détectée</t>
        </is>
      </c>
      <c r="E4" s="1" t="inlineStr">
        <is>
          <t>Le V qui l'a attrapée</t>
        </is>
      </c>
      <c r="F4" s="1" t="inlineStr">
        <is>
          <t>La correction</t>
        </is>
      </c>
    </row>
    <row r="5">
      <c r="A5" s="13" t="inlineStr">
        <is>
          <t>Traduction de la règle de prime</t>
        </is>
      </c>
      <c r="B5" s="13" t="n"/>
      <c r="C5" s="13" t="n"/>
      <c r="D5" s="13" t="n"/>
      <c r="E5" s="13" t="n"/>
      <c r="F5" s="13" t="n"/>
    </row>
    <row r="6">
      <c r="A6" s="13" t="inlineStr">
        <is>
          <t>Audit du fichier hérité</t>
        </is>
      </c>
      <c r="B6" s="13" t="n"/>
      <c r="C6" s="13" t="n"/>
      <c r="D6" s="13" t="n"/>
      <c r="E6" s="13" t="n"/>
      <c r="F6" s="13" t="n"/>
    </row>
    <row r="7">
      <c r="A7" s="13" t="n"/>
      <c r="B7" s="13" t="n"/>
      <c r="C7" s="13" t="n"/>
      <c r="D7" s="13" t="n"/>
      <c r="E7" s="13" t="n"/>
      <c r="F7" s="13" t="n"/>
    </row>
    <row r="8">
      <c r="A8" s="13" t="n"/>
      <c r="B8" s="13" t="n"/>
      <c r="C8" s="13" t="n"/>
      <c r="D8" s="13" t="n"/>
      <c r="E8" s="13" t="n"/>
      <c r="F8" s="13" t="n"/>
    </row>
    <row r="9">
      <c r="A9" s="13" t="n"/>
      <c r="B9" s="13" t="n"/>
      <c r="C9" s="13" t="n"/>
      <c r="D9" s="13" t="n"/>
      <c r="E9" s="13" t="n"/>
      <c r="F9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2026-09-17T12:53:25Z</dcterms:created>
  <dcterms:modified xmlns:dcterms="http://purl.org/dc/terms/" xmlns:xsi="http://www.w3.org/2001/XMLSchema-instance" xsi:type="dcterms:W3CDTF">2026-09-17T12:53:25Z</dcterms:modified>
</cp:coreProperties>
</file>