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101418"/>
      <sz val="14"/>
    </font>
    <font>
      <name val="Calibri"/>
      <i val="1"/>
      <color rgb="FF6B7280"/>
      <sz val="10"/>
    </font>
    <font>
      <name val="Calibri"/>
      <b val="1"/>
      <sz val="11"/>
    </font>
    <font>
      <name val="Calibri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243044"/>
      </patternFill>
    </fill>
    <fill>
      <patternFill patternType="solid">
        <fgColor rgb="FFF2F4F6"/>
      </patternFill>
    </fill>
    <fill>
      <patternFill patternType="solid">
        <fgColor rgb="FFFDEC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3" fillId="3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BUDGET 2025 — repris de l'ancien contrôleur</t>
        </is>
      </c>
    </row>
    <row r="2">
      <c r="A2" s="2" t="inlineStr">
        <is>
          <t>Nadège : « Ce chiffre est impossible. Tu as quinze minutes. »</t>
        </is>
      </c>
    </row>
    <row r="4">
      <c r="A4" s="3" t="inlineStr">
        <is>
          <t>Taux CDF → USD</t>
        </is>
      </c>
      <c r="B4" t="n">
        <v>3024</v>
      </c>
    </row>
    <row r="6" ht="22" customHeight="1">
      <c r="A6" s="4" t="inlineStr">
        <is>
          <t>Agence</t>
        </is>
      </c>
      <c r="B6" s="4" t="inlineStr">
        <is>
          <t>CA_CDF</t>
        </is>
      </c>
      <c r="C6" s="4" t="inlineStr">
        <is>
          <t>Charges_CDF</t>
        </is>
      </c>
      <c r="D6" s="4" t="inlineStr">
        <is>
          <t>Resultat_CDF</t>
        </is>
      </c>
      <c r="E6" s="4" t="inlineStr">
        <is>
          <t>Resultat_USD</t>
        </is>
      </c>
    </row>
    <row r="7">
      <c r="A7" t="inlineStr">
        <is>
          <t>Kinshasa</t>
        </is>
      </c>
      <c r="B7" t="n">
        <v>4820000</v>
      </c>
      <c r="C7" t="n">
        <v>3140000</v>
      </c>
      <c r="D7">
        <f>B7-C7</f>
        <v/>
      </c>
      <c r="E7">
        <f>D7/$B$4</f>
        <v/>
      </c>
    </row>
    <row r="8">
      <c r="A8" t="inlineStr">
        <is>
          <t>Lubumbashi</t>
        </is>
      </c>
      <c r="B8" t="n">
        <v>2960000</v>
      </c>
      <c r="C8" t="n">
        <v>2105000</v>
      </c>
      <c r="D8">
        <f>B8-C8</f>
        <v/>
      </c>
      <c r="E8">
        <f>D8/$B$4</f>
        <v/>
      </c>
    </row>
    <row r="9">
      <c r="A9" t="inlineStr">
        <is>
          <t>Abidjan</t>
        </is>
      </c>
      <c r="B9" t="n">
        <v>3540000</v>
      </c>
      <c r="C9" t="n">
        <v>2390000</v>
      </c>
      <c r="D9" t="n">
        <v>1680000</v>
      </c>
      <c r="E9">
        <f>D9/$B$4</f>
        <v/>
      </c>
    </row>
    <row r="10">
      <c r="A10" t="inlineStr">
        <is>
          <t>Dakar</t>
        </is>
      </c>
      <c r="B10" t="n">
        <v>2780000</v>
      </c>
      <c r="C10" t="n">
        <v>1920000</v>
      </c>
      <c r="D10">
        <f>B10-C10</f>
        <v/>
      </c>
      <c r="E10">
        <f>D10/2710</f>
        <v/>
      </c>
    </row>
    <row r="11">
      <c r="A11" t="inlineStr">
        <is>
          <t>Douala</t>
        </is>
      </c>
      <c r="B11" t="n">
        <v>3110000</v>
      </c>
      <c r="C11" t="n">
        <v>2260000</v>
      </c>
      <c r="D11">
        <f>B11-C11</f>
        <v/>
      </c>
      <c r="E11">
        <f>D11/$B$4</f>
        <v/>
      </c>
    </row>
    <row r="12">
      <c r="A12" t="inlineStr">
        <is>
          <t>Libreville</t>
        </is>
      </c>
      <c r="B12" t="n">
        <v>1940000</v>
      </c>
      <c r="C12" t="n">
        <v>1505000</v>
      </c>
      <c r="D12">
        <f>B12-C12</f>
        <v/>
      </c>
      <c r="E12">
        <f>D12/$B$4</f>
        <v/>
      </c>
    </row>
    <row r="14">
      <c r="A14" s="5" t="inlineStr">
        <is>
          <t>TOTAL</t>
        </is>
      </c>
      <c r="B14" s="6">
        <f>SUM(B7:B10)</f>
        <v/>
      </c>
      <c r="C14" s="6">
        <f>SUM(C7:C12)</f>
        <v/>
      </c>
      <c r="D14" s="6">
        <f>SUM(D7:D12)</f>
        <v/>
      </c>
      <c r="E14" s="6">
        <f>SUM(E7:E12)</f>
        <v/>
      </c>
    </row>
    <row r="16">
      <c r="A16" s="3" t="inlineStr">
        <is>
          <t>Contrôle général — détail vs total</t>
        </is>
      </c>
      <c r="E16" s="7">
        <f>SUM(E7:E14)</f>
        <v/>
      </c>
    </row>
    <row r="18">
      <c r="A18" s="3" t="inlineStr">
        <is>
          <t>Report de l'exercice précédent</t>
        </is>
      </c>
      <c r="B18">
        <f>'C:\Users\ancien_collegue\Budgets\[Budget_2024.xlsx]Synthese'!$B$28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2026-09-17T12:53:25Z</dcterms:created>
  <dcterms:modified xmlns:dcterms="http://purl.org/dc/terms/" xmlns:xsi="http://www.w3.org/2001/XMLSchema-instance" xsi:type="dcterms:W3CDTF">2026-09-17T12:53:25Z</dcterms:modified>
</cp:coreProperties>
</file>