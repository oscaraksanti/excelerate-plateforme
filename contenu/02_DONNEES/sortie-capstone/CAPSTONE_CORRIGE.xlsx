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capstone/"/>
    </mc:Choice>
  </mc:AlternateContent>
  <xr:revisionPtr revIDLastSave="0" documentId="11_69BA2E52AD2BD286F3E503490E2C961194A2AA35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README" sheetId="1" r:id="rId1"/>
    <sheet name="RECONCILIATION" sheetId="2" r:id="rId2"/>
    <sheet name="DASHBOARD" sheetId="3" r:id="rId3"/>
    <sheet name="QUALITE" sheetId="4" r:id="rId4"/>
    <sheet name="ANNEXE_IA" sheetId="5" r:id="rId5"/>
    <sheet name="NOTE_DE_SYNTHESE" sheetId="6" r:id="rId6"/>
    <sheet name="REPONSES" sheetId="7" r:id="rId7"/>
  </sheets>
  <definedNames>
    <definedName name="R_CONTROLE">REPONSES!$B$32</definedName>
    <definedName name="R_RECONCILIATION">REPONSES!$B$20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7" l="1"/>
  <c r="B31" i="7"/>
  <c r="B30" i="7"/>
  <c r="B29" i="7"/>
  <c r="B28" i="7"/>
  <c r="B27" i="7"/>
  <c r="B26" i="7"/>
  <c r="B25" i="7"/>
  <c r="B24" i="7"/>
  <c r="B23" i="7"/>
  <c r="B22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14" i="4"/>
  <c r="B13" i="4"/>
  <c r="B12" i="4"/>
  <c r="B11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<sst xmlns="http://schemas.openxmlformats.org/spreadsheetml/2006/main" count="71" uniqueCount="70">
  <si>
    <t>README</t>
  </si>
  <si>
    <t>Ce que ce classeur fait, d'où viennent les données, comment l'actualiser, et ce qu'il ne dit pas.</t>
  </si>
  <si>
    <t>RECONCILIATION</t>
  </si>
  <si>
    <t>Le rapport de rapprochement : les quatre familles d'écarts, ligne à ligne, avec leur montant.</t>
  </si>
  <si>
    <t>DASHBOARD</t>
  </si>
  <si>
    <t>Une page. Ce que le conseil regarde.</t>
  </si>
  <si>
    <t>Les dix contrôles</t>
  </si>
  <si>
    <t>Aucun ne peut échouer. Un contrôle qui ne passe pas interdit la livraison — c'est la règle du module 9, et elle tient ici.</t>
  </si>
  <si>
    <t>Contrôle</t>
  </si>
  <si>
    <t>Valeur</t>
  </si>
  <si>
    <t>Référence</t>
  </si>
  <si>
    <t>Ce que ça veut dire</t>
  </si>
  <si>
    <t>Lignes de vente dont le client est absent du référentiel</t>
  </si>
  <si>
    <t>un code client orphelin sort de tous les tableaux sans prévenir</t>
  </si>
  <si>
    <t>Lignes de vente dont le produit est absent du référentiel</t>
  </si>
  <si>
    <t>même chose, et ça fausse la marge</t>
  </si>
  <si>
    <t>Lignes de vente hors de l'exercice</t>
  </si>
  <si>
    <t>du 1er octobre 2025 au 30 septembre 2026, bornes comprises</t>
  </si>
  <si>
    <t>Montants de vente négatifs</t>
  </si>
  <si>
    <t>les avoirs sont dans leur propre fichier, pas dans les ventes</t>
  </si>
  <si>
    <t>Mois sans taux de change</t>
  </si>
  <si>
    <t>douze mois, trois devises : un trou et la conversion est fausse</t>
  </si>
  <si>
    <t>Doublons de code client au référentiel</t>
  </si>
  <si>
    <t>le code est la clé — s'il se répète, la relation est impossible</t>
  </si>
  <si>
    <t>Clients dont le nom porte un défaut de saisie</t>
  </si>
  <si>
    <t>espaces insécables, casse, accents perdus : c'est pour ça qu'on rapproche sur le code, jamais sur le libellé</t>
  </si>
  <si>
    <t>Factures présentes des deux côtés dont les montants diffèrent</t>
  </si>
  <si>
    <t>les vingt-trois de la famille ③, et elles seules</t>
  </si>
  <si>
    <t>Le rapprochement se referme-t-il ?</t>
  </si>
  <si>
    <t>PASS</t>
  </si>
  <si>
    <t>écart brut = somme des quatre familles, au centime</t>
  </si>
  <si>
    <t>Le total par agence égale-t-il le total général ?</t>
  </si>
  <si>
    <t>la somme des six doit redonner le consolidé</t>
  </si>
  <si>
    <t>ANNEXE_IA</t>
  </si>
  <si>
    <t>Les prompts, au moins TROIS erreurs de l'IA détectées et corrigées, et quel V a attrapé chacune.</t>
  </si>
  <si>
    <t>NOTE_DE_SYNTHESE</t>
  </si>
  <si>
    <t>Une page pour le conseil. La recommandation en premier.</t>
  </si>
  <si>
    <t>CAPSTONE — les réponses</t>
  </si>
  <si>
    <t>Chaque cellule jaune doit porter une FORMULE qui pointe vers votre modèle. Un chiffre tapé à la main vaut la moitié des points.</t>
  </si>
  <si>
    <t>— LE RAPPROCHEMENT COMMERCIAL / COMPTABLE —</t>
  </si>
  <si>
    <t>Lignes de vente consolidées</t>
  </si>
  <si>
    <t>Factures commerciales distinctes</t>
  </si>
  <si>
    <t>Écritures comptables de vente</t>
  </si>
  <si>
    <t>Chiffre d'affaires commercial, en USD</t>
  </si>
  <si>
    <t>Chiffre d'affaires comptable, en USD</t>
  </si>
  <si>
    <t>Écart brut, en USD</t>
  </si>
  <si>
    <t>① Factures sans écriture comptable — nombre</t>
  </si>
  <si>
    <t>① … montant, en USD</t>
  </si>
  <si>
    <t>② Écritures sans facture commerciale — nombre</t>
  </si>
  <si>
    <t>② … montant, en USD</t>
  </si>
  <si>
    <t>③ Factures aux montants différents — nombre</t>
  </si>
  <si>
    <t>③ … écart net, en USD</t>
  </si>
  <si>
    <t>④ Doublons de saisie comptable — nombre</t>
  </si>
  <si>
    <t>④ … montant, en USD</t>
  </si>
  <si>
    <t>R_RECONCILIATION — écart brut moins les quatre familles  ·  doit valoir 0</t>
  </si>
  <si>
    <t>— L'ACTIVITÉ DE L'EXERCICE —</t>
  </si>
  <si>
    <t>Clients ayant acheté</t>
  </si>
  <si>
    <t>Références vendues</t>
  </si>
  <si>
    <t>Marge brute, en USD</t>
  </si>
  <si>
    <t>Taux de marge brute</t>
  </si>
  <si>
    <t>Panier moyen par facture, en USD</t>
  </si>
  <si>
    <t>Chiffre d'affaires de l'exercice N-1, en USD</t>
  </si>
  <si>
    <t>Évolution N / N-1</t>
  </si>
  <si>
    <t>Agence dégageant la plus forte marge</t>
  </si>
  <si>
    <t>Kinshasa</t>
  </si>
  <si>
    <t>Mois record en chiffre d'affaires</t>
  </si>
  <si>
    <t>juillet 2026</t>
  </si>
  <si>
    <t>Écart au budget, en USD</t>
  </si>
  <si>
    <t>R_CONTROLE — somme des six agences moins le total  ·  doit valoir 0</t>
  </si>
  <si>
    <t>La colonne C est la référence du corrigé. Elle ne sort jamais du dépôt privé.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</si>
</sst>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USD&quot;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6B728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3044"/>
      </patternFill>
    </fill>
    <fill>
      <patternFill patternType="solid">
        <fgColor rgb="FFFFF6D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0" fillId="0" borderId="1" xfId="0" applyBorder="1"/>
    <xf numFmtId="3" fontId="4" fillId="3" borderId="1" xfId="0" applyNumberFormat="1" applyFont="1" applyFill="1" applyBorder="1"/>
    <xf numFmtId="3" fontId="2" fillId="0" borderId="0" xfId="0" applyNumberFormat="1" applyFont="1"/>
    <xf numFmtId="0" fontId="4" fillId="3" borderId="1" xfId="0" applyFont="1" applyFill="1" applyBorder="1"/>
    <xf numFmtId="0" fontId="5" fillId="0" borderId="0" xfId="0" applyFont="1"/>
    <xf numFmtId="164" fontId="4" fillId="3" borderId="1" xfId="0" applyNumberFormat="1" applyFont="1" applyFill="1" applyBorder="1"/>
    <xf numFmtId="164" fontId="2" fillId="0" borderId="0" xfId="0" applyNumberFormat="1" applyFont="1"/>
    <xf numFmtId="165" fontId="4" fillId="3" borderId="1" xfId="0" applyNumberFormat="1" applyFont="1" applyFill="1" applyBorder="1"/>
    <xf numFmtId="165" fontId="2" fillId="0" borderId="0" xfId="0" applyNumberFormat="1" applyFont="1"/>
    <xf numFmtId="10" fontId="4" fillId="3" borderId="1" xfId="0" applyNumberFormat="1" applyFont="1" applyFill="1" applyBorder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0</v>
      </c>
    </row>
    <row r="2" spans="1:1" ht="34" customHeight="1" x14ac:dyDescent="0.2">
      <c r="A2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2</v>
      </c>
    </row>
    <row r="2" spans="1:1" ht="34" customHeight="1" x14ac:dyDescent="0.2">
      <c r="A2" s="2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4</v>
      </c>
    </row>
    <row r="2" spans="1:1" ht="34" customHeight="1" x14ac:dyDescent="0.2">
      <c r="A2" s="2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baseColWidth="10" defaultColWidth="8.83203125" defaultRowHeight="15" x14ac:dyDescent="0.2"/>
  <cols>
    <col min="1" max="1" width="58" customWidth="1"/>
    <col min="2" max="2" width="18" customWidth="1"/>
    <col min="3" max="3" width="20" customWidth="1"/>
    <col min="4" max="4" width="62" customWidth="1"/>
  </cols>
  <sheetData>
    <row r="1" spans="1:4" ht="19" x14ac:dyDescent="0.25">
      <c r="A1" s="1" t="s">
        <v>6</v>
      </c>
    </row>
    <row r="2" spans="1:4" x14ac:dyDescent="0.2">
      <c r="A2" s="3" t="s">
        <v>7</v>
      </c>
    </row>
    <row r="4" spans="1:4" ht="22" customHeight="1" x14ac:dyDescent="0.2">
      <c r="A4" s="4" t="s">
        <v>8</v>
      </c>
      <c r="B4" s="4" t="s">
        <v>9</v>
      </c>
      <c r="C4" s="4" t="s">
        <v>10</v>
      </c>
      <c r="D4" s="4" t="s">
        <v>11</v>
      </c>
    </row>
    <row r="5" spans="1:4" x14ac:dyDescent="0.2">
      <c r="A5" s="5" t="s">
        <v>12</v>
      </c>
      <c r="B5" s="6">
        <f t="shared" ref="B5:B14" si="0">C5</f>
        <v>0</v>
      </c>
      <c r="C5" s="7">
        <v>0</v>
      </c>
      <c r="D5" s="3" t="s">
        <v>13</v>
      </c>
    </row>
    <row r="6" spans="1:4" x14ac:dyDescent="0.2">
      <c r="A6" s="5" t="s">
        <v>14</v>
      </c>
      <c r="B6" s="6">
        <f t="shared" si="0"/>
        <v>0</v>
      </c>
      <c r="C6" s="7">
        <v>0</v>
      </c>
      <c r="D6" s="3" t="s">
        <v>15</v>
      </c>
    </row>
    <row r="7" spans="1:4" x14ac:dyDescent="0.2">
      <c r="A7" s="5" t="s">
        <v>16</v>
      </c>
      <c r="B7" s="6">
        <f t="shared" si="0"/>
        <v>0</v>
      </c>
      <c r="C7" s="7">
        <v>0</v>
      </c>
      <c r="D7" s="3" t="s">
        <v>17</v>
      </c>
    </row>
    <row r="8" spans="1:4" x14ac:dyDescent="0.2">
      <c r="A8" s="5" t="s">
        <v>18</v>
      </c>
      <c r="B8" s="6">
        <f t="shared" si="0"/>
        <v>0</v>
      </c>
      <c r="C8" s="7">
        <v>0</v>
      </c>
      <c r="D8" s="3" t="s">
        <v>19</v>
      </c>
    </row>
    <row r="9" spans="1:4" x14ac:dyDescent="0.2">
      <c r="A9" s="5" t="s">
        <v>20</v>
      </c>
      <c r="B9" s="6">
        <f t="shared" si="0"/>
        <v>0</v>
      </c>
      <c r="C9" s="7">
        <v>0</v>
      </c>
      <c r="D9" s="3" t="s">
        <v>21</v>
      </c>
    </row>
    <row r="10" spans="1:4" x14ac:dyDescent="0.2">
      <c r="A10" s="5" t="s">
        <v>22</v>
      </c>
      <c r="B10" s="6">
        <f t="shared" si="0"/>
        <v>0</v>
      </c>
      <c r="C10" s="7">
        <v>0</v>
      </c>
      <c r="D10" s="3" t="s">
        <v>23</v>
      </c>
    </row>
    <row r="11" spans="1:4" x14ac:dyDescent="0.2">
      <c r="A11" s="5" t="s">
        <v>24</v>
      </c>
      <c r="B11" s="6">
        <f t="shared" si="0"/>
        <v>18</v>
      </c>
      <c r="C11" s="7">
        <v>18</v>
      </c>
      <c r="D11" s="3" t="s">
        <v>25</v>
      </c>
    </row>
    <row r="12" spans="1:4" x14ac:dyDescent="0.2">
      <c r="A12" s="5" t="s">
        <v>26</v>
      </c>
      <c r="B12" s="6">
        <f t="shared" si="0"/>
        <v>23</v>
      </c>
      <c r="C12" s="7">
        <v>23</v>
      </c>
      <c r="D12" s="3" t="s">
        <v>27</v>
      </c>
    </row>
    <row r="13" spans="1:4" x14ac:dyDescent="0.2">
      <c r="A13" s="5" t="s">
        <v>28</v>
      </c>
      <c r="B13" s="8" t="str">
        <f t="shared" si="0"/>
        <v>PASS</v>
      </c>
      <c r="C13" s="3" t="s">
        <v>29</v>
      </c>
      <c r="D13" s="3" t="s">
        <v>30</v>
      </c>
    </row>
    <row r="14" spans="1:4" x14ac:dyDescent="0.2">
      <c r="A14" s="5" t="s">
        <v>31</v>
      </c>
      <c r="B14" s="8" t="str">
        <f t="shared" si="0"/>
        <v>PASS</v>
      </c>
      <c r="C14" s="3" t="s">
        <v>29</v>
      </c>
      <c r="D14" s="3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33</v>
      </c>
    </row>
    <row r="2" spans="1:1" ht="34" customHeight="1" x14ac:dyDescent="0.2">
      <c r="A2" s="2" t="s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35</v>
      </c>
    </row>
    <row r="2" spans="1:1" ht="34" customHeight="1" x14ac:dyDescent="0.2">
      <c r="A2" s="2" t="s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4"/>
  <sheetViews>
    <sheetView workbookViewId="0"/>
  </sheetViews>
  <sheetFormatPr baseColWidth="10" defaultColWidth="8.83203125" defaultRowHeight="15" x14ac:dyDescent="0.2"/>
  <cols>
    <col min="1" max="1" width="66" customWidth="1"/>
    <col min="2" max="3" width="24" customWidth="1"/>
  </cols>
  <sheetData>
    <row r="1" spans="1:3" ht="19" x14ac:dyDescent="0.25">
      <c r="A1" s="1" t="s">
        <v>37</v>
      </c>
    </row>
    <row r="2" spans="1:3" x14ac:dyDescent="0.2">
      <c r="A2" s="3" t="s">
        <v>38</v>
      </c>
    </row>
    <row r="5" spans="1:3" x14ac:dyDescent="0.2">
      <c r="A5" s="9" t="s">
        <v>39</v>
      </c>
    </row>
    <row r="6" spans="1:3" x14ac:dyDescent="0.2">
      <c r="A6" s="5" t="s">
        <v>40</v>
      </c>
      <c r="B6" s="6">
        <f t="shared" ref="B6:B20" si="0">C6</f>
        <v>26637</v>
      </c>
      <c r="C6" s="7">
        <v>26637</v>
      </c>
    </row>
    <row r="7" spans="1:3" x14ac:dyDescent="0.2">
      <c r="A7" s="5" t="s">
        <v>41</v>
      </c>
      <c r="B7" s="6">
        <f t="shared" si="0"/>
        <v>9464</v>
      </c>
      <c r="C7" s="7">
        <v>9464</v>
      </c>
    </row>
    <row r="8" spans="1:3" x14ac:dyDescent="0.2">
      <c r="A8" s="5" t="s">
        <v>42</v>
      </c>
      <c r="B8" s="6">
        <f t="shared" si="0"/>
        <v>9465</v>
      </c>
      <c r="C8" s="7">
        <v>9465</v>
      </c>
    </row>
    <row r="9" spans="1:3" x14ac:dyDescent="0.2">
      <c r="A9" s="5" t="s">
        <v>43</v>
      </c>
      <c r="B9" s="10">
        <f t="shared" si="0"/>
        <v>14563592.32</v>
      </c>
      <c r="C9" s="11">
        <v>14563592.32</v>
      </c>
    </row>
    <row r="10" spans="1:3" x14ac:dyDescent="0.2">
      <c r="A10" s="5" t="s">
        <v>44</v>
      </c>
      <c r="B10" s="10">
        <f t="shared" si="0"/>
        <v>14570785.060000001</v>
      </c>
      <c r="C10" s="11">
        <v>14570785.060000001</v>
      </c>
    </row>
    <row r="11" spans="1:3" x14ac:dyDescent="0.2">
      <c r="A11" s="5" t="s">
        <v>45</v>
      </c>
      <c r="B11" s="10">
        <f t="shared" si="0"/>
        <v>7192.74</v>
      </c>
      <c r="C11" s="11">
        <v>7192.74</v>
      </c>
    </row>
    <row r="12" spans="1:3" x14ac:dyDescent="0.2">
      <c r="A12" s="5" t="s">
        <v>46</v>
      </c>
      <c r="B12" s="6">
        <f t="shared" si="0"/>
        <v>12</v>
      </c>
      <c r="C12" s="7">
        <v>12</v>
      </c>
    </row>
    <row r="13" spans="1:3" x14ac:dyDescent="0.2">
      <c r="A13" s="5" t="s">
        <v>47</v>
      </c>
      <c r="B13" s="10">
        <f t="shared" si="0"/>
        <v>17589.12</v>
      </c>
      <c r="C13" s="11">
        <v>17589.12</v>
      </c>
    </row>
    <row r="14" spans="1:3" x14ac:dyDescent="0.2">
      <c r="A14" s="5" t="s">
        <v>48</v>
      </c>
      <c r="B14" s="6">
        <f t="shared" si="0"/>
        <v>8</v>
      </c>
      <c r="C14" s="7">
        <v>8</v>
      </c>
    </row>
    <row r="15" spans="1:3" x14ac:dyDescent="0.2">
      <c r="A15" s="5" t="s">
        <v>49</v>
      </c>
      <c r="B15" s="10">
        <f t="shared" si="0"/>
        <v>20859.900000000001</v>
      </c>
      <c r="C15" s="11">
        <v>20859.900000000001</v>
      </c>
    </row>
    <row r="16" spans="1:3" x14ac:dyDescent="0.2">
      <c r="A16" s="5" t="s">
        <v>50</v>
      </c>
      <c r="B16" s="6">
        <f t="shared" si="0"/>
        <v>23</v>
      </c>
      <c r="C16" s="7">
        <v>23</v>
      </c>
    </row>
    <row r="17" spans="1:3" x14ac:dyDescent="0.2">
      <c r="A17" s="5" t="s">
        <v>51</v>
      </c>
      <c r="B17" s="10">
        <f t="shared" si="0"/>
        <v>-1911.5</v>
      </c>
      <c r="C17" s="11">
        <v>-1911.5</v>
      </c>
    </row>
    <row r="18" spans="1:3" x14ac:dyDescent="0.2">
      <c r="A18" s="5" t="s">
        <v>52</v>
      </c>
      <c r="B18" s="6">
        <f t="shared" si="0"/>
        <v>5</v>
      </c>
      <c r="C18" s="7">
        <v>5</v>
      </c>
    </row>
    <row r="19" spans="1:3" x14ac:dyDescent="0.2">
      <c r="A19" s="5" t="s">
        <v>53</v>
      </c>
      <c r="B19" s="10">
        <f t="shared" si="0"/>
        <v>5833.46</v>
      </c>
      <c r="C19" s="11">
        <v>5833.46</v>
      </c>
    </row>
    <row r="20" spans="1:3" x14ac:dyDescent="0.2">
      <c r="A20" s="5" t="s">
        <v>54</v>
      </c>
      <c r="B20" s="10">
        <f t="shared" si="0"/>
        <v>0</v>
      </c>
      <c r="C20" s="11">
        <v>0</v>
      </c>
    </row>
    <row r="21" spans="1:3" x14ac:dyDescent="0.2">
      <c r="A21" s="9" t="s">
        <v>55</v>
      </c>
    </row>
    <row r="22" spans="1:3" x14ac:dyDescent="0.2">
      <c r="A22" s="5" t="s">
        <v>56</v>
      </c>
      <c r="B22" s="6">
        <f t="shared" ref="B22:B32" si="1">C22</f>
        <v>600</v>
      </c>
      <c r="C22" s="7">
        <v>600</v>
      </c>
    </row>
    <row r="23" spans="1:3" x14ac:dyDescent="0.2">
      <c r="A23" s="5" t="s">
        <v>57</v>
      </c>
      <c r="B23" s="6">
        <f t="shared" si="1"/>
        <v>54</v>
      </c>
      <c r="C23" s="7">
        <v>54</v>
      </c>
    </row>
    <row r="24" spans="1:3" x14ac:dyDescent="0.2">
      <c r="A24" s="5" t="s">
        <v>58</v>
      </c>
      <c r="B24" s="10">
        <f t="shared" si="1"/>
        <v>2243516.87</v>
      </c>
      <c r="C24" s="11">
        <v>2243516.87</v>
      </c>
    </row>
    <row r="25" spans="1:3" x14ac:dyDescent="0.2">
      <c r="A25" s="5" t="s">
        <v>59</v>
      </c>
      <c r="B25" s="12">
        <f t="shared" si="1"/>
        <v>0.15404999999999999</v>
      </c>
      <c r="C25" s="13">
        <v>0.15404999999999999</v>
      </c>
    </row>
    <row r="26" spans="1:3" x14ac:dyDescent="0.2">
      <c r="A26" s="5" t="s">
        <v>60</v>
      </c>
      <c r="B26" s="10">
        <f t="shared" si="1"/>
        <v>1538.84</v>
      </c>
      <c r="C26" s="11">
        <v>1538.84</v>
      </c>
    </row>
    <row r="27" spans="1:3" x14ac:dyDescent="0.2">
      <c r="A27" s="5" t="s">
        <v>61</v>
      </c>
      <c r="B27" s="10">
        <f t="shared" si="1"/>
        <v>13349262.130000001</v>
      </c>
      <c r="C27" s="11">
        <v>13349262.130000001</v>
      </c>
    </row>
    <row r="28" spans="1:3" x14ac:dyDescent="0.2">
      <c r="A28" s="5" t="s">
        <v>62</v>
      </c>
      <c r="B28" s="14">
        <f t="shared" si="1"/>
        <v>9.0966000000000005E-2</v>
      </c>
      <c r="C28" s="15">
        <v>9.0966000000000005E-2</v>
      </c>
    </row>
    <row r="29" spans="1:3" x14ac:dyDescent="0.2">
      <c r="A29" s="5" t="s">
        <v>63</v>
      </c>
      <c r="B29" s="8" t="str">
        <f t="shared" si="1"/>
        <v>Kinshasa</v>
      </c>
      <c r="C29" s="3" t="s">
        <v>64</v>
      </c>
    </row>
    <row r="30" spans="1:3" x14ac:dyDescent="0.2">
      <c r="A30" s="5" t="s">
        <v>65</v>
      </c>
      <c r="B30" s="8" t="str">
        <f t="shared" si="1"/>
        <v>juillet 2026</v>
      </c>
      <c r="C30" s="3" t="s">
        <v>66</v>
      </c>
    </row>
    <row r="31" spans="1:3" x14ac:dyDescent="0.2">
      <c r="A31" s="5" t="s">
        <v>67</v>
      </c>
      <c r="B31" s="10">
        <f t="shared" si="1"/>
        <v>-515898.23</v>
      </c>
      <c r="C31" s="11">
        <v>-515898.23</v>
      </c>
    </row>
    <row r="32" spans="1:3" x14ac:dyDescent="0.2">
      <c r="A32" s="5" t="s">
        <v>68</v>
      </c>
      <c r="B32" s="10">
        <f t="shared" si="1"/>
        <v>0</v>
      </c>
      <c r="C32" s="11">
        <v>0</v>
      </c>
    </row>
    <row r="34" spans="1:1" x14ac:dyDescent="0.2">
      <c r="A34" s="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README</vt:lpstr>
      <vt:lpstr>RECONCILIATION</vt:lpstr>
      <vt:lpstr>DASHBOARD</vt:lpstr>
      <vt:lpstr>QUALITE</vt:lpstr>
      <vt:lpstr>ANNEXE_IA</vt:lpstr>
      <vt:lpstr>NOTE_DE_SYNTHESE</vt:lpstr>
      <vt:lpstr>REPONSES</vt:lpstr>
      <vt:lpstr>R_CONTROLE</vt:lpstr>
      <vt:lpstr>R_RECONCILIATION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2026-09-18T00:58:51Z</dcterms:created>
  <dcterms:modified xsi:type="dcterms:W3CDTF">2026-09-18T00:59:13Z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2026-09-18T00:59:13Z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17cf8b87-8862-4fa2-96e9-e24adc19dc11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