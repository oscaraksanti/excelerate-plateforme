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NSES" sheetId="1" state="visible" r:id="rId1"/>
    <sheet xmlns:r="http://schemas.openxmlformats.org/officeDocument/2006/relationships" name="MODEL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QUALITE" sheetId="4" state="visible" r:id="rId4"/>
    <sheet xmlns:r="http://schemas.openxmlformats.org/officeDocument/2006/relationships" name="ANNEXE_IA" sheetId="5" state="visible" r:id="rId5"/>
  </sheets>
  <definedNames>
    <definedName name="R_ECART_MESURE">REPONSES!$B$20</definedName>
    <definedName name="R_CONTROLE">REPONSES!$B$21</definedName>
    <definedName name="Q_MESURES">QUALITE!$B$5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USD&quot;"/>
  </numFmts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6B7280"/>
      <sz val="10"/>
    </font>
    <font>
      <name val="Calibri"/>
      <b val="1"/>
      <sz val="11"/>
    </font>
    <font>
      <name val="Calibri"/>
      <b val="1"/>
      <color rgb="FF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FFFFF6D8"/>
      </patternFill>
    </fill>
    <fill>
      <patternFill patternType="solid">
        <fgColor rgb="FFE8F6EE"/>
      </patternFill>
    </fill>
    <fill>
      <patternFill patternType="solid">
        <fgColor rgb="FF243044"/>
      </patternFill>
    </fill>
  </fills>
  <borders count="2">
    <border>
      <left/>
      <right/>
      <top/>
      <bottom/>
      <diagonal/>
    </border>
    <border>
      <bottom style="thin">
        <color rgb="FFD6DB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0" fillId="2" borderId="1" pivotButton="0" quotePrefix="0" xfId="0"/>
    <xf numFmtId="10" fontId="0" fillId="2" borderId="1" pivotButton="0" quotePrefix="0" xfId="0"/>
    <xf numFmtId="3" fontId="0" fillId="2" borderId="1" pivotButton="0" quotePrefix="0" xfId="0"/>
    <xf numFmtId="0" fontId="3" fillId="0" borderId="1" pivotButton="0" quotePrefix="0" xfId="0"/>
    <xf numFmtId="164" fontId="0" fillId="3" borderId="1" pivotButton="0" quotePrefix="0" xfId="0"/>
    <xf numFmtId="3" fontId="0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_Tables" displayName="t_Tables" ref="A5:E11" headerRowCount="1">
  <autoFilter ref="A5:E11"/>
  <tableColumns count="5">
    <tableColumn id="1" name="Table"/>
    <tableColumn id="2" name="Rôle"/>
    <tableColumn id="3" name="Lignes"/>
    <tableColumn id="4" name="Clé"/>
    <tableColumn id="5" name="Remarque"/>
  </tableColumns>
  <tableStyleInfo name="TableStyleMedium2" showRowStripes="1"/>
</table>
</file>

<file path=xl/tables/table2.xml><?xml version="1.0" encoding="utf-8"?>
<table xmlns="http://schemas.openxmlformats.org/spreadsheetml/2006/main" id="2" name="t_Relations" displayName="t_Relations" ref="A15:E20" headerRowCount="1">
  <autoFilter ref="A15:E20"/>
  <tableColumns count="5">
    <tableColumn id="1" name="Table_source"/>
    <tableColumn id="2" name="Colonne_source"/>
    <tableColumn id="3" name="Table_cible"/>
    <tableColumn id="4" name="Colonne_cible"/>
    <tableColumn id="5" name="Cardinalite"/>
  </tableColumns>
  <tableStyleInfo name="TableStyleMedium2" showRowStripes="1"/>
</table>
</file>

<file path=xl/tables/table3.xml><?xml version="1.0" encoding="utf-8"?>
<table xmlns="http://schemas.openxmlformats.org/spreadsheetml/2006/main" id="3" name="t_Mesures" displayName="t_Mesures" ref="A24:B32" headerRowCount="1">
  <autoFilter ref="A24:B32"/>
  <tableColumns count="2">
    <tableColumn id="1" name="Mesure"/>
    <tableColumn id="2" name="Définition DAX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4" customWidth="1" min="1" max="1"/>
    <col width="24" customWidth="1" min="2" max="2"/>
  </cols>
  <sheetData>
    <row r="1">
      <c r="A1" s="1" t="inlineStr">
        <is>
          <t>TP 8 — Le modèle qui remplace 42 RECHERCHEX</t>
        </is>
      </c>
    </row>
    <row r="2">
      <c r="A2" s="2" t="inlineStr">
        <is>
          <t>Année analysée : 2026. Les cellules jaunes se remplissent une fois le modèle construit et les huit mesures écrites.</t>
        </is>
      </c>
    </row>
    <row r="4">
      <c r="A4" s="3" t="inlineStr">
        <is>
          <t>①  CE QUE VOUS LISEZ DANS LE TABLEAU CROISÉ</t>
        </is>
      </c>
    </row>
    <row r="5">
      <c r="A5" s="4" t="inlineStr">
        <is>
          <t>Chiffre d'affaires 2026 en USD, lu dans le TCD branché sur le modèle</t>
        </is>
      </c>
      <c r="B5" s="5" t="n">
        <v>30317122.55</v>
      </c>
    </row>
    <row r="8">
      <c r="A8" s="3" t="inlineStr">
        <is>
          <t>②  CE QUE CUBEVALEUR ET LES FORMULES VÉRIFIENT</t>
        </is>
      </c>
    </row>
    <row r="10">
      <c r="A10" s="4" t="inlineStr">
        <is>
          <t>Chiffre d'affaires 2026, en USD</t>
        </is>
      </c>
      <c r="B10" s="5">
        <f>CUBEVALUE("ThisWorkbookDataModel","[Measures].[CA USD]","[d_Calendrier].[Annee].&amp;[2026]")</f>
        <v>30317122.55</v>
      </c>
    </row>
    <row r="11">
      <c r="A11" s="4" t="inlineStr">
        <is>
          <t>Chiffre d'affaires 2025, par la mesure N-1</t>
        </is>
      </c>
      <c r="B11" s="5">
        <f>CUBEVALUE("ThisWorkbookDataModel","[Measures].[CA USD N-1]","[d_Calendrier].[Annee].&amp;[2026]")</f>
        <v>27852544.37</v>
      </c>
    </row>
    <row r="12">
      <c r="A12" s="4" t="inlineStr">
        <is>
          <t>Évolution 2026 / 2025</t>
        </is>
      </c>
      <c r="B12" s="6">
        <f>B10/B11-1</f>
        <v>0.088487</v>
      </c>
    </row>
    <row r="13">
      <c r="A13" s="4" t="inlineStr">
        <is>
          <t>Taux de marge 2026</t>
        </is>
      </c>
      <c r="B13" s="6">
        <f>CUBEVALUE("ThisWorkbookDataModel","[Measures].[Marge %]","[d_Calendrier].[Annee].&amp;[2026]")</f>
        <v>0.171905</v>
      </c>
    </row>
    <row r="14">
      <c r="A14" s="4" t="inlineStr">
        <is>
          <t>Clients actifs en 2026</t>
        </is>
      </c>
      <c r="B14" s="7">
        <f>CUBEVALUE("ThisWorkbookDataModel","[Measures].[Clients actifs]","[d_Calendrier].[Annee].&amp;[2026]")</f>
        <v>3384</v>
      </c>
    </row>
    <row r="15">
      <c r="A15" s="4" t="inlineStr">
        <is>
          <t>Chiffre d'affaires cumulé à fin juin 2026</t>
        </is>
      </c>
      <c r="B15" s="5">
        <f>CUBEVALUE("ThisWorkbookDataModel","[Measures].[CA USD Cumul Annuel]","[d_Calendrier].[Annee].&amp;[2026]","[d_Calendrier].[Mois_Num].&amp;[6]")</f>
        <v>14180213.65</v>
      </c>
    </row>
    <row r="16">
      <c r="A16" s="4" t="inlineStr">
        <is>
          <t>Chiffre d'affaires de Kinshasa en 2026</t>
        </is>
      </c>
      <c r="B16" s="5">
        <f>CUBEVALUE("ThisWorkbookDataModel","[Measures].[CA USD]","[d_Calendrier].[Annee].&amp;[2026]","[d_Agence].[Agence].&amp;[Kinshasa]")</f>
        <v>8131115.97</v>
      </c>
    </row>
    <row r="17">
      <c r="A17" s="4" t="inlineStr">
        <is>
          <t>Panier moyen par ticket, en USD</t>
        </is>
      </c>
      <c r="B17" s="5">
        <f>B10/CUBEVALUE("ThisWorkbookDataModel","[Measures].[Nb Tickets]","[d_Calendrier].[Annee].&amp;[2026]")</f>
        <v>95.1</v>
      </c>
    </row>
    <row r="18">
      <c r="A18" s="4" t="inlineStr">
        <is>
          <t>Nombre de tables du modèle</t>
        </is>
      </c>
      <c r="B18" s="7">
        <f>COUNTA(t_Tables[Table])</f>
        <v>6</v>
      </c>
    </row>
    <row r="19">
      <c r="A19" s="4" t="inlineStr">
        <is>
          <t>Nombre de relations du modèle</t>
        </is>
      </c>
      <c r="B19" s="7">
        <f>COUNTA(t_Relations[Table_source])</f>
        <v>5</v>
      </c>
    </row>
    <row r="20">
      <c r="A20" s="8" t="inlineStr">
        <is>
          <t>R_ECART_MESURE — TCD moins CUBEVALEUR  ·  doit valoir 0</t>
        </is>
      </c>
      <c r="B20" s="9">
        <f>B5-B10</f>
        <v>0.0</v>
      </c>
    </row>
    <row r="21">
      <c r="A21" s="8" t="inlineStr">
        <is>
          <t>R_CONTROLE — total moins la somme des six agences  ·  doit valoir 0</t>
        </is>
      </c>
      <c r="B21" s="9">
        <f>B10-(CUBEVALUE("ThisWorkbookDataModel","[Measures].[CA USD]","[d_Calendrier].[Annee].&amp;[2026]","[d_Agence].[Agence].&amp;[Kinshasa]")+CUBEVALUE("ThisWorkbookDataModel","[Measures].[CA USD]","[d_Calendrier].[Annee].&amp;[2026]","[d_Agence].[Agence].&amp;[Lubumbashi]")+CUBEVALUE("ThisWorkbookDataModel","[Measures].[CA USD]","[d_Calendrier].[Annee].&amp;[2026]","[d_Agence].[Agence].&amp;[Abidjan]")+CUBEVALUE("ThisWorkbookDataModel","[Measures].[CA USD]","[d_Calendrier].[Annee].&amp;[2026]","[d_Agence].[Agence].&amp;[Dakar]")+CUBEVALUE("ThisWorkbookDataModel","[Measures].[CA USD]","[d_Calendrier].[Annee].&amp;[2026]","[d_Agence].[Agence].&amp;[Douala]")+CUBEVALUE("ThisWorkbookDataModel","[Measures].[CA USD]","[d_Calendrier].[Annee].&amp;[2026]","[d_Agence].[Agence].&amp;[Libreville]"))</f>
        <v>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  <col width="12" customWidth="1" style="10" min="3" max="3"/>
    <col width="16" customWidth="1" min="4" max="4"/>
    <col width="58" customWidth="1" min="5" max="5"/>
  </cols>
  <sheetData>
    <row r="1">
      <c r="A1" s="1" t="inlineStr">
        <is>
          <t>Le modèle, documenté</t>
        </is>
      </c>
    </row>
    <row r="2">
      <c r="A2" s="2" t="inlineStr">
        <is>
          <t>Un modèle qu'on ne peut pas décrire en une page est un modèle que personne ne reprendra.</t>
        </is>
      </c>
    </row>
    <row r="4">
      <c r="A4" s="3" t="inlineStr">
        <is>
          <t>LES TABLES</t>
        </is>
      </c>
    </row>
    <row r="5" ht="22" customHeight="1">
      <c r="A5" s="11" t="inlineStr">
        <is>
          <t>Table</t>
        </is>
      </c>
      <c r="B5" s="11" t="inlineStr">
        <is>
          <t>Rôle</t>
        </is>
      </c>
      <c r="C5" s="11" t="inlineStr">
        <is>
          <t>Lignes</t>
        </is>
      </c>
      <c r="D5" s="11" t="inlineStr">
        <is>
          <t>Clé</t>
        </is>
      </c>
      <c r="E5" s="11" t="inlineStr">
        <is>
          <t>Remarque</t>
        </is>
      </c>
    </row>
    <row r="6">
      <c r="A6" s="4" t="inlineStr">
        <is>
          <t>f_Ventes</t>
        </is>
      </c>
      <c r="B6" s="4" t="inlineStr">
        <is>
          <t>Faits</t>
        </is>
      </c>
      <c r="C6" s="4" t="n">
        <v>1200000</v>
      </c>
      <c r="D6" s="4" t="inlineStr">
        <is>
          <t>aucune — c'est la table de faits</t>
        </is>
      </c>
      <c r="E6" s="4" t="inlineStr">
        <is>
          <t>une ligne = une ligne de ticket</t>
        </is>
      </c>
    </row>
    <row r="7">
      <c r="A7" s="4" t="inlineStr">
        <is>
          <t>d_Calendrier</t>
        </is>
      </c>
      <c r="B7" s="4" t="inlineStr">
        <is>
          <t>Dimension</t>
        </is>
      </c>
      <c r="C7" s="4" t="n">
        <v>1096</v>
      </c>
      <c r="D7" s="4" t="inlineStr">
        <is>
          <t>Date_Cle</t>
        </is>
      </c>
      <c r="E7" s="4" t="inlineStr">
        <is>
          <t>obligatoire, et à marquer comme table de dates</t>
        </is>
      </c>
    </row>
    <row r="8">
      <c r="A8" s="4" t="inlineStr">
        <is>
          <t>d_Agence</t>
        </is>
      </c>
      <c r="B8" s="4" t="inlineStr">
        <is>
          <t>Dimension</t>
        </is>
      </c>
      <c r="C8" s="4" t="n">
        <v>6</v>
      </c>
      <c r="D8" s="4" t="inlineStr">
        <is>
          <t>Agence_Cle</t>
        </is>
      </c>
      <c r="E8" s="4" t="inlineStr">
        <is>
          <t>porte la devise de l'agence</t>
        </is>
      </c>
    </row>
    <row r="9">
      <c r="A9" s="4" t="inlineStr">
        <is>
          <t>d_Client</t>
        </is>
      </c>
      <c r="B9" s="4" t="inlineStr">
        <is>
          <t>Dimension</t>
        </is>
      </c>
      <c r="C9" s="4" t="n">
        <v>3600</v>
      </c>
      <c r="D9" s="4" t="inlineStr">
        <is>
          <t>Client_Cle</t>
        </is>
      </c>
      <c r="E9" s="4" t="inlineStr">
        <is>
          <t>porte le segment</t>
        </is>
      </c>
    </row>
    <row r="10">
      <c r="A10" s="4" t="inlineStr">
        <is>
          <t>d_Produit</t>
        </is>
      </c>
      <c r="B10" s="4" t="inlineStr">
        <is>
          <t>Dimension</t>
        </is>
      </c>
      <c r="C10" s="4" t="n">
        <v>980</v>
      </c>
      <c r="D10" s="4" t="inlineStr">
        <is>
          <t>Produit_Cle</t>
        </is>
      </c>
      <c r="E10" s="4" t="inlineStr">
        <is>
          <t>porte le taux de marge</t>
        </is>
      </c>
    </row>
    <row r="11">
      <c r="A11" s="4" t="inlineStr">
        <is>
          <t>d_Taux</t>
        </is>
      </c>
      <c r="B11" s="4" t="inlineStr">
        <is>
          <t>Dimension</t>
        </is>
      </c>
      <c r="C11" s="4" t="n">
        <v>36</v>
      </c>
      <c r="D11" s="4" t="inlineStr">
        <is>
          <t>Debut_Mois</t>
        </is>
      </c>
      <c r="E11" s="4" t="inlineStr">
        <is>
          <t>une ligne par mois, une colonne par devise — c'est ce qui lui donne une clé unique</t>
        </is>
      </c>
    </row>
    <row r="14">
      <c r="A14" s="3" t="inlineStr">
        <is>
          <t>LES RELATIONS</t>
        </is>
      </c>
    </row>
    <row r="15" ht="22" customHeight="1">
      <c r="A15" s="11" t="inlineStr">
        <is>
          <t>Table_source</t>
        </is>
      </c>
      <c r="B15" s="11" t="inlineStr">
        <is>
          <t>Colonne_source</t>
        </is>
      </c>
      <c r="C15" s="11" t="inlineStr">
        <is>
          <t>Table_cible</t>
        </is>
      </c>
      <c r="D15" s="11" t="inlineStr">
        <is>
          <t>Colonne_cible</t>
        </is>
      </c>
      <c r="E15" s="11" t="inlineStr">
        <is>
          <t>Cardinalite</t>
        </is>
      </c>
    </row>
    <row r="16">
      <c r="A16" s="4" t="inlineStr">
        <is>
          <t>f_Ventes</t>
        </is>
      </c>
      <c r="B16" s="4" t="inlineStr">
        <is>
          <t>Date_Cle</t>
        </is>
      </c>
      <c r="C16" s="4" t="inlineStr">
        <is>
          <t>d_Calendrier</t>
        </is>
      </c>
      <c r="D16" s="4" t="inlineStr">
        <is>
          <t>Date_Cle</t>
        </is>
      </c>
      <c r="E16" s="4" t="inlineStr">
        <is>
          <t>plusieurs-à-un</t>
        </is>
      </c>
    </row>
    <row r="17">
      <c r="A17" s="4" t="inlineStr">
        <is>
          <t>f_Ventes</t>
        </is>
      </c>
      <c r="B17" s="4" t="inlineStr">
        <is>
          <t>Agence_Cle</t>
        </is>
      </c>
      <c r="C17" s="4" t="inlineStr">
        <is>
          <t>d_Agence</t>
        </is>
      </c>
      <c r="D17" s="4" t="inlineStr">
        <is>
          <t>Agence_Cle</t>
        </is>
      </c>
      <c r="E17" s="4" t="inlineStr">
        <is>
          <t>plusieurs-à-un</t>
        </is>
      </c>
    </row>
    <row r="18">
      <c r="A18" s="4" t="inlineStr">
        <is>
          <t>f_Ventes</t>
        </is>
      </c>
      <c r="B18" s="4" t="inlineStr">
        <is>
          <t>Client_Cle</t>
        </is>
      </c>
      <c r="C18" s="4" t="inlineStr">
        <is>
          <t>d_Client</t>
        </is>
      </c>
      <c r="D18" s="4" t="inlineStr">
        <is>
          <t>Client_Cle</t>
        </is>
      </c>
      <c r="E18" s="4" t="inlineStr">
        <is>
          <t>plusieurs-à-un</t>
        </is>
      </c>
    </row>
    <row r="19">
      <c r="A19" s="4" t="inlineStr">
        <is>
          <t>f_Ventes</t>
        </is>
      </c>
      <c r="B19" s="4" t="inlineStr">
        <is>
          <t>Produit_Cle</t>
        </is>
      </c>
      <c r="C19" s="4" t="inlineStr">
        <is>
          <t>d_Produit</t>
        </is>
      </c>
      <c r="D19" s="4" t="inlineStr">
        <is>
          <t>Produit_Cle</t>
        </is>
      </c>
      <c r="E19" s="4" t="inlineStr">
        <is>
          <t>plusieurs-à-un</t>
        </is>
      </c>
    </row>
    <row r="20">
      <c r="A20" s="4" t="inlineStr">
        <is>
          <t>d_Calendrier</t>
        </is>
      </c>
      <c r="B20" s="4" t="inlineStr">
        <is>
          <t>Debut_Mois</t>
        </is>
      </c>
      <c r="C20" s="4" t="inlineStr">
        <is>
          <t>d_Taux</t>
        </is>
      </c>
      <c r="D20" s="4" t="inlineStr">
        <is>
          <t>Debut_Mois</t>
        </is>
      </c>
      <c r="E20" s="4" t="inlineStr">
        <is>
          <t>plusieurs-à-un (flocon)</t>
        </is>
      </c>
    </row>
    <row r="23">
      <c r="A23" s="3" t="inlineStr">
        <is>
          <t>LES HUIT MESURES</t>
        </is>
      </c>
    </row>
    <row r="24" ht="22" customHeight="1">
      <c r="A24" s="11" t="inlineStr">
        <is>
          <t>Mesure</t>
        </is>
      </c>
      <c r="B24" s="11" t="inlineStr">
        <is>
          <t>Définition DAX</t>
        </is>
      </c>
    </row>
    <row r="25" ht="46" customHeight="1">
      <c r="A25" s="4" t="inlineStr">
        <is>
          <t>CA Local</t>
        </is>
      </c>
      <c r="B25" s="12" t="inlineStr">
        <is>
          <t>SUM ( f_Ventes[Montant_Local] )</t>
        </is>
      </c>
    </row>
    <row r="26" ht="46" customHeight="1">
      <c r="A26" s="4" t="inlineStr">
        <is>
          <t>CA USD</t>
        </is>
      </c>
      <c r="B26" s="12" t="inlineStr">
        <is>
          <t>SUMX ( f_Ventes ; DIVIDE ( f_Ventes[Montant_Local] ; SWITCH ( RELATED ( d_Agence[Devise] ) ; "CDF" ; RELATED ( d_Taux[CDF] ) ; "XOF" ; RELATED ( d_Taux[XOF] ) ; "XAF" ; RELATED ( d_Taux[XAF] ) ) ) )</t>
        </is>
      </c>
    </row>
    <row r="27" ht="46" customHeight="1">
      <c r="A27" s="4" t="inlineStr">
        <is>
          <t>Marge USD</t>
        </is>
      </c>
      <c r="B27" s="12" t="inlineStr">
        <is>
          <t>SUMX ( f_Ventes ; DIVIDE ( f_Ventes[Montant_Local] * RELATED ( d_Produit[Taux_Marge] ) ; SWITCH ( RELATED ( d_Agence[Devise] ) ; "CDF" ; RELATED ( d_Taux[CDF] ) ; "XOF" ; RELATED ( d_Taux[XOF] ) ; "XAF" ; RELATED ( d_Taux[XAF] ) ) ) )</t>
        </is>
      </c>
    </row>
    <row r="28" ht="46" customHeight="1">
      <c r="A28" s="4" t="inlineStr">
        <is>
          <t>Marge %</t>
        </is>
      </c>
      <c r="B28" s="12" t="inlineStr">
        <is>
          <t>DIVIDE ( [Marge USD] ; [CA USD] ; 0 )</t>
        </is>
      </c>
    </row>
    <row r="29" ht="46" customHeight="1">
      <c r="A29" s="4" t="inlineStr">
        <is>
          <t>Clients actifs</t>
        </is>
      </c>
      <c r="B29" s="12" t="inlineStr">
        <is>
          <t>DISTINCTCOUNT ( f_Ventes[Client_Cle] )</t>
        </is>
      </c>
    </row>
    <row r="30" ht="46" customHeight="1">
      <c r="A30" s="4" t="inlineStr">
        <is>
          <t>Nb Tickets</t>
        </is>
      </c>
      <c r="B30" s="12" t="inlineStr">
        <is>
          <t>DISTINCTCOUNT ( f_Ventes[Ticket_Cle] )</t>
        </is>
      </c>
    </row>
    <row r="31" ht="46" customHeight="1">
      <c r="A31" s="4" t="inlineStr">
        <is>
          <t>CA USD N-1</t>
        </is>
      </c>
      <c r="B31" s="12" t="inlineStr">
        <is>
          <t>CALCULATE ( [CA USD] ; SAMEPERIODLASTYEAR ( d_Calendrier[Date] ) )</t>
        </is>
      </c>
    </row>
    <row r="32" ht="46" customHeight="1">
      <c r="A32" s="4" t="inlineStr">
        <is>
          <t>CA USD Cumul Annuel</t>
        </is>
      </c>
      <c r="B32" s="12" t="inlineStr">
        <is>
          <t>TOTALYTD ( [CA USD] ; d_Calendrier[Date] )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README</t>
        </is>
      </c>
    </row>
    <row r="3" ht="34" customHeight="1">
      <c r="A3" s="8" t="inlineStr">
        <is>
          <t>Le modèle</t>
        </is>
      </c>
      <c r="B3" s="13" t="inlineStr">
        <is>
          <t>Schéma en étoile : une table de faits, cinq dimensions, cinq relations plusieurs-à-un.</t>
        </is>
      </c>
    </row>
    <row r="4" ht="34" customHeight="1">
      <c r="A4" s="8" t="inlineStr">
        <is>
          <t>Granularité</t>
        </is>
      </c>
      <c r="B4" s="13" t="inlineStr">
        <is>
          <t>Une ligne de f_Ventes = une ligne de ticket. Pas une commande, pas un mois. Tout le reste en découle.</t>
        </is>
      </c>
    </row>
    <row r="5" ht="34" customHeight="1">
      <c r="A5" s="8" t="inlineStr">
        <is>
          <t>La table de calendrier</t>
        </is>
      </c>
      <c r="B5" s="13" t="inlineStr">
        <is>
          <t>d_Calendrier couvre 2024 à 2026 en entier — du 1er janvier de la première année au 31 décembre de la dernière. Elle est MARQUÉE comme table de dates. Sans ce clic, SAMEPERIODLASTYEAR rend vide.</t>
        </is>
      </c>
    </row>
    <row r="6" ht="34" customHeight="1">
      <c r="A6" s="8" t="inlineStr">
        <is>
          <t>d_Taux</t>
        </is>
      </c>
      <c r="B6" s="13" t="inlineStr">
        <is>
          <t>Une ligne par mois, une colonne par devise. C'est la seule forme qui lui donne une clé unique, donc une relation. Elle se relie à d_Calendrier par Debut_Mois : c'est un flocon, assumé.</t>
        </is>
      </c>
    </row>
    <row r="7" ht="34" customHeight="1">
      <c r="A7" s="8" t="inlineStr">
        <is>
          <t>Le taux de marge</t>
        </is>
      </c>
      <c r="B7" s="13" t="inlineStr">
        <is>
          <t>Il vit dans d_Produit, pas dans la table de faits. Six valeurs distinctes répétées sur 1,2 million de lignes coûteraient neuf mégaoctets pour rien.</t>
        </is>
      </c>
    </row>
    <row r="8" ht="34" customHeight="1">
      <c r="A8" s="8" t="inlineStr">
        <is>
          <t>Chargement</t>
        </is>
      </c>
      <c r="B8" s="13" t="inlineStr">
        <is>
          <t>Les six tables sont chargées en CONNEXION SEULE + modèle de données. Aucune n'est écrite dans une feuille : f_Ventes ne tiendrait pas, la limite d'une feuille est 1 048 576 lignes.</t>
        </is>
      </c>
    </row>
    <row r="9" ht="34" customHeight="1">
      <c r="A9" s="8" t="inlineStr">
        <is>
          <t>Poids</t>
        </is>
      </c>
      <c r="B9" s="13" t="inlineStr">
        <is>
          <t>39,1 Mo de CSV en entrée. Le classeur final pèse quelques mégaoctets : le modèle compresse par colonne et par valeur distincte.</t>
        </is>
      </c>
    </row>
    <row r="10" ht="34" customHeight="1">
      <c r="A10" s="8" t="inlineStr">
        <is>
          <t>Conversion</t>
        </is>
      </c>
      <c r="B10" s="13" t="inlineStr">
        <is>
          <t>SUMX + RELATED + SWITCH. La conversion se fait ligne à ligne au taux du mois de la ligne — pas à un taux moyen.</t>
        </is>
      </c>
    </row>
    <row r="11" ht="34" customHeight="1">
      <c r="A11" s="8" t="inlineStr">
        <is>
          <t>Contrôles</t>
        </is>
      </c>
      <c r="B11" s="13" t="inlineStr">
        <is>
          <t>R_ECART_MESURE et R_CONTROLE doivent valoir 0 avant tout envoi.</t>
        </is>
      </c>
    </row>
    <row r="12" ht="34" customHeight="1">
      <c r="A12" s="8" t="inlineStr">
        <is>
          <t>Sur Mac</t>
        </is>
      </c>
      <c r="B12" s="13" t="inlineStr">
        <is>
          <t>Power Pivot n'existe ni sur macOS ni sur Excel pour le web. Le plan B est décrit dans l'énoncé.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62" customWidth="1" min="3" max="3"/>
  </cols>
  <sheetData>
    <row r="1">
      <c r="A1" s="1" t="inlineStr">
        <is>
          <t>Contrôles de qualité</t>
        </is>
      </c>
    </row>
    <row r="3" ht="22" customHeight="1">
      <c r="A3" s="11" t="inlineStr">
        <is>
          <t>Contrôle</t>
        </is>
      </c>
      <c r="B3" s="11" t="inlineStr">
        <is>
          <t>Valeur</t>
        </is>
      </c>
      <c r="C3" s="11" t="inlineStr">
        <is>
          <t>Ce que ça veut dire</t>
        </is>
      </c>
    </row>
    <row r="4">
      <c r="A4" s="4" t="inlineStr">
        <is>
          <t>Q_TABLES — tables manquantes dans la documentation  ·  doit valoir 0</t>
        </is>
      </c>
      <c r="B4" s="7">
        <f>6-COUNTA(t_Tables[Table])</f>
        <v>0</v>
      </c>
      <c r="C4" s="2" t="inlineStr">
        <is>
          <t>six tables : une de faits, cinq dimensions</t>
        </is>
      </c>
    </row>
    <row r="5">
      <c r="A5" s="4" t="inlineStr">
        <is>
          <t>Q_MESURES — mesures écrites  ·  doit valoir 8</t>
        </is>
      </c>
      <c r="B5" s="7">
        <f>COUNTA(t_Mesures[Mesure])</f>
        <v>8</v>
      </c>
      <c r="C5" s="2" t="inlineStr">
        <is>
          <t>huit mesures, nommées en français métier</t>
        </is>
      </c>
    </row>
    <row r="6">
      <c r="A6" s="4" t="inlineStr">
        <is>
          <t>Q_RELATIONS — relations manquantes  ·  doit valoir 0</t>
        </is>
      </c>
      <c r="B6" s="7">
        <f>5-COUNTA(t_Relations[Table_source])</f>
        <v>0</v>
      </c>
      <c r="C6" s="2" t="inlineStr">
        <is>
          <t>cinq relations : quatre depuis f_Ventes, une en flocon vers d_Taux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ANNEXE_IA</t>
        </is>
      </c>
    </row>
    <row r="3" ht="34" customHeight="1">
      <c r="A3" s="8" t="inlineStr">
        <is>
          <t>Prompt 1</t>
        </is>
      </c>
      <c r="B3" s="13" t="inlineStr">
        <is>
          <t>Voici le schéma de mon modèle — les tables, leurs colonnes, leurs relations. Pas les données. Explique-moi ce que filtre quoi.</t>
        </is>
      </c>
    </row>
    <row r="4" ht="34" customHeight="1">
      <c r="A4" s="8" t="inlineStr">
        <is>
          <t>Prompt 2</t>
        </is>
      </c>
      <c r="B4" s="13" t="inlineStr">
        <is>
          <t>Écris-moi la mesure [nom] en DAX pour Power Pivot dans Excel 2024. Puis explique-la ligne par ligne, et donne-moi trois cas de test.</t>
        </is>
      </c>
    </row>
    <row r="5" ht="34" customHeight="1">
      <c r="A5" s="8" t="inlineStr">
        <is>
          <t>Prompt 3</t>
        </is>
      </c>
      <c r="B5" s="13" t="inlineStr">
        <is>
          <t>Ma mesure SAMEPERIODLASTYEAR rend vide. Voici mon modèle. Donne-moi les trois causes les plus probables, dans l'ordre, et comment vérifier chacune en dix secondes.</t>
        </is>
      </c>
    </row>
    <row r="6" ht="34" customHeight="1">
      <c r="A6" s="8" t="inlineStr">
        <is>
          <t>Erreur détectée</t>
        </is>
      </c>
      <c r="B6" s="13" t="inlineStr">
        <is>
          <t>L'IA a proposé une mesure utilisant une fonction DAX récente, disponible dans Power BI mais absente de Power Pivot : le moteur d'Excel ne suit pas le même rythme de mise à jour. La formule est refusée à la saisie.</t>
        </is>
      </c>
    </row>
    <row r="7" ht="34" customHeight="1">
      <c r="A7" s="8" t="inlineStr">
        <is>
          <t>Quel V l'a attrapée</t>
        </is>
      </c>
      <c r="B7" s="13" t="inlineStr">
        <is>
          <t>V1 — Version. La question à poser dans le prompt : « pour Power Pivot dans Excel 2024, pas pour Power BI 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2026-09-17T19:51:28Z</dcterms:created>
  <dcterms:modified xmlns:dcterms="http://purl.org/dc/terms/" xmlns:xsi="http://www.w3.org/2001/XMLSchema-instance" xsi:type="dcterms:W3CDTF">2026-09-17T19:51:28Z</dcterms:modified>
</cp:coreProperties>
</file>