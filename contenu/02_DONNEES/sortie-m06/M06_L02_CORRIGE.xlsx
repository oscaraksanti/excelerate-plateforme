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es_et_icones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Par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\ &quot;USD&quot;"/>
    <numFmt numFmtId="165" formatCode="0.0%"/>
    <numFmt numFmtId="166" formatCode="yyyy-mm-dd"/>
    <numFmt numFmtId="167" formatCode="d"/>
    <numFmt numFmtId="168" formatCode="dd/mm"/>
  </numFmts>
  <fonts count="6">
    <font>
      <name val="Calibri"/>
      <family val="2"/>
      <color theme="1"/>
      <sz val="11"/>
      <scheme val="minor"/>
    </font>
    <font>
      <name val="Calibri"/>
      <b val="1"/>
      <color rgb="FF101418"/>
      <sz val="14"/>
    </font>
    <font>
      <name val="Calibri"/>
      <i val="1"/>
      <color rgb="FF6B7280"/>
      <sz val="10"/>
    </font>
    <font>
      <name val="Calibri"/>
      <b val="1"/>
      <color rgb="FFFFFFFF"/>
      <sz val="11"/>
    </font>
    <font>
      <name val="Calibri"/>
      <b val="1"/>
      <sz val="11"/>
    </font>
    <font>
      <b val="1"/>
      <color rgb="FF6B7280"/>
      <sz val="8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167" fontId="5" fillId="0" borderId="0" applyAlignment="1" pivotButton="0" quotePrefix="0" xfId="0">
      <alignment horizontal="center"/>
    </xf>
    <xf numFmtId="168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FF2F6B47"/>
        </patternFill>
      </fill>
    </dxf>
    <dxf>
      <fill>
        <patternFill patternType="solid">
          <bgColor rgb="FFA8CDB5"/>
        </patternFill>
      </fill>
    </dxf>
    <dxf>
      <fill>
        <patternFill patternType="solid">
          <bgColor rgb="FFF2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 marge recule de 39 687 USD — la farine en explique le tiers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strRef>
              <f>'Cascade'!B4</f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'Cascade'!$A$5:$A$11</f>
            </numRef>
          </cat>
          <val>
            <numRef>
              <f>'Cascade'!$B$5:$B$11</f>
            </numRef>
          </val>
        </ser>
        <ser>
          <idx val="1"/>
          <order val="1"/>
          <tx>
            <strRef>
              <f>'Cascade'!C4</f>
            </strRef>
          </tx>
          <spPr>
            <a:solidFill xmlns:a="http://schemas.openxmlformats.org/drawingml/2006/main">
              <a:srgbClr val="2F6B47"/>
            </a:solidFill>
            <a:ln xmlns:a="http://schemas.openxmlformats.org/drawingml/2006/main">
              <a:prstDash val="solid"/>
            </a:ln>
          </spPr>
          <cat>
            <numRef>
              <f>'Cascade'!$A$5:$A$11</f>
            </numRef>
          </cat>
          <val>
            <numRef>
              <f>'Cascade'!$C$5:$C$11</f>
            </numRef>
          </val>
        </ser>
        <ser>
          <idx val="2"/>
          <order val="2"/>
          <tx>
            <strRef>
              <f>'Cascade'!D4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'Cascade'!$A$5:$A$11</f>
            </numRef>
          </cat>
          <val>
            <numRef>
              <f>'Cascade'!$D$5:$D$11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45000"/>
          <min val="380000"/>
        </scaling>
        <delete val="0"/>
        <axPos val="l"/>
        <majorGridlines/>
        <numFmt formatCode="#,##0,&quot; k&quot;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Trois familles font les trois quarts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'Pareto'!B4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'Pareto'!$A$5:$A$12</f>
            </numRef>
          </cat>
          <val>
            <numRef>
              <f>'Pareto'!$B$5:$B$12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'Pareto'!$C$5:$C$12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,,&quot; M&quot;" sourceLinked="0"/>
        <majorTickMark val="none"/>
        <minorTickMark val="none"/>
        <crossAx val="10"/>
        <crosses val="autoZero"/>
      </valAx>
      <valAx>
        <axId val="2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Un graphique dans une colonne, sans le moindre objet</t>
        </is>
      </c>
    </row>
    <row r="2">
      <c r="A2" s="2" t="inlineStr">
        <is>
          <t>Aucun graphique ici : uniquement de la mise en forme conditionnelle. Ça ne pèse rien et ça ne se décale jamais.</t>
        </is>
      </c>
    </row>
    <row r="4" ht="22" customHeight="1">
      <c r="A4" s="3" t="inlineStr">
        <is>
          <t>Agence</t>
        </is>
      </c>
      <c r="B4" s="3" t="inlineStr">
        <is>
          <t>CA septembre</t>
        </is>
      </c>
      <c r="C4" s="3" t="inlineStr">
        <is>
          <t>Objectif</t>
        </is>
      </c>
      <c r="D4" s="3" t="inlineStr">
        <is>
          <t>Écart</t>
        </is>
      </c>
      <c r="E4" s="3" t="inlineStr">
        <is>
          <t>Atteinte</t>
        </is>
      </c>
    </row>
    <row r="5">
      <c r="A5" t="inlineStr">
        <is>
          <t>Kinshasa</t>
        </is>
      </c>
      <c r="B5" s="4" t="n">
        <v>604080.53</v>
      </c>
      <c r="C5" s="4" t="n">
        <v>600000</v>
      </c>
      <c r="D5" s="4" t="n">
        <v>4080.53</v>
      </c>
      <c r="E5" s="5" t="n">
        <v>1.006801</v>
      </c>
    </row>
    <row r="6">
      <c r="A6" t="inlineStr">
        <is>
          <t>Lubumbashi</t>
        </is>
      </c>
      <c r="B6" s="4" t="n">
        <v>348496.93</v>
      </c>
      <c r="C6" s="4" t="n">
        <v>400000</v>
      </c>
      <c r="D6" s="4" t="n">
        <v>-51503.07</v>
      </c>
      <c r="E6" s="5" t="n">
        <v>0.871242</v>
      </c>
    </row>
    <row r="7">
      <c r="A7" t="inlineStr">
        <is>
          <t>Abidjan</t>
        </is>
      </c>
      <c r="B7" s="4" t="n">
        <v>432021.57</v>
      </c>
      <c r="C7" s="4" t="n">
        <v>415000</v>
      </c>
      <c r="D7" s="4" t="n">
        <v>17021.57</v>
      </c>
      <c r="E7" s="5" t="n">
        <v>1.041016</v>
      </c>
    </row>
    <row r="8">
      <c r="A8" t="inlineStr">
        <is>
          <t>Dakar</t>
        </is>
      </c>
      <c r="B8" s="4" t="n">
        <v>293963.78</v>
      </c>
      <c r="C8" s="4" t="n">
        <v>305000</v>
      </c>
      <c r="D8" s="4" t="n">
        <v>-11036.22</v>
      </c>
      <c r="E8" s="5" t="n">
        <v>0.963816</v>
      </c>
    </row>
    <row r="9">
      <c r="A9" t="inlineStr">
        <is>
          <t>Douala</t>
        </is>
      </c>
      <c r="B9" s="4" t="n">
        <v>365459.32</v>
      </c>
      <c r="C9" s="4" t="n">
        <v>365000</v>
      </c>
      <c r="D9" s="4" t="n">
        <v>459.32</v>
      </c>
      <c r="E9" s="5" t="n">
        <v>1.001258</v>
      </c>
    </row>
    <row r="10">
      <c r="A10" t="inlineStr">
        <is>
          <t>Libreville</t>
        </is>
      </c>
      <c r="B10" s="4" t="n">
        <v>255021.11</v>
      </c>
      <c r="C10" s="4" t="n">
        <v>250000</v>
      </c>
      <c r="D10" s="4" t="n">
        <v>5021.11</v>
      </c>
      <c r="E10" s="5" t="n">
        <v>1.020084</v>
      </c>
    </row>
    <row r="12">
      <c r="A12" s="6" t="inlineStr">
        <is>
          <t>Les trois règles, dans l'ordre où on les pose</t>
        </is>
      </c>
    </row>
    <row r="13">
      <c r="A13" s="2" t="inlineStr">
        <is>
          <t>B — Barres de données : on compare les longueurs, pas les chiffres.</t>
        </is>
      </c>
    </row>
    <row r="14">
      <c r="A14" s="2" t="inlineStr">
        <is>
          <t>D — Nuances de couleurs : le zéro est le point de bascule, pas le milieu.</t>
        </is>
      </c>
    </row>
    <row r="15">
      <c r="A15" s="2" t="inlineStr">
        <is>
          <t>E — Jeu d'icônes : trois seuils, trois symboles. Lubumbashi est rouge.</t>
        </is>
      </c>
    </row>
  </sheetData>
  <conditionalFormatting sqref="B5:B10">
    <cfRule type="dataBar" priority="1">
      <dataBar showValue="1">
        <cfvo type="num" val="0"/>
        <cfvo type="max"/>
        <color rgb="FF4A7EBB"/>
      </dataBar>
    </cfRule>
  </conditionalFormatting>
  <conditionalFormatting sqref="D5:D10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E5:E10">
    <cfRule type="iconSet" priority="3">
      <iconSet iconSet="3TrafficLights1" showValue="1">
        <cfvo type="num" val="0"/>
        <cfvo type="num" val="0.95"/>
        <cfvo type="num" val="1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</cols>
  <sheetData>
    <row r="1">
      <c r="A1" s="1" t="inlineStr">
        <is>
          <t>Un planning de projet, sans aucun graphique</t>
        </is>
      </c>
    </row>
    <row r="2">
      <c r="A2" s="2" t="inlineStr">
        <is>
          <t>Quatre règles de mise en forme conditionnelle. C'est tout.</t>
        </is>
      </c>
    </row>
    <row r="4">
      <c r="A4" s="7" t="inlineStr">
        <is>
          <t>Tâche</t>
        </is>
      </c>
      <c r="B4" s="7" t="inlineStr">
        <is>
          <t>Début</t>
        </is>
      </c>
      <c r="C4" s="7" t="inlineStr">
        <is>
          <t>Fin</t>
        </is>
      </c>
      <c r="D4" s="8" t="n">
        <v>46300</v>
      </c>
      <c r="E4" s="8" t="n">
        <v>46301</v>
      </c>
      <c r="F4" s="8" t="n">
        <v>46302</v>
      </c>
      <c r="G4" s="8" t="n">
        <v>46303</v>
      </c>
      <c r="H4" s="8" t="n">
        <v>46304</v>
      </c>
      <c r="I4" s="8" t="n">
        <v>46305</v>
      </c>
      <c r="J4" s="8" t="n">
        <v>46306</v>
      </c>
      <c r="K4" s="8" t="n">
        <v>46307</v>
      </c>
      <c r="L4" s="8" t="n">
        <v>46308</v>
      </c>
      <c r="M4" s="8" t="n">
        <v>46309</v>
      </c>
      <c r="N4" s="8" t="n">
        <v>46310</v>
      </c>
      <c r="O4" s="8" t="n">
        <v>46311</v>
      </c>
      <c r="P4" s="8" t="n">
        <v>46312</v>
      </c>
      <c r="Q4" s="8" t="n">
        <v>46313</v>
      </c>
      <c r="R4" s="8" t="n">
        <v>46314</v>
      </c>
      <c r="S4" s="8" t="n">
        <v>46315</v>
      </c>
      <c r="T4" s="8" t="n">
        <v>46316</v>
      </c>
      <c r="U4" s="8" t="n">
        <v>46317</v>
      </c>
      <c r="V4" s="8" t="n">
        <v>46318</v>
      </c>
      <c r="W4" s="8" t="n">
        <v>46319</v>
      </c>
      <c r="X4" s="8" t="n">
        <v>46320</v>
      </c>
      <c r="Y4" s="8" t="n">
        <v>46321</v>
      </c>
      <c r="Z4" s="8" t="n">
        <v>46322</v>
      </c>
      <c r="AA4" s="8" t="n">
        <v>46323</v>
      </c>
      <c r="AB4" s="8" t="n">
        <v>46324</v>
      </c>
      <c r="AC4" s="8" t="n">
        <v>46325</v>
      </c>
      <c r="AD4" s="8" t="n">
        <v>46326</v>
      </c>
      <c r="AE4" s="8" t="n">
        <v>46327</v>
      </c>
      <c r="AF4" s="8" t="n">
        <v>46328</v>
      </c>
      <c r="AG4" s="8" t="n">
        <v>46329</v>
      </c>
      <c r="AH4" s="8" t="n">
        <v>46330</v>
      </c>
      <c r="AI4" s="8" t="n">
        <v>46331</v>
      </c>
      <c r="AJ4" s="8" t="n">
        <v>46332</v>
      </c>
      <c r="AK4" s="8" t="n">
        <v>46333</v>
      </c>
      <c r="AL4" s="8" t="n">
        <v>46334</v>
      </c>
      <c r="AM4" s="8" t="n">
        <v>46335</v>
      </c>
      <c r="AN4" s="8" t="n">
        <v>46336</v>
      </c>
    </row>
    <row r="5">
      <c r="A5" t="inlineStr">
        <is>
          <t>Cadrer la question de décision</t>
        </is>
      </c>
      <c r="B5" s="9" t="n">
        <v>46300</v>
      </c>
      <c r="C5" s="9" t="n">
        <v>46302</v>
      </c>
    </row>
    <row r="6">
      <c r="A6" t="inlineStr">
        <is>
          <t>Inventorier les indicateurs existants</t>
        </is>
      </c>
      <c r="B6" s="9" t="n">
        <v>46301</v>
      </c>
      <c r="C6" s="9" t="n">
        <v>46304</v>
      </c>
    </row>
    <row r="7">
      <c r="A7" t="inlineStr">
        <is>
          <t>Choisir les quatre qui restent</t>
        </is>
      </c>
      <c r="B7" s="9" t="n">
        <v>46304</v>
      </c>
      <c r="C7" s="9" t="n">
        <v>46307</v>
      </c>
    </row>
    <row r="8">
      <c r="A8" t="inlineStr">
        <is>
          <t>Maquetter trois dispositions</t>
        </is>
      </c>
      <c r="B8" s="9" t="n">
        <v>46307</v>
      </c>
      <c r="C8" s="9" t="n">
        <v>46310</v>
      </c>
    </row>
    <row r="9">
      <c r="A9" t="inlineStr">
        <is>
          <t>Faire arbitrer par la direction</t>
        </is>
      </c>
      <c r="B9" s="9" t="n">
        <v>46310</v>
      </c>
      <c r="C9" s="9" t="n">
        <v>46311</v>
      </c>
    </row>
    <row r="10">
      <c r="A10" t="inlineStr">
        <is>
          <t>Construire la feuille de calculs</t>
        </is>
      </c>
      <c r="B10" s="9" t="n">
        <v>46311</v>
      </c>
      <c r="C10" s="9" t="n">
        <v>46317</v>
      </c>
    </row>
    <row r="11">
      <c r="A11" t="inlineStr">
        <is>
          <t>Assembler le tableau de bord</t>
        </is>
      </c>
      <c r="B11" s="9" t="n">
        <v>46316</v>
      </c>
      <c r="C11" s="9" t="n">
        <v>46323</v>
      </c>
    </row>
    <row r="12">
      <c r="A12" t="inlineStr">
        <is>
          <t>Tester les huit secondes</t>
        </is>
      </c>
      <c r="B12" s="9" t="n">
        <v>46323</v>
      </c>
      <c r="C12" s="9" t="n">
        <v>46325</v>
      </c>
    </row>
    <row r="13">
      <c r="A13" t="inlineStr">
        <is>
          <t>Préparer la version imprimable</t>
        </is>
      </c>
      <c r="B13" s="9" t="n">
        <v>46324</v>
      </c>
      <c r="C13" s="9" t="n">
        <v>46328</v>
      </c>
    </row>
    <row r="14">
      <c r="A14" t="inlineStr">
        <is>
          <t>Former les six agences</t>
        </is>
      </c>
      <c r="B14" s="9" t="n">
        <v>46328</v>
      </c>
      <c r="C14" s="9" t="n">
        <v>46336</v>
      </c>
    </row>
    <row r="16">
      <c r="A16" s="2" t="inlineStr">
        <is>
          <t>Les trois règles, dans cet ordre — celle du week-end vient EN DERNIER, sinon elle efface les barres.</t>
        </is>
      </c>
    </row>
  </sheetData>
  <conditionalFormatting sqref="D5:AN14">
    <cfRule type="expression" priority="1" dxfId="0" stopIfTrue="0">
      <formula>AND(D$4&gt;=$B5,D$4&lt;=$C5,WEEKDAY(D$4,2)&lt;6)</formula>
    </cfRule>
    <cfRule type="expression" priority="2" dxfId="1" stopIfTrue="0">
      <formula>AND(D$4&gt;=$B5,D$4&lt;=$C5,WEEKDAY(D$4,2)&gt;5)</formula>
    </cfRule>
    <cfRule type="expression" priority="3" dxfId="2" stopIfTrue="0">
      <formula>WEEKDAY(D$4,2)&gt;5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Pourquoi la marge a reculé — en un seul graphique</t>
        </is>
      </c>
    </row>
    <row r="2">
      <c r="A2" s="2" t="inlineStr">
        <is>
          <t>La colonne « Base » est la hauteur invisible. C'est elle qui fait flotter les barres. On la remplit de blanc — ou de rien.</t>
        </is>
      </c>
    </row>
    <row r="4" ht="22" customHeight="1">
      <c r="A4" s="3" t="inlineStr">
        <is>
          <t>Poste</t>
        </is>
      </c>
      <c r="B4" s="3" t="inlineStr">
        <is>
          <t>Base</t>
        </is>
      </c>
      <c r="C4" s="3" t="inlineStr">
        <is>
          <t>Hausse</t>
        </is>
      </c>
      <c r="D4" s="3" t="inlineStr">
        <is>
          <t>Baisse</t>
        </is>
      </c>
    </row>
    <row r="5">
      <c r="A5" t="inlineStr">
        <is>
          <t>Marge août</t>
        </is>
      </c>
      <c r="B5" s="4" t="n">
        <v>0</v>
      </c>
      <c r="C5" s="4" t="n">
        <v>434373.8</v>
      </c>
      <c r="D5" s="4" t="n">
        <v>0</v>
      </c>
    </row>
    <row r="6">
      <c r="A6" t="inlineStr">
        <is>
          <t>Farine</t>
        </is>
      </c>
      <c r="B6" s="4" t="n">
        <v>420973.95</v>
      </c>
      <c r="C6" s="4" t="n">
        <v>0</v>
      </c>
      <c r="D6" s="4" t="n">
        <v>13399.85</v>
      </c>
    </row>
    <row r="7">
      <c r="A7" t="inlineStr">
        <is>
          <t>Riz</t>
        </is>
      </c>
      <c r="B7" s="4" t="n">
        <v>412079.61</v>
      </c>
      <c r="C7" s="4" t="n">
        <v>0</v>
      </c>
      <c r="D7" s="4" t="n">
        <v>8894.34</v>
      </c>
    </row>
    <row r="8">
      <c r="A8" t="inlineStr">
        <is>
          <t>Huiles</t>
        </is>
      </c>
      <c r="B8" s="4" t="n">
        <v>403855.3</v>
      </c>
      <c r="C8" s="4" t="n">
        <v>0</v>
      </c>
      <c r="D8" s="4" t="n">
        <v>8224.309999999999</v>
      </c>
    </row>
    <row r="9">
      <c r="A9" t="inlineStr">
        <is>
          <t>Savons</t>
        </is>
      </c>
      <c r="B9" s="4" t="n">
        <v>397021.53</v>
      </c>
      <c r="C9" s="4" t="n">
        <v>0</v>
      </c>
      <c r="D9" s="4" t="n">
        <v>6833.77</v>
      </c>
    </row>
    <row r="10">
      <c r="A10" t="inlineStr">
        <is>
          <t>Autres familles</t>
        </is>
      </c>
      <c r="B10" s="4" t="n">
        <v>394687.23</v>
      </c>
      <c r="C10" s="4" t="n">
        <v>0</v>
      </c>
      <c r="D10" s="4" t="n">
        <v>2334.3</v>
      </c>
    </row>
    <row r="11">
      <c r="A11" t="inlineStr">
        <is>
          <t>Marge septembre</t>
        </is>
      </c>
      <c r="B11" s="4" t="n">
        <v>0</v>
      </c>
      <c r="C11" s="4" t="n">
        <v>394687.19</v>
      </c>
      <c r="D11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1" t="inlineStr">
        <is>
          <t>Les familles qui font 80 % du chiffre d'affaires</t>
        </is>
      </c>
    </row>
    <row r="4" ht="22" customHeight="1">
      <c r="A4" s="3" t="inlineStr">
        <is>
          <t>Famille</t>
        </is>
      </c>
      <c r="B4" s="3" t="inlineStr">
        <is>
          <t>CA_USD</t>
        </is>
      </c>
      <c r="C4" s="3" t="inlineStr">
        <is>
          <t>Cumul_Pct</t>
        </is>
      </c>
    </row>
    <row r="5">
      <c r="A5" t="inlineStr">
        <is>
          <t>Riz</t>
        </is>
      </c>
      <c r="B5" s="4" t="n">
        <v>7583306.02</v>
      </c>
      <c r="C5" s="5" t="n">
        <v>0.270612</v>
      </c>
    </row>
    <row r="6">
      <c r="A6" t="inlineStr">
        <is>
          <t>Huiles</t>
        </is>
      </c>
      <c r="B6" s="4" t="n">
        <v>5900844.72</v>
      </c>
      <c r="C6" s="5" t="n">
        <v>0.481186</v>
      </c>
    </row>
    <row r="7">
      <c r="A7" t="inlineStr">
        <is>
          <t>Farine</t>
        </is>
      </c>
      <c r="B7" s="4" t="n">
        <v>4642929.78</v>
      </c>
      <c r="C7" s="5" t="n">
        <v>0.6468699999999999</v>
      </c>
    </row>
    <row r="8">
      <c r="A8" t="inlineStr">
        <is>
          <t>Boissons</t>
        </is>
      </c>
      <c r="B8" s="4" t="n">
        <v>3390035</v>
      </c>
      <c r="C8" s="5" t="n">
        <v>0.767844</v>
      </c>
    </row>
    <row r="9">
      <c r="A9" t="inlineStr">
        <is>
          <t>Conserves</t>
        </is>
      </c>
      <c r="B9" s="4" t="n">
        <v>3243076.4</v>
      </c>
      <c r="C9" s="5" t="n">
        <v>0.883574</v>
      </c>
    </row>
    <row r="10">
      <c r="A10" t="inlineStr">
        <is>
          <t>Savons</t>
        </is>
      </c>
      <c r="B10" s="4" t="n">
        <v>2639328.03</v>
      </c>
      <c r="C10" s="5" t="n">
        <v>0.977759</v>
      </c>
    </row>
    <row r="11">
      <c r="A11" t="inlineStr">
        <is>
          <t>Hygiène &amp; entretien</t>
        </is>
      </c>
      <c r="B11" s="4" t="n">
        <v>314916.21</v>
      </c>
      <c r="C11" s="5" t="n">
        <v>0.988997</v>
      </c>
    </row>
    <row r="12">
      <c r="A12" t="inlineStr">
        <is>
          <t>Épicerie sèche</t>
        </is>
      </c>
      <c r="B12" s="4" t="n">
        <v>308332.14</v>
      </c>
      <c r="C12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2026-09-17T18:37:08Z</dcterms:created>
  <dcterms:modified xmlns:dcterms="http://purl.org/dc/terms/" xmlns:xsi="http://www.w3.org/2001/XMLSchema-instance" xsi:type="dcterms:W3CDTF">2026-09-17T18:37:08Z</dcterms:modified>
</cp:coreProperties>
</file>