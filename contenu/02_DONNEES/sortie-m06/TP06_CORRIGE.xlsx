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pple/Desktop/excelare ai/excelerate-plateforme/contenu/02_DONNEES/sortie-m06/"/>
    </mc:Choice>
  </mc:AlternateContent>
  <xr:revisionPtr revIDLastSave="0" documentId="11_F6CEA84C53811022685DF70F283D7F0712AD0DEA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Synthese" sheetId="1" r:id="rId1"/>
    <sheet name="Agences" sheetId="2" r:id="rId2"/>
    <sheet name="Rapport_actuel" sheetId="3" r:id="rId3"/>
    <sheet name="CALCULS" sheetId="4" r:id="rId4"/>
    <sheet name="TABLEAU_DE_BORD" sheetId="5" r:id="rId5"/>
    <sheet name="README" sheetId="6" r:id="rId6"/>
    <sheet name="ANNEXE_IA" sheetId="7" r:id="rId7"/>
  </sheets>
  <definedNames>
    <definedName name="KPI_AGENCE_ALERTE">CALCULS!$J$13</definedName>
    <definedName name="KPI_ATTEINTE">CALCULS!$J$7</definedName>
    <definedName name="KPI_CA">CALCULS!$J$5</definedName>
    <definedName name="KPI_COMMANDES">CALCULS!$J$11</definedName>
    <definedName name="KPI_CUMUL">CALCULS!$J$10</definedName>
    <definedName name="KPI_ECART_ALERTE">CALCULS!$J$14</definedName>
    <definedName name="KPI_MARGE">CALCULS!$J$9</definedName>
    <definedName name="KPI_OBJECTIF">CALCULS!$J$6</definedName>
    <definedName name="KPI_PANIER">CALCULS!$J$12</definedName>
    <definedName name="KPI_VAR_M1">CALCULS!$J$8</definedName>
    <definedName name="R_CONTROLE">CALCULS!$J$15</definedName>
    <definedName name="R_ECART_AGENCES">CALCULS!$J$16</definedName>
    <definedName name="_xlnm.Print_Area" localSheetId="4">TABLEAU_DE_BORD!$A$1:$H$32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5" l="1"/>
  <c r="B17" i="5"/>
  <c r="B16" i="5"/>
  <c r="B15" i="5"/>
  <c r="B14" i="5"/>
  <c r="B13" i="5"/>
  <c r="G16" i="4"/>
  <c r="G15" i="4"/>
  <c r="G14" i="4"/>
  <c r="G13" i="4"/>
  <c r="G12" i="4"/>
  <c r="J11" i="4"/>
  <c r="G11" i="4"/>
  <c r="J10" i="4"/>
  <c r="J15" i="4" s="1"/>
  <c r="G10" i="4"/>
  <c r="C10" i="4"/>
  <c r="D18" i="5" s="1"/>
  <c r="B10" i="4"/>
  <c r="C18" i="5" s="1"/>
  <c r="G9" i="4"/>
  <c r="C9" i="4"/>
  <c r="D17" i="5" s="1"/>
  <c r="B9" i="4"/>
  <c r="D9" i="4" s="1"/>
  <c r="E17" i="5" s="1"/>
  <c r="G8" i="4"/>
  <c r="C8" i="4"/>
  <c r="D16" i="5" s="1"/>
  <c r="B8" i="4"/>
  <c r="C16" i="5" s="1"/>
  <c r="G7" i="4"/>
  <c r="C7" i="4"/>
  <c r="D15" i="5" s="1"/>
  <c r="B7" i="4"/>
  <c r="D7" i="4" s="1"/>
  <c r="E15" i="5" s="1"/>
  <c r="J6" i="4"/>
  <c r="G6" i="4"/>
  <c r="D6" i="4"/>
  <c r="E14" i="5" s="1"/>
  <c r="C6" i="4"/>
  <c r="D14" i="5" s="1"/>
  <c r="B6" i="4"/>
  <c r="C14" i="5" s="1"/>
  <c r="J5" i="4"/>
  <c r="J7" i="4" s="1"/>
  <c r="C6" i="5" s="1"/>
  <c r="G5" i="4"/>
  <c r="C5" i="4"/>
  <c r="D13" i="5" s="1"/>
  <c r="B5" i="4"/>
  <c r="D5" i="4" s="1"/>
  <c r="E13" i="5" l="1"/>
  <c r="J9" i="4"/>
  <c r="E6" i="5" s="1"/>
  <c r="J12" i="4"/>
  <c r="J16" i="4"/>
  <c r="C13" i="5"/>
  <c r="C15" i="5"/>
  <c r="C17" i="5"/>
  <c r="B6" i="5"/>
  <c r="D8" i="4"/>
  <c r="E16" i="5" s="1"/>
  <c r="J8" i="4"/>
  <c r="D6" i="5" s="1"/>
  <c r="D10" i="4"/>
  <c r="E18" i="5" s="1"/>
  <c r="J13" i="4" l="1"/>
  <c r="B9" i="5" s="1"/>
  <c r="J14" i="4"/>
  <c r="D9" i="5" s="1"/>
</calcChain>
</file>

<file path=xl/sharedStrings.xml><?xml version="1.0" encoding="utf-8"?>
<sst xmlns="http://schemas.openxmlformats.org/spreadsheetml/2006/main" count="1512" uniqueCount="120">
  <si>
    <t>Mois</t>
  </si>
  <si>
    <t>Agence</t>
  </si>
  <si>
    <t>Devise</t>
  </si>
  <si>
    <t>Famille</t>
  </si>
  <si>
    <t>CA_USD</t>
  </si>
  <si>
    <t>Quantite</t>
  </si>
  <si>
    <t>Marge_USD</t>
  </si>
  <si>
    <t>Nb_Lignes</t>
  </si>
  <si>
    <t>Kinshasa</t>
  </si>
  <si>
    <t>CDF</t>
  </si>
  <si>
    <t>Boissons</t>
  </si>
  <si>
    <t>Conserves</t>
  </si>
  <si>
    <t>Farine</t>
  </si>
  <si>
    <t>Huiles</t>
  </si>
  <si>
    <t>Riz</t>
  </si>
  <si>
    <t>Savons</t>
  </si>
  <si>
    <t>Lubumbashi</t>
  </si>
  <si>
    <t>Abidjan</t>
  </si>
  <si>
    <t>XOF</t>
  </si>
  <si>
    <t>Dakar</t>
  </si>
  <si>
    <t>Douala</t>
  </si>
  <si>
    <t>XAF</t>
  </si>
  <si>
    <t>Libreville</t>
  </si>
  <si>
    <t>Hygiène &amp; entretien</t>
  </si>
  <si>
    <t>Épicerie sèche</t>
  </si>
  <si>
    <t>Objectif_USD</t>
  </si>
  <si>
    <t>Nb_Commandes</t>
  </si>
  <si>
    <t>Nb_Clients</t>
  </si>
  <si>
    <t>TABLEAU DE BORD</t>
  </si>
  <si>
    <t>GROUPE BAOBAB SARL - DIRECTION GENERALE - DOCUMENT INTERNE - NE PAS DIFFUSER - EDITION DU 01/10/2026</t>
  </si>
  <si>
    <t>CA TOTAL</t>
  </si>
  <si>
    <t>CA SEPT</t>
  </si>
  <si>
    <t>CA AOUT</t>
  </si>
  <si>
    <t>OBJECTIF</t>
  </si>
  <si>
    <t>ECART OBJ</t>
  </si>
  <si>
    <t>TX REALIS</t>
  </si>
  <si>
    <t>MARGE TOT</t>
  </si>
  <si>
    <t>TX MARGE</t>
  </si>
  <si>
    <t>NB CDE</t>
  </si>
  <si>
    <t>NB CLI</t>
  </si>
  <si>
    <t>PANIER MOY</t>
  </si>
  <si>
    <t>QTE TOT</t>
  </si>
  <si>
    <t>NB LIGNES</t>
  </si>
  <si>
    <t>CA MOY MENS</t>
  </si>
  <si>
    <t>AGENCE</t>
  </si>
  <si>
    <t>TOTAL</t>
  </si>
  <si>
    <t>REPARTITION AGENCE</t>
  </si>
  <si>
    <t>REPARTITION FAMILLE</t>
  </si>
  <si>
    <t>La couche de calcul du tableau de bord</t>
  </si>
  <si>
    <t>Mois analysé</t>
  </si>
  <si>
    <t>← changez cette seule cellule, tout suit</t>
  </si>
  <si>
    <t>Atteinte</t>
  </si>
  <si>
    <t>Nom</t>
  </si>
  <si>
    <t>Valeur</t>
  </si>
  <si>
    <t>Ce que c'est</t>
  </si>
  <si>
    <t>KPI_CA</t>
  </si>
  <si>
    <t>Chiffre d'affaires du mois analysé</t>
  </si>
  <si>
    <t>KPI_OBJECTIF</t>
  </si>
  <si>
    <t>Objectif du mois, toutes agences</t>
  </si>
  <si>
    <t>KPI_ATTEINTE</t>
  </si>
  <si>
    <t>Taux d'atteinte de l'objectif</t>
  </si>
  <si>
    <t>KPI_VAR_M1</t>
  </si>
  <si>
    <t>Variation par rapport au mois précédent</t>
  </si>
  <si>
    <t>KPI_MARGE</t>
  </si>
  <si>
    <t>Taux de marge du mois</t>
  </si>
  <si>
    <t>KPI_CUMUL</t>
  </si>
  <si>
    <t>Chiffre d'affaires cumulé de l'exercice</t>
  </si>
  <si>
    <t>KPI_COMMANDES</t>
  </si>
  <si>
    <t>Nombre de commandes du mois</t>
  </si>
  <si>
    <t>KPI_PANIER</t>
  </si>
  <si>
    <t>Panier moyen par commande</t>
  </si>
  <si>
    <t>KPI_AGENCE_ALERTE</t>
  </si>
  <si>
    <t>L'agence la plus loin de son objectif</t>
  </si>
  <si>
    <t>KPI_ECART_ALERTE</t>
  </si>
  <si>
    <t>Son écart à l'objectif, en USD</t>
  </si>
  <si>
    <t>R_CONTROLE</t>
  </si>
  <si>
    <t>Cumul moins la somme des douze mois — doit valoir 0</t>
  </si>
  <si>
    <t>R_ECART_AGENCES</t>
  </si>
  <si>
    <t>Mois moins la somme des six agences — doit valoir 0</t>
  </si>
  <si>
    <t>Les douze noms se créent en un geste : sélectionner I4:J16, puis Formules &gt; Depuis sélection &gt; Colonne de gauche.</t>
  </si>
  <si>
    <t>Septembre : 98,5 % de l'objectif — Lubumbashi décroche de 51 503 USD</t>
  </si>
  <si>
    <t>Groupe Baobab · exercice 2025-2026 · montants en dollars · source J06_Synthese_Mensuelle.xlsx, actualisée le 1er octobre 2026</t>
  </si>
  <si>
    <t>Chiffre d'affaires</t>
  </si>
  <si>
    <t>Atteinte de l'objectif</t>
  </si>
  <si>
    <t>Variation sur un mois</t>
  </si>
  <si>
    <t>Taux de marge</t>
  </si>
  <si>
    <t>L'agence à traiter cette semaine</t>
  </si>
  <si>
    <t>sous son objectif</t>
  </si>
  <si>
    <t>CA</t>
  </si>
  <si>
    <t>Objectif</t>
  </si>
  <si>
    <t>README</t>
  </si>
  <si>
    <t>Question de décision</t>
  </si>
  <si>
    <t>Quelle agence dois-je aller voir cette semaine ?</t>
  </si>
  <si>
    <t>Destinataire</t>
  </si>
  <si>
    <t>Le comité de direction — huit secondes de lecture, sur un téléphone.</t>
  </si>
  <si>
    <t>Source</t>
  </si>
  <si>
    <t>J06_Synthese_Mensuelle.xlsx — t_Synth et t_Agence</t>
  </si>
  <si>
    <t>Maille</t>
  </si>
  <si>
    <t>t_Synth : mois × agence × famille. t_Agence : mois × agence.</t>
  </si>
  <si>
    <t>Ce qui est additif</t>
  </si>
  <si>
    <t>CA_USD, Marge_USD, Quantite, Nb_Lignes, Objectif_USD</t>
  </si>
  <si>
    <t>Ce qui ne l'est pas</t>
  </si>
  <si>
    <t>Nb_Commandes : une commande portant trois familles serait comptée trois fois si on la sommait depuis t_Synth. Elle vit dans t_Agence.</t>
  </si>
  <si>
    <t>Actualisation</t>
  </si>
  <si>
    <t>Changer CALCULS!B2, puis Ctrl+Alt+F5. Rien d'autre à toucher.</t>
  </si>
  <si>
    <t>Contrôles</t>
  </si>
  <si>
    <t>R_CONTROLE et R_ECART_AGENCES doivent valoir 0 avant tout envoi.</t>
  </si>
  <si>
    <t>Ce qui a été retiré</t>
  </si>
  <si>
    <t>Dix des quatorze indicateurs, et les trois camemberts.</t>
  </si>
  <si>
    <t>ANNEXE_IA</t>
  </si>
  <si>
    <t>Prompt 1</t>
  </si>
  <si>
    <t>Voici la capture de mon tableau de bord. Un directeur le regarde huit secondes puis on le masque. Quelles trois informations aura-t-il retenues, et lesquelles voulait-il ?</t>
  </si>
  <si>
    <t>Prompt 2</t>
  </si>
  <si>
    <t>Propose-moi une palette de cinq couleurs lisible par un daltopique deutan, imprimable en noir et blanc, et projetable.</t>
  </si>
  <si>
    <t>Prompt 3</t>
  </si>
  <si>
    <t>Réécris ce titre pour qu'il affirme au lieu d'étiqueter. Il doit contenir un chiffre et un verbe.</t>
  </si>
  <si>
    <t>Erreur détectée</t>
  </si>
  <si>
    <t>L'IA a proposé une palette rouge / vert pour distinguer au-dessus et en dessous de l'objectif. Illisible pour environ 8 % des hommes — soit, sur un comité de six, une personne.</t>
  </si>
  <si>
    <t>Quel V l'a attrapée</t>
  </si>
  <si>
    <t>V4 — Vérité métier. Le test : imprimer en noir et blanc. Les deux couleurs deviennent le même gris.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</si>
</sst>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m\ yyyy"/>
    <numFmt numFmtId="165" formatCode="#,##0.00\ &quot;USD&quot;"/>
    <numFmt numFmtId="166" formatCode="yyyy\-mm\-dd"/>
    <numFmt numFmtId="167" formatCode="#,##0\ &quot;USD&quot;"/>
    <numFmt numFmtId="168" formatCode="mm/yy"/>
    <numFmt numFmtId="169" formatCode="0.0%"/>
    <numFmt numFmtId="170" formatCode="#,##0.00,,\ &quot;M USD&quot;"/>
  </numFmts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22"/>
      <color rgb="FF0070C0"/>
      <name val="Arial"/>
      <family val="2"/>
    </font>
    <font>
      <i/>
      <sz val="9"/>
      <color rgb="FFFF0000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4"/>
      <color rgb="FF101418"/>
      <name val="Calibri"/>
      <family val="2"/>
    </font>
    <font>
      <b/>
      <sz val="11"/>
      <name val="Calibri"/>
      <family val="2"/>
    </font>
    <font>
      <i/>
      <sz val="10"/>
      <color rgb="FF6B7280"/>
      <name val="Calibri"/>
      <family val="2"/>
    </font>
    <font>
      <sz val="10"/>
      <name val="Consolas"/>
      <family val="2"/>
    </font>
    <font>
      <b/>
      <sz val="18"/>
      <color rgb="FF101418"/>
      <name val="Calibri"/>
      <family val="2"/>
    </font>
    <font>
      <b/>
      <sz val="10"/>
      <color rgb="FF6B7280"/>
      <name val="Calibri"/>
      <family val="2"/>
    </font>
    <font>
      <b/>
      <sz val="22"/>
      <color rgb="FF101418"/>
      <name val="Calibri"/>
      <family val="2"/>
    </font>
    <font>
      <b/>
      <sz val="20"/>
      <color rgb="FFC0392B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243044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F2F2F2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7030A0"/>
      </patternFill>
    </fill>
    <fill>
      <patternFill patternType="solid">
        <fgColor rgb="FFFF00FF"/>
      </patternFill>
    </fill>
    <fill>
      <patternFill patternType="solid">
        <fgColor rgb="FF00B050"/>
      </patternFill>
    </fill>
    <fill>
      <patternFill patternType="solid">
        <fgColor rgb="FFFF6600"/>
      </patternFill>
    </fill>
    <fill>
      <patternFill patternType="solid">
        <fgColor rgb="FF0070C0"/>
      </patternFill>
    </fill>
    <fill>
      <patternFill patternType="solid">
        <fgColor rgb="FFC00000"/>
      </patternFill>
    </fill>
    <fill>
      <patternFill patternType="solid">
        <fgColor rgb="FF00FFFF"/>
      </patternFill>
    </fill>
    <fill>
      <patternFill patternType="solid">
        <fgColor rgb="FF808080"/>
      </patternFill>
    </fill>
    <fill>
      <patternFill patternType="solid">
        <fgColor rgb="FF002060"/>
      </patternFill>
    </fill>
    <fill>
      <patternFill patternType="solid">
        <fgColor rgb="FFFFF6D8"/>
      </patternFill>
    </fill>
    <fill>
      <patternFill patternType="solid">
        <fgColor rgb="FFE8F6E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BE1"/>
      </bottom>
      <diagonal/>
    </border>
  </borders>
  <cellStyleXfs count="1">
    <xf numFmtId="0" fontId="0" fillId="0" borderId="0"/>
  </cellStyleXfs>
  <cellXfs count="48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1" fillId="2" borderId="0" xfId="0" applyFont="1" applyFill="1" applyAlignment="1">
      <alignment horizontal="left" vertical="center"/>
    </xf>
    <xf numFmtId="166" fontId="0" fillId="0" borderId="0" xfId="0" applyNumberFormat="1"/>
    <xf numFmtId="167" fontId="0" fillId="0" borderId="0" xfId="0" applyNumberFormat="1"/>
    <xf numFmtId="0" fontId="6" fillId="0" borderId="0" xfId="0" applyFont="1"/>
    <xf numFmtId="168" fontId="6" fillId="0" borderId="0" xfId="0" applyNumberFormat="1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7" fontId="0" fillId="18" borderId="0" xfId="0" applyNumberFormat="1" applyFill="1"/>
    <xf numFmtId="169" fontId="0" fillId="18" borderId="0" xfId="0" applyNumberFormat="1" applyFill="1"/>
    <xf numFmtId="0" fontId="10" fillId="0" borderId="0" xfId="0" applyFont="1"/>
    <xf numFmtId="3" fontId="0" fillId="18" borderId="0" xfId="0" applyNumberFormat="1" applyFill="1"/>
    <xf numFmtId="165" fontId="0" fillId="18" borderId="0" xfId="0" applyNumberFormat="1" applyFill="1"/>
    <xf numFmtId="0" fontId="0" fillId="18" borderId="0" xfId="0" applyFill="1"/>
    <xf numFmtId="165" fontId="0" fillId="19" borderId="0" xfId="0" applyNumberFormat="1" applyFill="1"/>
    <xf numFmtId="0" fontId="12" fillId="0" borderId="0" xfId="0" applyFont="1"/>
    <xf numFmtId="170" fontId="13" fillId="0" borderId="0" xfId="0" applyNumberFormat="1" applyFont="1" applyAlignment="1">
      <alignment horizontal="left"/>
    </xf>
    <xf numFmtId="169" fontId="13" fillId="0" borderId="0" xfId="0" applyNumberFormat="1" applyFont="1" applyAlignment="1">
      <alignment horizontal="left"/>
    </xf>
    <xf numFmtId="167" fontId="14" fillId="0" borderId="0" xfId="0" applyNumberFormat="1" applyFont="1"/>
    <xf numFmtId="169" fontId="0" fillId="0" borderId="0" xfId="0" applyNumberFormat="1"/>
    <xf numFmtId="0" fontId="8" fillId="0" borderId="1" xfId="0" applyFont="1" applyBorder="1"/>
    <xf numFmtId="0" fontId="0" fillId="0" borderId="1" xfId="0" applyBorder="1" applyAlignment="1">
      <alignment vertical="top" wrapText="1"/>
    </xf>
    <xf numFmtId="0" fontId="4" fillId="13" borderId="0" xfId="0" applyFont="1" applyFill="1"/>
    <xf numFmtId="0" fontId="0" fillId="0" borderId="0" xfId="0"/>
    <xf numFmtId="0" fontId="4" fillId="3" borderId="0" xfId="0" applyFont="1" applyFill="1"/>
    <xf numFmtId="0" fontId="5" fillId="5" borderId="0" xfId="0" applyFont="1" applyFill="1"/>
    <xf numFmtId="0" fontId="4" fillId="12" borderId="0" xfId="0" applyFont="1" applyFill="1"/>
    <xf numFmtId="0" fontId="4" fillId="6" borderId="0" xfId="0" applyFont="1" applyFill="1"/>
    <xf numFmtId="0" fontId="3" fillId="0" borderId="0" xfId="0" applyFont="1" applyAlignment="1">
      <alignment horizontal="center"/>
    </xf>
    <xf numFmtId="0" fontId="4" fillId="7" borderId="0" xfId="0" applyFont="1" applyFill="1"/>
    <xf numFmtId="0" fontId="4" fillId="15" borderId="0" xfId="0" applyFont="1" applyFill="1"/>
    <xf numFmtId="0" fontId="4" fillId="14" borderId="0" xfId="0" applyFont="1" applyFill="1"/>
    <xf numFmtId="0" fontId="4" fillId="17" borderId="0" xfId="0" applyFont="1" applyFill="1"/>
    <xf numFmtId="0" fontId="4" fillId="16" borderId="0" xfId="0" applyFont="1" applyFill="1"/>
    <xf numFmtId="0" fontId="4" fillId="4" borderId="0" xfId="0" applyFont="1" applyFill="1"/>
    <xf numFmtId="0" fontId="4" fillId="8" borderId="0" xfId="0" applyFont="1" applyFill="1"/>
    <xf numFmtId="0" fontId="4" fillId="9" borderId="0" xfId="0" applyFont="1" applyFill="1"/>
    <xf numFmtId="0" fontId="2" fillId="3" borderId="0" xfId="0" applyFont="1" applyFill="1" applyAlignment="1">
      <alignment horizontal="center"/>
    </xf>
    <xf numFmtId="0" fontId="4" fillId="10" borderId="0" xfId="0" applyFont="1" applyFill="1"/>
    <xf numFmtId="0" fontId="4" fillId="11" borderId="0" xfId="0" applyFont="1" applyFill="1"/>
    <xf numFmtId="0" fontId="9" fillId="0" borderId="0" xfId="0" applyFont="1"/>
    <xf numFmtId="0" fontId="11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t>Graphique 1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Rapport_actuel!$A$20:$A$25</c:f>
              <c:strCache>
                <c:ptCount val="6"/>
                <c:pt idx="0">
                  <c:v>Kinshasa</c:v>
                </c:pt>
                <c:pt idx="1">
                  <c:v>Lubumbashi</c:v>
                </c:pt>
                <c:pt idx="2">
                  <c:v>Abidjan</c:v>
                </c:pt>
                <c:pt idx="3">
                  <c:v>Dakar</c:v>
                </c:pt>
                <c:pt idx="4">
                  <c:v>Douala</c:v>
                </c:pt>
                <c:pt idx="5">
                  <c:v>Libreville</c:v>
                </c:pt>
              </c:strCache>
            </c:strRef>
          </c:cat>
          <c:val>
            <c:numRef>
              <c:f>Rapport_actuel!$B$20:$B$25</c:f>
              <c:numCache>
                <c:formatCode>General</c:formatCode>
                <c:ptCount val="6"/>
                <c:pt idx="0">
                  <c:v>7639995.1399999997</c:v>
                </c:pt>
                <c:pt idx="1">
                  <c:v>4398344.49</c:v>
                </c:pt>
                <c:pt idx="2">
                  <c:v>4998123.12</c:v>
                </c:pt>
                <c:pt idx="3">
                  <c:v>3693472.05</c:v>
                </c:pt>
                <c:pt idx="4">
                  <c:v>4242265.8899999997</c:v>
                </c:pt>
                <c:pt idx="5">
                  <c:v>3050567.61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6-2448-8AFC-4D0EF3F0D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t>Graphique 2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Rapport_actuel!$A$29:$A$36</c:f>
              <c:strCache>
                <c:ptCount val="8"/>
                <c:pt idx="0">
                  <c:v>Riz</c:v>
                </c:pt>
                <c:pt idx="1">
                  <c:v>Huiles</c:v>
                </c:pt>
                <c:pt idx="2">
                  <c:v>Farine</c:v>
                </c:pt>
                <c:pt idx="3">
                  <c:v>Boissons</c:v>
                </c:pt>
                <c:pt idx="4">
                  <c:v>Conserves</c:v>
                </c:pt>
                <c:pt idx="5">
                  <c:v>Savons</c:v>
                </c:pt>
                <c:pt idx="6">
                  <c:v>Épicerie sèche</c:v>
                </c:pt>
                <c:pt idx="7">
                  <c:v>Hygiène &amp; entretien</c:v>
                </c:pt>
              </c:strCache>
            </c:strRef>
          </c:cat>
          <c:val>
            <c:numRef>
              <c:f>Rapport_actuel!$B$29:$B$36</c:f>
              <c:numCache>
                <c:formatCode>General</c:formatCode>
                <c:ptCount val="8"/>
                <c:pt idx="0">
                  <c:v>608008.32999999996</c:v>
                </c:pt>
                <c:pt idx="1">
                  <c:v>481285.75</c:v>
                </c:pt>
                <c:pt idx="2">
                  <c:v>373553.01</c:v>
                </c:pt>
                <c:pt idx="3">
                  <c:v>285107.82</c:v>
                </c:pt>
                <c:pt idx="4">
                  <c:v>263547.07</c:v>
                </c:pt>
                <c:pt idx="5">
                  <c:v>197891.07</c:v>
                </c:pt>
                <c:pt idx="6">
                  <c:v>51715.97</c:v>
                </c:pt>
                <c:pt idx="7">
                  <c:v>37934.22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B-254E-AD7D-BF3B9AD8A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t>Graphique 3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Rapport_actuel!$A$20:$A$22</c:f>
              <c:strCache>
                <c:ptCount val="3"/>
                <c:pt idx="0">
                  <c:v>Kinshasa</c:v>
                </c:pt>
                <c:pt idx="1">
                  <c:v>Lubumbashi</c:v>
                </c:pt>
                <c:pt idx="2">
                  <c:v>Abidjan</c:v>
                </c:pt>
              </c:strCache>
            </c:strRef>
          </c:cat>
          <c:val>
            <c:numRef>
              <c:f>Rapport_actuel!$B$20:$B$22</c:f>
              <c:numCache>
                <c:formatCode>General</c:formatCode>
                <c:ptCount val="3"/>
                <c:pt idx="0">
                  <c:v>7639995.1399999997</c:v>
                </c:pt>
                <c:pt idx="1">
                  <c:v>4398344.49</c:v>
                </c:pt>
                <c:pt idx="2">
                  <c:v>4998123.12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F-674A-9A4C-912274962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t>Graphique 4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numRef>
              <c:f>Rapport_actuel!$B$9:$M$9</c:f>
              <c:numCache>
                <c:formatCode>mm/yy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cat>
          <c:val>
            <c:numRef>
              <c:f>Rapport_actuel!$B$16:$M$16</c:f>
              <c:numCache>
                <c:formatCode>General</c:formatCode>
                <c:ptCount val="12"/>
                <c:pt idx="0">
                  <c:v>2293223.8199999998</c:v>
                </c:pt>
                <c:pt idx="1">
                  <c:v>2378865.77</c:v>
                </c:pt>
                <c:pt idx="2">
                  <c:v>2715373.6</c:v>
                </c:pt>
                <c:pt idx="3">
                  <c:v>2045530.17</c:v>
                </c:pt>
                <c:pt idx="4">
                  <c:v>2038451.31</c:v>
                </c:pt>
                <c:pt idx="5">
                  <c:v>2308768.21</c:v>
                </c:pt>
                <c:pt idx="6">
                  <c:v>2394443.4</c:v>
                </c:pt>
                <c:pt idx="7">
                  <c:v>2377362.1800000002</c:v>
                </c:pt>
                <c:pt idx="8">
                  <c:v>2280617</c:v>
                </c:pt>
                <c:pt idx="9">
                  <c:v>2342157.94</c:v>
                </c:pt>
                <c:pt idx="10">
                  <c:v>2548931.66</c:v>
                </c:pt>
                <c:pt idx="11">
                  <c:v>2299043.2400000002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E-7943-A6ED-7577CE1EE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dateAx>
        <c:axId val="10"/>
        <c:scaling>
          <c:orientation val="minMax"/>
        </c:scaling>
        <c:delete val="0"/>
        <c:axPos val="b"/>
        <c:numFmt formatCode="mm/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  <c:max val="2600000"/>
          <c:min val="18000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t>Douze mois — le creux de janvier est saisonnier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CALCULS!$G$4</c:f>
              <c:strCache>
                <c:ptCount val="1"/>
                <c:pt idx="0">
                  <c:v>CA_USD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CALCULS!$F$5:$F$16</c:f>
              <c:numCache>
                <c:formatCode>mmm\ yyyy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cat>
          <c:val>
            <c:numRef>
              <c:f>CALCULS!$G$5:$G$16</c:f>
              <c:numCache>
                <c:formatCode>#\ ##0\ "USD"</c:formatCode>
                <c:ptCount val="12"/>
                <c:pt idx="0">
                  <c:v>2293223.8200000003</c:v>
                </c:pt>
                <c:pt idx="1">
                  <c:v>2378865.77</c:v>
                </c:pt>
                <c:pt idx="2">
                  <c:v>2715373.6</c:v>
                </c:pt>
                <c:pt idx="3">
                  <c:v>2045530.17</c:v>
                </c:pt>
                <c:pt idx="4">
                  <c:v>2038451.31</c:v>
                </c:pt>
                <c:pt idx="5">
                  <c:v>2308768.21</c:v>
                </c:pt>
                <c:pt idx="6">
                  <c:v>2394443.4000000004</c:v>
                </c:pt>
                <c:pt idx="7">
                  <c:v>2377362.1799999997</c:v>
                </c:pt>
                <c:pt idx="8">
                  <c:v>2280617</c:v>
                </c:pt>
                <c:pt idx="9">
                  <c:v>2342157.9400000004</c:v>
                </c:pt>
                <c:pt idx="10">
                  <c:v>2548931.66</c:v>
                </c:pt>
                <c:pt idx="11">
                  <c:v>2299043.2400000002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55-EA4F-91C6-252EFA906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/>
        <c:numFmt formatCode="#,##0.0,,&quot; M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38</xdr:row>
      <xdr:rowOff>0</xdr:rowOff>
    </xdr:from>
    <xdr:ext cx="32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38</xdr:row>
      <xdr:rowOff>0</xdr:rowOff>
    </xdr:from>
    <xdr:ext cx="32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0</xdr:colOff>
      <xdr:row>38</xdr:row>
      <xdr:rowOff>0</xdr:rowOff>
    </xdr:from>
    <xdr:ext cx="32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54</xdr:row>
      <xdr:rowOff>0</xdr:rowOff>
    </xdr:from>
    <xdr:ext cx="648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0</xdr:rowOff>
    </xdr:from>
    <xdr:ext cx="61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Synth" displayName="t_Synth" ref="A1:H435">
  <autoFilter ref="A1:H435" xr:uid="{00000000-0009-0000-0100-000001000000}"/>
  <tableColumns count="8">
    <tableColumn id="1" xr3:uid="{00000000-0010-0000-0000-000001000000}" name="Mois"/>
    <tableColumn id="2" xr3:uid="{00000000-0010-0000-0000-000002000000}" name="Agence"/>
    <tableColumn id="3" xr3:uid="{00000000-0010-0000-0000-000003000000}" name="Devise"/>
    <tableColumn id="4" xr3:uid="{00000000-0010-0000-0000-000004000000}" name="Famille"/>
    <tableColumn id="5" xr3:uid="{00000000-0010-0000-0000-000005000000}" name="CA_USD"/>
    <tableColumn id="6" xr3:uid="{00000000-0010-0000-0000-000006000000}" name="Quantite"/>
    <tableColumn id="7" xr3:uid="{00000000-0010-0000-0000-000007000000}" name="Marge_USD"/>
    <tableColumn id="8" xr3:uid="{00000000-0010-0000-0000-000008000000}" name="Nb_Lig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Agence" displayName="t_Agence" ref="A1:E73">
  <autoFilter ref="A1:E73" xr:uid="{00000000-0009-0000-0100-000002000000}"/>
  <tableColumns count="5">
    <tableColumn id="1" xr3:uid="{00000000-0010-0000-0100-000001000000}" name="Mois"/>
    <tableColumn id="2" xr3:uid="{00000000-0010-0000-0100-000002000000}" name="Agence"/>
    <tableColumn id="3" xr3:uid="{00000000-0010-0000-0100-000003000000}" name="Objectif_USD"/>
    <tableColumn id="4" xr3:uid="{00000000-0010-0000-0100-000004000000}" name="Nb_Commandes"/>
    <tableColumn id="5" xr3:uid="{00000000-0010-0000-0100-000005000000}" name="Nb_Cli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5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style="1" customWidth="1"/>
    <col min="2" max="2" width="14" customWidth="1"/>
    <col min="3" max="3" width="8" customWidth="1"/>
    <col min="4" max="4" width="20" customWidth="1"/>
    <col min="5" max="5" width="15" style="2" customWidth="1"/>
    <col min="6" max="6" width="11" style="3" customWidth="1"/>
    <col min="7" max="7" width="14" style="2" customWidth="1"/>
    <col min="8" max="8" width="11" style="3" customWidth="1"/>
  </cols>
  <sheetData>
    <row r="1" spans="1:8" ht="22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">
      <c r="A2" s="5">
        <v>45931</v>
      </c>
      <c r="B2" t="s">
        <v>8</v>
      </c>
      <c r="C2" t="s">
        <v>9</v>
      </c>
      <c r="D2" t="s">
        <v>10</v>
      </c>
      <c r="E2">
        <v>71474.89</v>
      </c>
      <c r="F2">
        <v>4328</v>
      </c>
      <c r="G2">
        <v>15795.95</v>
      </c>
      <c r="H2">
        <v>208</v>
      </c>
    </row>
    <row r="3" spans="1:8" x14ac:dyDescent="0.2">
      <c r="A3" s="5">
        <v>45931</v>
      </c>
      <c r="B3" t="s">
        <v>8</v>
      </c>
      <c r="C3" t="s">
        <v>9</v>
      </c>
      <c r="D3" t="s">
        <v>11</v>
      </c>
      <c r="E3">
        <v>71417.34</v>
      </c>
      <c r="F3">
        <v>3376</v>
      </c>
      <c r="G3">
        <v>13926.38</v>
      </c>
      <c r="H3">
        <v>166</v>
      </c>
    </row>
    <row r="4" spans="1:8" x14ac:dyDescent="0.2">
      <c r="A4" s="5">
        <v>45931</v>
      </c>
      <c r="B4" t="s">
        <v>8</v>
      </c>
      <c r="C4" t="s">
        <v>9</v>
      </c>
      <c r="D4" t="s">
        <v>12</v>
      </c>
      <c r="E4">
        <v>101607.84</v>
      </c>
      <c r="F4">
        <v>3050</v>
      </c>
      <c r="G4">
        <v>14529.92</v>
      </c>
      <c r="H4">
        <v>143</v>
      </c>
    </row>
    <row r="5" spans="1:8" x14ac:dyDescent="0.2">
      <c r="A5" s="5">
        <v>45931</v>
      </c>
      <c r="B5" t="s">
        <v>8</v>
      </c>
      <c r="C5" t="s">
        <v>9</v>
      </c>
      <c r="D5" t="s">
        <v>13</v>
      </c>
      <c r="E5">
        <v>133919.57999999999</v>
      </c>
      <c r="F5">
        <v>5245</v>
      </c>
      <c r="G5">
        <v>23034.17</v>
      </c>
      <c r="H5">
        <v>217</v>
      </c>
    </row>
    <row r="6" spans="1:8" x14ac:dyDescent="0.2">
      <c r="A6" s="5">
        <v>45931</v>
      </c>
      <c r="B6" t="s">
        <v>8</v>
      </c>
      <c r="C6" t="s">
        <v>9</v>
      </c>
      <c r="D6" t="s">
        <v>14</v>
      </c>
      <c r="E6">
        <v>199205.28</v>
      </c>
      <c r="F6">
        <v>3741</v>
      </c>
      <c r="G6">
        <v>23506.22</v>
      </c>
      <c r="H6">
        <v>180</v>
      </c>
    </row>
    <row r="7" spans="1:8" x14ac:dyDescent="0.2">
      <c r="A7" s="5">
        <v>45931</v>
      </c>
      <c r="B7" t="s">
        <v>8</v>
      </c>
      <c r="C7" t="s">
        <v>9</v>
      </c>
      <c r="D7" t="s">
        <v>15</v>
      </c>
      <c r="E7">
        <v>68759.97</v>
      </c>
      <c r="F7">
        <v>5162</v>
      </c>
      <c r="G7">
        <v>18152.63</v>
      </c>
      <c r="H7">
        <v>230</v>
      </c>
    </row>
    <row r="8" spans="1:8" x14ac:dyDescent="0.2">
      <c r="A8" s="5">
        <v>45931</v>
      </c>
      <c r="B8" t="s">
        <v>16</v>
      </c>
      <c r="C8" t="s">
        <v>9</v>
      </c>
      <c r="D8" t="s">
        <v>10</v>
      </c>
      <c r="E8">
        <v>45266.5</v>
      </c>
      <c r="F8">
        <v>2767</v>
      </c>
      <c r="G8">
        <v>10003.9</v>
      </c>
      <c r="H8">
        <v>126</v>
      </c>
    </row>
    <row r="9" spans="1:8" x14ac:dyDescent="0.2">
      <c r="A9" s="5">
        <v>45931</v>
      </c>
      <c r="B9" t="s">
        <v>16</v>
      </c>
      <c r="C9" t="s">
        <v>9</v>
      </c>
      <c r="D9" t="s">
        <v>11</v>
      </c>
      <c r="E9">
        <v>42293.35</v>
      </c>
      <c r="F9">
        <v>1982</v>
      </c>
      <c r="G9">
        <v>8247.2000000000007</v>
      </c>
      <c r="H9">
        <v>102</v>
      </c>
    </row>
    <row r="10" spans="1:8" x14ac:dyDescent="0.2">
      <c r="A10" s="5">
        <v>45931</v>
      </c>
      <c r="B10" t="s">
        <v>16</v>
      </c>
      <c r="C10" t="s">
        <v>9</v>
      </c>
      <c r="D10" t="s">
        <v>12</v>
      </c>
      <c r="E10">
        <v>58477.35</v>
      </c>
      <c r="F10">
        <v>1669</v>
      </c>
      <c r="G10">
        <v>8362.26</v>
      </c>
      <c r="H10">
        <v>83</v>
      </c>
    </row>
    <row r="11" spans="1:8" x14ac:dyDescent="0.2">
      <c r="A11" s="5">
        <v>45931</v>
      </c>
      <c r="B11" t="s">
        <v>16</v>
      </c>
      <c r="C11" t="s">
        <v>9</v>
      </c>
      <c r="D11" t="s">
        <v>13</v>
      </c>
      <c r="E11">
        <v>74912.149999999994</v>
      </c>
      <c r="F11">
        <v>2865</v>
      </c>
      <c r="G11">
        <v>12884.89</v>
      </c>
      <c r="H11">
        <v>138</v>
      </c>
    </row>
    <row r="12" spans="1:8" x14ac:dyDescent="0.2">
      <c r="A12" s="5">
        <v>45931</v>
      </c>
      <c r="B12" t="s">
        <v>16</v>
      </c>
      <c r="C12" t="s">
        <v>9</v>
      </c>
      <c r="D12" t="s">
        <v>14</v>
      </c>
      <c r="E12">
        <v>91677.55</v>
      </c>
      <c r="F12">
        <v>1652</v>
      </c>
      <c r="G12">
        <v>10817.95</v>
      </c>
      <c r="H12">
        <v>88</v>
      </c>
    </row>
    <row r="13" spans="1:8" x14ac:dyDescent="0.2">
      <c r="A13" s="5">
        <v>45931</v>
      </c>
      <c r="B13" t="s">
        <v>16</v>
      </c>
      <c r="C13" t="s">
        <v>9</v>
      </c>
      <c r="D13" t="s">
        <v>15</v>
      </c>
      <c r="E13">
        <v>46190.59</v>
      </c>
      <c r="F13">
        <v>3525</v>
      </c>
      <c r="G13">
        <v>12194.32</v>
      </c>
      <c r="H13">
        <v>130</v>
      </c>
    </row>
    <row r="14" spans="1:8" x14ac:dyDescent="0.2">
      <c r="A14" s="5">
        <v>45931</v>
      </c>
      <c r="B14" t="s">
        <v>17</v>
      </c>
      <c r="C14" t="s">
        <v>18</v>
      </c>
      <c r="D14" t="s">
        <v>10</v>
      </c>
      <c r="E14">
        <v>50162.71</v>
      </c>
      <c r="F14">
        <v>3205</v>
      </c>
      <c r="G14">
        <v>11085.96</v>
      </c>
      <c r="H14">
        <v>143</v>
      </c>
    </row>
    <row r="15" spans="1:8" x14ac:dyDescent="0.2">
      <c r="A15" s="5">
        <v>45931</v>
      </c>
      <c r="B15" t="s">
        <v>17</v>
      </c>
      <c r="C15" t="s">
        <v>18</v>
      </c>
      <c r="D15" t="s">
        <v>11</v>
      </c>
      <c r="E15">
        <v>48089.73</v>
      </c>
      <c r="F15">
        <v>2356</v>
      </c>
      <c r="G15">
        <v>9377.5</v>
      </c>
      <c r="H15">
        <v>112</v>
      </c>
    </row>
    <row r="16" spans="1:8" x14ac:dyDescent="0.2">
      <c r="A16" s="5">
        <v>45931</v>
      </c>
      <c r="B16" t="s">
        <v>17</v>
      </c>
      <c r="C16" t="s">
        <v>18</v>
      </c>
      <c r="D16" t="s">
        <v>12</v>
      </c>
      <c r="E16">
        <v>70310.38</v>
      </c>
      <c r="F16">
        <v>2011</v>
      </c>
      <c r="G16">
        <v>10054.379999999999</v>
      </c>
      <c r="H16">
        <v>100</v>
      </c>
    </row>
    <row r="17" spans="1:8" x14ac:dyDescent="0.2">
      <c r="A17" s="5">
        <v>45931</v>
      </c>
      <c r="B17" t="s">
        <v>17</v>
      </c>
      <c r="C17" t="s">
        <v>18</v>
      </c>
      <c r="D17" t="s">
        <v>13</v>
      </c>
      <c r="E17">
        <v>79622</v>
      </c>
      <c r="F17">
        <v>3013</v>
      </c>
      <c r="G17">
        <v>13694.98</v>
      </c>
      <c r="H17">
        <v>154</v>
      </c>
    </row>
    <row r="18" spans="1:8" x14ac:dyDescent="0.2">
      <c r="A18" s="5">
        <v>45931</v>
      </c>
      <c r="B18" t="s">
        <v>17</v>
      </c>
      <c r="C18" t="s">
        <v>18</v>
      </c>
      <c r="D18" t="s">
        <v>14</v>
      </c>
      <c r="E18">
        <v>84901.15</v>
      </c>
      <c r="F18">
        <v>1673</v>
      </c>
      <c r="G18">
        <v>10018.34</v>
      </c>
      <c r="H18">
        <v>87</v>
      </c>
    </row>
    <row r="19" spans="1:8" x14ac:dyDescent="0.2">
      <c r="A19" s="5">
        <v>45931</v>
      </c>
      <c r="B19" t="s">
        <v>17</v>
      </c>
      <c r="C19" t="s">
        <v>18</v>
      </c>
      <c r="D19" t="s">
        <v>15</v>
      </c>
      <c r="E19">
        <v>39877.82</v>
      </c>
      <c r="F19">
        <v>3145</v>
      </c>
      <c r="G19">
        <v>10527.74</v>
      </c>
      <c r="H19">
        <v>144</v>
      </c>
    </row>
    <row r="20" spans="1:8" x14ac:dyDescent="0.2">
      <c r="A20" s="5">
        <v>45931</v>
      </c>
      <c r="B20" t="s">
        <v>19</v>
      </c>
      <c r="C20" t="s">
        <v>18</v>
      </c>
      <c r="D20" t="s">
        <v>10</v>
      </c>
      <c r="E20">
        <v>34337.129999999997</v>
      </c>
      <c r="F20">
        <v>2183</v>
      </c>
      <c r="G20">
        <v>7588.51</v>
      </c>
      <c r="H20">
        <v>100</v>
      </c>
    </row>
    <row r="21" spans="1:8" x14ac:dyDescent="0.2">
      <c r="A21" s="5">
        <v>45931</v>
      </c>
      <c r="B21" t="s">
        <v>19</v>
      </c>
      <c r="C21" t="s">
        <v>18</v>
      </c>
      <c r="D21" t="s">
        <v>11</v>
      </c>
      <c r="E21">
        <v>31751.53</v>
      </c>
      <c r="F21">
        <v>1580</v>
      </c>
      <c r="G21">
        <v>6191.55</v>
      </c>
      <c r="H21">
        <v>75</v>
      </c>
    </row>
    <row r="22" spans="1:8" x14ac:dyDescent="0.2">
      <c r="A22" s="5">
        <v>45931</v>
      </c>
      <c r="B22" t="s">
        <v>19</v>
      </c>
      <c r="C22" t="s">
        <v>18</v>
      </c>
      <c r="D22" t="s">
        <v>12</v>
      </c>
      <c r="E22">
        <v>62956.12</v>
      </c>
      <c r="F22">
        <v>1841</v>
      </c>
      <c r="G22">
        <v>9002.73</v>
      </c>
      <c r="H22">
        <v>81</v>
      </c>
    </row>
    <row r="23" spans="1:8" x14ac:dyDescent="0.2">
      <c r="A23" s="5">
        <v>45931</v>
      </c>
      <c r="B23" t="s">
        <v>19</v>
      </c>
      <c r="C23" t="s">
        <v>18</v>
      </c>
      <c r="D23" t="s">
        <v>13</v>
      </c>
      <c r="E23">
        <v>60343.79</v>
      </c>
      <c r="F23">
        <v>2400</v>
      </c>
      <c r="G23">
        <v>10379.129999999999</v>
      </c>
      <c r="H23">
        <v>116</v>
      </c>
    </row>
    <row r="24" spans="1:8" x14ac:dyDescent="0.2">
      <c r="A24" s="5">
        <v>45931</v>
      </c>
      <c r="B24" t="s">
        <v>19</v>
      </c>
      <c r="C24" t="s">
        <v>18</v>
      </c>
      <c r="D24" t="s">
        <v>14</v>
      </c>
      <c r="E24">
        <v>95284.76</v>
      </c>
      <c r="F24">
        <v>1672</v>
      </c>
      <c r="G24">
        <v>11243.6</v>
      </c>
      <c r="H24">
        <v>72</v>
      </c>
    </row>
    <row r="25" spans="1:8" x14ac:dyDescent="0.2">
      <c r="A25" s="5">
        <v>45931</v>
      </c>
      <c r="B25" t="s">
        <v>19</v>
      </c>
      <c r="C25" t="s">
        <v>18</v>
      </c>
      <c r="D25" t="s">
        <v>15</v>
      </c>
      <c r="E25">
        <v>31482.32</v>
      </c>
      <c r="F25">
        <v>2432</v>
      </c>
      <c r="G25">
        <v>8311.33</v>
      </c>
      <c r="H25">
        <v>104</v>
      </c>
    </row>
    <row r="26" spans="1:8" x14ac:dyDescent="0.2">
      <c r="A26" s="5">
        <v>45931</v>
      </c>
      <c r="B26" t="s">
        <v>20</v>
      </c>
      <c r="C26" t="s">
        <v>21</v>
      </c>
      <c r="D26" t="s">
        <v>10</v>
      </c>
      <c r="E26">
        <v>49084.47</v>
      </c>
      <c r="F26">
        <v>3082</v>
      </c>
      <c r="G26">
        <v>10847.67</v>
      </c>
      <c r="H26">
        <v>148</v>
      </c>
    </row>
    <row r="27" spans="1:8" x14ac:dyDescent="0.2">
      <c r="A27" s="5">
        <v>45931</v>
      </c>
      <c r="B27" t="s">
        <v>20</v>
      </c>
      <c r="C27" t="s">
        <v>21</v>
      </c>
      <c r="D27" t="s">
        <v>11</v>
      </c>
      <c r="E27">
        <v>33324.129999999997</v>
      </c>
      <c r="F27">
        <v>1639</v>
      </c>
      <c r="G27">
        <v>6498.21</v>
      </c>
      <c r="H27">
        <v>86</v>
      </c>
    </row>
    <row r="28" spans="1:8" x14ac:dyDescent="0.2">
      <c r="A28" s="5">
        <v>45931</v>
      </c>
      <c r="B28" t="s">
        <v>20</v>
      </c>
      <c r="C28" t="s">
        <v>21</v>
      </c>
      <c r="D28" t="s">
        <v>12</v>
      </c>
      <c r="E28">
        <v>48779.56</v>
      </c>
      <c r="F28">
        <v>1457</v>
      </c>
      <c r="G28">
        <v>6975.48</v>
      </c>
      <c r="H28">
        <v>70</v>
      </c>
    </row>
    <row r="29" spans="1:8" x14ac:dyDescent="0.2">
      <c r="A29" s="5">
        <v>45931</v>
      </c>
      <c r="B29" t="s">
        <v>20</v>
      </c>
      <c r="C29" t="s">
        <v>21</v>
      </c>
      <c r="D29" t="s">
        <v>13</v>
      </c>
      <c r="E29">
        <v>69822.63</v>
      </c>
      <c r="F29">
        <v>2650</v>
      </c>
      <c r="G29">
        <v>12009.49</v>
      </c>
      <c r="H29">
        <v>120</v>
      </c>
    </row>
    <row r="30" spans="1:8" x14ac:dyDescent="0.2">
      <c r="A30" s="5">
        <v>45931</v>
      </c>
      <c r="B30" t="s">
        <v>20</v>
      </c>
      <c r="C30" t="s">
        <v>21</v>
      </c>
      <c r="D30" t="s">
        <v>14</v>
      </c>
      <c r="E30">
        <v>109727.05</v>
      </c>
      <c r="F30">
        <v>1993</v>
      </c>
      <c r="G30">
        <v>12947.79</v>
      </c>
      <c r="H30">
        <v>81</v>
      </c>
    </row>
    <row r="31" spans="1:8" x14ac:dyDescent="0.2">
      <c r="A31" s="5">
        <v>45931</v>
      </c>
      <c r="B31" t="s">
        <v>20</v>
      </c>
      <c r="C31" t="s">
        <v>21</v>
      </c>
      <c r="D31" t="s">
        <v>15</v>
      </c>
      <c r="E31">
        <v>53017.91</v>
      </c>
      <c r="F31">
        <v>4083</v>
      </c>
      <c r="G31">
        <v>13996.73</v>
      </c>
      <c r="H31">
        <v>164</v>
      </c>
    </row>
    <row r="32" spans="1:8" x14ac:dyDescent="0.2">
      <c r="A32" s="5">
        <v>45931</v>
      </c>
      <c r="B32" t="s">
        <v>22</v>
      </c>
      <c r="C32" t="s">
        <v>21</v>
      </c>
      <c r="D32" t="s">
        <v>10</v>
      </c>
      <c r="E32">
        <v>28319.64</v>
      </c>
      <c r="F32">
        <v>1763</v>
      </c>
      <c r="G32">
        <v>6258.64</v>
      </c>
      <c r="H32">
        <v>96</v>
      </c>
    </row>
    <row r="33" spans="1:8" x14ac:dyDescent="0.2">
      <c r="A33" s="5">
        <v>45931</v>
      </c>
      <c r="B33" t="s">
        <v>22</v>
      </c>
      <c r="C33" t="s">
        <v>21</v>
      </c>
      <c r="D33" t="s">
        <v>11</v>
      </c>
      <c r="E33">
        <v>31905.119999999999</v>
      </c>
      <c r="F33">
        <v>1525</v>
      </c>
      <c r="G33">
        <v>6221.5</v>
      </c>
      <c r="H33">
        <v>65</v>
      </c>
    </row>
    <row r="34" spans="1:8" x14ac:dyDescent="0.2">
      <c r="A34" s="5">
        <v>45931</v>
      </c>
      <c r="B34" t="s">
        <v>22</v>
      </c>
      <c r="C34" t="s">
        <v>21</v>
      </c>
      <c r="D34" t="s">
        <v>12</v>
      </c>
      <c r="E34">
        <v>42920.160000000003</v>
      </c>
      <c r="F34">
        <v>1225</v>
      </c>
      <c r="G34">
        <v>6137.58</v>
      </c>
      <c r="H34">
        <v>71</v>
      </c>
    </row>
    <row r="35" spans="1:8" x14ac:dyDescent="0.2">
      <c r="A35" s="5">
        <v>45931</v>
      </c>
      <c r="B35" t="s">
        <v>22</v>
      </c>
      <c r="C35" t="s">
        <v>21</v>
      </c>
      <c r="D35" t="s">
        <v>13</v>
      </c>
      <c r="E35">
        <v>55966.87</v>
      </c>
      <c r="F35">
        <v>2123</v>
      </c>
      <c r="G35">
        <v>9626.2999999999993</v>
      </c>
      <c r="H35">
        <v>95</v>
      </c>
    </row>
    <row r="36" spans="1:8" x14ac:dyDescent="0.2">
      <c r="A36" s="5">
        <v>45931</v>
      </c>
      <c r="B36" t="s">
        <v>22</v>
      </c>
      <c r="C36" t="s">
        <v>21</v>
      </c>
      <c r="D36" t="s">
        <v>14</v>
      </c>
      <c r="E36">
        <v>51307.47</v>
      </c>
      <c r="F36">
        <v>1076</v>
      </c>
      <c r="G36">
        <v>6054.28</v>
      </c>
      <c r="H36">
        <v>62</v>
      </c>
    </row>
    <row r="37" spans="1:8" x14ac:dyDescent="0.2">
      <c r="A37" s="5">
        <v>45931</v>
      </c>
      <c r="B37" t="s">
        <v>22</v>
      </c>
      <c r="C37" t="s">
        <v>21</v>
      </c>
      <c r="D37" t="s">
        <v>15</v>
      </c>
      <c r="E37">
        <v>24726.98</v>
      </c>
      <c r="F37">
        <v>1878</v>
      </c>
      <c r="G37">
        <v>6527.92</v>
      </c>
      <c r="H37">
        <v>87</v>
      </c>
    </row>
    <row r="38" spans="1:8" x14ac:dyDescent="0.2">
      <c r="A38" s="5">
        <v>45962</v>
      </c>
      <c r="B38" t="s">
        <v>8</v>
      </c>
      <c r="C38" t="s">
        <v>9</v>
      </c>
      <c r="D38" t="s">
        <v>10</v>
      </c>
      <c r="E38">
        <v>77513.259999999995</v>
      </c>
      <c r="F38">
        <v>4752</v>
      </c>
      <c r="G38">
        <v>17130.43</v>
      </c>
      <c r="H38">
        <v>220</v>
      </c>
    </row>
    <row r="39" spans="1:8" x14ac:dyDescent="0.2">
      <c r="A39" s="5">
        <v>45962</v>
      </c>
      <c r="B39" t="s">
        <v>8</v>
      </c>
      <c r="C39" t="s">
        <v>9</v>
      </c>
      <c r="D39" t="s">
        <v>11</v>
      </c>
      <c r="E39">
        <v>86809.33</v>
      </c>
      <c r="F39">
        <v>4227</v>
      </c>
      <c r="G39">
        <v>16927.82</v>
      </c>
      <c r="H39">
        <v>179</v>
      </c>
    </row>
    <row r="40" spans="1:8" x14ac:dyDescent="0.2">
      <c r="A40" s="5">
        <v>45962</v>
      </c>
      <c r="B40" t="s">
        <v>8</v>
      </c>
      <c r="C40" t="s">
        <v>9</v>
      </c>
      <c r="D40" t="s">
        <v>12</v>
      </c>
      <c r="E40">
        <v>114571.54</v>
      </c>
      <c r="F40">
        <v>3369</v>
      </c>
      <c r="G40">
        <v>16383.73</v>
      </c>
      <c r="H40">
        <v>157</v>
      </c>
    </row>
    <row r="41" spans="1:8" x14ac:dyDescent="0.2">
      <c r="A41" s="5">
        <v>45962</v>
      </c>
      <c r="B41" t="s">
        <v>8</v>
      </c>
      <c r="C41" t="s">
        <v>9</v>
      </c>
      <c r="D41" t="s">
        <v>13</v>
      </c>
      <c r="E41">
        <v>139687.93</v>
      </c>
      <c r="F41">
        <v>5284</v>
      </c>
      <c r="G41">
        <v>24026.32</v>
      </c>
      <c r="H41">
        <v>237</v>
      </c>
    </row>
    <row r="42" spans="1:8" x14ac:dyDescent="0.2">
      <c r="A42" s="5">
        <v>45962</v>
      </c>
      <c r="B42" t="s">
        <v>8</v>
      </c>
      <c r="C42" t="s">
        <v>9</v>
      </c>
      <c r="D42" t="s">
        <v>14</v>
      </c>
      <c r="E42">
        <v>183127.08</v>
      </c>
      <c r="F42">
        <v>3561</v>
      </c>
      <c r="G42">
        <v>21609</v>
      </c>
      <c r="H42">
        <v>173</v>
      </c>
    </row>
    <row r="43" spans="1:8" x14ac:dyDescent="0.2">
      <c r="A43" s="5">
        <v>45962</v>
      </c>
      <c r="B43" t="s">
        <v>8</v>
      </c>
      <c r="C43" t="s">
        <v>9</v>
      </c>
      <c r="D43" t="s">
        <v>15</v>
      </c>
      <c r="E43">
        <v>58738.61</v>
      </c>
      <c r="F43">
        <v>4729</v>
      </c>
      <c r="G43">
        <v>15506.99</v>
      </c>
      <c r="H43">
        <v>230</v>
      </c>
    </row>
    <row r="44" spans="1:8" x14ac:dyDescent="0.2">
      <c r="A44" s="5">
        <v>45962</v>
      </c>
      <c r="B44" t="s">
        <v>16</v>
      </c>
      <c r="C44" t="s">
        <v>9</v>
      </c>
      <c r="D44" t="s">
        <v>10</v>
      </c>
      <c r="E44">
        <v>40176.839999999997</v>
      </c>
      <c r="F44">
        <v>2619</v>
      </c>
      <c r="G44">
        <v>8879.08</v>
      </c>
      <c r="H44">
        <v>126</v>
      </c>
    </row>
    <row r="45" spans="1:8" x14ac:dyDescent="0.2">
      <c r="A45" s="5">
        <v>45962</v>
      </c>
      <c r="B45" t="s">
        <v>16</v>
      </c>
      <c r="C45" t="s">
        <v>9</v>
      </c>
      <c r="D45" t="s">
        <v>11</v>
      </c>
      <c r="E45">
        <v>54216.74</v>
      </c>
      <c r="F45">
        <v>2512</v>
      </c>
      <c r="G45">
        <v>10572.26</v>
      </c>
      <c r="H45">
        <v>117</v>
      </c>
    </row>
    <row r="46" spans="1:8" x14ac:dyDescent="0.2">
      <c r="A46" s="5">
        <v>45962</v>
      </c>
      <c r="B46" t="s">
        <v>16</v>
      </c>
      <c r="C46" t="s">
        <v>9</v>
      </c>
      <c r="D46" t="s">
        <v>12</v>
      </c>
      <c r="E46">
        <v>60384.47</v>
      </c>
      <c r="F46">
        <v>1934</v>
      </c>
      <c r="G46">
        <v>8634.98</v>
      </c>
      <c r="H46">
        <v>95</v>
      </c>
    </row>
    <row r="47" spans="1:8" x14ac:dyDescent="0.2">
      <c r="A47" s="5">
        <v>45962</v>
      </c>
      <c r="B47" t="s">
        <v>16</v>
      </c>
      <c r="C47" t="s">
        <v>9</v>
      </c>
      <c r="D47" t="s">
        <v>13</v>
      </c>
      <c r="E47">
        <v>93159.31</v>
      </c>
      <c r="F47">
        <v>3567</v>
      </c>
      <c r="G47">
        <v>16023.4</v>
      </c>
      <c r="H47">
        <v>156</v>
      </c>
    </row>
    <row r="48" spans="1:8" x14ac:dyDescent="0.2">
      <c r="A48" s="5">
        <v>45962</v>
      </c>
      <c r="B48" t="s">
        <v>16</v>
      </c>
      <c r="C48" t="s">
        <v>9</v>
      </c>
      <c r="D48" t="s">
        <v>14</v>
      </c>
      <c r="E48">
        <v>89179.87</v>
      </c>
      <c r="F48">
        <v>1576</v>
      </c>
      <c r="G48">
        <v>10523.22</v>
      </c>
      <c r="H48">
        <v>83</v>
      </c>
    </row>
    <row r="49" spans="1:8" x14ac:dyDescent="0.2">
      <c r="A49" s="5">
        <v>45962</v>
      </c>
      <c r="B49" t="s">
        <v>16</v>
      </c>
      <c r="C49" t="s">
        <v>9</v>
      </c>
      <c r="D49" t="s">
        <v>15</v>
      </c>
      <c r="E49">
        <v>41629.019999999997</v>
      </c>
      <c r="F49">
        <v>3212</v>
      </c>
      <c r="G49">
        <v>10990.06</v>
      </c>
      <c r="H49">
        <v>147</v>
      </c>
    </row>
    <row r="50" spans="1:8" x14ac:dyDescent="0.2">
      <c r="A50" s="5">
        <v>45962</v>
      </c>
      <c r="B50" t="s">
        <v>17</v>
      </c>
      <c r="C50" t="s">
        <v>18</v>
      </c>
      <c r="D50" t="s">
        <v>10</v>
      </c>
      <c r="E50">
        <v>46534.39</v>
      </c>
      <c r="F50">
        <v>3046</v>
      </c>
      <c r="G50">
        <v>10284.1</v>
      </c>
      <c r="H50">
        <v>138</v>
      </c>
    </row>
    <row r="51" spans="1:8" x14ac:dyDescent="0.2">
      <c r="A51" s="5">
        <v>45962</v>
      </c>
      <c r="B51" t="s">
        <v>17</v>
      </c>
      <c r="C51" t="s">
        <v>18</v>
      </c>
      <c r="D51" t="s">
        <v>11</v>
      </c>
      <c r="E51">
        <v>52520.17</v>
      </c>
      <c r="F51">
        <v>2417</v>
      </c>
      <c r="G51">
        <v>10241.43</v>
      </c>
      <c r="H51">
        <v>133</v>
      </c>
    </row>
    <row r="52" spans="1:8" x14ac:dyDescent="0.2">
      <c r="A52" s="5">
        <v>45962</v>
      </c>
      <c r="B52" t="s">
        <v>17</v>
      </c>
      <c r="C52" t="s">
        <v>18</v>
      </c>
      <c r="D52" t="s">
        <v>12</v>
      </c>
      <c r="E52">
        <v>71572.7</v>
      </c>
      <c r="F52">
        <v>2083</v>
      </c>
      <c r="G52">
        <v>10234.9</v>
      </c>
      <c r="H52">
        <v>106</v>
      </c>
    </row>
    <row r="53" spans="1:8" x14ac:dyDescent="0.2">
      <c r="A53" s="5">
        <v>45962</v>
      </c>
      <c r="B53" t="s">
        <v>17</v>
      </c>
      <c r="C53" t="s">
        <v>18</v>
      </c>
      <c r="D53" t="s">
        <v>13</v>
      </c>
      <c r="E53">
        <v>72146.990000000005</v>
      </c>
      <c r="F53">
        <v>2796</v>
      </c>
      <c r="G53">
        <v>12409.28</v>
      </c>
      <c r="H53">
        <v>158</v>
      </c>
    </row>
    <row r="54" spans="1:8" x14ac:dyDescent="0.2">
      <c r="A54" s="5">
        <v>45962</v>
      </c>
      <c r="B54" t="s">
        <v>17</v>
      </c>
      <c r="C54" t="s">
        <v>18</v>
      </c>
      <c r="D54" t="s">
        <v>14</v>
      </c>
      <c r="E54">
        <v>117857.96</v>
      </c>
      <c r="F54">
        <v>2138</v>
      </c>
      <c r="G54">
        <v>13907.24</v>
      </c>
      <c r="H54">
        <v>108</v>
      </c>
    </row>
    <row r="55" spans="1:8" x14ac:dyDescent="0.2">
      <c r="A55" s="5">
        <v>45962</v>
      </c>
      <c r="B55" t="s">
        <v>17</v>
      </c>
      <c r="C55" t="s">
        <v>18</v>
      </c>
      <c r="D55" t="s">
        <v>15</v>
      </c>
      <c r="E55">
        <v>39800.400000000001</v>
      </c>
      <c r="F55">
        <v>3044</v>
      </c>
      <c r="G55">
        <v>10507.31</v>
      </c>
      <c r="H55">
        <v>144</v>
      </c>
    </row>
    <row r="56" spans="1:8" x14ac:dyDescent="0.2">
      <c r="A56" s="5">
        <v>45962</v>
      </c>
      <c r="B56" t="s">
        <v>19</v>
      </c>
      <c r="C56" t="s">
        <v>18</v>
      </c>
      <c r="D56" t="s">
        <v>10</v>
      </c>
      <c r="E56">
        <v>36696.769999999997</v>
      </c>
      <c r="F56">
        <v>2312</v>
      </c>
      <c r="G56">
        <v>8109.99</v>
      </c>
      <c r="H56">
        <v>105</v>
      </c>
    </row>
    <row r="57" spans="1:8" x14ac:dyDescent="0.2">
      <c r="A57" s="5">
        <v>45962</v>
      </c>
      <c r="B57" t="s">
        <v>19</v>
      </c>
      <c r="C57" t="s">
        <v>18</v>
      </c>
      <c r="D57" t="s">
        <v>11</v>
      </c>
      <c r="E57">
        <v>38587.019999999997</v>
      </c>
      <c r="F57">
        <v>1832</v>
      </c>
      <c r="G57">
        <v>7524.47</v>
      </c>
      <c r="H57">
        <v>81</v>
      </c>
    </row>
    <row r="58" spans="1:8" x14ac:dyDescent="0.2">
      <c r="A58" s="5">
        <v>45962</v>
      </c>
      <c r="B58" t="s">
        <v>19</v>
      </c>
      <c r="C58" t="s">
        <v>18</v>
      </c>
      <c r="D58" t="s">
        <v>12</v>
      </c>
      <c r="E58">
        <v>50757.31</v>
      </c>
      <c r="F58">
        <v>1455</v>
      </c>
      <c r="G58">
        <v>7258.3</v>
      </c>
      <c r="H58">
        <v>79</v>
      </c>
    </row>
    <row r="59" spans="1:8" x14ac:dyDescent="0.2">
      <c r="A59" s="5">
        <v>45962</v>
      </c>
      <c r="B59" t="s">
        <v>19</v>
      </c>
      <c r="C59" t="s">
        <v>18</v>
      </c>
      <c r="D59" t="s">
        <v>13</v>
      </c>
      <c r="E59">
        <v>61548.66</v>
      </c>
      <c r="F59">
        <v>2376</v>
      </c>
      <c r="G59">
        <v>10586.37</v>
      </c>
      <c r="H59">
        <v>115</v>
      </c>
    </row>
    <row r="60" spans="1:8" x14ac:dyDescent="0.2">
      <c r="A60" s="5">
        <v>45962</v>
      </c>
      <c r="B60" t="s">
        <v>19</v>
      </c>
      <c r="C60" t="s">
        <v>18</v>
      </c>
      <c r="D60" t="s">
        <v>14</v>
      </c>
      <c r="E60">
        <v>77993.58</v>
      </c>
      <c r="F60">
        <v>1439</v>
      </c>
      <c r="G60">
        <v>9203.24</v>
      </c>
      <c r="H60">
        <v>79</v>
      </c>
    </row>
    <row r="61" spans="1:8" x14ac:dyDescent="0.2">
      <c r="A61" s="5">
        <v>45962</v>
      </c>
      <c r="B61" t="s">
        <v>19</v>
      </c>
      <c r="C61" t="s">
        <v>18</v>
      </c>
      <c r="D61" t="s">
        <v>15</v>
      </c>
      <c r="E61">
        <v>38606.78</v>
      </c>
      <c r="F61">
        <v>2937</v>
      </c>
      <c r="G61">
        <v>10192.19</v>
      </c>
      <c r="H61">
        <v>121</v>
      </c>
    </row>
    <row r="62" spans="1:8" x14ac:dyDescent="0.2">
      <c r="A62" s="5">
        <v>45962</v>
      </c>
      <c r="B62" t="s">
        <v>20</v>
      </c>
      <c r="C62" t="s">
        <v>21</v>
      </c>
      <c r="D62" t="s">
        <v>10</v>
      </c>
      <c r="E62">
        <v>52009.16</v>
      </c>
      <c r="F62">
        <v>3247</v>
      </c>
      <c r="G62">
        <v>11494.02</v>
      </c>
      <c r="H62">
        <v>147</v>
      </c>
    </row>
    <row r="63" spans="1:8" x14ac:dyDescent="0.2">
      <c r="A63" s="5">
        <v>45962</v>
      </c>
      <c r="B63" t="s">
        <v>20</v>
      </c>
      <c r="C63" t="s">
        <v>21</v>
      </c>
      <c r="D63" t="s">
        <v>11</v>
      </c>
      <c r="E63">
        <v>59089</v>
      </c>
      <c r="F63">
        <v>2669</v>
      </c>
      <c r="G63">
        <v>11522.36</v>
      </c>
      <c r="H63">
        <v>111</v>
      </c>
    </row>
    <row r="64" spans="1:8" x14ac:dyDescent="0.2">
      <c r="A64" s="5">
        <v>45962</v>
      </c>
      <c r="B64" t="s">
        <v>20</v>
      </c>
      <c r="C64" t="s">
        <v>21</v>
      </c>
      <c r="D64" t="s">
        <v>12</v>
      </c>
      <c r="E64">
        <v>39820.39</v>
      </c>
      <c r="F64">
        <v>1281</v>
      </c>
      <c r="G64">
        <v>5694.32</v>
      </c>
      <c r="H64">
        <v>74</v>
      </c>
    </row>
    <row r="65" spans="1:8" x14ac:dyDescent="0.2">
      <c r="A65" s="5">
        <v>45962</v>
      </c>
      <c r="B65" t="s">
        <v>20</v>
      </c>
      <c r="C65" t="s">
        <v>21</v>
      </c>
      <c r="D65" t="s">
        <v>13</v>
      </c>
      <c r="E65">
        <v>65446.76</v>
      </c>
      <c r="F65">
        <v>2496</v>
      </c>
      <c r="G65">
        <v>11256.84</v>
      </c>
      <c r="H65">
        <v>124</v>
      </c>
    </row>
    <row r="66" spans="1:8" x14ac:dyDescent="0.2">
      <c r="A66" s="5">
        <v>45962</v>
      </c>
      <c r="B66" t="s">
        <v>20</v>
      </c>
      <c r="C66" t="s">
        <v>21</v>
      </c>
      <c r="D66" t="s">
        <v>14</v>
      </c>
      <c r="E66">
        <v>91999.63</v>
      </c>
      <c r="F66">
        <v>1650</v>
      </c>
      <c r="G66">
        <v>10855.96</v>
      </c>
      <c r="H66">
        <v>94</v>
      </c>
    </row>
    <row r="67" spans="1:8" x14ac:dyDescent="0.2">
      <c r="A67" s="5">
        <v>45962</v>
      </c>
      <c r="B67" t="s">
        <v>20</v>
      </c>
      <c r="C67" t="s">
        <v>21</v>
      </c>
      <c r="D67" t="s">
        <v>15</v>
      </c>
      <c r="E67">
        <v>53092.73</v>
      </c>
      <c r="F67">
        <v>3841</v>
      </c>
      <c r="G67">
        <v>14016.48</v>
      </c>
      <c r="H67">
        <v>154</v>
      </c>
    </row>
    <row r="68" spans="1:8" x14ac:dyDescent="0.2">
      <c r="A68" s="5">
        <v>45962</v>
      </c>
      <c r="B68" t="s">
        <v>22</v>
      </c>
      <c r="C68" t="s">
        <v>21</v>
      </c>
      <c r="D68" t="s">
        <v>10</v>
      </c>
      <c r="E68">
        <v>27401.74</v>
      </c>
      <c r="F68">
        <v>1766</v>
      </c>
      <c r="G68">
        <v>6055.78</v>
      </c>
      <c r="H68">
        <v>77</v>
      </c>
    </row>
    <row r="69" spans="1:8" x14ac:dyDescent="0.2">
      <c r="A69" s="5">
        <v>45962</v>
      </c>
      <c r="B69" t="s">
        <v>22</v>
      </c>
      <c r="C69" t="s">
        <v>21</v>
      </c>
      <c r="D69" t="s">
        <v>11</v>
      </c>
      <c r="E69">
        <v>31472.99</v>
      </c>
      <c r="F69">
        <v>1419</v>
      </c>
      <c r="G69">
        <v>6137.23</v>
      </c>
      <c r="H69">
        <v>67</v>
      </c>
    </row>
    <row r="70" spans="1:8" x14ac:dyDescent="0.2">
      <c r="A70" s="5">
        <v>45962</v>
      </c>
      <c r="B70" t="s">
        <v>22</v>
      </c>
      <c r="C70" t="s">
        <v>21</v>
      </c>
      <c r="D70" t="s">
        <v>12</v>
      </c>
      <c r="E70">
        <v>46294.22</v>
      </c>
      <c r="F70">
        <v>1337</v>
      </c>
      <c r="G70">
        <v>6620.07</v>
      </c>
      <c r="H70">
        <v>65</v>
      </c>
    </row>
    <row r="71" spans="1:8" x14ac:dyDescent="0.2">
      <c r="A71" s="5">
        <v>45962</v>
      </c>
      <c r="B71" t="s">
        <v>22</v>
      </c>
      <c r="C71" t="s">
        <v>21</v>
      </c>
      <c r="D71" t="s">
        <v>13</v>
      </c>
      <c r="E71">
        <v>62117.86</v>
      </c>
      <c r="F71">
        <v>2378</v>
      </c>
      <c r="G71">
        <v>10684.27</v>
      </c>
      <c r="H71">
        <v>106</v>
      </c>
    </row>
    <row r="72" spans="1:8" x14ac:dyDescent="0.2">
      <c r="A72" s="5">
        <v>45962</v>
      </c>
      <c r="B72" t="s">
        <v>22</v>
      </c>
      <c r="C72" t="s">
        <v>21</v>
      </c>
      <c r="D72" t="s">
        <v>14</v>
      </c>
      <c r="E72">
        <v>76104.490000000005</v>
      </c>
      <c r="F72">
        <v>1543</v>
      </c>
      <c r="G72">
        <v>8980.33</v>
      </c>
      <c r="H72">
        <v>78</v>
      </c>
    </row>
    <row r="73" spans="1:8" x14ac:dyDescent="0.2">
      <c r="A73" s="5">
        <v>45962</v>
      </c>
      <c r="B73" t="s">
        <v>22</v>
      </c>
      <c r="C73" t="s">
        <v>21</v>
      </c>
      <c r="D73" t="s">
        <v>15</v>
      </c>
      <c r="E73">
        <v>30200.07</v>
      </c>
      <c r="F73">
        <v>2172</v>
      </c>
      <c r="G73">
        <v>7972.82</v>
      </c>
      <c r="H73">
        <v>92</v>
      </c>
    </row>
    <row r="74" spans="1:8" x14ac:dyDescent="0.2">
      <c r="A74" s="5">
        <v>45992</v>
      </c>
      <c r="B74" t="s">
        <v>8</v>
      </c>
      <c r="C74" t="s">
        <v>9</v>
      </c>
      <c r="D74" t="s">
        <v>10</v>
      </c>
      <c r="E74">
        <v>84557.48</v>
      </c>
      <c r="F74">
        <v>5200</v>
      </c>
      <c r="G74">
        <v>18687.2</v>
      </c>
      <c r="H74">
        <v>244</v>
      </c>
    </row>
    <row r="75" spans="1:8" x14ac:dyDescent="0.2">
      <c r="A75" s="5">
        <v>45992</v>
      </c>
      <c r="B75" t="s">
        <v>8</v>
      </c>
      <c r="C75" t="s">
        <v>9</v>
      </c>
      <c r="D75" t="s">
        <v>11</v>
      </c>
      <c r="E75">
        <v>93298.1</v>
      </c>
      <c r="F75">
        <v>4392</v>
      </c>
      <c r="G75">
        <v>18193.13</v>
      </c>
      <c r="H75">
        <v>223</v>
      </c>
    </row>
    <row r="76" spans="1:8" x14ac:dyDescent="0.2">
      <c r="A76" s="5">
        <v>45992</v>
      </c>
      <c r="B76" t="s">
        <v>8</v>
      </c>
      <c r="C76" t="s">
        <v>9</v>
      </c>
      <c r="D76" t="s">
        <v>12</v>
      </c>
      <c r="E76">
        <v>144286.96</v>
      </c>
      <c r="F76">
        <v>4148</v>
      </c>
      <c r="G76">
        <v>20633.04</v>
      </c>
      <c r="H76">
        <v>178</v>
      </c>
    </row>
    <row r="77" spans="1:8" x14ac:dyDescent="0.2">
      <c r="A77" s="5">
        <v>45992</v>
      </c>
      <c r="B77" t="s">
        <v>8</v>
      </c>
      <c r="C77" t="s">
        <v>9</v>
      </c>
      <c r="D77" t="s">
        <v>13</v>
      </c>
      <c r="E77">
        <v>172652.39</v>
      </c>
      <c r="F77">
        <v>6565</v>
      </c>
      <c r="G77">
        <v>29696.21</v>
      </c>
      <c r="H77">
        <v>290</v>
      </c>
    </row>
    <row r="78" spans="1:8" x14ac:dyDescent="0.2">
      <c r="A78" s="5">
        <v>45992</v>
      </c>
      <c r="B78" t="s">
        <v>8</v>
      </c>
      <c r="C78" t="s">
        <v>9</v>
      </c>
      <c r="D78" t="s">
        <v>14</v>
      </c>
      <c r="E78">
        <v>170700.72</v>
      </c>
      <c r="F78">
        <v>3244</v>
      </c>
      <c r="G78">
        <v>20142.68</v>
      </c>
      <c r="H78">
        <v>162</v>
      </c>
    </row>
    <row r="79" spans="1:8" x14ac:dyDescent="0.2">
      <c r="A79" s="5">
        <v>45992</v>
      </c>
      <c r="B79" t="s">
        <v>8</v>
      </c>
      <c r="C79" t="s">
        <v>9</v>
      </c>
      <c r="D79" t="s">
        <v>15</v>
      </c>
      <c r="E79">
        <v>78323.59</v>
      </c>
      <c r="F79">
        <v>5820</v>
      </c>
      <c r="G79">
        <v>20677.43</v>
      </c>
      <c r="H79">
        <v>267</v>
      </c>
    </row>
    <row r="80" spans="1:8" x14ac:dyDescent="0.2">
      <c r="A80" s="5">
        <v>45992</v>
      </c>
      <c r="B80" t="s">
        <v>16</v>
      </c>
      <c r="C80" t="s">
        <v>9</v>
      </c>
      <c r="D80" t="s">
        <v>10</v>
      </c>
      <c r="E80">
        <v>51435.25</v>
      </c>
      <c r="F80">
        <v>3225</v>
      </c>
      <c r="G80">
        <v>11367.19</v>
      </c>
      <c r="H80">
        <v>149</v>
      </c>
    </row>
    <row r="81" spans="1:8" x14ac:dyDescent="0.2">
      <c r="A81" s="5">
        <v>45992</v>
      </c>
      <c r="B81" t="s">
        <v>16</v>
      </c>
      <c r="C81" t="s">
        <v>9</v>
      </c>
      <c r="D81" t="s">
        <v>11</v>
      </c>
      <c r="E81">
        <v>52851.76</v>
      </c>
      <c r="F81">
        <v>2428</v>
      </c>
      <c r="G81">
        <v>10306.09</v>
      </c>
      <c r="H81">
        <v>139</v>
      </c>
    </row>
    <row r="82" spans="1:8" x14ac:dyDescent="0.2">
      <c r="A82" s="5">
        <v>45992</v>
      </c>
      <c r="B82" t="s">
        <v>16</v>
      </c>
      <c r="C82" t="s">
        <v>9</v>
      </c>
      <c r="D82" t="s">
        <v>12</v>
      </c>
      <c r="E82">
        <v>64726.87</v>
      </c>
      <c r="F82">
        <v>1867</v>
      </c>
      <c r="G82">
        <v>9255.94</v>
      </c>
      <c r="H82">
        <v>94</v>
      </c>
    </row>
    <row r="83" spans="1:8" x14ac:dyDescent="0.2">
      <c r="A83" s="5">
        <v>45992</v>
      </c>
      <c r="B83" t="s">
        <v>16</v>
      </c>
      <c r="C83" t="s">
        <v>9</v>
      </c>
      <c r="D83" t="s">
        <v>13</v>
      </c>
      <c r="E83">
        <v>97423.99</v>
      </c>
      <c r="F83">
        <v>3731</v>
      </c>
      <c r="G83">
        <v>16756.93</v>
      </c>
      <c r="H83">
        <v>162</v>
      </c>
    </row>
    <row r="84" spans="1:8" x14ac:dyDescent="0.2">
      <c r="A84" s="5">
        <v>45992</v>
      </c>
      <c r="B84" t="s">
        <v>16</v>
      </c>
      <c r="C84" t="s">
        <v>9</v>
      </c>
      <c r="D84" t="s">
        <v>14</v>
      </c>
      <c r="E84">
        <v>134957.66</v>
      </c>
      <c r="F84">
        <v>2523</v>
      </c>
      <c r="G84">
        <v>15925</v>
      </c>
      <c r="H84">
        <v>118</v>
      </c>
    </row>
    <row r="85" spans="1:8" x14ac:dyDescent="0.2">
      <c r="A85" s="5">
        <v>45992</v>
      </c>
      <c r="B85" t="s">
        <v>16</v>
      </c>
      <c r="C85" t="s">
        <v>9</v>
      </c>
      <c r="D85" t="s">
        <v>15</v>
      </c>
      <c r="E85">
        <v>44345.279999999999</v>
      </c>
      <c r="F85">
        <v>3434</v>
      </c>
      <c r="G85">
        <v>11707.15</v>
      </c>
      <c r="H85">
        <v>155</v>
      </c>
    </row>
    <row r="86" spans="1:8" x14ac:dyDescent="0.2">
      <c r="A86" s="5">
        <v>45992</v>
      </c>
      <c r="B86" t="s">
        <v>17</v>
      </c>
      <c r="C86" t="s">
        <v>18</v>
      </c>
      <c r="D86" t="s">
        <v>10</v>
      </c>
      <c r="E86">
        <v>53503.29</v>
      </c>
      <c r="F86">
        <v>3216</v>
      </c>
      <c r="G86">
        <v>11824.23</v>
      </c>
      <c r="H86">
        <v>157</v>
      </c>
    </row>
    <row r="87" spans="1:8" x14ac:dyDescent="0.2">
      <c r="A87" s="5">
        <v>45992</v>
      </c>
      <c r="B87" t="s">
        <v>17</v>
      </c>
      <c r="C87" t="s">
        <v>18</v>
      </c>
      <c r="D87" t="s">
        <v>11</v>
      </c>
      <c r="E87">
        <v>57480.26</v>
      </c>
      <c r="F87">
        <v>2706</v>
      </c>
      <c r="G87">
        <v>11208.65</v>
      </c>
      <c r="H87">
        <v>135</v>
      </c>
    </row>
    <row r="88" spans="1:8" x14ac:dyDescent="0.2">
      <c r="A88" s="5">
        <v>45992</v>
      </c>
      <c r="B88" t="s">
        <v>17</v>
      </c>
      <c r="C88" t="s">
        <v>18</v>
      </c>
      <c r="D88" t="s">
        <v>12</v>
      </c>
      <c r="E88">
        <v>86292.73</v>
      </c>
      <c r="F88">
        <v>2506</v>
      </c>
      <c r="G88">
        <v>12339.86</v>
      </c>
      <c r="H88">
        <v>113</v>
      </c>
    </row>
    <row r="89" spans="1:8" x14ac:dyDescent="0.2">
      <c r="A89" s="5">
        <v>45992</v>
      </c>
      <c r="B89" t="s">
        <v>17</v>
      </c>
      <c r="C89" t="s">
        <v>18</v>
      </c>
      <c r="D89" t="s">
        <v>13</v>
      </c>
      <c r="E89">
        <v>111920.15</v>
      </c>
      <c r="F89">
        <v>4426</v>
      </c>
      <c r="G89">
        <v>19250.27</v>
      </c>
      <c r="H89">
        <v>181</v>
      </c>
    </row>
    <row r="90" spans="1:8" x14ac:dyDescent="0.2">
      <c r="A90" s="5">
        <v>45992</v>
      </c>
      <c r="B90" t="s">
        <v>17</v>
      </c>
      <c r="C90" t="s">
        <v>18</v>
      </c>
      <c r="D90" t="s">
        <v>14</v>
      </c>
      <c r="E90">
        <v>133450.31</v>
      </c>
      <c r="F90">
        <v>2607</v>
      </c>
      <c r="G90">
        <v>15747.14</v>
      </c>
      <c r="H90">
        <v>122</v>
      </c>
    </row>
    <row r="91" spans="1:8" x14ac:dyDescent="0.2">
      <c r="A91" s="5">
        <v>45992</v>
      </c>
      <c r="B91" t="s">
        <v>17</v>
      </c>
      <c r="C91" t="s">
        <v>18</v>
      </c>
      <c r="D91" t="s">
        <v>15</v>
      </c>
      <c r="E91">
        <v>44546.48</v>
      </c>
      <c r="F91">
        <v>3476</v>
      </c>
      <c r="G91">
        <v>11760.27</v>
      </c>
      <c r="H91">
        <v>170</v>
      </c>
    </row>
    <row r="92" spans="1:8" x14ac:dyDescent="0.2">
      <c r="A92" s="5">
        <v>45992</v>
      </c>
      <c r="B92" t="s">
        <v>19</v>
      </c>
      <c r="C92" t="s">
        <v>18</v>
      </c>
      <c r="D92" t="s">
        <v>10</v>
      </c>
      <c r="E92">
        <v>31543.65</v>
      </c>
      <c r="F92">
        <v>1994</v>
      </c>
      <c r="G92">
        <v>6971.15</v>
      </c>
      <c r="H92">
        <v>109</v>
      </c>
    </row>
    <row r="93" spans="1:8" x14ac:dyDescent="0.2">
      <c r="A93" s="5">
        <v>45992</v>
      </c>
      <c r="B93" t="s">
        <v>19</v>
      </c>
      <c r="C93" t="s">
        <v>18</v>
      </c>
      <c r="D93" t="s">
        <v>11</v>
      </c>
      <c r="E93">
        <v>41985.49</v>
      </c>
      <c r="F93">
        <v>2067</v>
      </c>
      <c r="G93">
        <v>8187.17</v>
      </c>
      <c r="H93">
        <v>103</v>
      </c>
    </row>
    <row r="94" spans="1:8" x14ac:dyDescent="0.2">
      <c r="A94" s="5">
        <v>45992</v>
      </c>
      <c r="B94" t="s">
        <v>19</v>
      </c>
      <c r="C94" t="s">
        <v>18</v>
      </c>
      <c r="D94" t="s">
        <v>12</v>
      </c>
      <c r="E94">
        <v>48630.93</v>
      </c>
      <c r="F94">
        <v>1500</v>
      </c>
      <c r="G94">
        <v>6954.22</v>
      </c>
      <c r="H94">
        <v>82</v>
      </c>
    </row>
    <row r="95" spans="1:8" x14ac:dyDescent="0.2">
      <c r="A95" s="5">
        <v>45992</v>
      </c>
      <c r="B95" t="s">
        <v>19</v>
      </c>
      <c r="C95" t="s">
        <v>18</v>
      </c>
      <c r="D95" t="s">
        <v>13</v>
      </c>
      <c r="E95">
        <v>87929.25</v>
      </c>
      <c r="F95">
        <v>3457</v>
      </c>
      <c r="G95">
        <v>15123.83</v>
      </c>
      <c r="H95">
        <v>142</v>
      </c>
    </row>
    <row r="96" spans="1:8" x14ac:dyDescent="0.2">
      <c r="A96" s="5">
        <v>45992</v>
      </c>
      <c r="B96" t="s">
        <v>19</v>
      </c>
      <c r="C96" t="s">
        <v>18</v>
      </c>
      <c r="D96" t="s">
        <v>14</v>
      </c>
      <c r="E96">
        <v>99926.54</v>
      </c>
      <c r="F96">
        <v>2019</v>
      </c>
      <c r="G96">
        <v>11791.33</v>
      </c>
      <c r="H96">
        <v>91</v>
      </c>
    </row>
    <row r="97" spans="1:8" x14ac:dyDescent="0.2">
      <c r="A97" s="5">
        <v>45992</v>
      </c>
      <c r="B97" t="s">
        <v>19</v>
      </c>
      <c r="C97" t="s">
        <v>18</v>
      </c>
      <c r="D97" t="s">
        <v>15</v>
      </c>
      <c r="E97">
        <v>37093.71</v>
      </c>
      <c r="F97">
        <v>2931</v>
      </c>
      <c r="G97">
        <v>9792.74</v>
      </c>
      <c r="H97">
        <v>128</v>
      </c>
    </row>
    <row r="98" spans="1:8" x14ac:dyDescent="0.2">
      <c r="A98" s="5">
        <v>45992</v>
      </c>
      <c r="B98" t="s">
        <v>20</v>
      </c>
      <c r="C98" t="s">
        <v>21</v>
      </c>
      <c r="D98" t="s">
        <v>10</v>
      </c>
      <c r="E98">
        <v>59480.23</v>
      </c>
      <c r="F98">
        <v>3723</v>
      </c>
      <c r="G98">
        <v>13145.13</v>
      </c>
      <c r="H98">
        <v>168</v>
      </c>
    </row>
    <row r="99" spans="1:8" x14ac:dyDescent="0.2">
      <c r="A99" s="5">
        <v>45992</v>
      </c>
      <c r="B99" t="s">
        <v>20</v>
      </c>
      <c r="C99" t="s">
        <v>21</v>
      </c>
      <c r="D99" t="s">
        <v>11</v>
      </c>
      <c r="E99">
        <v>55511.8</v>
      </c>
      <c r="F99">
        <v>2471</v>
      </c>
      <c r="G99">
        <v>10824.8</v>
      </c>
      <c r="H99">
        <v>123</v>
      </c>
    </row>
    <row r="100" spans="1:8" x14ac:dyDescent="0.2">
      <c r="A100" s="5">
        <v>45992</v>
      </c>
      <c r="B100" t="s">
        <v>20</v>
      </c>
      <c r="C100" t="s">
        <v>21</v>
      </c>
      <c r="D100" t="s">
        <v>12</v>
      </c>
      <c r="E100">
        <v>54690.07</v>
      </c>
      <c r="F100">
        <v>1668</v>
      </c>
      <c r="G100">
        <v>7820.68</v>
      </c>
      <c r="H100">
        <v>82</v>
      </c>
    </row>
    <row r="101" spans="1:8" x14ac:dyDescent="0.2">
      <c r="A101" s="5">
        <v>45992</v>
      </c>
      <c r="B101" t="s">
        <v>20</v>
      </c>
      <c r="C101" t="s">
        <v>21</v>
      </c>
      <c r="D101" t="s">
        <v>13</v>
      </c>
      <c r="E101">
        <v>80442.55</v>
      </c>
      <c r="F101">
        <v>3213</v>
      </c>
      <c r="G101">
        <v>13836.12</v>
      </c>
      <c r="H101">
        <v>147</v>
      </c>
    </row>
    <row r="102" spans="1:8" x14ac:dyDescent="0.2">
      <c r="A102" s="5">
        <v>45992</v>
      </c>
      <c r="B102" t="s">
        <v>20</v>
      </c>
      <c r="C102" t="s">
        <v>21</v>
      </c>
      <c r="D102" t="s">
        <v>14</v>
      </c>
      <c r="E102">
        <v>99412.47</v>
      </c>
      <c r="F102">
        <v>1876</v>
      </c>
      <c r="G102">
        <v>11730.67</v>
      </c>
      <c r="H102">
        <v>90</v>
      </c>
    </row>
    <row r="103" spans="1:8" x14ac:dyDescent="0.2">
      <c r="A103" s="5">
        <v>45992</v>
      </c>
      <c r="B103" t="s">
        <v>20</v>
      </c>
      <c r="C103" t="s">
        <v>21</v>
      </c>
      <c r="D103" t="s">
        <v>15</v>
      </c>
      <c r="E103">
        <v>48536.81</v>
      </c>
      <c r="F103">
        <v>3793</v>
      </c>
      <c r="G103">
        <v>12813.72</v>
      </c>
      <c r="H103">
        <v>166</v>
      </c>
    </row>
    <row r="104" spans="1:8" x14ac:dyDescent="0.2">
      <c r="A104" s="5">
        <v>45992</v>
      </c>
      <c r="B104" t="s">
        <v>22</v>
      </c>
      <c r="C104" t="s">
        <v>21</v>
      </c>
      <c r="D104" t="s">
        <v>10</v>
      </c>
      <c r="E104">
        <v>32526.31</v>
      </c>
      <c r="F104">
        <v>2080</v>
      </c>
      <c r="G104">
        <v>7188.31</v>
      </c>
      <c r="H104">
        <v>98</v>
      </c>
    </row>
    <row r="105" spans="1:8" x14ac:dyDescent="0.2">
      <c r="A105" s="5">
        <v>45992</v>
      </c>
      <c r="B105" t="s">
        <v>22</v>
      </c>
      <c r="C105" t="s">
        <v>21</v>
      </c>
      <c r="D105" t="s">
        <v>11</v>
      </c>
      <c r="E105">
        <v>47956.43</v>
      </c>
      <c r="F105">
        <v>2260</v>
      </c>
      <c r="G105">
        <v>9351.5</v>
      </c>
      <c r="H105">
        <v>94</v>
      </c>
    </row>
    <row r="106" spans="1:8" x14ac:dyDescent="0.2">
      <c r="A106" s="5">
        <v>45992</v>
      </c>
      <c r="B106" t="s">
        <v>22</v>
      </c>
      <c r="C106" t="s">
        <v>21</v>
      </c>
      <c r="D106" t="s">
        <v>12</v>
      </c>
      <c r="E106">
        <v>49995.64</v>
      </c>
      <c r="F106">
        <v>1484</v>
      </c>
      <c r="G106">
        <v>7149.38</v>
      </c>
      <c r="H106">
        <v>76</v>
      </c>
    </row>
    <row r="107" spans="1:8" x14ac:dyDescent="0.2">
      <c r="A107" s="5">
        <v>45992</v>
      </c>
      <c r="B107" t="s">
        <v>22</v>
      </c>
      <c r="C107" t="s">
        <v>21</v>
      </c>
      <c r="D107" t="s">
        <v>13</v>
      </c>
      <c r="E107">
        <v>58051.95</v>
      </c>
      <c r="F107">
        <v>2292</v>
      </c>
      <c r="G107">
        <v>9984.94</v>
      </c>
      <c r="H107">
        <v>103</v>
      </c>
    </row>
    <row r="108" spans="1:8" x14ac:dyDescent="0.2">
      <c r="A108" s="5">
        <v>45992</v>
      </c>
      <c r="B108" t="s">
        <v>22</v>
      </c>
      <c r="C108" t="s">
        <v>21</v>
      </c>
      <c r="D108" t="s">
        <v>14</v>
      </c>
      <c r="E108">
        <v>72858.7</v>
      </c>
      <c r="F108">
        <v>1425</v>
      </c>
      <c r="G108">
        <v>8597.33</v>
      </c>
      <c r="H108">
        <v>67</v>
      </c>
    </row>
    <row r="109" spans="1:8" x14ac:dyDescent="0.2">
      <c r="A109" s="5">
        <v>45992</v>
      </c>
      <c r="B109" t="s">
        <v>22</v>
      </c>
      <c r="C109" t="s">
        <v>21</v>
      </c>
      <c r="D109" t="s">
        <v>15</v>
      </c>
      <c r="E109">
        <v>32047.8</v>
      </c>
      <c r="F109">
        <v>2513</v>
      </c>
      <c r="G109">
        <v>8460.6200000000008</v>
      </c>
      <c r="H109">
        <v>115</v>
      </c>
    </row>
    <row r="110" spans="1:8" x14ac:dyDescent="0.2">
      <c r="A110" s="5">
        <v>46023</v>
      </c>
      <c r="B110" t="s">
        <v>8</v>
      </c>
      <c r="C110" t="s">
        <v>9</v>
      </c>
      <c r="D110" t="s">
        <v>10</v>
      </c>
      <c r="E110">
        <v>61069.46</v>
      </c>
      <c r="F110">
        <v>3817</v>
      </c>
      <c r="G110">
        <v>13496.35</v>
      </c>
      <c r="H110">
        <v>182</v>
      </c>
    </row>
    <row r="111" spans="1:8" x14ac:dyDescent="0.2">
      <c r="A111" s="5">
        <v>46023</v>
      </c>
      <c r="B111" t="s">
        <v>8</v>
      </c>
      <c r="C111" t="s">
        <v>9</v>
      </c>
      <c r="D111" t="s">
        <v>11</v>
      </c>
      <c r="E111">
        <v>54666.33</v>
      </c>
      <c r="F111">
        <v>2578</v>
      </c>
      <c r="G111">
        <v>10659.93</v>
      </c>
      <c r="H111">
        <v>139</v>
      </c>
    </row>
    <row r="112" spans="1:8" x14ac:dyDescent="0.2">
      <c r="A112" s="5">
        <v>46023</v>
      </c>
      <c r="B112" t="s">
        <v>8</v>
      </c>
      <c r="C112" t="s">
        <v>9</v>
      </c>
      <c r="D112" t="s">
        <v>12</v>
      </c>
      <c r="E112">
        <v>92973.63</v>
      </c>
      <c r="F112">
        <v>2633</v>
      </c>
      <c r="G112">
        <v>13295.23</v>
      </c>
      <c r="H112">
        <v>144</v>
      </c>
    </row>
    <row r="113" spans="1:8" x14ac:dyDescent="0.2">
      <c r="A113" s="5">
        <v>46023</v>
      </c>
      <c r="B113" t="s">
        <v>8</v>
      </c>
      <c r="C113" t="s">
        <v>9</v>
      </c>
      <c r="D113" t="s">
        <v>13</v>
      </c>
      <c r="E113">
        <v>121150.6</v>
      </c>
      <c r="F113">
        <v>4687</v>
      </c>
      <c r="G113">
        <v>20837.900000000001</v>
      </c>
      <c r="H113">
        <v>224</v>
      </c>
    </row>
    <row r="114" spans="1:8" x14ac:dyDescent="0.2">
      <c r="A114" s="5">
        <v>46023</v>
      </c>
      <c r="B114" t="s">
        <v>8</v>
      </c>
      <c r="C114" t="s">
        <v>9</v>
      </c>
      <c r="D114" t="s">
        <v>14</v>
      </c>
      <c r="E114">
        <v>179429.74</v>
      </c>
      <c r="F114">
        <v>3342</v>
      </c>
      <c r="G114">
        <v>21172.71</v>
      </c>
      <c r="H114">
        <v>144</v>
      </c>
    </row>
    <row r="115" spans="1:8" x14ac:dyDescent="0.2">
      <c r="A115" s="5">
        <v>46023</v>
      </c>
      <c r="B115" t="s">
        <v>8</v>
      </c>
      <c r="C115" t="s">
        <v>9</v>
      </c>
      <c r="D115" t="s">
        <v>15</v>
      </c>
      <c r="E115">
        <v>51581.23</v>
      </c>
      <c r="F115">
        <v>4050</v>
      </c>
      <c r="G115">
        <v>13617.44</v>
      </c>
      <c r="H115">
        <v>195</v>
      </c>
    </row>
    <row r="116" spans="1:8" x14ac:dyDescent="0.2">
      <c r="A116" s="5">
        <v>46023</v>
      </c>
      <c r="B116" t="s">
        <v>16</v>
      </c>
      <c r="C116" t="s">
        <v>9</v>
      </c>
      <c r="D116" t="s">
        <v>10</v>
      </c>
      <c r="E116">
        <v>35745.980000000003</v>
      </c>
      <c r="F116">
        <v>2267</v>
      </c>
      <c r="G116">
        <v>7899.86</v>
      </c>
      <c r="H116">
        <v>110</v>
      </c>
    </row>
    <row r="117" spans="1:8" x14ac:dyDescent="0.2">
      <c r="A117" s="5">
        <v>46023</v>
      </c>
      <c r="B117" t="s">
        <v>16</v>
      </c>
      <c r="C117" t="s">
        <v>9</v>
      </c>
      <c r="D117" t="s">
        <v>11</v>
      </c>
      <c r="E117">
        <v>40404.5</v>
      </c>
      <c r="F117">
        <v>2033</v>
      </c>
      <c r="G117">
        <v>7878.88</v>
      </c>
      <c r="H117">
        <v>95</v>
      </c>
    </row>
    <row r="118" spans="1:8" x14ac:dyDescent="0.2">
      <c r="A118" s="5">
        <v>46023</v>
      </c>
      <c r="B118" t="s">
        <v>16</v>
      </c>
      <c r="C118" t="s">
        <v>9</v>
      </c>
      <c r="D118" t="s">
        <v>12</v>
      </c>
      <c r="E118">
        <v>53926.080000000002</v>
      </c>
      <c r="F118">
        <v>1554</v>
      </c>
      <c r="G118">
        <v>7711.43</v>
      </c>
      <c r="H118">
        <v>78</v>
      </c>
    </row>
    <row r="119" spans="1:8" x14ac:dyDescent="0.2">
      <c r="A119" s="5">
        <v>46023</v>
      </c>
      <c r="B119" t="s">
        <v>16</v>
      </c>
      <c r="C119" t="s">
        <v>9</v>
      </c>
      <c r="D119" t="s">
        <v>13</v>
      </c>
      <c r="E119">
        <v>75556.81</v>
      </c>
      <c r="F119">
        <v>3093</v>
      </c>
      <c r="G119">
        <v>12995.77</v>
      </c>
      <c r="H119">
        <v>137</v>
      </c>
    </row>
    <row r="120" spans="1:8" x14ac:dyDescent="0.2">
      <c r="A120" s="5">
        <v>46023</v>
      </c>
      <c r="B120" t="s">
        <v>16</v>
      </c>
      <c r="C120" t="s">
        <v>9</v>
      </c>
      <c r="D120" t="s">
        <v>14</v>
      </c>
      <c r="E120">
        <v>85696.35</v>
      </c>
      <c r="F120">
        <v>1594</v>
      </c>
      <c r="G120">
        <v>10112.17</v>
      </c>
      <c r="H120">
        <v>79</v>
      </c>
    </row>
    <row r="121" spans="1:8" x14ac:dyDescent="0.2">
      <c r="A121" s="5">
        <v>46023</v>
      </c>
      <c r="B121" t="s">
        <v>16</v>
      </c>
      <c r="C121" t="s">
        <v>9</v>
      </c>
      <c r="D121" t="s">
        <v>15</v>
      </c>
      <c r="E121">
        <v>28456.89</v>
      </c>
      <c r="F121">
        <v>2274</v>
      </c>
      <c r="G121">
        <v>7512.62</v>
      </c>
      <c r="H121">
        <v>106</v>
      </c>
    </row>
    <row r="122" spans="1:8" x14ac:dyDescent="0.2">
      <c r="A122" s="5">
        <v>46023</v>
      </c>
      <c r="B122" t="s">
        <v>17</v>
      </c>
      <c r="C122" t="s">
        <v>18</v>
      </c>
      <c r="D122" t="s">
        <v>10</v>
      </c>
      <c r="E122">
        <v>44044.77</v>
      </c>
      <c r="F122">
        <v>2790</v>
      </c>
      <c r="G122">
        <v>9733.89</v>
      </c>
      <c r="H122">
        <v>131</v>
      </c>
    </row>
    <row r="123" spans="1:8" x14ac:dyDescent="0.2">
      <c r="A123" s="5">
        <v>46023</v>
      </c>
      <c r="B123" t="s">
        <v>17</v>
      </c>
      <c r="C123" t="s">
        <v>18</v>
      </c>
      <c r="D123" t="s">
        <v>11</v>
      </c>
      <c r="E123">
        <v>46438.76</v>
      </c>
      <c r="F123">
        <v>2274</v>
      </c>
      <c r="G123">
        <v>9055.56</v>
      </c>
      <c r="H123">
        <v>105</v>
      </c>
    </row>
    <row r="124" spans="1:8" x14ac:dyDescent="0.2">
      <c r="A124" s="5">
        <v>46023</v>
      </c>
      <c r="B124" t="s">
        <v>17</v>
      </c>
      <c r="C124" t="s">
        <v>18</v>
      </c>
      <c r="D124" t="s">
        <v>12</v>
      </c>
      <c r="E124">
        <v>48208.45</v>
      </c>
      <c r="F124">
        <v>1506</v>
      </c>
      <c r="G124">
        <v>6893.81</v>
      </c>
      <c r="H124">
        <v>71</v>
      </c>
    </row>
    <row r="125" spans="1:8" x14ac:dyDescent="0.2">
      <c r="A125" s="5">
        <v>46023</v>
      </c>
      <c r="B125" t="s">
        <v>17</v>
      </c>
      <c r="C125" t="s">
        <v>18</v>
      </c>
      <c r="D125" t="s">
        <v>13</v>
      </c>
      <c r="E125">
        <v>82708.33</v>
      </c>
      <c r="F125">
        <v>3114</v>
      </c>
      <c r="G125">
        <v>14225.83</v>
      </c>
      <c r="H125">
        <v>136</v>
      </c>
    </row>
    <row r="126" spans="1:8" x14ac:dyDescent="0.2">
      <c r="A126" s="5">
        <v>46023</v>
      </c>
      <c r="B126" t="s">
        <v>17</v>
      </c>
      <c r="C126" t="s">
        <v>18</v>
      </c>
      <c r="D126" t="s">
        <v>14</v>
      </c>
      <c r="E126">
        <v>101165.31</v>
      </c>
      <c r="F126">
        <v>1833</v>
      </c>
      <c r="G126">
        <v>11937.51</v>
      </c>
      <c r="H126">
        <v>94</v>
      </c>
    </row>
    <row r="127" spans="1:8" x14ac:dyDescent="0.2">
      <c r="A127" s="5">
        <v>46023</v>
      </c>
      <c r="B127" t="s">
        <v>17</v>
      </c>
      <c r="C127" t="s">
        <v>18</v>
      </c>
      <c r="D127" t="s">
        <v>15</v>
      </c>
      <c r="E127">
        <v>37568.269999999997</v>
      </c>
      <c r="F127">
        <v>2892</v>
      </c>
      <c r="G127">
        <v>9918.02</v>
      </c>
      <c r="H127">
        <v>137</v>
      </c>
    </row>
    <row r="128" spans="1:8" x14ac:dyDescent="0.2">
      <c r="A128" s="5">
        <v>46023</v>
      </c>
      <c r="B128" t="s">
        <v>19</v>
      </c>
      <c r="C128" t="s">
        <v>18</v>
      </c>
      <c r="D128" t="s">
        <v>10</v>
      </c>
      <c r="E128">
        <v>35994.99</v>
      </c>
      <c r="F128">
        <v>2158</v>
      </c>
      <c r="G128">
        <v>7954.89</v>
      </c>
      <c r="H128">
        <v>96</v>
      </c>
    </row>
    <row r="129" spans="1:8" x14ac:dyDescent="0.2">
      <c r="A129" s="5">
        <v>46023</v>
      </c>
      <c r="B129" t="s">
        <v>19</v>
      </c>
      <c r="C129" t="s">
        <v>18</v>
      </c>
      <c r="D129" t="s">
        <v>11</v>
      </c>
      <c r="E129">
        <v>35043.269999999997</v>
      </c>
      <c r="F129">
        <v>1676</v>
      </c>
      <c r="G129">
        <v>6833.44</v>
      </c>
      <c r="H129">
        <v>75</v>
      </c>
    </row>
    <row r="130" spans="1:8" x14ac:dyDescent="0.2">
      <c r="A130" s="5">
        <v>46023</v>
      </c>
      <c r="B130" t="s">
        <v>19</v>
      </c>
      <c r="C130" t="s">
        <v>18</v>
      </c>
      <c r="D130" t="s">
        <v>12</v>
      </c>
      <c r="E130">
        <v>52597.86</v>
      </c>
      <c r="F130">
        <v>1588</v>
      </c>
      <c r="G130">
        <v>7521.49</v>
      </c>
      <c r="H130">
        <v>69</v>
      </c>
    </row>
    <row r="131" spans="1:8" x14ac:dyDescent="0.2">
      <c r="A131" s="5">
        <v>46023</v>
      </c>
      <c r="B131" t="s">
        <v>19</v>
      </c>
      <c r="C131" t="s">
        <v>18</v>
      </c>
      <c r="D131" t="s">
        <v>13</v>
      </c>
      <c r="E131">
        <v>47791.28</v>
      </c>
      <c r="F131">
        <v>2019</v>
      </c>
      <c r="G131">
        <v>8220.1</v>
      </c>
      <c r="H131">
        <v>100</v>
      </c>
    </row>
    <row r="132" spans="1:8" x14ac:dyDescent="0.2">
      <c r="A132" s="5">
        <v>46023</v>
      </c>
      <c r="B132" t="s">
        <v>19</v>
      </c>
      <c r="C132" t="s">
        <v>18</v>
      </c>
      <c r="D132" t="s">
        <v>14</v>
      </c>
      <c r="E132">
        <v>73485.45</v>
      </c>
      <c r="F132">
        <v>1442</v>
      </c>
      <c r="G132">
        <v>8671.2800000000007</v>
      </c>
      <c r="H132">
        <v>66</v>
      </c>
    </row>
    <row r="133" spans="1:8" x14ac:dyDescent="0.2">
      <c r="A133" s="5">
        <v>46023</v>
      </c>
      <c r="B133" t="s">
        <v>19</v>
      </c>
      <c r="C133" t="s">
        <v>18</v>
      </c>
      <c r="D133" t="s">
        <v>15</v>
      </c>
      <c r="E133">
        <v>28730.63</v>
      </c>
      <c r="F133">
        <v>2159</v>
      </c>
      <c r="G133">
        <v>7584.89</v>
      </c>
      <c r="H133">
        <v>94</v>
      </c>
    </row>
    <row r="134" spans="1:8" x14ac:dyDescent="0.2">
      <c r="A134" s="5">
        <v>46023</v>
      </c>
      <c r="B134" t="s">
        <v>20</v>
      </c>
      <c r="C134" t="s">
        <v>21</v>
      </c>
      <c r="D134" t="s">
        <v>10</v>
      </c>
      <c r="E134">
        <v>50692.55</v>
      </c>
      <c r="F134">
        <v>3269</v>
      </c>
      <c r="G134">
        <v>11203.05</v>
      </c>
      <c r="H134">
        <v>128</v>
      </c>
    </row>
    <row r="135" spans="1:8" x14ac:dyDescent="0.2">
      <c r="A135" s="5">
        <v>46023</v>
      </c>
      <c r="B135" t="s">
        <v>20</v>
      </c>
      <c r="C135" t="s">
        <v>21</v>
      </c>
      <c r="D135" t="s">
        <v>11</v>
      </c>
      <c r="E135">
        <v>32778.339999999997</v>
      </c>
      <c r="F135">
        <v>1591</v>
      </c>
      <c r="G135">
        <v>6391.78</v>
      </c>
      <c r="H135">
        <v>80</v>
      </c>
    </row>
    <row r="136" spans="1:8" x14ac:dyDescent="0.2">
      <c r="A136" s="5">
        <v>46023</v>
      </c>
      <c r="B136" t="s">
        <v>20</v>
      </c>
      <c r="C136" t="s">
        <v>21</v>
      </c>
      <c r="D136" t="s">
        <v>12</v>
      </c>
      <c r="E136">
        <v>41448.160000000003</v>
      </c>
      <c r="F136">
        <v>1243</v>
      </c>
      <c r="G136">
        <v>5927.09</v>
      </c>
      <c r="H136">
        <v>66</v>
      </c>
    </row>
    <row r="137" spans="1:8" x14ac:dyDescent="0.2">
      <c r="A137" s="5">
        <v>46023</v>
      </c>
      <c r="B137" t="s">
        <v>20</v>
      </c>
      <c r="C137" t="s">
        <v>21</v>
      </c>
      <c r="D137" t="s">
        <v>13</v>
      </c>
      <c r="E137">
        <v>55742.53</v>
      </c>
      <c r="F137">
        <v>2185</v>
      </c>
      <c r="G137">
        <v>9587.7199999999993</v>
      </c>
      <c r="H137">
        <v>120</v>
      </c>
    </row>
    <row r="138" spans="1:8" x14ac:dyDescent="0.2">
      <c r="A138" s="5">
        <v>46023</v>
      </c>
      <c r="B138" t="s">
        <v>20</v>
      </c>
      <c r="C138" t="s">
        <v>21</v>
      </c>
      <c r="D138" t="s">
        <v>14</v>
      </c>
      <c r="E138">
        <v>83922.45</v>
      </c>
      <c r="F138">
        <v>1466</v>
      </c>
      <c r="G138">
        <v>9902.85</v>
      </c>
      <c r="H138">
        <v>83</v>
      </c>
    </row>
    <row r="139" spans="1:8" x14ac:dyDescent="0.2">
      <c r="A139" s="5">
        <v>46023</v>
      </c>
      <c r="B139" t="s">
        <v>20</v>
      </c>
      <c r="C139" t="s">
        <v>21</v>
      </c>
      <c r="D139" t="s">
        <v>15</v>
      </c>
      <c r="E139">
        <v>38136.68</v>
      </c>
      <c r="F139">
        <v>3028</v>
      </c>
      <c r="G139">
        <v>10068.08</v>
      </c>
      <c r="H139">
        <v>131</v>
      </c>
    </row>
    <row r="140" spans="1:8" x14ac:dyDescent="0.2">
      <c r="A140" s="5">
        <v>46023</v>
      </c>
      <c r="B140" t="s">
        <v>22</v>
      </c>
      <c r="C140" t="s">
        <v>21</v>
      </c>
      <c r="D140" t="s">
        <v>10</v>
      </c>
      <c r="E140">
        <v>21770.52</v>
      </c>
      <c r="F140">
        <v>1396</v>
      </c>
      <c r="G140">
        <v>4811.28</v>
      </c>
      <c r="H140">
        <v>75</v>
      </c>
    </row>
    <row r="141" spans="1:8" x14ac:dyDescent="0.2">
      <c r="A141" s="5">
        <v>46023</v>
      </c>
      <c r="B141" t="s">
        <v>22</v>
      </c>
      <c r="C141" t="s">
        <v>21</v>
      </c>
      <c r="D141" t="s">
        <v>11</v>
      </c>
      <c r="E141">
        <v>37672.71</v>
      </c>
      <c r="F141">
        <v>1736</v>
      </c>
      <c r="G141">
        <v>7346.18</v>
      </c>
      <c r="H141">
        <v>74</v>
      </c>
    </row>
    <row r="142" spans="1:8" x14ac:dyDescent="0.2">
      <c r="A142" s="5">
        <v>46023</v>
      </c>
      <c r="B142" t="s">
        <v>22</v>
      </c>
      <c r="C142" t="s">
        <v>21</v>
      </c>
      <c r="D142" t="s">
        <v>12</v>
      </c>
      <c r="E142">
        <v>34437.26</v>
      </c>
      <c r="F142">
        <v>1101</v>
      </c>
      <c r="G142">
        <v>4924.53</v>
      </c>
      <c r="H142">
        <v>50</v>
      </c>
    </row>
    <row r="143" spans="1:8" x14ac:dyDescent="0.2">
      <c r="A143" s="5">
        <v>46023</v>
      </c>
      <c r="B143" t="s">
        <v>22</v>
      </c>
      <c r="C143" t="s">
        <v>21</v>
      </c>
      <c r="D143" t="s">
        <v>13</v>
      </c>
      <c r="E143">
        <v>51676.98</v>
      </c>
      <c r="F143">
        <v>1972</v>
      </c>
      <c r="G143">
        <v>8888.44</v>
      </c>
      <c r="H143">
        <v>89</v>
      </c>
    </row>
    <row r="144" spans="1:8" x14ac:dyDescent="0.2">
      <c r="A144" s="5">
        <v>46023</v>
      </c>
      <c r="B144" t="s">
        <v>22</v>
      </c>
      <c r="C144" t="s">
        <v>21</v>
      </c>
      <c r="D144" t="s">
        <v>14</v>
      </c>
      <c r="E144">
        <v>60422.43</v>
      </c>
      <c r="F144">
        <v>1145</v>
      </c>
      <c r="G144">
        <v>7129.85</v>
      </c>
      <c r="H144">
        <v>62</v>
      </c>
    </row>
    <row r="145" spans="1:8" x14ac:dyDescent="0.2">
      <c r="A145" s="5">
        <v>46023</v>
      </c>
      <c r="B145" t="s">
        <v>22</v>
      </c>
      <c r="C145" t="s">
        <v>21</v>
      </c>
      <c r="D145" t="s">
        <v>15</v>
      </c>
      <c r="E145">
        <v>22394.59</v>
      </c>
      <c r="F145">
        <v>1606</v>
      </c>
      <c r="G145">
        <v>5912.17</v>
      </c>
      <c r="H145">
        <v>81</v>
      </c>
    </row>
    <row r="146" spans="1:8" x14ac:dyDescent="0.2">
      <c r="A146" s="5">
        <v>46054</v>
      </c>
      <c r="B146" t="s">
        <v>8</v>
      </c>
      <c r="C146" t="s">
        <v>9</v>
      </c>
      <c r="D146" t="s">
        <v>10</v>
      </c>
      <c r="E146">
        <v>66257.81</v>
      </c>
      <c r="F146">
        <v>3822</v>
      </c>
      <c r="G146">
        <v>14642.98</v>
      </c>
      <c r="H146">
        <v>177</v>
      </c>
    </row>
    <row r="147" spans="1:8" x14ac:dyDescent="0.2">
      <c r="A147" s="5">
        <v>46054</v>
      </c>
      <c r="B147" t="s">
        <v>8</v>
      </c>
      <c r="C147" t="s">
        <v>9</v>
      </c>
      <c r="D147" t="s">
        <v>11</v>
      </c>
      <c r="E147">
        <v>72849.23</v>
      </c>
      <c r="F147">
        <v>3423</v>
      </c>
      <c r="G147">
        <v>14205.6</v>
      </c>
      <c r="H147">
        <v>161</v>
      </c>
    </row>
    <row r="148" spans="1:8" x14ac:dyDescent="0.2">
      <c r="A148" s="5">
        <v>46054</v>
      </c>
      <c r="B148" t="s">
        <v>8</v>
      </c>
      <c r="C148" t="s">
        <v>9</v>
      </c>
      <c r="D148" t="s">
        <v>12</v>
      </c>
      <c r="E148">
        <v>97797.94</v>
      </c>
      <c r="F148">
        <v>2827</v>
      </c>
      <c r="G148">
        <v>13985.11</v>
      </c>
      <c r="H148">
        <v>135</v>
      </c>
    </row>
    <row r="149" spans="1:8" x14ac:dyDescent="0.2">
      <c r="A149" s="5">
        <v>46054</v>
      </c>
      <c r="B149" t="s">
        <v>8</v>
      </c>
      <c r="C149" t="s">
        <v>9</v>
      </c>
      <c r="D149" t="s">
        <v>13</v>
      </c>
      <c r="E149">
        <v>127629.66</v>
      </c>
      <c r="F149">
        <v>4875</v>
      </c>
      <c r="G149">
        <v>21952.3</v>
      </c>
      <c r="H149">
        <v>208</v>
      </c>
    </row>
    <row r="150" spans="1:8" x14ac:dyDescent="0.2">
      <c r="A150" s="5">
        <v>46054</v>
      </c>
      <c r="B150" t="s">
        <v>8</v>
      </c>
      <c r="C150" t="s">
        <v>9</v>
      </c>
      <c r="D150" t="s">
        <v>14</v>
      </c>
      <c r="E150">
        <v>166203.20000000001</v>
      </c>
      <c r="F150">
        <v>3175</v>
      </c>
      <c r="G150">
        <v>19611.98</v>
      </c>
      <c r="H150">
        <v>145</v>
      </c>
    </row>
    <row r="151" spans="1:8" x14ac:dyDescent="0.2">
      <c r="A151" s="5">
        <v>46054</v>
      </c>
      <c r="B151" t="s">
        <v>8</v>
      </c>
      <c r="C151" t="s">
        <v>9</v>
      </c>
      <c r="D151" t="s">
        <v>15</v>
      </c>
      <c r="E151">
        <v>55770.66</v>
      </c>
      <c r="F151">
        <v>4327</v>
      </c>
      <c r="G151">
        <v>14723.45</v>
      </c>
      <c r="H151">
        <v>200</v>
      </c>
    </row>
    <row r="152" spans="1:8" x14ac:dyDescent="0.2">
      <c r="A152" s="5">
        <v>46054</v>
      </c>
      <c r="B152" t="s">
        <v>16</v>
      </c>
      <c r="C152" t="s">
        <v>9</v>
      </c>
      <c r="D152" t="s">
        <v>10</v>
      </c>
      <c r="E152">
        <v>35225.339999999997</v>
      </c>
      <c r="F152">
        <v>2476</v>
      </c>
      <c r="G152">
        <v>7784.8</v>
      </c>
      <c r="H152">
        <v>106</v>
      </c>
    </row>
    <row r="153" spans="1:8" x14ac:dyDescent="0.2">
      <c r="A153" s="5">
        <v>46054</v>
      </c>
      <c r="B153" t="s">
        <v>16</v>
      </c>
      <c r="C153" t="s">
        <v>9</v>
      </c>
      <c r="D153" t="s">
        <v>11</v>
      </c>
      <c r="E153">
        <v>49665.59</v>
      </c>
      <c r="F153">
        <v>2242</v>
      </c>
      <c r="G153">
        <v>9684.7900000000009</v>
      </c>
      <c r="H153">
        <v>108</v>
      </c>
    </row>
    <row r="154" spans="1:8" x14ac:dyDescent="0.2">
      <c r="A154" s="5">
        <v>46054</v>
      </c>
      <c r="B154" t="s">
        <v>16</v>
      </c>
      <c r="C154" t="s">
        <v>9</v>
      </c>
      <c r="D154" t="s">
        <v>12</v>
      </c>
      <c r="E154">
        <v>57457.81</v>
      </c>
      <c r="F154">
        <v>1625</v>
      </c>
      <c r="G154">
        <v>8216.4699999999993</v>
      </c>
      <c r="H154">
        <v>78</v>
      </c>
    </row>
    <row r="155" spans="1:8" x14ac:dyDescent="0.2">
      <c r="A155" s="5">
        <v>46054</v>
      </c>
      <c r="B155" t="s">
        <v>16</v>
      </c>
      <c r="C155" t="s">
        <v>9</v>
      </c>
      <c r="D155" t="s">
        <v>13</v>
      </c>
      <c r="E155">
        <v>73391.09</v>
      </c>
      <c r="F155">
        <v>2977</v>
      </c>
      <c r="G155">
        <v>12623.27</v>
      </c>
      <c r="H155">
        <v>134</v>
      </c>
    </row>
    <row r="156" spans="1:8" x14ac:dyDescent="0.2">
      <c r="A156" s="5">
        <v>46054</v>
      </c>
      <c r="B156" t="s">
        <v>16</v>
      </c>
      <c r="C156" t="s">
        <v>9</v>
      </c>
      <c r="D156" t="s">
        <v>14</v>
      </c>
      <c r="E156">
        <v>90491.02</v>
      </c>
      <c r="F156">
        <v>1641</v>
      </c>
      <c r="G156">
        <v>10677.94</v>
      </c>
      <c r="H156">
        <v>75</v>
      </c>
    </row>
    <row r="157" spans="1:8" x14ac:dyDescent="0.2">
      <c r="A157" s="5">
        <v>46054</v>
      </c>
      <c r="B157" t="s">
        <v>16</v>
      </c>
      <c r="C157" t="s">
        <v>9</v>
      </c>
      <c r="D157" t="s">
        <v>15</v>
      </c>
      <c r="E157">
        <v>33845.760000000002</v>
      </c>
      <c r="F157">
        <v>2484</v>
      </c>
      <c r="G157">
        <v>8935.2800000000007</v>
      </c>
      <c r="H157">
        <v>109</v>
      </c>
    </row>
    <row r="158" spans="1:8" x14ac:dyDescent="0.2">
      <c r="A158" s="5">
        <v>46054</v>
      </c>
      <c r="B158" t="s">
        <v>17</v>
      </c>
      <c r="C158" t="s">
        <v>18</v>
      </c>
      <c r="D158" t="s">
        <v>10</v>
      </c>
      <c r="E158">
        <v>42690.53</v>
      </c>
      <c r="F158">
        <v>2756</v>
      </c>
      <c r="G158">
        <v>9434.61</v>
      </c>
      <c r="H158">
        <v>132</v>
      </c>
    </row>
    <row r="159" spans="1:8" x14ac:dyDescent="0.2">
      <c r="A159" s="5">
        <v>46054</v>
      </c>
      <c r="B159" t="s">
        <v>17</v>
      </c>
      <c r="C159" t="s">
        <v>18</v>
      </c>
      <c r="D159" t="s">
        <v>11</v>
      </c>
      <c r="E159">
        <v>48024.84</v>
      </c>
      <c r="F159">
        <v>2236</v>
      </c>
      <c r="G159">
        <v>9364.84</v>
      </c>
      <c r="H159">
        <v>103</v>
      </c>
    </row>
    <row r="160" spans="1:8" x14ac:dyDescent="0.2">
      <c r="A160" s="5">
        <v>46054</v>
      </c>
      <c r="B160" t="s">
        <v>17</v>
      </c>
      <c r="C160" t="s">
        <v>18</v>
      </c>
      <c r="D160" t="s">
        <v>12</v>
      </c>
      <c r="E160">
        <v>53876.86</v>
      </c>
      <c r="F160">
        <v>1512</v>
      </c>
      <c r="G160">
        <v>7704.39</v>
      </c>
      <c r="H160">
        <v>86</v>
      </c>
    </row>
    <row r="161" spans="1:8" x14ac:dyDescent="0.2">
      <c r="A161" s="5">
        <v>46054</v>
      </c>
      <c r="B161" t="s">
        <v>17</v>
      </c>
      <c r="C161" t="s">
        <v>18</v>
      </c>
      <c r="D161" t="s">
        <v>13</v>
      </c>
      <c r="E161">
        <v>70898.87</v>
      </c>
      <c r="F161">
        <v>2659</v>
      </c>
      <c r="G161">
        <v>12194.61</v>
      </c>
      <c r="H161">
        <v>126</v>
      </c>
    </row>
    <row r="162" spans="1:8" x14ac:dyDescent="0.2">
      <c r="A162" s="5">
        <v>46054</v>
      </c>
      <c r="B162" t="s">
        <v>17</v>
      </c>
      <c r="C162" t="s">
        <v>18</v>
      </c>
      <c r="D162" t="s">
        <v>14</v>
      </c>
      <c r="E162">
        <v>88538.7</v>
      </c>
      <c r="F162">
        <v>1835</v>
      </c>
      <c r="G162">
        <v>10447.57</v>
      </c>
      <c r="H162">
        <v>91</v>
      </c>
    </row>
    <row r="163" spans="1:8" x14ac:dyDescent="0.2">
      <c r="A163" s="5">
        <v>46054</v>
      </c>
      <c r="B163" t="s">
        <v>17</v>
      </c>
      <c r="C163" t="s">
        <v>18</v>
      </c>
      <c r="D163" t="s">
        <v>15</v>
      </c>
      <c r="E163">
        <v>39534.26</v>
      </c>
      <c r="F163">
        <v>2939</v>
      </c>
      <c r="G163">
        <v>10437.040000000001</v>
      </c>
      <c r="H163">
        <v>133</v>
      </c>
    </row>
    <row r="164" spans="1:8" x14ac:dyDescent="0.2">
      <c r="A164" s="5">
        <v>46054</v>
      </c>
      <c r="B164" t="s">
        <v>19</v>
      </c>
      <c r="C164" t="s">
        <v>18</v>
      </c>
      <c r="D164" t="s">
        <v>10</v>
      </c>
      <c r="E164">
        <v>29555.8</v>
      </c>
      <c r="F164">
        <v>1847</v>
      </c>
      <c r="G164">
        <v>6531.83</v>
      </c>
      <c r="H164">
        <v>85</v>
      </c>
    </row>
    <row r="165" spans="1:8" x14ac:dyDescent="0.2">
      <c r="A165" s="5">
        <v>46054</v>
      </c>
      <c r="B165" t="s">
        <v>19</v>
      </c>
      <c r="C165" t="s">
        <v>18</v>
      </c>
      <c r="D165" t="s">
        <v>11</v>
      </c>
      <c r="E165">
        <v>30287.42</v>
      </c>
      <c r="F165">
        <v>1350</v>
      </c>
      <c r="G165">
        <v>5906.05</v>
      </c>
      <c r="H165">
        <v>70</v>
      </c>
    </row>
    <row r="166" spans="1:8" x14ac:dyDescent="0.2">
      <c r="A166" s="5">
        <v>46054</v>
      </c>
      <c r="B166" t="s">
        <v>19</v>
      </c>
      <c r="C166" t="s">
        <v>18</v>
      </c>
      <c r="D166" t="s">
        <v>12</v>
      </c>
      <c r="E166">
        <v>51850.67</v>
      </c>
      <c r="F166">
        <v>1568</v>
      </c>
      <c r="G166">
        <v>7414.65</v>
      </c>
      <c r="H166">
        <v>77</v>
      </c>
    </row>
    <row r="167" spans="1:8" x14ac:dyDescent="0.2">
      <c r="A167" s="5">
        <v>46054</v>
      </c>
      <c r="B167" t="s">
        <v>19</v>
      </c>
      <c r="C167" t="s">
        <v>18</v>
      </c>
      <c r="D167" t="s">
        <v>13</v>
      </c>
      <c r="E167">
        <v>57607.51</v>
      </c>
      <c r="F167">
        <v>2380</v>
      </c>
      <c r="G167">
        <v>9908.49</v>
      </c>
      <c r="H167">
        <v>99</v>
      </c>
    </row>
    <row r="168" spans="1:8" x14ac:dyDescent="0.2">
      <c r="A168" s="5">
        <v>46054</v>
      </c>
      <c r="B168" t="s">
        <v>19</v>
      </c>
      <c r="C168" t="s">
        <v>18</v>
      </c>
      <c r="D168" t="s">
        <v>14</v>
      </c>
      <c r="E168">
        <v>62746.93</v>
      </c>
      <c r="F168">
        <v>1199</v>
      </c>
      <c r="G168">
        <v>7404.14</v>
      </c>
      <c r="H168">
        <v>63</v>
      </c>
    </row>
    <row r="169" spans="1:8" x14ac:dyDescent="0.2">
      <c r="A169" s="5">
        <v>46054</v>
      </c>
      <c r="B169" t="s">
        <v>19</v>
      </c>
      <c r="C169" t="s">
        <v>18</v>
      </c>
      <c r="D169" t="s">
        <v>15</v>
      </c>
      <c r="E169">
        <v>29070.59</v>
      </c>
      <c r="F169">
        <v>2181</v>
      </c>
      <c r="G169">
        <v>7674.64</v>
      </c>
      <c r="H169">
        <v>98</v>
      </c>
    </row>
    <row r="170" spans="1:8" x14ac:dyDescent="0.2">
      <c r="A170" s="5">
        <v>46054</v>
      </c>
      <c r="B170" t="s">
        <v>20</v>
      </c>
      <c r="C170" t="s">
        <v>21</v>
      </c>
      <c r="D170" t="s">
        <v>10</v>
      </c>
      <c r="E170">
        <v>42677.7</v>
      </c>
      <c r="F170">
        <v>2641</v>
      </c>
      <c r="G170">
        <v>9431.77</v>
      </c>
      <c r="H170">
        <v>131</v>
      </c>
    </row>
    <row r="171" spans="1:8" x14ac:dyDescent="0.2">
      <c r="A171" s="5">
        <v>46054</v>
      </c>
      <c r="B171" t="s">
        <v>20</v>
      </c>
      <c r="C171" t="s">
        <v>21</v>
      </c>
      <c r="D171" t="s">
        <v>11</v>
      </c>
      <c r="E171">
        <v>34087.94</v>
      </c>
      <c r="F171">
        <v>1571</v>
      </c>
      <c r="G171">
        <v>6647.15</v>
      </c>
      <c r="H171">
        <v>87</v>
      </c>
    </row>
    <row r="172" spans="1:8" x14ac:dyDescent="0.2">
      <c r="A172" s="5">
        <v>46054</v>
      </c>
      <c r="B172" t="s">
        <v>20</v>
      </c>
      <c r="C172" t="s">
        <v>21</v>
      </c>
      <c r="D172" t="s">
        <v>12</v>
      </c>
      <c r="E172">
        <v>46214.96</v>
      </c>
      <c r="F172">
        <v>1376</v>
      </c>
      <c r="G172">
        <v>6608.74</v>
      </c>
      <c r="H172">
        <v>69</v>
      </c>
    </row>
    <row r="173" spans="1:8" x14ac:dyDescent="0.2">
      <c r="A173" s="5">
        <v>46054</v>
      </c>
      <c r="B173" t="s">
        <v>20</v>
      </c>
      <c r="C173" t="s">
        <v>21</v>
      </c>
      <c r="D173" t="s">
        <v>13</v>
      </c>
      <c r="E173">
        <v>63596.82</v>
      </c>
      <c r="F173">
        <v>2413</v>
      </c>
      <c r="G173">
        <v>10938.65</v>
      </c>
      <c r="H173">
        <v>118</v>
      </c>
    </row>
    <row r="174" spans="1:8" x14ac:dyDescent="0.2">
      <c r="A174" s="5">
        <v>46054</v>
      </c>
      <c r="B174" t="s">
        <v>20</v>
      </c>
      <c r="C174" t="s">
        <v>21</v>
      </c>
      <c r="D174" t="s">
        <v>14</v>
      </c>
      <c r="E174">
        <v>71067.27</v>
      </c>
      <c r="F174">
        <v>1458</v>
      </c>
      <c r="G174">
        <v>8385.94</v>
      </c>
      <c r="H174">
        <v>76</v>
      </c>
    </row>
    <row r="175" spans="1:8" x14ac:dyDescent="0.2">
      <c r="A175" s="5">
        <v>46054</v>
      </c>
      <c r="B175" t="s">
        <v>20</v>
      </c>
      <c r="C175" t="s">
        <v>21</v>
      </c>
      <c r="D175" t="s">
        <v>15</v>
      </c>
      <c r="E175">
        <v>36031.65</v>
      </c>
      <c r="F175">
        <v>2769</v>
      </c>
      <c r="G175">
        <v>9512.36</v>
      </c>
      <c r="H175">
        <v>120</v>
      </c>
    </row>
    <row r="176" spans="1:8" x14ac:dyDescent="0.2">
      <c r="A176" s="5">
        <v>46054</v>
      </c>
      <c r="B176" t="s">
        <v>22</v>
      </c>
      <c r="C176" t="s">
        <v>21</v>
      </c>
      <c r="D176" t="s">
        <v>10</v>
      </c>
      <c r="E176">
        <v>24404.62</v>
      </c>
      <c r="F176">
        <v>1462</v>
      </c>
      <c r="G176">
        <v>5393.42</v>
      </c>
      <c r="H176">
        <v>71</v>
      </c>
    </row>
    <row r="177" spans="1:8" x14ac:dyDescent="0.2">
      <c r="A177" s="5">
        <v>46054</v>
      </c>
      <c r="B177" t="s">
        <v>22</v>
      </c>
      <c r="C177" t="s">
        <v>21</v>
      </c>
      <c r="D177" t="s">
        <v>11</v>
      </c>
      <c r="E177">
        <v>34587.480000000003</v>
      </c>
      <c r="F177">
        <v>1501</v>
      </c>
      <c r="G177">
        <v>6744.56</v>
      </c>
      <c r="H177">
        <v>73</v>
      </c>
    </row>
    <row r="178" spans="1:8" x14ac:dyDescent="0.2">
      <c r="A178" s="5">
        <v>46054</v>
      </c>
      <c r="B178" t="s">
        <v>22</v>
      </c>
      <c r="C178" t="s">
        <v>21</v>
      </c>
      <c r="D178" t="s">
        <v>12</v>
      </c>
      <c r="E178">
        <v>31435.279999999999</v>
      </c>
      <c r="F178">
        <v>953</v>
      </c>
      <c r="G178">
        <v>4495.25</v>
      </c>
      <c r="H178">
        <v>52</v>
      </c>
    </row>
    <row r="179" spans="1:8" x14ac:dyDescent="0.2">
      <c r="A179" s="5">
        <v>46054</v>
      </c>
      <c r="B179" t="s">
        <v>22</v>
      </c>
      <c r="C179" t="s">
        <v>21</v>
      </c>
      <c r="D179" t="s">
        <v>13</v>
      </c>
      <c r="E179">
        <v>48873.56</v>
      </c>
      <c r="F179">
        <v>1843</v>
      </c>
      <c r="G179">
        <v>8406.25</v>
      </c>
      <c r="H179">
        <v>81</v>
      </c>
    </row>
    <row r="180" spans="1:8" x14ac:dyDescent="0.2">
      <c r="A180" s="5">
        <v>46054</v>
      </c>
      <c r="B180" t="s">
        <v>22</v>
      </c>
      <c r="C180" t="s">
        <v>21</v>
      </c>
      <c r="D180" t="s">
        <v>14</v>
      </c>
      <c r="E180">
        <v>51653.07</v>
      </c>
      <c r="F180">
        <v>1028</v>
      </c>
      <c r="G180">
        <v>6095.06</v>
      </c>
      <c r="H180">
        <v>53</v>
      </c>
    </row>
    <row r="181" spans="1:8" x14ac:dyDescent="0.2">
      <c r="A181" s="5">
        <v>46054</v>
      </c>
      <c r="B181" t="s">
        <v>22</v>
      </c>
      <c r="C181" t="s">
        <v>21</v>
      </c>
      <c r="D181" t="s">
        <v>15</v>
      </c>
      <c r="E181">
        <v>22552.87</v>
      </c>
      <c r="F181">
        <v>1748</v>
      </c>
      <c r="G181">
        <v>5953.96</v>
      </c>
      <c r="H181">
        <v>88</v>
      </c>
    </row>
    <row r="182" spans="1:8" x14ac:dyDescent="0.2">
      <c r="A182" s="5">
        <v>46082</v>
      </c>
      <c r="B182" t="s">
        <v>8</v>
      </c>
      <c r="C182" t="s">
        <v>9</v>
      </c>
      <c r="D182" t="s">
        <v>10</v>
      </c>
      <c r="E182">
        <v>73332.69</v>
      </c>
      <c r="F182">
        <v>4470</v>
      </c>
      <c r="G182">
        <v>16206.52</v>
      </c>
      <c r="H182">
        <v>215</v>
      </c>
    </row>
    <row r="183" spans="1:8" x14ac:dyDescent="0.2">
      <c r="A183" s="5">
        <v>46082</v>
      </c>
      <c r="B183" t="s">
        <v>8</v>
      </c>
      <c r="C183" t="s">
        <v>9</v>
      </c>
      <c r="D183" t="s">
        <v>11</v>
      </c>
      <c r="E183">
        <v>77876.12</v>
      </c>
      <c r="F183">
        <v>3454</v>
      </c>
      <c r="G183">
        <v>15185.84</v>
      </c>
      <c r="H183">
        <v>185</v>
      </c>
    </row>
    <row r="184" spans="1:8" x14ac:dyDescent="0.2">
      <c r="A184" s="5">
        <v>46082</v>
      </c>
      <c r="B184" t="s">
        <v>8</v>
      </c>
      <c r="C184" t="s">
        <v>9</v>
      </c>
      <c r="D184" t="s">
        <v>12</v>
      </c>
      <c r="E184">
        <v>105729.46</v>
      </c>
      <c r="F184">
        <v>3166</v>
      </c>
      <c r="G184">
        <v>15119.31</v>
      </c>
      <c r="H184">
        <v>151</v>
      </c>
    </row>
    <row r="185" spans="1:8" x14ac:dyDescent="0.2">
      <c r="A185" s="5">
        <v>46082</v>
      </c>
      <c r="B185" t="s">
        <v>8</v>
      </c>
      <c r="C185" t="s">
        <v>9</v>
      </c>
      <c r="D185" t="s">
        <v>13</v>
      </c>
      <c r="E185">
        <v>134568.04</v>
      </c>
      <c r="F185">
        <v>5239</v>
      </c>
      <c r="G185">
        <v>23145.7</v>
      </c>
      <c r="H185">
        <v>245</v>
      </c>
    </row>
    <row r="186" spans="1:8" x14ac:dyDescent="0.2">
      <c r="A186" s="5">
        <v>46082</v>
      </c>
      <c r="B186" t="s">
        <v>8</v>
      </c>
      <c r="C186" t="s">
        <v>9</v>
      </c>
      <c r="D186" t="s">
        <v>14</v>
      </c>
      <c r="E186">
        <v>162028.89000000001</v>
      </c>
      <c r="F186">
        <v>2944</v>
      </c>
      <c r="G186">
        <v>19119.41</v>
      </c>
      <c r="H186">
        <v>149</v>
      </c>
    </row>
    <row r="187" spans="1:8" x14ac:dyDescent="0.2">
      <c r="A187" s="5">
        <v>46082</v>
      </c>
      <c r="B187" t="s">
        <v>8</v>
      </c>
      <c r="C187" t="s">
        <v>9</v>
      </c>
      <c r="D187" t="s">
        <v>15</v>
      </c>
      <c r="E187">
        <v>57346.7</v>
      </c>
      <c r="F187">
        <v>4549</v>
      </c>
      <c r="G187">
        <v>15139.53</v>
      </c>
      <c r="H187">
        <v>219</v>
      </c>
    </row>
    <row r="188" spans="1:8" x14ac:dyDescent="0.2">
      <c r="A188" s="5">
        <v>46082</v>
      </c>
      <c r="B188" t="s">
        <v>16</v>
      </c>
      <c r="C188" t="s">
        <v>9</v>
      </c>
      <c r="D188" t="s">
        <v>10</v>
      </c>
      <c r="E188">
        <v>46460.27</v>
      </c>
      <c r="F188">
        <v>2931</v>
      </c>
      <c r="G188">
        <v>10267.719999999999</v>
      </c>
      <c r="H188">
        <v>123</v>
      </c>
    </row>
    <row r="189" spans="1:8" x14ac:dyDescent="0.2">
      <c r="A189" s="5">
        <v>46082</v>
      </c>
      <c r="B189" t="s">
        <v>16</v>
      </c>
      <c r="C189" t="s">
        <v>9</v>
      </c>
      <c r="D189" t="s">
        <v>11</v>
      </c>
      <c r="E189">
        <v>47640.58</v>
      </c>
      <c r="F189">
        <v>2151</v>
      </c>
      <c r="G189">
        <v>9289.91</v>
      </c>
      <c r="H189">
        <v>113</v>
      </c>
    </row>
    <row r="190" spans="1:8" x14ac:dyDescent="0.2">
      <c r="A190" s="5">
        <v>46082</v>
      </c>
      <c r="B190" t="s">
        <v>16</v>
      </c>
      <c r="C190" t="s">
        <v>9</v>
      </c>
      <c r="D190" t="s">
        <v>12</v>
      </c>
      <c r="E190">
        <v>58624.85</v>
      </c>
      <c r="F190">
        <v>1760</v>
      </c>
      <c r="G190">
        <v>8383.35</v>
      </c>
      <c r="H190">
        <v>86</v>
      </c>
    </row>
    <row r="191" spans="1:8" x14ac:dyDescent="0.2">
      <c r="A191" s="5">
        <v>46082</v>
      </c>
      <c r="B191" t="s">
        <v>16</v>
      </c>
      <c r="C191" t="s">
        <v>9</v>
      </c>
      <c r="D191" t="s">
        <v>13</v>
      </c>
      <c r="E191">
        <v>85080.69</v>
      </c>
      <c r="F191">
        <v>3193</v>
      </c>
      <c r="G191">
        <v>14633.88</v>
      </c>
      <c r="H191">
        <v>137</v>
      </c>
    </row>
    <row r="192" spans="1:8" x14ac:dyDescent="0.2">
      <c r="A192" s="5">
        <v>46082</v>
      </c>
      <c r="B192" t="s">
        <v>16</v>
      </c>
      <c r="C192" t="s">
        <v>9</v>
      </c>
      <c r="D192" t="s">
        <v>14</v>
      </c>
      <c r="E192">
        <v>85807.52</v>
      </c>
      <c r="F192">
        <v>1709</v>
      </c>
      <c r="G192">
        <v>10125.290000000001</v>
      </c>
      <c r="H192">
        <v>94</v>
      </c>
    </row>
    <row r="193" spans="1:8" x14ac:dyDescent="0.2">
      <c r="A193" s="5">
        <v>46082</v>
      </c>
      <c r="B193" t="s">
        <v>16</v>
      </c>
      <c r="C193" t="s">
        <v>9</v>
      </c>
      <c r="D193" t="s">
        <v>15</v>
      </c>
      <c r="E193">
        <v>32464.25</v>
      </c>
      <c r="F193">
        <v>2637</v>
      </c>
      <c r="G193">
        <v>8570.56</v>
      </c>
      <c r="H193">
        <v>122</v>
      </c>
    </row>
    <row r="194" spans="1:8" x14ac:dyDescent="0.2">
      <c r="A194" s="5">
        <v>46082</v>
      </c>
      <c r="B194" t="s">
        <v>17</v>
      </c>
      <c r="C194" t="s">
        <v>18</v>
      </c>
      <c r="D194" t="s">
        <v>10</v>
      </c>
      <c r="E194">
        <v>52297.79</v>
      </c>
      <c r="F194">
        <v>3110</v>
      </c>
      <c r="G194">
        <v>11557.81</v>
      </c>
      <c r="H194">
        <v>154</v>
      </c>
    </row>
    <row r="195" spans="1:8" x14ac:dyDescent="0.2">
      <c r="A195" s="5">
        <v>46082</v>
      </c>
      <c r="B195" t="s">
        <v>17</v>
      </c>
      <c r="C195" t="s">
        <v>18</v>
      </c>
      <c r="D195" t="s">
        <v>11</v>
      </c>
      <c r="E195">
        <v>53834.28</v>
      </c>
      <c r="F195">
        <v>2421</v>
      </c>
      <c r="G195">
        <v>10497.68</v>
      </c>
      <c r="H195">
        <v>117</v>
      </c>
    </row>
    <row r="196" spans="1:8" x14ac:dyDescent="0.2">
      <c r="A196" s="5">
        <v>46082</v>
      </c>
      <c r="B196" t="s">
        <v>17</v>
      </c>
      <c r="C196" t="s">
        <v>18</v>
      </c>
      <c r="D196" t="s">
        <v>12</v>
      </c>
      <c r="E196">
        <v>65462.04</v>
      </c>
      <c r="F196">
        <v>2010</v>
      </c>
      <c r="G196">
        <v>9361.07</v>
      </c>
      <c r="H196">
        <v>105</v>
      </c>
    </row>
    <row r="197" spans="1:8" x14ac:dyDescent="0.2">
      <c r="A197" s="5">
        <v>46082</v>
      </c>
      <c r="B197" t="s">
        <v>17</v>
      </c>
      <c r="C197" t="s">
        <v>18</v>
      </c>
      <c r="D197" t="s">
        <v>13</v>
      </c>
      <c r="E197">
        <v>90882.97</v>
      </c>
      <c r="F197">
        <v>3523</v>
      </c>
      <c r="G197">
        <v>15631.87</v>
      </c>
      <c r="H197">
        <v>161</v>
      </c>
    </row>
    <row r="198" spans="1:8" x14ac:dyDescent="0.2">
      <c r="A198" s="5">
        <v>46082</v>
      </c>
      <c r="B198" t="s">
        <v>17</v>
      </c>
      <c r="C198" t="s">
        <v>18</v>
      </c>
      <c r="D198" t="s">
        <v>14</v>
      </c>
      <c r="E198">
        <v>138122.29999999999</v>
      </c>
      <c r="F198">
        <v>2435</v>
      </c>
      <c r="G198">
        <v>16298.43</v>
      </c>
      <c r="H198">
        <v>103</v>
      </c>
    </row>
    <row r="199" spans="1:8" x14ac:dyDescent="0.2">
      <c r="A199" s="5">
        <v>46082</v>
      </c>
      <c r="B199" t="s">
        <v>17</v>
      </c>
      <c r="C199" t="s">
        <v>18</v>
      </c>
      <c r="D199" t="s">
        <v>15</v>
      </c>
      <c r="E199">
        <v>38555.230000000003</v>
      </c>
      <c r="F199">
        <v>3020</v>
      </c>
      <c r="G199">
        <v>10178.58</v>
      </c>
      <c r="H199">
        <v>142</v>
      </c>
    </row>
    <row r="200" spans="1:8" x14ac:dyDescent="0.2">
      <c r="A200" s="5">
        <v>46082</v>
      </c>
      <c r="B200" t="s">
        <v>19</v>
      </c>
      <c r="C200" t="s">
        <v>18</v>
      </c>
      <c r="D200" t="s">
        <v>10</v>
      </c>
      <c r="E200">
        <v>37355.050000000003</v>
      </c>
      <c r="F200">
        <v>2427</v>
      </c>
      <c r="G200">
        <v>8255.4699999999993</v>
      </c>
      <c r="H200">
        <v>105</v>
      </c>
    </row>
    <row r="201" spans="1:8" x14ac:dyDescent="0.2">
      <c r="A201" s="5">
        <v>46082</v>
      </c>
      <c r="B201" t="s">
        <v>19</v>
      </c>
      <c r="C201" t="s">
        <v>18</v>
      </c>
      <c r="D201" t="s">
        <v>11</v>
      </c>
      <c r="E201">
        <v>45563.54</v>
      </c>
      <c r="F201">
        <v>2100</v>
      </c>
      <c r="G201">
        <v>8884.89</v>
      </c>
      <c r="H201">
        <v>85</v>
      </c>
    </row>
    <row r="202" spans="1:8" x14ac:dyDescent="0.2">
      <c r="A202" s="5">
        <v>46082</v>
      </c>
      <c r="B202" t="s">
        <v>19</v>
      </c>
      <c r="C202" t="s">
        <v>18</v>
      </c>
      <c r="D202" t="s">
        <v>12</v>
      </c>
      <c r="E202">
        <v>51493.16</v>
      </c>
      <c r="F202">
        <v>1431</v>
      </c>
      <c r="G202">
        <v>7363.52</v>
      </c>
      <c r="H202">
        <v>78</v>
      </c>
    </row>
    <row r="203" spans="1:8" x14ac:dyDescent="0.2">
      <c r="A203" s="5">
        <v>46082</v>
      </c>
      <c r="B203" t="s">
        <v>19</v>
      </c>
      <c r="C203" t="s">
        <v>18</v>
      </c>
      <c r="D203" t="s">
        <v>13</v>
      </c>
      <c r="E203">
        <v>47929.98</v>
      </c>
      <c r="F203">
        <v>1967</v>
      </c>
      <c r="G203">
        <v>8243.9599999999991</v>
      </c>
      <c r="H203">
        <v>109</v>
      </c>
    </row>
    <row r="204" spans="1:8" x14ac:dyDescent="0.2">
      <c r="A204" s="5">
        <v>46082</v>
      </c>
      <c r="B204" t="s">
        <v>19</v>
      </c>
      <c r="C204" t="s">
        <v>18</v>
      </c>
      <c r="D204" t="s">
        <v>14</v>
      </c>
      <c r="E204">
        <v>81026.02</v>
      </c>
      <c r="F204">
        <v>1480</v>
      </c>
      <c r="G204">
        <v>9561.07</v>
      </c>
      <c r="H204">
        <v>82</v>
      </c>
    </row>
    <row r="205" spans="1:8" x14ac:dyDescent="0.2">
      <c r="A205" s="5">
        <v>46082</v>
      </c>
      <c r="B205" t="s">
        <v>19</v>
      </c>
      <c r="C205" t="s">
        <v>18</v>
      </c>
      <c r="D205" t="s">
        <v>15</v>
      </c>
      <c r="E205">
        <v>32448.43</v>
      </c>
      <c r="F205">
        <v>2386</v>
      </c>
      <c r="G205">
        <v>8566.39</v>
      </c>
      <c r="H205">
        <v>104</v>
      </c>
    </row>
    <row r="206" spans="1:8" x14ac:dyDescent="0.2">
      <c r="A206" s="5">
        <v>46082</v>
      </c>
      <c r="B206" t="s">
        <v>20</v>
      </c>
      <c r="C206" t="s">
        <v>21</v>
      </c>
      <c r="D206" t="s">
        <v>10</v>
      </c>
      <c r="E206">
        <v>50933.99</v>
      </c>
      <c r="F206">
        <v>3299</v>
      </c>
      <c r="G206">
        <v>11256.41</v>
      </c>
      <c r="H206">
        <v>148</v>
      </c>
    </row>
    <row r="207" spans="1:8" x14ac:dyDescent="0.2">
      <c r="A207" s="5">
        <v>46082</v>
      </c>
      <c r="B207" t="s">
        <v>20</v>
      </c>
      <c r="C207" t="s">
        <v>21</v>
      </c>
      <c r="D207" t="s">
        <v>12</v>
      </c>
      <c r="E207">
        <v>41989.84</v>
      </c>
      <c r="F207">
        <v>1410</v>
      </c>
      <c r="G207">
        <v>6004.55</v>
      </c>
      <c r="H207">
        <v>71</v>
      </c>
    </row>
    <row r="208" spans="1:8" x14ac:dyDescent="0.2">
      <c r="A208" s="5">
        <v>46082</v>
      </c>
      <c r="B208" t="s">
        <v>20</v>
      </c>
      <c r="C208" t="s">
        <v>21</v>
      </c>
      <c r="D208" t="s">
        <v>13</v>
      </c>
      <c r="E208">
        <v>75673.16</v>
      </c>
      <c r="F208">
        <v>3050</v>
      </c>
      <c r="G208">
        <v>13015.78</v>
      </c>
      <c r="H208">
        <v>124</v>
      </c>
    </row>
    <row r="209" spans="1:8" x14ac:dyDescent="0.2">
      <c r="A209" s="5">
        <v>46082</v>
      </c>
      <c r="B209" t="s">
        <v>20</v>
      </c>
      <c r="C209" t="s">
        <v>21</v>
      </c>
      <c r="D209" t="s">
        <v>23</v>
      </c>
      <c r="E209">
        <v>43987.64</v>
      </c>
      <c r="F209">
        <v>3382</v>
      </c>
      <c r="G209">
        <v>11612.74</v>
      </c>
      <c r="H209">
        <v>148</v>
      </c>
    </row>
    <row r="210" spans="1:8" x14ac:dyDescent="0.2">
      <c r="A210" s="5">
        <v>46082</v>
      </c>
      <c r="B210" t="s">
        <v>20</v>
      </c>
      <c r="C210" t="s">
        <v>21</v>
      </c>
      <c r="D210" t="s">
        <v>14</v>
      </c>
      <c r="E210">
        <v>94767.360000000001</v>
      </c>
      <c r="F210">
        <v>1758</v>
      </c>
      <c r="G210">
        <v>11182.55</v>
      </c>
      <c r="H210">
        <v>79</v>
      </c>
    </row>
    <row r="211" spans="1:8" x14ac:dyDescent="0.2">
      <c r="A211" s="5">
        <v>46082</v>
      </c>
      <c r="B211" t="s">
        <v>20</v>
      </c>
      <c r="C211" t="s">
        <v>21</v>
      </c>
      <c r="D211" t="s">
        <v>15</v>
      </c>
      <c r="E211">
        <v>30.75</v>
      </c>
      <c r="F211">
        <v>3</v>
      </c>
      <c r="G211">
        <v>8.1199999999999992</v>
      </c>
      <c r="H211">
        <v>1</v>
      </c>
    </row>
    <row r="212" spans="1:8" x14ac:dyDescent="0.2">
      <c r="A212" s="5">
        <v>46082</v>
      </c>
      <c r="B212" t="s">
        <v>20</v>
      </c>
      <c r="C212" t="s">
        <v>21</v>
      </c>
      <c r="D212" t="s">
        <v>24</v>
      </c>
      <c r="E212">
        <v>38864.129999999997</v>
      </c>
      <c r="F212">
        <v>1892</v>
      </c>
      <c r="G212">
        <v>7578.51</v>
      </c>
      <c r="H212">
        <v>98</v>
      </c>
    </row>
    <row r="213" spans="1:8" x14ac:dyDescent="0.2">
      <c r="A213" s="5">
        <v>46082</v>
      </c>
      <c r="B213" t="s">
        <v>22</v>
      </c>
      <c r="C213" t="s">
        <v>21</v>
      </c>
      <c r="D213" t="s">
        <v>10</v>
      </c>
      <c r="E213">
        <v>23562.63</v>
      </c>
      <c r="F213">
        <v>1491</v>
      </c>
      <c r="G213">
        <v>5207.34</v>
      </c>
      <c r="H213">
        <v>73</v>
      </c>
    </row>
    <row r="214" spans="1:8" x14ac:dyDescent="0.2">
      <c r="A214" s="5">
        <v>46082</v>
      </c>
      <c r="B214" t="s">
        <v>22</v>
      </c>
      <c r="C214" t="s">
        <v>21</v>
      </c>
      <c r="D214" t="s">
        <v>11</v>
      </c>
      <c r="E214">
        <v>37003.18</v>
      </c>
      <c r="F214">
        <v>1691</v>
      </c>
      <c r="G214">
        <v>7215.62</v>
      </c>
      <c r="H214">
        <v>68</v>
      </c>
    </row>
    <row r="215" spans="1:8" x14ac:dyDescent="0.2">
      <c r="A215" s="5">
        <v>46082</v>
      </c>
      <c r="B215" t="s">
        <v>22</v>
      </c>
      <c r="C215" t="s">
        <v>21</v>
      </c>
      <c r="D215" t="s">
        <v>12</v>
      </c>
      <c r="E215">
        <v>46741.66</v>
      </c>
      <c r="F215">
        <v>1337</v>
      </c>
      <c r="G215">
        <v>6684.06</v>
      </c>
      <c r="H215">
        <v>69</v>
      </c>
    </row>
    <row r="216" spans="1:8" x14ac:dyDescent="0.2">
      <c r="A216" s="5">
        <v>46082</v>
      </c>
      <c r="B216" t="s">
        <v>22</v>
      </c>
      <c r="C216" t="s">
        <v>21</v>
      </c>
      <c r="D216" t="s">
        <v>13</v>
      </c>
      <c r="E216">
        <v>51263.09</v>
      </c>
      <c r="F216">
        <v>1891</v>
      </c>
      <c r="G216">
        <v>8817.25</v>
      </c>
      <c r="H216">
        <v>99</v>
      </c>
    </row>
    <row r="217" spans="1:8" x14ac:dyDescent="0.2">
      <c r="A217" s="5">
        <v>46082</v>
      </c>
      <c r="B217" t="s">
        <v>22</v>
      </c>
      <c r="C217" t="s">
        <v>21</v>
      </c>
      <c r="D217" t="s">
        <v>14</v>
      </c>
      <c r="E217">
        <v>74508.73</v>
      </c>
      <c r="F217">
        <v>1324</v>
      </c>
      <c r="G217">
        <v>8792.0300000000007</v>
      </c>
      <c r="H217">
        <v>64</v>
      </c>
    </row>
    <row r="218" spans="1:8" x14ac:dyDescent="0.2">
      <c r="A218" s="5">
        <v>46082</v>
      </c>
      <c r="B218" t="s">
        <v>22</v>
      </c>
      <c r="C218" t="s">
        <v>21</v>
      </c>
      <c r="D218" t="s">
        <v>15</v>
      </c>
      <c r="E218">
        <v>27511.200000000001</v>
      </c>
      <c r="F218">
        <v>2184</v>
      </c>
      <c r="G218">
        <v>7262.96</v>
      </c>
      <c r="H218">
        <v>101</v>
      </c>
    </row>
    <row r="219" spans="1:8" x14ac:dyDescent="0.2">
      <c r="A219" s="5">
        <v>46113</v>
      </c>
      <c r="B219" t="s">
        <v>8</v>
      </c>
      <c r="C219" t="s">
        <v>9</v>
      </c>
      <c r="D219" t="s">
        <v>10</v>
      </c>
      <c r="E219">
        <v>73956.539999999994</v>
      </c>
      <c r="F219">
        <v>4786</v>
      </c>
      <c r="G219">
        <v>16344.4</v>
      </c>
      <c r="H219">
        <v>229</v>
      </c>
    </row>
    <row r="220" spans="1:8" x14ac:dyDescent="0.2">
      <c r="A220" s="5">
        <v>46113</v>
      </c>
      <c r="B220" t="s">
        <v>8</v>
      </c>
      <c r="C220" t="s">
        <v>9</v>
      </c>
      <c r="D220" t="s">
        <v>11</v>
      </c>
      <c r="E220">
        <v>97414</v>
      </c>
      <c r="F220">
        <v>4178</v>
      </c>
      <c r="G220">
        <v>18995.73</v>
      </c>
      <c r="H220">
        <v>202</v>
      </c>
    </row>
    <row r="221" spans="1:8" x14ac:dyDescent="0.2">
      <c r="A221" s="5">
        <v>46113</v>
      </c>
      <c r="B221" t="s">
        <v>8</v>
      </c>
      <c r="C221" t="s">
        <v>9</v>
      </c>
      <c r="D221" t="s">
        <v>12</v>
      </c>
      <c r="E221">
        <v>88494.75</v>
      </c>
      <c r="F221">
        <v>2627</v>
      </c>
      <c r="G221">
        <v>12654.75</v>
      </c>
      <c r="H221">
        <v>148</v>
      </c>
    </row>
    <row r="222" spans="1:8" x14ac:dyDescent="0.2">
      <c r="A222" s="5">
        <v>46113</v>
      </c>
      <c r="B222" t="s">
        <v>8</v>
      </c>
      <c r="C222" t="s">
        <v>9</v>
      </c>
      <c r="D222" t="s">
        <v>13</v>
      </c>
      <c r="E222">
        <v>133847.07</v>
      </c>
      <c r="F222">
        <v>5132</v>
      </c>
      <c r="G222">
        <v>23021.7</v>
      </c>
      <c r="H222">
        <v>231</v>
      </c>
    </row>
    <row r="223" spans="1:8" x14ac:dyDescent="0.2">
      <c r="A223" s="5">
        <v>46113</v>
      </c>
      <c r="B223" t="s">
        <v>8</v>
      </c>
      <c r="C223" t="s">
        <v>9</v>
      </c>
      <c r="D223" t="s">
        <v>14</v>
      </c>
      <c r="E223">
        <v>177802.59</v>
      </c>
      <c r="F223">
        <v>3295</v>
      </c>
      <c r="G223">
        <v>20980.71</v>
      </c>
      <c r="H223">
        <v>164</v>
      </c>
    </row>
    <row r="224" spans="1:8" x14ac:dyDescent="0.2">
      <c r="A224" s="5">
        <v>46113</v>
      </c>
      <c r="B224" t="s">
        <v>8</v>
      </c>
      <c r="C224" t="s">
        <v>9</v>
      </c>
      <c r="D224" t="s">
        <v>15</v>
      </c>
      <c r="E224">
        <v>67364.91</v>
      </c>
      <c r="F224">
        <v>5160</v>
      </c>
      <c r="G224">
        <v>17784.34</v>
      </c>
      <c r="H224">
        <v>241</v>
      </c>
    </row>
    <row r="225" spans="1:8" x14ac:dyDescent="0.2">
      <c r="A225" s="5">
        <v>46113</v>
      </c>
      <c r="B225" t="s">
        <v>16</v>
      </c>
      <c r="C225" t="s">
        <v>9</v>
      </c>
      <c r="D225" t="s">
        <v>10</v>
      </c>
      <c r="E225">
        <v>45572.12</v>
      </c>
      <c r="F225">
        <v>2782</v>
      </c>
      <c r="G225">
        <v>10071.44</v>
      </c>
      <c r="H225">
        <v>127</v>
      </c>
    </row>
    <row r="226" spans="1:8" x14ac:dyDescent="0.2">
      <c r="A226" s="5">
        <v>46113</v>
      </c>
      <c r="B226" t="s">
        <v>16</v>
      </c>
      <c r="C226" t="s">
        <v>9</v>
      </c>
      <c r="D226" t="s">
        <v>11</v>
      </c>
      <c r="E226">
        <v>46994.28</v>
      </c>
      <c r="F226">
        <v>2324</v>
      </c>
      <c r="G226">
        <v>9163.8799999999992</v>
      </c>
      <c r="H226">
        <v>110</v>
      </c>
    </row>
    <row r="227" spans="1:8" x14ac:dyDescent="0.2">
      <c r="A227" s="5">
        <v>46113</v>
      </c>
      <c r="B227" t="s">
        <v>16</v>
      </c>
      <c r="C227" t="s">
        <v>9</v>
      </c>
      <c r="D227" t="s">
        <v>12</v>
      </c>
      <c r="E227">
        <v>70328.97</v>
      </c>
      <c r="F227">
        <v>2161</v>
      </c>
      <c r="G227">
        <v>10057.040000000001</v>
      </c>
      <c r="H227">
        <v>91</v>
      </c>
    </row>
    <row r="228" spans="1:8" x14ac:dyDescent="0.2">
      <c r="A228" s="5">
        <v>46113</v>
      </c>
      <c r="B228" t="s">
        <v>16</v>
      </c>
      <c r="C228" t="s">
        <v>9</v>
      </c>
      <c r="D228" t="s">
        <v>13</v>
      </c>
      <c r="E228">
        <v>83834</v>
      </c>
      <c r="F228">
        <v>3222</v>
      </c>
      <c r="G228">
        <v>14419.45</v>
      </c>
      <c r="H228">
        <v>154</v>
      </c>
    </row>
    <row r="229" spans="1:8" x14ac:dyDescent="0.2">
      <c r="A229" s="5">
        <v>46113</v>
      </c>
      <c r="B229" t="s">
        <v>16</v>
      </c>
      <c r="C229" t="s">
        <v>9</v>
      </c>
      <c r="D229" t="s">
        <v>14</v>
      </c>
      <c r="E229">
        <v>87190.06</v>
      </c>
      <c r="F229">
        <v>1579</v>
      </c>
      <c r="G229">
        <v>10288.43</v>
      </c>
      <c r="H229">
        <v>90</v>
      </c>
    </row>
    <row r="230" spans="1:8" x14ac:dyDescent="0.2">
      <c r="A230" s="5">
        <v>46113</v>
      </c>
      <c r="B230" t="s">
        <v>16</v>
      </c>
      <c r="C230" t="s">
        <v>9</v>
      </c>
      <c r="D230" t="s">
        <v>15</v>
      </c>
      <c r="E230">
        <v>37344.629999999997</v>
      </c>
      <c r="F230">
        <v>2904</v>
      </c>
      <c r="G230">
        <v>9858.98</v>
      </c>
      <c r="H230">
        <v>130</v>
      </c>
    </row>
    <row r="231" spans="1:8" x14ac:dyDescent="0.2">
      <c r="A231" s="5">
        <v>46113</v>
      </c>
      <c r="B231" t="s">
        <v>17</v>
      </c>
      <c r="C231" t="s">
        <v>18</v>
      </c>
      <c r="D231" t="s">
        <v>10</v>
      </c>
      <c r="E231">
        <v>46164.27</v>
      </c>
      <c r="F231">
        <v>3048</v>
      </c>
      <c r="G231">
        <v>10202.299999999999</v>
      </c>
      <c r="H231">
        <v>143</v>
      </c>
    </row>
    <row r="232" spans="1:8" x14ac:dyDescent="0.2">
      <c r="A232" s="5">
        <v>46113</v>
      </c>
      <c r="B232" t="s">
        <v>17</v>
      </c>
      <c r="C232" t="s">
        <v>18</v>
      </c>
      <c r="D232" t="s">
        <v>11</v>
      </c>
      <c r="E232">
        <v>47896.86</v>
      </c>
      <c r="F232">
        <v>2317</v>
      </c>
      <c r="G232">
        <v>9339.89</v>
      </c>
      <c r="H232">
        <v>123</v>
      </c>
    </row>
    <row r="233" spans="1:8" x14ac:dyDescent="0.2">
      <c r="A233" s="5">
        <v>46113</v>
      </c>
      <c r="B233" t="s">
        <v>17</v>
      </c>
      <c r="C233" t="s">
        <v>18</v>
      </c>
      <c r="D233" t="s">
        <v>12</v>
      </c>
      <c r="E233">
        <v>78652.210000000006</v>
      </c>
      <c r="F233">
        <v>2214</v>
      </c>
      <c r="G233">
        <v>11247.27</v>
      </c>
      <c r="H233">
        <v>119</v>
      </c>
    </row>
    <row r="234" spans="1:8" x14ac:dyDescent="0.2">
      <c r="A234" s="5">
        <v>46113</v>
      </c>
      <c r="B234" t="s">
        <v>17</v>
      </c>
      <c r="C234" t="s">
        <v>18</v>
      </c>
      <c r="D234" t="s">
        <v>13</v>
      </c>
      <c r="E234">
        <v>82894.259999999995</v>
      </c>
      <c r="F234">
        <v>3298</v>
      </c>
      <c r="G234">
        <v>14257.81</v>
      </c>
      <c r="H234">
        <v>178</v>
      </c>
    </row>
    <row r="235" spans="1:8" x14ac:dyDescent="0.2">
      <c r="A235" s="5">
        <v>46113</v>
      </c>
      <c r="B235" t="s">
        <v>17</v>
      </c>
      <c r="C235" t="s">
        <v>18</v>
      </c>
      <c r="D235" t="s">
        <v>14</v>
      </c>
      <c r="E235">
        <v>123092.39</v>
      </c>
      <c r="F235">
        <v>2244</v>
      </c>
      <c r="G235">
        <v>14524.9</v>
      </c>
      <c r="H235">
        <v>111</v>
      </c>
    </row>
    <row r="236" spans="1:8" x14ac:dyDescent="0.2">
      <c r="A236" s="5">
        <v>46113</v>
      </c>
      <c r="B236" t="s">
        <v>17</v>
      </c>
      <c r="C236" t="s">
        <v>18</v>
      </c>
      <c r="D236" t="s">
        <v>15</v>
      </c>
      <c r="E236">
        <v>49002.37</v>
      </c>
      <c r="F236">
        <v>3887</v>
      </c>
      <c r="G236">
        <v>12936.63</v>
      </c>
      <c r="H236">
        <v>159</v>
      </c>
    </row>
    <row r="237" spans="1:8" x14ac:dyDescent="0.2">
      <c r="A237" s="5">
        <v>46113</v>
      </c>
      <c r="B237" t="s">
        <v>19</v>
      </c>
      <c r="C237" t="s">
        <v>18</v>
      </c>
      <c r="D237" t="s">
        <v>10</v>
      </c>
      <c r="E237">
        <v>45655.85</v>
      </c>
      <c r="F237">
        <v>2735</v>
      </c>
      <c r="G237">
        <v>10089.94</v>
      </c>
      <c r="H237">
        <v>122</v>
      </c>
    </row>
    <row r="238" spans="1:8" x14ac:dyDescent="0.2">
      <c r="A238" s="5">
        <v>46113</v>
      </c>
      <c r="B238" t="s">
        <v>19</v>
      </c>
      <c r="C238" t="s">
        <v>18</v>
      </c>
      <c r="D238" t="s">
        <v>11</v>
      </c>
      <c r="E238">
        <v>39279.370000000003</v>
      </c>
      <c r="F238">
        <v>1912</v>
      </c>
      <c r="G238">
        <v>7659.48</v>
      </c>
      <c r="H238">
        <v>91</v>
      </c>
    </row>
    <row r="239" spans="1:8" x14ac:dyDescent="0.2">
      <c r="A239" s="5">
        <v>46113</v>
      </c>
      <c r="B239" t="s">
        <v>19</v>
      </c>
      <c r="C239" t="s">
        <v>18</v>
      </c>
      <c r="D239" t="s">
        <v>12</v>
      </c>
      <c r="E239">
        <v>67058.03</v>
      </c>
      <c r="F239">
        <v>1960</v>
      </c>
      <c r="G239">
        <v>9589.2999999999993</v>
      </c>
      <c r="H239">
        <v>93</v>
      </c>
    </row>
    <row r="240" spans="1:8" x14ac:dyDescent="0.2">
      <c r="A240" s="5">
        <v>46113</v>
      </c>
      <c r="B240" t="s">
        <v>19</v>
      </c>
      <c r="C240" t="s">
        <v>18</v>
      </c>
      <c r="D240" t="s">
        <v>13</v>
      </c>
      <c r="E240">
        <v>65295.14</v>
      </c>
      <c r="F240">
        <v>2521</v>
      </c>
      <c r="G240">
        <v>11230.76</v>
      </c>
      <c r="H240">
        <v>110</v>
      </c>
    </row>
    <row r="241" spans="1:8" x14ac:dyDescent="0.2">
      <c r="A241" s="5">
        <v>46113</v>
      </c>
      <c r="B241" t="s">
        <v>19</v>
      </c>
      <c r="C241" t="s">
        <v>18</v>
      </c>
      <c r="D241" t="s">
        <v>14</v>
      </c>
      <c r="E241">
        <v>66207.320000000007</v>
      </c>
      <c r="F241">
        <v>1227</v>
      </c>
      <c r="G241">
        <v>7812.46</v>
      </c>
      <c r="H241">
        <v>73</v>
      </c>
    </row>
    <row r="242" spans="1:8" x14ac:dyDescent="0.2">
      <c r="A242" s="5">
        <v>46113</v>
      </c>
      <c r="B242" t="s">
        <v>19</v>
      </c>
      <c r="C242" t="s">
        <v>18</v>
      </c>
      <c r="D242" t="s">
        <v>15</v>
      </c>
      <c r="E242">
        <v>29792.06</v>
      </c>
      <c r="F242">
        <v>2398</v>
      </c>
      <c r="G242">
        <v>7865.1</v>
      </c>
      <c r="H242">
        <v>107</v>
      </c>
    </row>
    <row r="243" spans="1:8" x14ac:dyDescent="0.2">
      <c r="A243" s="5">
        <v>46113</v>
      </c>
      <c r="B243" t="s">
        <v>20</v>
      </c>
      <c r="C243" t="s">
        <v>21</v>
      </c>
      <c r="D243" t="s">
        <v>10</v>
      </c>
      <c r="E243">
        <v>63806.2</v>
      </c>
      <c r="F243">
        <v>3861</v>
      </c>
      <c r="G243">
        <v>14101.17</v>
      </c>
      <c r="H243">
        <v>155</v>
      </c>
    </row>
    <row r="244" spans="1:8" x14ac:dyDescent="0.2">
      <c r="A244" s="5">
        <v>46113</v>
      </c>
      <c r="B244" t="s">
        <v>20</v>
      </c>
      <c r="C244" t="s">
        <v>21</v>
      </c>
      <c r="D244" t="s">
        <v>12</v>
      </c>
      <c r="E244">
        <v>54142.76</v>
      </c>
      <c r="F244">
        <v>1675</v>
      </c>
      <c r="G244">
        <v>7742.41</v>
      </c>
      <c r="H244">
        <v>88</v>
      </c>
    </row>
    <row r="245" spans="1:8" x14ac:dyDescent="0.2">
      <c r="A245" s="5">
        <v>46113</v>
      </c>
      <c r="B245" t="s">
        <v>20</v>
      </c>
      <c r="C245" t="s">
        <v>21</v>
      </c>
      <c r="D245" t="s">
        <v>13</v>
      </c>
      <c r="E245">
        <v>73997.710000000006</v>
      </c>
      <c r="F245">
        <v>2672</v>
      </c>
      <c r="G245">
        <v>12727.61</v>
      </c>
      <c r="H245">
        <v>129</v>
      </c>
    </row>
    <row r="246" spans="1:8" x14ac:dyDescent="0.2">
      <c r="A246" s="5">
        <v>46113</v>
      </c>
      <c r="B246" t="s">
        <v>20</v>
      </c>
      <c r="C246" t="s">
        <v>21</v>
      </c>
      <c r="D246" t="s">
        <v>23</v>
      </c>
      <c r="E246">
        <v>47895.67</v>
      </c>
      <c r="F246">
        <v>3775</v>
      </c>
      <c r="G246">
        <v>12644.46</v>
      </c>
      <c r="H246">
        <v>162</v>
      </c>
    </row>
    <row r="247" spans="1:8" x14ac:dyDescent="0.2">
      <c r="A247" s="5">
        <v>46113</v>
      </c>
      <c r="B247" t="s">
        <v>20</v>
      </c>
      <c r="C247" t="s">
        <v>21</v>
      </c>
      <c r="D247" t="s">
        <v>14</v>
      </c>
      <c r="E247">
        <v>99975.14</v>
      </c>
      <c r="F247">
        <v>1733</v>
      </c>
      <c r="G247">
        <v>11797.07</v>
      </c>
      <c r="H247">
        <v>82</v>
      </c>
    </row>
    <row r="248" spans="1:8" x14ac:dyDescent="0.2">
      <c r="A248" s="5">
        <v>46113</v>
      </c>
      <c r="B248" t="s">
        <v>20</v>
      </c>
      <c r="C248" t="s">
        <v>21</v>
      </c>
      <c r="D248" t="s">
        <v>24</v>
      </c>
      <c r="E248">
        <v>46012.77</v>
      </c>
      <c r="F248">
        <v>1967</v>
      </c>
      <c r="G248">
        <v>8972.49</v>
      </c>
      <c r="H248">
        <v>97</v>
      </c>
    </row>
    <row r="249" spans="1:8" x14ac:dyDescent="0.2">
      <c r="A249" s="5">
        <v>46113</v>
      </c>
      <c r="B249" t="s">
        <v>22</v>
      </c>
      <c r="C249" t="s">
        <v>21</v>
      </c>
      <c r="D249" t="s">
        <v>10</v>
      </c>
      <c r="E249">
        <v>31473.97</v>
      </c>
      <c r="F249">
        <v>1878</v>
      </c>
      <c r="G249">
        <v>6955.75</v>
      </c>
      <c r="H249">
        <v>82</v>
      </c>
    </row>
    <row r="250" spans="1:8" x14ac:dyDescent="0.2">
      <c r="A250" s="5">
        <v>46113</v>
      </c>
      <c r="B250" t="s">
        <v>22</v>
      </c>
      <c r="C250" t="s">
        <v>21</v>
      </c>
      <c r="D250" t="s">
        <v>11</v>
      </c>
      <c r="E250">
        <v>42666.96</v>
      </c>
      <c r="F250">
        <v>2078</v>
      </c>
      <c r="G250">
        <v>8320.06</v>
      </c>
      <c r="H250">
        <v>86</v>
      </c>
    </row>
    <row r="251" spans="1:8" x14ac:dyDescent="0.2">
      <c r="A251" s="5">
        <v>46113</v>
      </c>
      <c r="B251" t="s">
        <v>22</v>
      </c>
      <c r="C251" t="s">
        <v>21</v>
      </c>
      <c r="D251" t="s">
        <v>12</v>
      </c>
      <c r="E251">
        <v>43679.360000000001</v>
      </c>
      <c r="F251">
        <v>1215</v>
      </c>
      <c r="G251">
        <v>6246.15</v>
      </c>
      <c r="H251">
        <v>66</v>
      </c>
    </row>
    <row r="252" spans="1:8" x14ac:dyDescent="0.2">
      <c r="A252" s="5">
        <v>46113</v>
      </c>
      <c r="B252" t="s">
        <v>22</v>
      </c>
      <c r="C252" t="s">
        <v>21</v>
      </c>
      <c r="D252" t="s">
        <v>13</v>
      </c>
      <c r="E252">
        <v>61847.83</v>
      </c>
      <c r="F252">
        <v>2447</v>
      </c>
      <c r="G252">
        <v>10637.83</v>
      </c>
      <c r="H252">
        <v>108</v>
      </c>
    </row>
    <row r="253" spans="1:8" x14ac:dyDescent="0.2">
      <c r="A253" s="5">
        <v>46113</v>
      </c>
      <c r="B253" t="s">
        <v>22</v>
      </c>
      <c r="C253" t="s">
        <v>21</v>
      </c>
      <c r="D253" t="s">
        <v>14</v>
      </c>
      <c r="E253">
        <v>56816.99</v>
      </c>
      <c r="F253">
        <v>1136</v>
      </c>
      <c r="G253">
        <v>6704.4</v>
      </c>
      <c r="H253">
        <v>67</v>
      </c>
    </row>
    <row r="254" spans="1:8" x14ac:dyDescent="0.2">
      <c r="A254" s="5">
        <v>46113</v>
      </c>
      <c r="B254" t="s">
        <v>22</v>
      </c>
      <c r="C254" t="s">
        <v>21</v>
      </c>
      <c r="D254" t="s">
        <v>15</v>
      </c>
      <c r="E254">
        <v>20993.99</v>
      </c>
      <c r="F254">
        <v>1653</v>
      </c>
      <c r="G254">
        <v>5542.41</v>
      </c>
      <c r="H254">
        <v>92</v>
      </c>
    </row>
    <row r="255" spans="1:8" x14ac:dyDescent="0.2">
      <c r="A255" s="5">
        <v>46143</v>
      </c>
      <c r="B255" t="s">
        <v>8</v>
      </c>
      <c r="C255" t="s">
        <v>9</v>
      </c>
      <c r="D255" t="s">
        <v>10</v>
      </c>
      <c r="E255">
        <v>86701.02</v>
      </c>
      <c r="F255">
        <v>5595</v>
      </c>
      <c r="G255">
        <v>19160.93</v>
      </c>
      <c r="H255">
        <v>231</v>
      </c>
    </row>
    <row r="256" spans="1:8" x14ac:dyDescent="0.2">
      <c r="A256" s="5">
        <v>46143</v>
      </c>
      <c r="B256" t="s">
        <v>8</v>
      </c>
      <c r="C256" t="s">
        <v>9</v>
      </c>
      <c r="D256" t="s">
        <v>11</v>
      </c>
      <c r="E256">
        <v>74349.179999999993</v>
      </c>
      <c r="F256">
        <v>3496</v>
      </c>
      <c r="G256">
        <v>14498.09</v>
      </c>
      <c r="H256">
        <v>175</v>
      </c>
    </row>
    <row r="257" spans="1:8" x14ac:dyDescent="0.2">
      <c r="A257" s="5">
        <v>46143</v>
      </c>
      <c r="B257" t="s">
        <v>8</v>
      </c>
      <c r="C257" t="s">
        <v>9</v>
      </c>
      <c r="D257" t="s">
        <v>12</v>
      </c>
      <c r="E257">
        <v>104576.08</v>
      </c>
      <c r="F257">
        <v>3169</v>
      </c>
      <c r="G257">
        <v>14954.38</v>
      </c>
      <c r="H257">
        <v>139</v>
      </c>
    </row>
    <row r="258" spans="1:8" x14ac:dyDescent="0.2">
      <c r="A258" s="5">
        <v>46143</v>
      </c>
      <c r="B258" t="s">
        <v>8</v>
      </c>
      <c r="C258" t="s">
        <v>9</v>
      </c>
      <c r="D258" t="s">
        <v>13</v>
      </c>
      <c r="E258">
        <v>135404.29</v>
      </c>
      <c r="F258">
        <v>5038</v>
      </c>
      <c r="G258">
        <v>23289.54</v>
      </c>
      <c r="H258">
        <v>230</v>
      </c>
    </row>
    <row r="259" spans="1:8" x14ac:dyDescent="0.2">
      <c r="A259" s="5">
        <v>46143</v>
      </c>
      <c r="B259" t="s">
        <v>8</v>
      </c>
      <c r="C259" t="s">
        <v>9</v>
      </c>
      <c r="D259" t="s">
        <v>14</v>
      </c>
      <c r="E259">
        <v>192889.85</v>
      </c>
      <c r="F259">
        <v>3461</v>
      </c>
      <c r="G259">
        <v>22761</v>
      </c>
      <c r="H259">
        <v>168</v>
      </c>
    </row>
    <row r="260" spans="1:8" x14ac:dyDescent="0.2">
      <c r="A260" s="5">
        <v>46143</v>
      </c>
      <c r="B260" t="s">
        <v>8</v>
      </c>
      <c r="C260" t="s">
        <v>9</v>
      </c>
      <c r="D260" t="s">
        <v>15</v>
      </c>
      <c r="E260">
        <v>62857.5</v>
      </c>
      <c r="F260">
        <v>4787</v>
      </c>
      <c r="G260">
        <v>16594.38</v>
      </c>
      <c r="H260">
        <v>213</v>
      </c>
    </row>
    <row r="261" spans="1:8" x14ac:dyDescent="0.2">
      <c r="A261" s="5">
        <v>46143</v>
      </c>
      <c r="B261" t="s">
        <v>16</v>
      </c>
      <c r="C261" t="s">
        <v>9</v>
      </c>
      <c r="D261" t="s">
        <v>10</v>
      </c>
      <c r="E261">
        <v>37737.360000000001</v>
      </c>
      <c r="F261">
        <v>2412</v>
      </c>
      <c r="G261">
        <v>8339.9599999999991</v>
      </c>
      <c r="H261">
        <v>119</v>
      </c>
    </row>
    <row r="262" spans="1:8" x14ac:dyDescent="0.2">
      <c r="A262" s="5">
        <v>46143</v>
      </c>
      <c r="B262" t="s">
        <v>16</v>
      </c>
      <c r="C262" t="s">
        <v>9</v>
      </c>
      <c r="D262" t="s">
        <v>11</v>
      </c>
      <c r="E262">
        <v>50218.39</v>
      </c>
      <c r="F262">
        <v>2362</v>
      </c>
      <c r="G262">
        <v>9792.59</v>
      </c>
      <c r="H262">
        <v>103</v>
      </c>
    </row>
    <row r="263" spans="1:8" x14ac:dyDescent="0.2">
      <c r="A263" s="5">
        <v>46143</v>
      </c>
      <c r="B263" t="s">
        <v>16</v>
      </c>
      <c r="C263" t="s">
        <v>9</v>
      </c>
      <c r="D263" t="s">
        <v>12</v>
      </c>
      <c r="E263">
        <v>72505.08</v>
      </c>
      <c r="F263">
        <v>2189</v>
      </c>
      <c r="G263">
        <v>10368.23</v>
      </c>
      <c r="H263">
        <v>102</v>
      </c>
    </row>
    <row r="264" spans="1:8" x14ac:dyDescent="0.2">
      <c r="A264" s="5">
        <v>46143</v>
      </c>
      <c r="B264" t="s">
        <v>16</v>
      </c>
      <c r="C264" t="s">
        <v>9</v>
      </c>
      <c r="D264" t="s">
        <v>13</v>
      </c>
      <c r="E264">
        <v>73424.27</v>
      </c>
      <c r="F264">
        <v>2887</v>
      </c>
      <c r="G264">
        <v>12628.97</v>
      </c>
      <c r="H264">
        <v>135</v>
      </c>
    </row>
    <row r="265" spans="1:8" x14ac:dyDescent="0.2">
      <c r="A265" s="5">
        <v>46143</v>
      </c>
      <c r="B265" t="s">
        <v>16</v>
      </c>
      <c r="C265" t="s">
        <v>9</v>
      </c>
      <c r="D265" t="s">
        <v>14</v>
      </c>
      <c r="E265">
        <v>119922.8</v>
      </c>
      <c r="F265">
        <v>2217</v>
      </c>
      <c r="G265">
        <v>14150.89</v>
      </c>
      <c r="H265">
        <v>94</v>
      </c>
    </row>
    <row r="266" spans="1:8" x14ac:dyDescent="0.2">
      <c r="A266" s="5">
        <v>46143</v>
      </c>
      <c r="B266" t="s">
        <v>16</v>
      </c>
      <c r="C266" t="s">
        <v>9</v>
      </c>
      <c r="D266" t="s">
        <v>15</v>
      </c>
      <c r="E266">
        <v>39179.589999999997</v>
      </c>
      <c r="F266">
        <v>2835</v>
      </c>
      <c r="G266">
        <v>10343.41</v>
      </c>
      <c r="H266">
        <v>127</v>
      </c>
    </row>
    <row r="267" spans="1:8" x14ac:dyDescent="0.2">
      <c r="A267" s="5">
        <v>46143</v>
      </c>
      <c r="B267" t="s">
        <v>17</v>
      </c>
      <c r="C267" t="s">
        <v>18</v>
      </c>
      <c r="D267" t="s">
        <v>10</v>
      </c>
      <c r="E267">
        <v>47754.43</v>
      </c>
      <c r="F267">
        <v>3023</v>
      </c>
      <c r="G267">
        <v>10553.73</v>
      </c>
      <c r="H267">
        <v>141</v>
      </c>
    </row>
    <row r="268" spans="1:8" x14ac:dyDescent="0.2">
      <c r="A268" s="5">
        <v>46143</v>
      </c>
      <c r="B268" t="s">
        <v>17</v>
      </c>
      <c r="C268" t="s">
        <v>18</v>
      </c>
      <c r="D268" t="s">
        <v>11</v>
      </c>
      <c r="E268">
        <v>52330.73</v>
      </c>
      <c r="F268">
        <v>2453</v>
      </c>
      <c r="G268">
        <v>10204.49</v>
      </c>
      <c r="H268">
        <v>118</v>
      </c>
    </row>
    <row r="269" spans="1:8" x14ac:dyDescent="0.2">
      <c r="A269" s="5">
        <v>46143</v>
      </c>
      <c r="B269" t="s">
        <v>17</v>
      </c>
      <c r="C269" t="s">
        <v>18</v>
      </c>
      <c r="D269" t="s">
        <v>12</v>
      </c>
      <c r="E269">
        <v>60279.48</v>
      </c>
      <c r="F269">
        <v>1904</v>
      </c>
      <c r="G269">
        <v>8619.9699999999993</v>
      </c>
      <c r="H269">
        <v>97</v>
      </c>
    </row>
    <row r="270" spans="1:8" x14ac:dyDescent="0.2">
      <c r="A270" s="5">
        <v>46143</v>
      </c>
      <c r="B270" t="s">
        <v>17</v>
      </c>
      <c r="C270" t="s">
        <v>18</v>
      </c>
      <c r="D270" t="s">
        <v>13</v>
      </c>
      <c r="E270">
        <v>87210.57</v>
      </c>
      <c r="F270">
        <v>3407</v>
      </c>
      <c r="G270">
        <v>15000.22</v>
      </c>
      <c r="H270">
        <v>157</v>
      </c>
    </row>
    <row r="271" spans="1:8" x14ac:dyDescent="0.2">
      <c r="A271" s="5">
        <v>46143</v>
      </c>
      <c r="B271" t="s">
        <v>17</v>
      </c>
      <c r="C271" t="s">
        <v>18</v>
      </c>
      <c r="D271" t="s">
        <v>14</v>
      </c>
      <c r="E271">
        <v>115039.45</v>
      </c>
      <c r="F271">
        <v>2123</v>
      </c>
      <c r="G271">
        <v>13574.66</v>
      </c>
      <c r="H271">
        <v>108</v>
      </c>
    </row>
    <row r="272" spans="1:8" x14ac:dyDescent="0.2">
      <c r="A272" s="5">
        <v>46143</v>
      </c>
      <c r="B272" t="s">
        <v>17</v>
      </c>
      <c r="C272" t="s">
        <v>18</v>
      </c>
      <c r="D272" t="s">
        <v>15</v>
      </c>
      <c r="E272">
        <v>45448.58</v>
      </c>
      <c r="F272">
        <v>3655</v>
      </c>
      <c r="G272">
        <v>11998.43</v>
      </c>
      <c r="H272">
        <v>148</v>
      </c>
    </row>
    <row r="273" spans="1:8" x14ac:dyDescent="0.2">
      <c r="A273" s="5">
        <v>46143</v>
      </c>
      <c r="B273" t="s">
        <v>19</v>
      </c>
      <c r="C273" t="s">
        <v>18</v>
      </c>
      <c r="D273" t="s">
        <v>10</v>
      </c>
      <c r="E273">
        <v>35161.379999999997</v>
      </c>
      <c r="F273">
        <v>2258</v>
      </c>
      <c r="G273">
        <v>7770.66</v>
      </c>
      <c r="H273">
        <v>104</v>
      </c>
    </row>
    <row r="274" spans="1:8" x14ac:dyDescent="0.2">
      <c r="A274" s="5">
        <v>46143</v>
      </c>
      <c r="B274" t="s">
        <v>19</v>
      </c>
      <c r="C274" t="s">
        <v>18</v>
      </c>
      <c r="D274" t="s">
        <v>11</v>
      </c>
      <c r="E274">
        <v>36049.910000000003</v>
      </c>
      <c r="F274">
        <v>1705</v>
      </c>
      <c r="G274">
        <v>7029.73</v>
      </c>
      <c r="H274">
        <v>82</v>
      </c>
    </row>
    <row r="275" spans="1:8" x14ac:dyDescent="0.2">
      <c r="A275" s="5">
        <v>46143</v>
      </c>
      <c r="B275" t="s">
        <v>19</v>
      </c>
      <c r="C275" t="s">
        <v>18</v>
      </c>
      <c r="D275" t="s">
        <v>12</v>
      </c>
      <c r="E275">
        <v>61166.45</v>
      </c>
      <c r="F275">
        <v>1967</v>
      </c>
      <c r="G275">
        <v>8746.7999999999993</v>
      </c>
      <c r="H275">
        <v>81</v>
      </c>
    </row>
    <row r="276" spans="1:8" x14ac:dyDescent="0.2">
      <c r="A276" s="5">
        <v>46143</v>
      </c>
      <c r="B276" t="s">
        <v>19</v>
      </c>
      <c r="C276" t="s">
        <v>18</v>
      </c>
      <c r="D276" t="s">
        <v>13</v>
      </c>
      <c r="E276">
        <v>62949.06</v>
      </c>
      <c r="F276">
        <v>2466</v>
      </c>
      <c r="G276">
        <v>10827.24</v>
      </c>
      <c r="H276">
        <v>108</v>
      </c>
    </row>
    <row r="277" spans="1:8" x14ac:dyDescent="0.2">
      <c r="A277" s="5">
        <v>46143</v>
      </c>
      <c r="B277" t="s">
        <v>19</v>
      </c>
      <c r="C277" t="s">
        <v>18</v>
      </c>
      <c r="D277" t="s">
        <v>14</v>
      </c>
      <c r="E277">
        <v>92977.88</v>
      </c>
      <c r="F277">
        <v>1748</v>
      </c>
      <c r="G277">
        <v>10971.39</v>
      </c>
      <c r="H277">
        <v>80</v>
      </c>
    </row>
    <row r="278" spans="1:8" x14ac:dyDescent="0.2">
      <c r="A278" s="5">
        <v>46143</v>
      </c>
      <c r="B278" t="s">
        <v>19</v>
      </c>
      <c r="C278" t="s">
        <v>18</v>
      </c>
      <c r="D278" t="s">
        <v>15</v>
      </c>
      <c r="E278">
        <v>29112.82</v>
      </c>
      <c r="F278">
        <v>2148</v>
      </c>
      <c r="G278">
        <v>7685.78</v>
      </c>
      <c r="H278">
        <v>100</v>
      </c>
    </row>
    <row r="279" spans="1:8" x14ac:dyDescent="0.2">
      <c r="A279" s="5">
        <v>46143</v>
      </c>
      <c r="B279" t="s">
        <v>20</v>
      </c>
      <c r="C279" t="s">
        <v>21</v>
      </c>
      <c r="D279" t="s">
        <v>10</v>
      </c>
      <c r="E279">
        <v>54561.15</v>
      </c>
      <c r="F279">
        <v>3374</v>
      </c>
      <c r="G279">
        <v>12058.01</v>
      </c>
      <c r="H279">
        <v>148</v>
      </c>
    </row>
    <row r="280" spans="1:8" x14ac:dyDescent="0.2">
      <c r="A280" s="5">
        <v>46143</v>
      </c>
      <c r="B280" t="s">
        <v>20</v>
      </c>
      <c r="C280" t="s">
        <v>21</v>
      </c>
      <c r="D280" t="s">
        <v>12</v>
      </c>
      <c r="E280">
        <v>46804.4</v>
      </c>
      <c r="F280">
        <v>1317</v>
      </c>
      <c r="G280">
        <v>6693.03</v>
      </c>
      <c r="H280">
        <v>74</v>
      </c>
    </row>
    <row r="281" spans="1:8" x14ac:dyDescent="0.2">
      <c r="A281" s="5">
        <v>46143</v>
      </c>
      <c r="B281" t="s">
        <v>20</v>
      </c>
      <c r="C281" t="s">
        <v>21</v>
      </c>
      <c r="D281" t="s">
        <v>13</v>
      </c>
      <c r="E281">
        <v>75383.33</v>
      </c>
      <c r="F281">
        <v>2840</v>
      </c>
      <c r="G281">
        <v>12965.93</v>
      </c>
      <c r="H281">
        <v>124</v>
      </c>
    </row>
    <row r="282" spans="1:8" x14ac:dyDescent="0.2">
      <c r="A282" s="5">
        <v>46143</v>
      </c>
      <c r="B282" t="s">
        <v>20</v>
      </c>
      <c r="C282" t="s">
        <v>21</v>
      </c>
      <c r="D282" t="s">
        <v>23</v>
      </c>
      <c r="E282">
        <v>45105.85</v>
      </c>
      <c r="F282">
        <v>3638</v>
      </c>
      <c r="G282">
        <v>11907.94</v>
      </c>
      <c r="H282">
        <v>145</v>
      </c>
    </row>
    <row r="283" spans="1:8" x14ac:dyDescent="0.2">
      <c r="A283" s="5">
        <v>46143</v>
      </c>
      <c r="B283" t="s">
        <v>20</v>
      </c>
      <c r="C283" t="s">
        <v>21</v>
      </c>
      <c r="D283" t="s">
        <v>14</v>
      </c>
      <c r="E283">
        <v>91208.3</v>
      </c>
      <c r="F283">
        <v>1619</v>
      </c>
      <c r="G283">
        <v>10762.58</v>
      </c>
      <c r="H283">
        <v>82</v>
      </c>
    </row>
    <row r="284" spans="1:8" x14ac:dyDescent="0.2">
      <c r="A284" s="5">
        <v>46143</v>
      </c>
      <c r="B284" t="s">
        <v>20</v>
      </c>
      <c r="C284" t="s">
        <v>21</v>
      </c>
      <c r="D284" t="s">
        <v>24</v>
      </c>
      <c r="E284">
        <v>36423.699999999997</v>
      </c>
      <c r="F284">
        <v>1713</v>
      </c>
      <c r="G284">
        <v>7102.62</v>
      </c>
      <c r="H284">
        <v>95</v>
      </c>
    </row>
    <row r="285" spans="1:8" x14ac:dyDescent="0.2">
      <c r="A285" s="5">
        <v>46143</v>
      </c>
      <c r="B285" t="s">
        <v>22</v>
      </c>
      <c r="C285" t="s">
        <v>21</v>
      </c>
      <c r="D285" t="s">
        <v>10</v>
      </c>
      <c r="E285">
        <v>26019.78</v>
      </c>
      <c r="F285">
        <v>1634</v>
      </c>
      <c r="G285">
        <v>5750.37</v>
      </c>
      <c r="H285">
        <v>80</v>
      </c>
    </row>
    <row r="286" spans="1:8" x14ac:dyDescent="0.2">
      <c r="A286" s="5">
        <v>46143</v>
      </c>
      <c r="B286" t="s">
        <v>22</v>
      </c>
      <c r="C286" t="s">
        <v>21</v>
      </c>
      <c r="D286" t="s">
        <v>11</v>
      </c>
      <c r="E286">
        <v>30712.55</v>
      </c>
      <c r="F286">
        <v>1430</v>
      </c>
      <c r="G286">
        <v>5988.95</v>
      </c>
      <c r="H286">
        <v>72</v>
      </c>
    </row>
    <row r="287" spans="1:8" x14ac:dyDescent="0.2">
      <c r="A287" s="5">
        <v>46143</v>
      </c>
      <c r="B287" t="s">
        <v>22</v>
      </c>
      <c r="C287" t="s">
        <v>21</v>
      </c>
      <c r="D287" t="s">
        <v>12</v>
      </c>
      <c r="E287">
        <v>35293.25</v>
      </c>
      <c r="F287">
        <v>1088</v>
      </c>
      <c r="G287">
        <v>5046.93</v>
      </c>
      <c r="H287">
        <v>59</v>
      </c>
    </row>
    <row r="288" spans="1:8" x14ac:dyDescent="0.2">
      <c r="A288" s="5">
        <v>46143</v>
      </c>
      <c r="B288" t="s">
        <v>22</v>
      </c>
      <c r="C288" t="s">
        <v>21</v>
      </c>
      <c r="D288" t="s">
        <v>13</v>
      </c>
      <c r="E288">
        <v>49451.42</v>
      </c>
      <c r="F288">
        <v>1947</v>
      </c>
      <c r="G288">
        <v>8505.64</v>
      </c>
      <c r="H288">
        <v>100</v>
      </c>
    </row>
    <row r="289" spans="1:8" x14ac:dyDescent="0.2">
      <c r="A289" s="5">
        <v>46143</v>
      </c>
      <c r="B289" t="s">
        <v>22</v>
      </c>
      <c r="C289" t="s">
        <v>21</v>
      </c>
      <c r="D289" t="s">
        <v>14</v>
      </c>
      <c r="E289">
        <v>79562.789999999994</v>
      </c>
      <c r="F289">
        <v>1442</v>
      </c>
      <c r="G289">
        <v>9388.41</v>
      </c>
      <c r="H289">
        <v>73</v>
      </c>
    </row>
    <row r="290" spans="1:8" x14ac:dyDescent="0.2">
      <c r="A290" s="5">
        <v>46143</v>
      </c>
      <c r="B290" t="s">
        <v>22</v>
      </c>
      <c r="C290" t="s">
        <v>21</v>
      </c>
      <c r="D290" t="s">
        <v>15</v>
      </c>
      <c r="E290">
        <v>31589.51</v>
      </c>
      <c r="F290">
        <v>2440</v>
      </c>
      <c r="G290">
        <v>8339.6299999999992</v>
      </c>
      <c r="H290">
        <v>86</v>
      </c>
    </row>
    <row r="291" spans="1:8" x14ac:dyDescent="0.2">
      <c r="A291" s="5">
        <v>46174</v>
      </c>
      <c r="B291" t="s">
        <v>8</v>
      </c>
      <c r="C291" t="s">
        <v>9</v>
      </c>
      <c r="D291" t="s">
        <v>10</v>
      </c>
      <c r="E291">
        <v>67899.33</v>
      </c>
      <c r="F291">
        <v>4246</v>
      </c>
      <c r="G291">
        <v>15005.75</v>
      </c>
      <c r="H291">
        <v>209</v>
      </c>
    </row>
    <row r="292" spans="1:8" x14ac:dyDescent="0.2">
      <c r="A292" s="5">
        <v>46174</v>
      </c>
      <c r="B292" t="s">
        <v>8</v>
      </c>
      <c r="C292" t="s">
        <v>9</v>
      </c>
      <c r="D292" t="s">
        <v>11</v>
      </c>
      <c r="E292">
        <v>86110.71</v>
      </c>
      <c r="F292">
        <v>4053</v>
      </c>
      <c r="G292">
        <v>16791.59</v>
      </c>
      <c r="H292">
        <v>183</v>
      </c>
    </row>
    <row r="293" spans="1:8" x14ac:dyDescent="0.2">
      <c r="A293" s="5">
        <v>46174</v>
      </c>
      <c r="B293" t="s">
        <v>8</v>
      </c>
      <c r="C293" t="s">
        <v>9</v>
      </c>
      <c r="D293" t="s">
        <v>12</v>
      </c>
      <c r="E293">
        <v>95358.81</v>
      </c>
      <c r="F293">
        <v>2802</v>
      </c>
      <c r="G293">
        <v>13636.31</v>
      </c>
      <c r="H293">
        <v>146</v>
      </c>
    </row>
    <row r="294" spans="1:8" x14ac:dyDescent="0.2">
      <c r="A294" s="5">
        <v>46174</v>
      </c>
      <c r="B294" t="s">
        <v>8</v>
      </c>
      <c r="C294" t="s">
        <v>9</v>
      </c>
      <c r="D294" t="s">
        <v>13</v>
      </c>
      <c r="E294">
        <v>119123.01</v>
      </c>
      <c r="F294">
        <v>4605</v>
      </c>
      <c r="G294">
        <v>20489.16</v>
      </c>
      <c r="H294">
        <v>213</v>
      </c>
    </row>
    <row r="295" spans="1:8" x14ac:dyDescent="0.2">
      <c r="A295" s="5">
        <v>46174</v>
      </c>
      <c r="B295" t="s">
        <v>8</v>
      </c>
      <c r="C295" t="s">
        <v>9</v>
      </c>
      <c r="D295" t="s">
        <v>14</v>
      </c>
      <c r="E295">
        <v>183206.11</v>
      </c>
      <c r="F295">
        <v>3522</v>
      </c>
      <c r="G295">
        <v>21618.32</v>
      </c>
      <c r="H295">
        <v>170</v>
      </c>
    </row>
    <row r="296" spans="1:8" x14ac:dyDescent="0.2">
      <c r="A296" s="5">
        <v>46174</v>
      </c>
      <c r="B296" t="s">
        <v>8</v>
      </c>
      <c r="C296" t="s">
        <v>9</v>
      </c>
      <c r="D296" t="s">
        <v>15</v>
      </c>
      <c r="E296">
        <v>63204.82</v>
      </c>
      <c r="F296">
        <v>4793</v>
      </c>
      <c r="G296">
        <v>16686.07</v>
      </c>
      <c r="H296">
        <v>216</v>
      </c>
    </row>
    <row r="297" spans="1:8" x14ac:dyDescent="0.2">
      <c r="A297" s="5">
        <v>46174</v>
      </c>
      <c r="B297" t="s">
        <v>16</v>
      </c>
      <c r="C297" t="s">
        <v>9</v>
      </c>
      <c r="D297" t="s">
        <v>10</v>
      </c>
      <c r="E297">
        <v>40582.18</v>
      </c>
      <c r="F297">
        <v>2635</v>
      </c>
      <c r="G297">
        <v>8968.66</v>
      </c>
      <c r="H297">
        <v>127</v>
      </c>
    </row>
    <row r="298" spans="1:8" x14ac:dyDescent="0.2">
      <c r="A298" s="5">
        <v>46174</v>
      </c>
      <c r="B298" t="s">
        <v>16</v>
      </c>
      <c r="C298" t="s">
        <v>9</v>
      </c>
      <c r="D298" t="s">
        <v>11</v>
      </c>
      <c r="E298">
        <v>36218.76</v>
      </c>
      <c r="F298">
        <v>1687</v>
      </c>
      <c r="G298">
        <v>7062.66</v>
      </c>
      <c r="H298">
        <v>90</v>
      </c>
    </row>
    <row r="299" spans="1:8" x14ac:dyDescent="0.2">
      <c r="A299" s="5">
        <v>46174</v>
      </c>
      <c r="B299" t="s">
        <v>16</v>
      </c>
      <c r="C299" t="s">
        <v>9</v>
      </c>
      <c r="D299" t="s">
        <v>12</v>
      </c>
      <c r="E299">
        <v>58680.79</v>
      </c>
      <c r="F299">
        <v>1729</v>
      </c>
      <c r="G299">
        <v>8391.35</v>
      </c>
      <c r="H299">
        <v>77</v>
      </c>
    </row>
    <row r="300" spans="1:8" x14ac:dyDescent="0.2">
      <c r="A300" s="5">
        <v>46174</v>
      </c>
      <c r="B300" t="s">
        <v>16</v>
      </c>
      <c r="C300" t="s">
        <v>9</v>
      </c>
      <c r="D300" t="s">
        <v>13</v>
      </c>
      <c r="E300">
        <v>81532.61</v>
      </c>
      <c r="F300">
        <v>3211</v>
      </c>
      <c r="G300">
        <v>14023.61</v>
      </c>
      <c r="H300">
        <v>139</v>
      </c>
    </row>
    <row r="301" spans="1:8" x14ac:dyDescent="0.2">
      <c r="A301" s="5">
        <v>46174</v>
      </c>
      <c r="B301" t="s">
        <v>16</v>
      </c>
      <c r="C301" t="s">
        <v>9</v>
      </c>
      <c r="D301" t="s">
        <v>14</v>
      </c>
      <c r="E301">
        <v>86143.17</v>
      </c>
      <c r="F301">
        <v>1566</v>
      </c>
      <c r="G301">
        <v>10164.89</v>
      </c>
      <c r="H301">
        <v>82</v>
      </c>
    </row>
    <row r="302" spans="1:8" x14ac:dyDescent="0.2">
      <c r="A302" s="5">
        <v>46174</v>
      </c>
      <c r="B302" t="s">
        <v>16</v>
      </c>
      <c r="C302" t="s">
        <v>9</v>
      </c>
      <c r="D302" t="s">
        <v>15</v>
      </c>
      <c r="E302">
        <v>33882.18</v>
      </c>
      <c r="F302">
        <v>2684</v>
      </c>
      <c r="G302">
        <v>8944.9</v>
      </c>
      <c r="H302">
        <v>116</v>
      </c>
    </row>
    <row r="303" spans="1:8" x14ac:dyDescent="0.2">
      <c r="A303" s="5">
        <v>46174</v>
      </c>
      <c r="B303" t="s">
        <v>17</v>
      </c>
      <c r="C303" t="s">
        <v>18</v>
      </c>
      <c r="D303" t="s">
        <v>10</v>
      </c>
      <c r="E303">
        <v>54946.44</v>
      </c>
      <c r="F303">
        <v>3426</v>
      </c>
      <c r="G303">
        <v>12143.16</v>
      </c>
      <c r="H303">
        <v>145</v>
      </c>
    </row>
    <row r="304" spans="1:8" x14ac:dyDescent="0.2">
      <c r="A304" s="5">
        <v>46174</v>
      </c>
      <c r="B304" t="s">
        <v>17</v>
      </c>
      <c r="C304" t="s">
        <v>18</v>
      </c>
      <c r="D304" t="s">
        <v>11</v>
      </c>
      <c r="E304">
        <v>58156.34</v>
      </c>
      <c r="F304">
        <v>2770</v>
      </c>
      <c r="G304">
        <v>11340.49</v>
      </c>
      <c r="H304">
        <v>113</v>
      </c>
    </row>
    <row r="305" spans="1:8" x14ac:dyDescent="0.2">
      <c r="A305" s="5">
        <v>46174</v>
      </c>
      <c r="B305" t="s">
        <v>17</v>
      </c>
      <c r="C305" t="s">
        <v>18</v>
      </c>
      <c r="D305" t="s">
        <v>12</v>
      </c>
      <c r="E305">
        <v>70468.350000000006</v>
      </c>
      <c r="F305">
        <v>2142</v>
      </c>
      <c r="G305">
        <v>10076.969999999999</v>
      </c>
      <c r="H305">
        <v>113</v>
      </c>
    </row>
    <row r="306" spans="1:8" x14ac:dyDescent="0.2">
      <c r="A306" s="5">
        <v>46174</v>
      </c>
      <c r="B306" t="s">
        <v>17</v>
      </c>
      <c r="C306" t="s">
        <v>18</v>
      </c>
      <c r="D306" t="s">
        <v>13</v>
      </c>
      <c r="E306">
        <v>85819.86</v>
      </c>
      <c r="F306">
        <v>3226</v>
      </c>
      <c r="G306">
        <v>14761.02</v>
      </c>
      <c r="H306">
        <v>152</v>
      </c>
    </row>
    <row r="307" spans="1:8" x14ac:dyDescent="0.2">
      <c r="A307" s="5">
        <v>46174</v>
      </c>
      <c r="B307" t="s">
        <v>17</v>
      </c>
      <c r="C307" t="s">
        <v>18</v>
      </c>
      <c r="D307" t="s">
        <v>14</v>
      </c>
      <c r="E307">
        <v>118483</v>
      </c>
      <c r="F307">
        <v>2222</v>
      </c>
      <c r="G307">
        <v>13980.99</v>
      </c>
      <c r="H307">
        <v>103</v>
      </c>
    </row>
    <row r="308" spans="1:8" x14ac:dyDescent="0.2">
      <c r="A308" s="5">
        <v>46174</v>
      </c>
      <c r="B308" t="s">
        <v>17</v>
      </c>
      <c r="C308" t="s">
        <v>18</v>
      </c>
      <c r="D308" t="s">
        <v>15</v>
      </c>
      <c r="E308">
        <v>42996.63</v>
      </c>
      <c r="F308">
        <v>3209</v>
      </c>
      <c r="G308">
        <v>11351.11</v>
      </c>
      <c r="H308">
        <v>140</v>
      </c>
    </row>
    <row r="309" spans="1:8" x14ac:dyDescent="0.2">
      <c r="A309" s="5">
        <v>46174</v>
      </c>
      <c r="B309" t="s">
        <v>19</v>
      </c>
      <c r="C309" t="s">
        <v>18</v>
      </c>
      <c r="D309" t="s">
        <v>10</v>
      </c>
      <c r="E309">
        <v>34396.18</v>
      </c>
      <c r="F309">
        <v>2197</v>
      </c>
      <c r="G309">
        <v>7601.56</v>
      </c>
      <c r="H309">
        <v>106</v>
      </c>
    </row>
    <row r="310" spans="1:8" x14ac:dyDescent="0.2">
      <c r="A310" s="5">
        <v>46174</v>
      </c>
      <c r="B310" t="s">
        <v>19</v>
      </c>
      <c r="C310" t="s">
        <v>18</v>
      </c>
      <c r="D310" t="s">
        <v>11</v>
      </c>
      <c r="E310">
        <v>38189.949999999997</v>
      </c>
      <c r="F310">
        <v>1739</v>
      </c>
      <c r="G310">
        <v>7447.04</v>
      </c>
      <c r="H310">
        <v>75</v>
      </c>
    </row>
    <row r="311" spans="1:8" x14ac:dyDescent="0.2">
      <c r="A311" s="5">
        <v>46174</v>
      </c>
      <c r="B311" t="s">
        <v>19</v>
      </c>
      <c r="C311" t="s">
        <v>18</v>
      </c>
      <c r="D311" t="s">
        <v>12</v>
      </c>
      <c r="E311">
        <v>65609.570000000007</v>
      </c>
      <c r="F311">
        <v>1893</v>
      </c>
      <c r="G311">
        <v>9382.17</v>
      </c>
      <c r="H311">
        <v>75</v>
      </c>
    </row>
    <row r="312" spans="1:8" x14ac:dyDescent="0.2">
      <c r="A312" s="5">
        <v>46174</v>
      </c>
      <c r="B312" t="s">
        <v>19</v>
      </c>
      <c r="C312" t="s">
        <v>18</v>
      </c>
      <c r="D312" t="s">
        <v>13</v>
      </c>
      <c r="E312">
        <v>62638.47</v>
      </c>
      <c r="F312">
        <v>2447</v>
      </c>
      <c r="G312">
        <v>10773.82</v>
      </c>
      <c r="H312">
        <v>107</v>
      </c>
    </row>
    <row r="313" spans="1:8" x14ac:dyDescent="0.2">
      <c r="A313" s="5">
        <v>46174</v>
      </c>
      <c r="B313" t="s">
        <v>19</v>
      </c>
      <c r="C313" t="s">
        <v>18</v>
      </c>
      <c r="D313" t="s">
        <v>14</v>
      </c>
      <c r="E313">
        <v>84159.85</v>
      </c>
      <c r="F313">
        <v>1550</v>
      </c>
      <c r="G313">
        <v>9930.86</v>
      </c>
      <c r="H313">
        <v>82</v>
      </c>
    </row>
    <row r="314" spans="1:8" x14ac:dyDescent="0.2">
      <c r="A314" s="5">
        <v>46174</v>
      </c>
      <c r="B314" t="s">
        <v>19</v>
      </c>
      <c r="C314" t="s">
        <v>18</v>
      </c>
      <c r="D314" t="s">
        <v>15</v>
      </c>
      <c r="E314">
        <v>28960.71</v>
      </c>
      <c r="F314">
        <v>2201</v>
      </c>
      <c r="G314">
        <v>7645.63</v>
      </c>
      <c r="H314">
        <v>112</v>
      </c>
    </row>
    <row r="315" spans="1:8" x14ac:dyDescent="0.2">
      <c r="A315" s="5">
        <v>46174</v>
      </c>
      <c r="B315" t="s">
        <v>20</v>
      </c>
      <c r="C315" t="s">
        <v>21</v>
      </c>
      <c r="D315" t="s">
        <v>10</v>
      </c>
      <c r="E315">
        <v>51548.21</v>
      </c>
      <c r="F315">
        <v>3173</v>
      </c>
      <c r="G315">
        <v>11392.15</v>
      </c>
      <c r="H315">
        <v>150</v>
      </c>
    </row>
    <row r="316" spans="1:8" x14ac:dyDescent="0.2">
      <c r="A316" s="5">
        <v>46174</v>
      </c>
      <c r="B316" t="s">
        <v>20</v>
      </c>
      <c r="C316" t="s">
        <v>21</v>
      </c>
      <c r="D316" t="s">
        <v>12</v>
      </c>
      <c r="E316">
        <v>45660.89</v>
      </c>
      <c r="F316">
        <v>1440</v>
      </c>
      <c r="G316">
        <v>6529.51</v>
      </c>
      <c r="H316">
        <v>68</v>
      </c>
    </row>
    <row r="317" spans="1:8" x14ac:dyDescent="0.2">
      <c r="A317" s="5">
        <v>46174</v>
      </c>
      <c r="B317" t="s">
        <v>20</v>
      </c>
      <c r="C317" t="s">
        <v>21</v>
      </c>
      <c r="D317" t="s">
        <v>13</v>
      </c>
      <c r="E317">
        <v>52916.44</v>
      </c>
      <c r="F317">
        <v>2048</v>
      </c>
      <c r="G317">
        <v>9101.6299999999992</v>
      </c>
      <c r="H317">
        <v>113</v>
      </c>
    </row>
    <row r="318" spans="1:8" x14ac:dyDescent="0.2">
      <c r="A318" s="5">
        <v>46174</v>
      </c>
      <c r="B318" t="s">
        <v>20</v>
      </c>
      <c r="C318" t="s">
        <v>21</v>
      </c>
      <c r="D318" t="s">
        <v>23</v>
      </c>
      <c r="E318">
        <v>45936.74</v>
      </c>
      <c r="F318">
        <v>3478</v>
      </c>
      <c r="G318">
        <v>12127.3</v>
      </c>
      <c r="H318">
        <v>140</v>
      </c>
    </row>
    <row r="319" spans="1:8" x14ac:dyDescent="0.2">
      <c r="A319" s="5">
        <v>46174</v>
      </c>
      <c r="B319" t="s">
        <v>20</v>
      </c>
      <c r="C319" t="s">
        <v>21</v>
      </c>
      <c r="D319" t="s">
        <v>14</v>
      </c>
      <c r="E319">
        <v>85901.89</v>
      </c>
      <c r="F319">
        <v>1621</v>
      </c>
      <c r="G319">
        <v>10136.42</v>
      </c>
      <c r="H319">
        <v>87</v>
      </c>
    </row>
    <row r="320" spans="1:8" x14ac:dyDescent="0.2">
      <c r="A320" s="5">
        <v>46174</v>
      </c>
      <c r="B320" t="s">
        <v>20</v>
      </c>
      <c r="C320" t="s">
        <v>21</v>
      </c>
      <c r="D320" t="s">
        <v>24</v>
      </c>
      <c r="E320">
        <v>36283.75</v>
      </c>
      <c r="F320">
        <v>1762</v>
      </c>
      <c r="G320">
        <v>7075.33</v>
      </c>
      <c r="H320">
        <v>91</v>
      </c>
    </row>
    <row r="321" spans="1:8" x14ac:dyDescent="0.2">
      <c r="A321" s="5">
        <v>46174</v>
      </c>
      <c r="B321" t="s">
        <v>22</v>
      </c>
      <c r="C321" t="s">
        <v>21</v>
      </c>
      <c r="D321" t="s">
        <v>10</v>
      </c>
      <c r="E321">
        <v>29489.94</v>
      </c>
      <c r="F321">
        <v>1766</v>
      </c>
      <c r="G321">
        <v>6517.28</v>
      </c>
      <c r="H321">
        <v>79</v>
      </c>
    </row>
    <row r="322" spans="1:8" x14ac:dyDescent="0.2">
      <c r="A322" s="5">
        <v>46174</v>
      </c>
      <c r="B322" t="s">
        <v>22</v>
      </c>
      <c r="C322" t="s">
        <v>21</v>
      </c>
      <c r="D322" t="s">
        <v>11</v>
      </c>
      <c r="E322">
        <v>27427.49</v>
      </c>
      <c r="F322">
        <v>1377</v>
      </c>
      <c r="G322">
        <v>5348.36</v>
      </c>
      <c r="H322">
        <v>66</v>
      </c>
    </row>
    <row r="323" spans="1:8" x14ac:dyDescent="0.2">
      <c r="A323" s="5">
        <v>46174</v>
      </c>
      <c r="B323" t="s">
        <v>22</v>
      </c>
      <c r="C323" t="s">
        <v>21</v>
      </c>
      <c r="D323" t="s">
        <v>12</v>
      </c>
      <c r="E323">
        <v>51581.82</v>
      </c>
      <c r="F323">
        <v>1480</v>
      </c>
      <c r="G323">
        <v>7376.2</v>
      </c>
      <c r="H323">
        <v>58</v>
      </c>
    </row>
    <row r="324" spans="1:8" x14ac:dyDescent="0.2">
      <c r="A324" s="5">
        <v>46174</v>
      </c>
      <c r="B324" t="s">
        <v>22</v>
      </c>
      <c r="C324" t="s">
        <v>21</v>
      </c>
      <c r="D324" t="s">
        <v>13</v>
      </c>
      <c r="E324">
        <v>55827.98</v>
      </c>
      <c r="F324">
        <v>2074</v>
      </c>
      <c r="G324">
        <v>9602.41</v>
      </c>
      <c r="H324">
        <v>105</v>
      </c>
    </row>
    <row r="325" spans="1:8" x14ac:dyDescent="0.2">
      <c r="A325" s="5">
        <v>46174</v>
      </c>
      <c r="B325" t="s">
        <v>22</v>
      </c>
      <c r="C325" t="s">
        <v>21</v>
      </c>
      <c r="D325" t="s">
        <v>14</v>
      </c>
      <c r="E325">
        <v>74207.42</v>
      </c>
      <c r="F325">
        <v>1338</v>
      </c>
      <c r="G325">
        <v>8756.48</v>
      </c>
      <c r="H325">
        <v>60</v>
      </c>
    </row>
    <row r="326" spans="1:8" x14ac:dyDescent="0.2">
      <c r="A326" s="5">
        <v>46174</v>
      </c>
      <c r="B326" t="s">
        <v>22</v>
      </c>
      <c r="C326" t="s">
        <v>21</v>
      </c>
      <c r="D326" t="s">
        <v>15</v>
      </c>
      <c r="E326">
        <v>27066.6</v>
      </c>
      <c r="F326">
        <v>2012</v>
      </c>
      <c r="G326">
        <v>7145.58</v>
      </c>
      <c r="H326">
        <v>82</v>
      </c>
    </row>
    <row r="327" spans="1:8" x14ac:dyDescent="0.2">
      <c r="A327" s="5">
        <v>46204</v>
      </c>
      <c r="B327" t="s">
        <v>8</v>
      </c>
      <c r="C327" t="s">
        <v>9</v>
      </c>
      <c r="D327" t="s">
        <v>10</v>
      </c>
      <c r="E327">
        <v>76771.22</v>
      </c>
      <c r="F327">
        <v>4475</v>
      </c>
      <c r="G327">
        <v>16966.439999999999</v>
      </c>
      <c r="H327">
        <v>210</v>
      </c>
    </row>
    <row r="328" spans="1:8" x14ac:dyDescent="0.2">
      <c r="A328" s="5">
        <v>46204</v>
      </c>
      <c r="B328" t="s">
        <v>8</v>
      </c>
      <c r="C328" t="s">
        <v>9</v>
      </c>
      <c r="D328" t="s">
        <v>11</v>
      </c>
      <c r="E328">
        <v>79163.31</v>
      </c>
      <c r="F328">
        <v>3608</v>
      </c>
      <c r="G328">
        <v>15436.85</v>
      </c>
      <c r="H328">
        <v>178</v>
      </c>
    </row>
    <row r="329" spans="1:8" x14ac:dyDescent="0.2">
      <c r="A329" s="5">
        <v>46204</v>
      </c>
      <c r="B329" t="s">
        <v>8</v>
      </c>
      <c r="C329" t="s">
        <v>9</v>
      </c>
      <c r="D329" t="s">
        <v>12</v>
      </c>
      <c r="E329">
        <v>95980.08</v>
      </c>
      <c r="F329">
        <v>2721</v>
      </c>
      <c r="G329">
        <v>13725.15</v>
      </c>
      <c r="H329">
        <v>143</v>
      </c>
    </row>
    <row r="330" spans="1:8" x14ac:dyDescent="0.2">
      <c r="A330" s="5">
        <v>46204</v>
      </c>
      <c r="B330" t="s">
        <v>8</v>
      </c>
      <c r="C330" t="s">
        <v>9</v>
      </c>
      <c r="D330" t="s">
        <v>13</v>
      </c>
      <c r="E330">
        <v>142550.39999999999</v>
      </c>
      <c r="F330">
        <v>5533</v>
      </c>
      <c r="G330">
        <v>24518.67</v>
      </c>
      <c r="H330">
        <v>250</v>
      </c>
    </row>
    <row r="331" spans="1:8" x14ac:dyDescent="0.2">
      <c r="A331" s="5">
        <v>46204</v>
      </c>
      <c r="B331" t="s">
        <v>8</v>
      </c>
      <c r="C331" t="s">
        <v>9</v>
      </c>
      <c r="D331" t="s">
        <v>14</v>
      </c>
      <c r="E331">
        <v>161895.06</v>
      </c>
      <c r="F331">
        <v>3070</v>
      </c>
      <c r="G331">
        <v>19103.62</v>
      </c>
      <c r="H331">
        <v>166</v>
      </c>
    </row>
    <row r="332" spans="1:8" x14ac:dyDescent="0.2">
      <c r="A332" s="5">
        <v>46204</v>
      </c>
      <c r="B332" t="s">
        <v>8</v>
      </c>
      <c r="C332" t="s">
        <v>9</v>
      </c>
      <c r="D332" t="s">
        <v>15</v>
      </c>
      <c r="E332">
        <v>59921.15</v>
      </c>
      <c r="F332">
        <v>4433</v>
      </c>
      <c r="G332">
        <v>15819.18</v>
      </c>
      <c r="H332">
        <v>214</v>
      </c>
    </row>
    <row r="333" spans="1:8" x14ac:dyDescent="0.2">
      <c r="A333" s="5">
        <v>46204</v>
      </c>
      <c r="B333" t="s">
        <v>16</v>
      </c>
      <c r="C333" t="s">
        <v>9</v>
      </c>
      <c r="D333" t="s">
        <v>10</v>
      </c>
      <c r="E333">
        <v>38651.1</v>
      </c>
      <c r="F333">
        <v>2456</v>
      </c>
      <c r="G333">
        <v>8541.89</v>
      </c>
      <c r="H333">
        <v>123</v>
      </c>
    </row>
    <row r="334" spans="1:8" x14ac:dyDescent="0.2">
      <c r="A334" s="5">
        <v>46204</v>
      </c>
      <c r="B334" t="s">
        <v>16</v>
      </c>
      <c r="C334" t="s">
        <v>9</v>
      </c>
      <c r="D334" t="s">
        <v>11</v>
      </c>
      <c r="E334">
        <v>48511.71</v>
      </c>
      <c r="F334">
        <v>2176</v>
      </c>
      <c r="G334">
        <v>9459.7800000000007</v>
      </c>
      <c r="H334">
        <v>113</v>
      </c>
    </row>
    <row r="335" spans="1:8" x14ac:dyDescent="0.2">
      <c r="A335" s="5">
        <v>46204</v>
      </c>
      <c r="B335" t="s">
        <v>16</v>
      </c>
      <c r="C335" t="s">
        <v>9</v>
      </c>
      <c r="D335" t="s">
        <v>12</v>
      </c>
      <c r="E335">
        <v>79066.009999999995</v>
      </c>
      <c r="F335">
        <v>2134</v>
      </c>
      <c r="G335">
        <v>11306.44</v>
      </c>
      <c r="H335">
        <v>106</v>
      </c>
    </row>
    <row r="336" spans="1:8" x14ac:dyDescent="0.2">
      <c r="A336" s="5">
        <v>46204</v>
      </c>
      <c r="B336" t="s">
        <v>16</v>
      </c>
      <c r="C336" t="s">
        <v>9</v>
      </c>
      <c r="D336" t="s">
        <v>13</v>
      </c>
      <c r="E336">
        <v>80794.66</v>
      </c>
      <c r="F336">
        <v>3112</v>
      </c>
      <c r="G336">
        <v>13896.68</v>
      </c>
      <c r="H336">
        <v>132</v>
      </c>
    </row>
    <row r="337" spans="1:8" x14ac:dyDescent="0.2">
      <c r="A337" s="5">
        <v>46204</v>
      </c>
      <c r="B337" t="s">
        <v>16</v>
      </c>
      <c r="C337" t="s">
        <v>9</v>
      </c>
      <c r="D337" t="s">
        <v>14</v>
      </c>
      <c r="E337">
        <v>97841.58</v>
      </c>
      <c r="F337">
        <v>1779</v>
      </c>
      <c r="G337">
        <v>11545.31</v>
      </c>
      <c r="H337">
        <v>90</v>
      </c>
    </row>
    <row r="338" spans="1:8" x14ac:dyDescent="0.2">
      <c r="A338" s="5">
        <v>46204</v>
      </c>
      <c r="B338" t="s">
        <v>16</v>
      </c>
      <c r="C338" t="s">
        <v>9</v>
      </c>
      <c r="D338" t="s">
        <v>15</v>
      </c>
      <c r="E338">
        <v>34794.949999999997</v>
      </c>
      <c r="F338">
        <v>2620</v>
      </c>
      <c r="G338">
        <v>9185.8700000000008</v>
      </c>
      <c r="H338">
        <v>124</v>
      </c>
    </row>
    <row r="339" spans="1:8" x14ac:dyDescent="0.2">
      <c r="A339" s="5">
        <v>46204</v>
      </c>
      <c r="B339" t="s">
        <v>17</v>
      </c>
      <c r="C339" t="s">
        <v>18</v>
      </c>
      <c r="D339" t="s">
        <v>10</v>
      </c>
      <c r="E339">
        <v>48287.96</v>
      </c>
      <c r="F339">
        <v>3058</v>
      </c>
      <c r="G339">
        <v>10671.64</v>
      </c>
      <c r="H339">
        <v>141</v>
      </c>
    </row>
    <row r="340" spans="1:8" x14ac:dyDescent="0.2">
      <c r="A340" s="5">
        <v>46204</v>
      </c>
      <c r="B340" t="s">
        <v>17</v>
      </c>
      <c r="C340" t="s">
        <v>18</v>
      </c>
      <c r="D340" t="s">
        <v>11</v>
      </c>
      <c r="E340">
        <v>65140.33</v>
      </c>
      <c r="F340">
        <v>2985</v>
      </c>
      <c r="G340">
        <v>12702.36</v>
      </c>
      <c r="H340">
        <v>130</v>
      </c>
    </row>
    <row r="341" spans="1:8" x14ac:dyDescent="0.2">
      <c r="A341" s="5">
        <v>46204</v>
      </c>
      <c r="B341" t="s">
        <v>17</v>
      </c>
      <c r="C341" t="s">
        <v>18</v>
      </c>
      <c r="D341" t="s">
        <v>12</v>
      </c>
      <c r="E341">
        <v>64977.78</v>
      </c>
      <c r="F341">
        <v>2006</v>
      </c>
      <c r="G341">
        <v>9291.82</v>
      </c>
      <c r="H341">
        <v>105</v>
      </c>
    </row>
    <row r="342" spans="1:8" x14ac:dyDescent="0.2">
      <c r="A342" s="5">
        <v>46204</v>
      </c>
      <c r="B342" t="s">
        <v>17</v>
      </c>
      <c r="C342" t="s">
        <v>18</v>
      </c>
      <c r="D342" t="s">
        <v>13</v>
      </c>
      <c r="E342">
        <v>103741.11</v>
      </c>
      <c r="F342">
        <v>3848</v>
      </c>
      <c r="G342">
        <v>17843.47</v>
      </c>
      <c r="H342">
        <v>161</v>
      </c>
    </row>
    <row r="343" spans="1:8" x14ac:dyDescent="0.2">
      <c r="A343" s="5">
        <v>46204</v>
      </c>
      <c r="B343" t="s">
        <v>17</v>
      </c>
      <c r="C343" t="s">
        <v>18</v>
      </c>
      <c r="D343" t="s">
        <v>14</v>
      </c>
      <c r="E343">
        <v>101092.95</v>
      </c>
      <c r="F343">
        <v>2010</v>
      </c>
      <c r="G343">
        <v>11928.97</v>
      </c>
      <c r="H343">
        <v>98</v>
      </c>
    </row>
    <row r="344" spans="1:8" x14ac:dyDescent="0.2">
      <c r="A344" s="5">
        <v>46204</v>
      </c>
      <c r="B344" t="s">
        <v>17</v>
      </c>
      <c r="C344" t="s">
        <v>18</v>
      </c>
      <c r="D344" t="s">
        <v>15</v>
      </c>
      <c r="E344">
        <v>41749.54</v>
      </c>
      <c r="F344">
        <v>3188</v>
      </c>
      <c r="G344">
        <v>11021.88</v>
      </c>
      <c r="H344">
        <v>152</v>
      </c>
    </row>
    <row r="345" spans="1:8" x14ac:dyDescent="0.2">
      <c r="A345" s="5">
        <v>46204</v>
      </c>
      <c r="B345" t="s">
        <v>19</v>
      </c>
      <c r="C345" t="s">
        <v>18</v>
      </c>
      <c r="D345" t="s">
        <v>10</v>
      </c>
      <c r="E345">
        <v>41294.99</v>
      </c>
      <c r="F345">
        <v>2597</v>
      </c>
      <c r="G345">
        <v>9126.19</v>
      </c>
      <c r="H345">
        <v>98</v>
      </c>
    </row>
    <row r="346" spans="1:8" x14ac:dyDescent="0.2">
      <c r="A346" s="5">
        <v>46204</v>
      </c>
      <c r="B346" t="s">
        <v>19</v>
      </c>
      <c r="C346" t="s">
        <v>18</v>
      </c>
      <c r="D346" t="s">
        <v>11</v>
      </c>
      <c r="E346">
        <v>36377.86</v>
      </c>
      <c r="F346">
        <v>1750</v>
      </c>
      <c r="G346">
        <v>7093.68</v>
      </c>
      <c r="H346">
        <v>89</v>
      </c>
    </row>
    <row r="347" spans="1:8" x14ac:dyDescent="0.2">
      <c r="A347" s="5">
        <v>46204</v>
      </c>
      <c r="B347" t="s">
        <v>19</v>
      </c>
      <c r="C347" t="s">
        <v>18</v>
      </c>
      <c r="D347" t="s">
        <v>12</v>
      </c>
      <c r="E347">
        <v>52656.3</v>
      </c>
      <c r="F347">
        <v>1509</v>
      </c>
      <c r="G347">
        <v>7529.85</v>
      </c>
      <c r="H347">
        <v>69</v>
      </c>
    </row>
    <row r="348" spans="1:8" x14ac:dyDescent="0.2">
      <c r="A348" s="5">
        <v>46204</v>
      </c>
      <c r="B348" t="s">
        <v>19</v>
      </c>
      <c r="C348" t="s">
        <v>18</v>
      </c>
      <c r="D348" t="s">
        <v>13</v>
      </c>
      <c r="E348">
        <v>67316.600000000006</v>
      </c>
      <c r="F348">
        <v>2656</v>
      </c>
      <c r="G348">
        <v>11578.46</v>
      </c>
      <c r="H348">
        <v>119</v>
      </c>
    </row>
    <row r="349" spans="1:8" x14ac:dyDescent="0.2">
      <c r="A349" s="5">
        <v>46204</v>
      </c>
      <c r="B349" t="s">
        <v>19</v>
      </c>
      <c r="C349" t="s">
        <v>18</v>
      </c>
      <c r="D349" t="s">
        <v>14</v>
      </c>
      <c r="E349">
        <v>95279.95</v>
      </c>
      <c r="F349">
        <v>1649</v>
      </c>
      <c r="G349">
        <v>11243.03</v>
      </c>
      <c r="H349">
        <v>83</v>
      </c>
    </row>
    <row r="350" spans="1:8" x14ac:dyDescent="0.2">
      <c r="A350" s="5">
        <v>46204</v>
      </c>
      <c r="B350" t="s">
        <v>19</v>
      </c>
      <c r="C350" t="s">
        <v>18</v>
      </c>
      <c r="D350" t="s">
        <v>15</v>
      </c>
      <c r="E350">
        <v>22161.62</v>
      </c>
      <c r="F350">
        <v>1739</v>
      </c>
      <c r="G350">
        <v>5850.67</v>
      </c>
      <c r="H350">
        <v>103</v>
      </c>
    </row>
    <row r="351" spans="1:8" x14ac:dyDescent="0.2">
      <c r="A351" s="5">
        <v>46204</v>
      </c>
      <c r="B351" t="s">
        <v>20</v>
      </c>
      <c r="C351" t="s">
        <v>21</v>
      </c>
      <c r="D351" t="s">
        <v>10</v>
      </c>
      <c r="E351">
        <v>57609.24</v>
      </c>
      <c r="F351">
        <v>3613</v>
      </c>
      <c r="G351">
        <v>12731.64</v>
      </c>
      <c r="H351">
        <v>138</v>
      </c>
    </row>
    <row r="352" spans="1:8" x14ac:dyDescent="0.2">
      <c r="A352" s="5">
        <v>46204</v>
      </c>
      <c r="B352" t="s">
        <v>20</v>
      </c>
      <c r="C352" t="s">
        <v>21</v>
      </c>
      <c r="D352" t="s">
        <v>12</v>
      </c>
      <c r="E352">
        <v>46443.03</v>
      </c>
      <c r="F352">
        <v>1399</v>
      </c>
      <c r="G352">
        <v>6641.35</v>
      </c>
      <c r="H352">
        <v>66</v>
      </c>
    </row>
    <row r="353" spans="1:8" x14ac:dyDescent="0.2">
      <c r="A353" s="5">
        <v>46204</v>
      </c>
      <c r="B353" t="s">
        <v>20</v>
      </c>
      <c r="C353" t="s">
        <v>21</v>
      </c>
      <c r="D353" t="s">
        <v>13</v>
      </c>
      <c r="E353">
        <v>66994.259999999995</v>
      </c>
      <c r="F353">
        <v>2602</v>
      </c>
      <c r="G353">
        <v>11523.01</v>
      </c>
      <c r="H353">
        <v>123</v>
      </c>
    </row>
    <row r="354" spans="1:8" x14ac:dyDescent="0.2">
      <c r="A354" s="5">
        <v>46204</v>
      </c>
      <c r="B354" t="s">
        <v>20</v>
      </c>
      <c r="C354" t="s">
        <v>21</v>
      </c>
      <c r="D354" t="s">
        <v>23</v>
      </c>
      <c r="E354">
        <v>46701.18</v>
      </c>
      <c r="F354">
        <v>3682</v>
      </c>
      <c r="G354">
        <v>12329.11</v>
      </c>
      <c r="H354">
        <v>148</v>
      </c>
    </row>
    <row r="355" spans="1:8" x14ac:dyDescent="0.2">
      <c r="A355" s="5">
        <v>46204</v>
      </c>
      <c r="B355" t="s">
        <v>20</v>
      </c>
      <c r="C355" t="s">
        <v>21</v>
      </c>
      <c r="D355" t="s">
        <v>14</v>
      </c>
      <c r="E355">
        <v>100434.27</v>
      </c>
      <c r="F355">
        <v>1813</v>
      </c>
      <c r="G355">
        <v>11851.24</v>
      </c>
      <c r="H355">
        <v>86</v>
      </c>
    </row>
    <row r="356" spans="1:8" x14ac:dyDescent="0.2">
      <c r="A356" s="5">
        <v>46204</v>
      </c>
      <c r="B356" t="s">
        <v>20</v>
      </c>
      <c r="C356" t="s">
        <v>21</v>
      </c>
      <c r="D356" t="s">
        <v>15</v>
      </c>
      <c r="E356">
        <v>15.07</v>
      </c>
      <c r="F356">
        <v>1</v>
      </c>
      <c r="G356">
        <v>3.98</v>
      </c>
      <c r="H356">
        <v>1</v>
      </c>
    </row>
    <row r="357" spans="1:8" x14ac:dyDescent="0.2">
      <c r="A357" s="5">
        <v>46204</v>
      </c>
      <c r="B357" t="s">
        <v>20</v>
      </c>
      <c r="C357" t="s">
        <v>21</v>
      </c>
      <c r="D357" t="s">
        <v>24</v>
      </c>
      <c r="E357">
        <v>51753.88</v>
      </c>
      <c r="F357">
        <v>2301</v>
      </c>
      <c r="G357">
        <v>10092.01</v>
      </c>
      <c r="H357">
        <v>103</v>
      </c>
    </row>
    <row r="358" spans="1:8" x14ac:dyDescent="0.2">
      <c r="A358" s="5">
        <v>46204</v>
      </c>
      <c r="B358" t="s">
        <v>22</v>
      </c>
      <c r="C358" t="s">
        <v>21</v>
      </c>
      <c r="D358" t="s">
        <v>10</v>
      </c>
      <c r="E358">
        <v>26198.86</v>
      </c>
      <c r="F358">
        <v>1591</v>
      </c>
      <c r="G358">
        <v>5789.95</v>
      </c>
      <c r="H358">
        <v>79</v>
      </c>
    </row>
    <row r="359" spans="1:8" x14ac:dyDescent="0.2">
      <c r="A359" s="5">
        <v>46204</v>
      </c>
      <c r="B359" t="s">
        <v>22</v>
      </c>
      <c r="C359" t="s">
        <v>21</v>
      </c>
      <c r="D359" t="s">
        <v>11</v>
      </c>
      <c r="E359">
        <v>23149.1</v>
      </c>
      <c r="F359">
        <v>1110</v>
      </c>
      <c r="G359">
        <v>4514.07</v>
      </c>
      <c r="H359">
        <v>68</v>
      </c>
    </row>
    <row r="360" spans="1:8" x14ac:dyDescent="0.2">
      <c r="A360" s="5">
        <v>46204</v>
      </c>
      <c r="B360" t="s">
        <v>22</v>
      </c>
      <c r="C360" t="s">
        <v>21</v>
      </c>
      <c r="D360" t="s">
        <v>12</v>
      </c>
      <c r="E360">
        <v>43313.05</v>
      </c>
      <c r="F360">
        <v>1280</v>
      </c>
      <c r="G360">
        <v>6193.77</v>
      </c>
      <c r="H360">
        <v>70</v>
      </c>
    </row>
    <row r="361" spans="1:8" x14ac:dyDescent="0.2">
      <c r="A361" s="5">
        <v>46204</v>
      </c>
      <c r="B361" t="s">
        <v>22</v>
      </c>
      <c r="C361" t="s">
        <v>21</v>
      </c>
      <c r="D361" t="s">
        <v>13</v>
      </c>
      <c r="E361">
        <v>46526.35</v>
      </c>
      <c r="F361">
        <v>1883</v>
      </c>
      <c r="G361">
        <v>8002.53</v>
      </c>
      <c r="H361">
        <v>89</v>
      </c>
    </row>
    <row r="362" spans="1:8" x14ac:dyDescent="0.2">
      <c r="A362" s="5">
        <v>46204</v>
      </c>
      <c r="B362" t="s">
        <v>22</v>
      </c>
      <c r="C362" t="s">
        <v>21</v>
      </c>
      <c r="D362" t="s">
        <v>14</v>
      </c>
      <c r="E362">
        <v>69827.789999999994</v>
      </c>
      <c r="F362">
        <v>1275</v>
      </c>
      <c r="G362">
        <v>8239.68</v>
      </c>
      <c r="H362">
        <v>71</v>
      </c>
    </row>
    <row r="363" spans="1:8" x14ac:dyDescent="0.2">
      <c r="A363" s="5">
        <v>46204</v>
      </c>
      <c r="B363" t="s">
        <v>22</v>
      </c>
      <c r="C363" t="s">
        <v>21</v>
      </c>
      <c r="D363" t="s">
        <v>15</v>
      </c>
      <c r="E363">
        <v>27173.64</v>
      </c>
      <c r="F363">
        <v>2052</v>
      </c>
      <c r="G363">
        <v>7173.84</v>
      </c>
      <c r="H363">
        <v>95</v>
      </c>
    </row>
    <row r="364" spans="1:8" x14ac:dyDescent="0.2">
      <c r="A364" s="5">
        <v>46235</v>
      </c>
      <c r="B364" t="s">
        <v>8</v>
      </c>
      <c r="C364" t="s">
        <v>9</v>
      </c>
      <c r="D364" t="s">
        <v>10</v>
      </c>
      <c r="E364">
        <v>80562.61</v>
      </c>
      <c r="F364">
        <v>4942</v>
      </c>
      <c r="G364">
        <v>17804.34</v>
      </c>
      <c r="H364">
        <v>235</v>
      </c>
    </row>
    <row r="365" spans="1:8" x14ac:dyDescent="0.2">
      <c r="A365" s="5">
        <v>46235</v>
      </c>
      <c r="B365" t="s">
        <v>8</v>
      </c>
      <c r="C365" t="s">
        <v>9</v>
      </c>
      <c r="D365" t="s">
        <v>11</v>
      </c>
      <c r="E365">
        <v>78647.070000000007</v>
      </c>
      <c r="F365">
        <v>3602</v>
      </c>
      <c r="G365">
        <v>15336.18</v>
      </c>
      <c r="H365">
        <v>176</v>
      </c>
    </row>
    <row r="366" spans="1:8" x14ac:dyDescent="0.2">
      <c r="A366" s="5">
        <v>46235</v>
      </c>
      <c r="B366" t="s">
        <v>8</v>
      </c>
      <c r="C366" t="s">
        <v>9</v>
      </c>
      <c r="D366" t="s">
        <v>12</v>
      </c>
      <c r="E366">
        <v>127147.61</v>
      </c>
      <c r="F366">
        <v>3458</v>
      </c>
      <c r="G366">
        <v>18182.11</v>
      </c>
      <c r="H366">
        <v>158</v>
      </c>
    </row>
    <row r="367" spans="1:8" x14ac:dyDescent="0.2">
      <c r="A367" s="5">
        <v>46235</v>
      </c>
      <c r="B367" t="s">
        <v>8</v>
      </c>
      <c r="C367" t="s">
        <v>9</v>
      </c>
      <c r="D367" t="s">
        <v>13</v>
      </c>
      <c r="E367">
        <v>160939.4</v>
      </c>
      <c r="F367">
        <v>6186</v>
      </c>
      <c r="G367">
        <v>27681.58</v>
      </c>
      <c r="H367">
        <v>259</v>
      </c>
    </row>
    <row r="368" spans="1:8" x14ac:dyDescent="0.2">
      <c r="A368" s="5">
        <v>46235</v>
      </c>
      <c r="B368" t="s">
        <v>8</v>
      </c>
      <c r="C368" t="s">
        <v>9</v>
      </c>
      <c r="D368" t="s">
        <v>14</v>
      </c>
      <c r="E368">
        <v>179612.74</v>
      </c>
      <c r="F368">
        <v>3485</v>
      </c>
      <c r="G368">
        <v>21194.3</v>
      </c>
      <c r="H368">
        <v>189</v>
      </c>
    </row>
    <row r="369" spans="1:8" x14ac:dyDescent="0.2">
      <c r="A369" s="5">
        <v>46235</v>
      </c>
      <c r="B369" t="s">
        <v>8</v>
      </c>
      <c r="C369" t="s">
        <v>9</v>
      </c>
      <c r="D369" t="s">
        <v>15</v>
      </c>
      <c r="E369">
        <v>73250.11</v>
      </c>
      <c r="F369">
        <v>5557</v>
      </c>
      <c r="G369">
        <v>19338.03</v>
      </c>
      <c r="H369">
        <v>239</v>
      </c>
    </row>
    <row r="370" spans="1:8" x14ac:dyDescent="0.2">
      <c r="A370" s="5">
        <v>46235</v>
      </c>
      <c r="B370" t="s">
        <v>16</v>
      </c>
      <c r="C370" t="s">
        <v>9</v>
      </c>
      <c r="D370" t="s">
        <v>10</v>
      </c>
      <c r="E370">
        <v>42324.79</v>
      </c>
      <c r="F370">
        <v>2612</v>
      </c>
      <c r="G370">
        <v>9353.7800000000007</v>
      </c>
      <c r="H370">
        <v>131</v>
      </c>
    </row>
    <row r="371" spans="1:8" x14ac:dyDescent="0.2">
      <c r="A371" s="5">
        <v>46235</v>
      </c>
      <c r="B371" t="s">
        <v>16</v>
      </c>
      <c r="C371" t="s">
        <v>9</v>
      </c>
      <c r="D371" t="s">
        <v>11</v>
      </c>
      <c r="E371">
        <v>46294.74</v>
      </c>
      <c r="F371">
        <v>2173</v>
      </c>
      <c r="G371">
        <v>9027.4699999999993</v>
      </c>
      <c r="H371">
        <v>118</v>
      </c>
    </row>
    <row r="372" spans="1:8" x14ac:dyDescent="0.2">
      <c r="A372" s="5">
        <v>46235</v>
      </c>
      <c r="B372" t="s">
        <v>16</v>
      </c>
      <c r="C372" t="s">
        <v>9</v>
      </c>
      <c r="D372" t="s">
        <v>12</v>
      </c>
      <c r="E372">
        <v>72584.2</v>
      </c>
      <c r="F372">
        <v>2208</v>
      </c>
      <c r="G372">
        <v>10379.540000000001</v>
      </c>
      <c r="H372">
        <v>103</v>
      </c>
    </row>
    <row r="373" spans="1:8" x14ac:dyDescent="0.2">
      <c r="A373" s="5">
        <v>46235</v>
      </c>
      <c r="B373" t="s">
        <v>16</v>
      </c>
      <c r="C373" t="s">
        <v>9</v>
      </c>
      <c r="D373" t="s">
        <v>13</v>
      </c>
      <c r="E373">
        <v>73368.87</v>
      </c>
      <c r="F373">
        <v>2806</v>
      </c>
      <c r="G373">
        <v>12619.45</v>
      </c>
      <c r="H373">
        <v>145</v>
      </c>
    </row>
    <row r="374" spans="1:8" x14ac:dyDescent="0.2">
      <c r="A374" s="5">
        <v>46235</v>
      </c>
      <c r="B374" t="s">
        <v>16</v>
      </c>
      <c r="C374" t="s">
        <v>9</v>
      </c>
      <c r="D374" t="s">
        <v>14</v>
      </c>
      <c r="E374">
        <v>94341.28</v>
      </c>
      <c r="F374">
        <v>1822</v>
      </c>
      <c r="G374">
        <v>11132.27</v>
      </c>
      <c r="H374">
        <v>87</v>
      </c>
    </row>
    <row r="375" spans="1:8" x14ac:dyDescent="0.2">
      <c r="A375" s="5">
        <v>46235</v>
      </c>
      <c r="B375" t="s">
        <v>16</v>
      </c>
      <c r="C375" t="s">
        <v>9</v>
      </c>
      <c r="D375" t="s">
        <v>15</v>
      </c>
      <c r="E375">
        <v>40736.5</v>
      </c>
      <c r="F375">
        <v>3057</v>
      </c>
      <c r="G375">
        <v>10754.44</v>
      </c>
      <c r="H375">
        <v>155</v>
      </c>
    </row>
    <row r="376" spans="1:8" x14ac:dyDescent="0.2">
      <c r="A376" s="5">
        <v>46235</v>
      </c>
      <c r="B376" t="s">
        <v>17</v>
      </c>
      <c r="C376" t="s">
        <v>18</v>
      </c>
      <c r="D376" t="s">
        <v>10</v>
      </c>
      <c r="E376">
        <v>47054.71</v>
      </c>
      <c r="F376">
        <v>2998</v>
      </c>
      <c r="G376">
        <v>10399.09</v>
      </c>
      <c r="H376">
        <v>149</v>
      </c>
    </row>
    <row r="377" spans="1:8" x14ac:dyDescent="0.2">
      <c r="A377" s="5">
        <v>46235</v>
      </c>
      <c r="B377" t="s">
        <v>17</v>
      </c>
      <c r="C377" t="s">
        <v>18</v>
      </c>
      <c r="D377" t="s">
        <v>11</v>
      </c>
      <c r="E377">
        <v>55918.15</v>
      </c>
      <c r="F377">
        <v>2624</v>
      </c>
      <c r="G377">
        <v>10904.04</v>
      </c>
      <c r="H377">
        <v>130</v>
      </c>
    </row>
    <row r="378" spans="1:8" x14ac:dyDescent="0.2">
      <c r="A378" s="5">
        <v>46235</v>
      </c>
      <c r="B378" t="s">
        <v>17</v>
      </c>
      <c r="C378" t="s">
        <v>18</v>
      </c>
      <c r="D378" t="s">
        <v>12</v>
      </c>
      <c r="E378">
        <v>70453.86</v>
      </c>
      <c r="F378">
        <v>2144</v>
      </c>
      <c r="G378">
        <v>10074.9</v>
      </c>
      <c r="H378">
        <v>119</v>
      </c>
    </row>
    <row r="379" spans="1:8" x14ac:dyDescent="0.2">
      <c r="A379" s="5">
        <v>46235</v>
      </c>
      <c r="B379" t="s">
        <v>17</v>
      </c>
      <c r="C379" t="s">
        <v>18</v>
      </c>
      <c r="D379" t="s">
        <v>13</v>
      </c>
      <c r="E379">
        <v>95387.91</v>
      </c>
      <c r="F379">
        <v>3750</v>
      </c>
      <c r="G379">
        <v>16406.72</v>
      </c>
      <c r="H379">
        <v>192</v>
      </c>
    </row>
    <row r="380" spans="1:8" x14ac:dyDescent="0.2">
      <c r="A380" s="5">
        <v>46235</v>
      </c>
      <c r="B380" t="s">
        <v>17</v>
      </c>
      <c r="C380" t="s">
        <v>18</v>
      </c>
      <c r="D380" t="s">
        <v>14</v>
      </c>
      <c r="E380">
        <v>156231.84</v>
      </c>
      <c r="F380">
        <v>2832</v>
      </c>
      <c r="G380">
        <v>18435.36</v>
      </c>
      <c r="H380">
        <v>135</v>
      </c>
    </row>
    <row r="381" spans="1:8" x14ac:dyDescent="0.2">
      <c r="A381" s="5">
        <v>46235</v>
      </c>
      <c r="B381" t="s">
        <v>17</v>
      </c>
      <c r="C381" t="s">
        <v>18</v>
      </c>
      <c r="D381" t="s">
        <v>15</v>
      </c>
      <c r="E381">
        <v>45987.01</v>
      </c>
      <c r="F381">
        <v>3526</v>
      </c>
      <c r="G381">
        <v>12140.57</v>
      </c>
      <c r="H381">
        <v>165</v>
      </c>
    </row>
    <row r="382" spans="1:8" x14ac:dyDescent="0.2">
      <c r="A382" s="5">
        <v>46235</v>
      </c>
      <c r="B382" t="s">
        <v>19</v>
      </c>
      <c r="C382" t="s">
        <v>18</v>
      </c>
      <c r="D382" t="s">
        <v>10</v>
      </c>
      <c r="E382">
        <v>38966.449999999997</v>
      </c>
      <c r="F382">
        <v>2554</v>
      </c>
      <c r="G382">
        <v>8611.59</v>
      </c>
      <c r="H382">
        <v>119</v>
      </c>
    </row>
    <row r="383" spans="1:8" x14ac:dyDescent="0.2">
      <c r="A383" s="5">
        <v>46235</v>
      </c>
      <c r="B383" t="s">
        <v>19</v>
      </c>
      <c r="C383" t="s">
        <v>18</v>
      </c>
      <c r="D383" t="s">
        <v>11</v>
      </c>
      <c r="E383">
        <v>39399.51</v>
      </c>
      <c r="F383">
        <v>1834</v>
      </c>
      <c r="G383">
        <v>7682.9</v>
      </c>
      <c r="H383">
        <v>96</v>
      </c>
    </row>
    <row r="384" spans="1:8" x14ac:dyDescent="0.2">
      <c r="A384" s="5">
        <v>46235</v>
      </c>
      <c r="B384" t="s">
        <v>19</v>
      </c>
      <c r="C384" t="s">
        <v>18</v>
      </c>
      <c r="D384" t="s">
        <v>12</v>
      </c>
      <c r="E384">
        <v>62823.7</v>
      </c>
      <c r="F384">
        <v>1880</v>
      </c>
      <c r="G384">
        <v>8983.7900000000009</v>
      </c>
      <c r="H384">
        <v>88</v>
      </c>
    </row>
    <row r="385" spans="1:8" x14ac:dyDescent="0.2">
      <c r="A385" s="5">
        <v>46235</v>
      </c>
      <c r="B385" t="s">
        <v>19</v>
      </c>
      <c r="C385" t="s">
        <v>18</v>
      </c>
      <c r="D385" t="s">
        <v>13</v>
      </c>
      <c r="E385">
        <v>70819.44</v>
      </c>
      <c r="F385">
        <v>2763</v>
      </c>
      <c r="G385">
        <v>12180.94</v>
      </c>
      <c r="H385">
        <v>112</v>
      </c>
    </row>
    <row r="386" spans="1:8" x14ac:dyDescent="0.2">
      <c r="A386" s="5">
        <v>46235</v>
      </c>
      <c r="B386" t="s">
        <v>19</v>
      </c>
      <c r="C386" t="s">
        <v>18</v>
      </c>
      <c r="D386" t="s">
        <v>14</v>
      </c>
      <c r="E386">
        <v>95535.67</v>
      </c>
      <c r="F386">
        <v>1873</v>
      </c>
      <c r="G386">
        <v>11273.21</v>
      </c>
      <c r="H386">
        <v>86</v>
      </c>
    </row>
    <row r="387" spans="1:8" x14ac:dyDescent="0.2">
      <c r="A387" s="5">
        <v>46235</v>
      </c>
      <c r="B387" t="s">
        <v>19</v>
      </c>
      <c r="C387" t="s">
        <v>18</v>
      </c>
      <c r="D387" t="s">
        <v>15</v>
      </c>
      <c r="E387">
        <v>34182.26</v>
      </c>
      <c r="F387">
        <v>2503</v>
      </c>
      <c r="G387">
        <v>9024.1200000000008</v>
      </c>
      <c r="H387">
        <v>115</v>
      </c>
    </row>
    <row r="388" spans="1:8" x14ac:dyDescent="0.2">
      <c r="A388" s="5">
        <v>46235</v>
      </c>
      <c r="B388" t="s">
        <v>20</v>
      </c>
      <c r="C388" t="s">
        <v>21</v>
      </c>
      <c r="D388" t="s">
        <v>10</v>
      </c>
      <c r="E388">
        <v>51116.13</v>
      </c>
      <c r="F388">
        <v>3118</v>
      </c>
      <c r="G388">
        <v>11296.66</v>
      </c>
      <c r="H388">
        <v>146</v>
      </c>
    </row>
    <row r="389" spans="1:8" x14ac:dyDescent="0.2">
      <c r="A389" s="5">
        <v>46235</v>
      </c>
      <c r="B389" t="s">
        <v>20</v>
      </c>
      <c r="C389" t="s">
        <v>21</v>
      </c>
      <c r="D389" t="s">
        <v>12</v>
      </c>
      <c r="E389">
        <v>84250.04</v>
      </c>
      <c r="F389">
        <v>2357</v>
      </c>
      <c r="G389">
        <v>12047.76</v>
      </c>
      <c r="H389">
        <v>94</v>
      </c>
    </row>
    <row r="390" spans="1:8" x14ac:dyDescent="0.2">
      <c r="A390" s="5">
        <v>46235</v>
      </c>
      <c r="B390" t="s">
        <v>20</v>
      </c>
      <c r="C390" t="s">
        <v>21</v>
      </c>
      <c r="D390" t="s">
        <v>13</v>
      </c>
      <c r="E390">
        <v>72482.81</v>
      </c>
      <c r="F390">
        <v>2808</v>
      </c>
      <c r="G390">
        <v>12467.04</v>
      </c>
      <c r="H390">
        <v>129</v>
      </c>
    </row>
    <row r="391" spans="1:8" x14ac:dyDescent="0.2">
      <c r="A391" s="5">
        <v>46235</v>
      </c>
      <c r="B391" t="s">
        <v>20</v>
      </c>
      <c r="C391" t="s">
        <v>21</v>
      </c>
      <c r="D391" t="s">
        <v>23</v>
      </c>
      <c r="E391">
        <v>47354.91</v>
      </c>
      <c r="F391">
        <v>3765</v>
      </c>
      <c r="G391">
        <v>12501.7</v>
      </c>
      <c r="H391">
        <v>152</v>
      </c>
    </row>
    <row r="392" spans="1:8" x14ac:dyDescent="0.2">
      <c r="A392" s="5">
        <v>46235</v>
      </c>
      <c r="B392" t="s">
        <v>20</v>
      </c>
      <c r="C392" t="s">
        <v>21</v>
      </c>
      <c r="D392" t="s">
        <v>14</v>
      </c>
      <c r="E392">
        <v>84877.64</v>
      </c>
      <c r="F392">
        <v>1572</v>
      </c>
      <c r="G392">
        <v>10015.56</v>
      </c>
      <c r="H392">
        <v>96</v>
      </c>
    </row>
    <row r="393" spans="1:8" x14ac:dyDescent="0.2">
      <c r="A393" s="5">
        <v>46235</v>
      </c>
      <c r="B393" t="s">
        <v>20</v>
      </c>
      <c r="C393" t="s">
        <v>21</v>
      </c>
      <c r="D393" t="s">
        <v>24</v>
      </c>
      <c r="E393">
        <v>47277.94</v>
      </c>
      <c r="F393">
        <v>2277</v>
      </c>
      <c r="G393">
        <v>9219.2000000000007</v>
      </c>
      <c r="H393">
        <v>105</v>
      </c>
    </row>
    <row r="394" spans="1:8" x14ac:dyDescent="0.2">
      <c r="A394" s="5">
        <v>46235</v>
      </c>
      <c r="B394" t="s">
        <v>22</v>
      </c>
      <c r="C394" t="s">
        <v>21</v>
      </c>
      <c r="D394" t="s">
        <v>10</v>
      </c>
      <c r="E394">
        <v>36566.57</v>
      </c>
      <c r="F394">
        <v>2305</v>
      </c>
      <c r="G394">
        <v>8081.21</v>
      </c>
      <c r="H394">
        <v>96</v>
      </c>
    </row>
    <row r="395" spans="1:8" x14ac:dyDescent="0.2">
      <c r="A395" s="5">
        <v>46235</v>
      </c>
      <c r="B395" t="s">
        <v>22</v>
      </c>
      <c r="C395" t="s">
        <v>21</v>
      </c>
      <c r="D395" t="s">
        <v>11</v>
      </c>
      <c r="E395">
        <v>33927.67</v>
      </c>
      <c r="F395">
        <v>1608</v>
      </c>
      <c r="G395">
        <v>6615.9</v>
      </c>
      <c r="H395">
        <v>83</v>
      </c>
    </row>
    <row r="396" spans="1:8" x14ac:dyDescent="0.2">
      <c r="A396" s="5">
        <v>46235</v>
      </c>
      <c r="B396" t="s">
        <v>22</v>
      </c>
      <c r="C396" t="s">
        <v>21</v>
      </c>
      <c r="D396" t="s">
        <v>12</v>
      </c>
      <c r="E396">
        <v>49998.85</v>
      </c>
      <c r="F396">
        <v>1462</v>
      </c>
      <c r="G396">
        <v>7149.84</v>
      </c>
      <c r="H396">
        <v>67</v>
      </c>
    </row>
    <row r="397" spans="1:8" x14ac:dyDescent="0.2">
      <c r="A397" s="5">
        <v>46235</v>
      </c>
      <c r="B397" t="s">
        <v>22</v>
      </c>
      <c r="C397" t="s">
        <v>21</v>
      </c>
      <c r="D397" t="s">
        <v>13</v>
      </c>
      <c r="E397">
        <v>56103.06</v>
      </c>
      <c r="F397">
        <v>2303</v>
      </c>
      <c r="G397">
        <v>9649.73</v>
      </c>
      <c r="H397">
        <v>100</v>
      </c>
    </row>
    <row r="398" spans="1:8" x14ac:dyDescent="0.2">
      <c r="A398" s="5">
        <v>46235</v>
      </c>
      <c r="B398" t="s">
        <v>22</v>
      </c>
      <c r="C398" t="s">
        <v>21</v>
      </c>
      <c r="D398" t="s">
        <v>14</v>
      </c>
      <c r="E398">
        <v>72784.91</v>
      </c>
      <c r="F398">
        <v>1364</v>
      </c>
      <c r="G398">
        <v>8588.6200000000008</v>
      </c>
      <c r="H398">
        <v>68</v>
      </c>
    </row>
    <row r="399" spans="1:8" x14ac:dyDescent="0.2">
      <c r="A399" s="5">
        <v>46235</v>
      </c>
      <c r="B399" t="s">
        <v>22</v>
      </c>
      <c r="C399" t="s">
        <v>21</v>
      </c>
      <c r="D399" t="s">
        <v>15</v>
      </c>
      <c r="E399">
        <v>29620.7</v>
      </c>
      <c r="F399">
        <v>2219</v>
      </c>
      <c r="G399">
        <v>7819.86</v>
      </c>
      <c r="H399">
        <v>108</v>
      </c>
    </row>
    <row r="400" spans="1:8" x14ac:dyDescent="0.2">
      <c r="A400" s="5">
        <v>46266</v>
      </c>
      <c r="B400" t="s">
        <v>8</v>
      </c>
      <c r="C400" t="s">
        <v>9</v>
      </c>
      <c r="D400" t="s">
        <v>10</v>
      </c>
      <c r="E400">
        <v>73277.100000000006</v>
      </c>
      <c r="F400">
        <v>4672</v>
      </c>
      <c r="G400">
        <v>16194.24</v>
      </c>
      <c r="H400">
        <v>211</v>
      </c>
    </row>
    <row r="401" spans="1:8" x14ac:dyDescent="0.2">
      <c r="A401" s="5">
        <v>46266</v>
      </c>
      <c r="B401" t="s">
        <v>8</v>
      </c>
      <c r="C401" t="s">
        <v>9</v>
      </c>
      <c r="D401" t="s">
        <v>11</v>
      </c>
      <c r="E401">
        <v>78028.179999999993</v>
      </c>
      <c r="F401">
        <v>3650</v>
      </c>
      <c r="G401">
        <v>15215.5</v>
      </c>
      <c r="H401">
        <v>182</v>
      </c>
    </row>
    <row r="402" spans="1:8" x14ac:dyDescent="0.2">
      <c r="A402" s="5">
        <v>46266</v>
      </c>
      <c r="B402" t="s">
        <v>8</v>
      </c>
      <c r="C402" t="s">
        <v>9</v>
      </c>
      <c r="D402" t="s">
        <v>12</v>
      </c>
      <c r="E402">
        <v>108034.82</v>
      </c>
      <c r="F402">
        <v>3221</v>
      </c>
      <c r="G402">
        <v>15448.98</v>
      </c>
      <c r="H402">
        <v>167</v>
      </c>
    </row>
    <row r="403" spans="1:8" x14ac:dyDescent="0.2">
      <c r="A403" s="5">
        <v>46266</v>
      </c>
      <c r="B403" t="s">
        <v>8</v>
      </c>
      <c r="C403" t="s">
        <v>9</v>
      </c>
      <c r="D403" t="s">
        <v>13</v>
      </c>
      <c r="E403">
        <v>129120.12</v>
      </c>
      <c r="F403">
        <v>5108</v>
      </c>
      <c r="G403">
        <v>22208.66</v>
      </c>
      <c r="H403">
        <v>229</v>
      </c>
    </row>
    <row r="404" spans="1:8" x14ac:dyDescent="0.2">
      <c r="A404" s="5">
        <v>46266</v>
      </c>
      <c r="B404" t="s">
        <v>8</v>
      </c>
      <c r="C404" t="s">
        <v>9</v>
      </c>
      <c r="D404" t="s">
        <v>14</v>
      </c>
      <c r="E404">
        <v>156178.35</v>
      </c>
      <c r="F404">
        <v>2821</v>
      </c>
      <c r="G404">
        <v>18429.05</v>
      </c>
      <c r="H404">
        <v>161</v>
      </c>
    </row>
    <row r="405" spans="1:8" x14ac:dyDescent="0.2">
      <c r="A405" s="5">
        <v>46266</v>
      </c>
      <c r="B405" t="s">
        <v>8</v>
      </c>
      <c r="C405" t="s">
        <v>9</v>
      </c>
      <c r="D405" t="s">
        <v>15</v>
      </c>
      <c r="E405">
        <v>59441.96</v>
      </c>
      <c r="F405">
        <v>4616</v>
      </c>
      <c r="G405">
        <v>15692.68</v>
      </c>
      <c r="H405">
        <v>217</v>
      </c>
    </row>
    <row r="406" spans="1:8" x14ac:dyDescent="0.2">
      <c r="A406" s="5">
        <v>46266</v>
      </c>
      <c r="B406" t="s">
        <v>16</v>
      </c>
      <c r="C406" t="s">
        <v>9</v>
      </c>
      <c r="D406" t="s">
        <v>10</v>
      </c>
      <c r="E406">
        <v>46994.26</v>
      </c>
      <c r="F406">
        <v>3026</v>
      </c>
      <c r="G406">
        <v>10385.73</v>
      </c>
      <c r="H406">
        <v>135</v>
      </c>
    </row>
    <row r="407" spans="1:8" x14ac:dyDescent="0.2">
      <c r="A407" s="5">
        <v>46266</v>
      </c>
      <c r="B407" t="s">
        <v>16</v>
      </c>
      <c r="C407" t="s">
        <v>9</v>
      </c>
      <c r="D407" t="s">
        <v>11</v>
      </c>
      <c r="E407">
        <v>50850.53</v>
      </c>
      <c r="F407">
        <v>2330</v>
      </c>
      <c r="G407">
        <v>9915.85</v>
      </c>
      <c r="H407">
        <v>110</v>
      </c>
    </row>
    <row r="408" spans="1:8" x14ac:dyDescent="0.2">
      <c r="A408" s="5">
        <v>46266</v>
      </c>
      <c r="B408" t="s">
        <v>16</v>
      </c>
      <c r="C408" t="s">
        <v>9</v>
      </c>
      <c r="D408" t="s">
        <v>12</v>
      </c>
      <c r="E408">
        <v>64979.13</v>
      </c>
      <c r="F408">
        <v>1827</v>
      </c>
      <c r="G408">
        <v>9292.02</v>
      </c>
      <c r="H408">
        <v>98</v>
      </c>
    </row>
    <row r="409" spans="1:8" x14ac:dyDescent="0.2">
      <c r="A409" s="5">
        <v>46266</v>
      </c>
      <c r="B409" t="s">
        <v>16</v>
      </c>
      <c r="C409" t="s">
        <v>9</v>
      </c>
      <c r="D409" t="s">
        <v>13</v>
      </c>
      <c r="E409">
        <v>79051.820000000007</v>
      </c>
      <c r="F409">
        <v>3146</v>
      </c>
      <c r="G409">
        <v>13596.91</v>
      </c>
      <c r="H409">
        <v>124</v>
      </c>
    </row>
    <row r="410" spans="1:8" x14ac:dyDescent="0.2">
      <c r="A410" s="5">
        <v>46266</v>
      </c>
      <c r="B410" t="s">
        <v>16</v>
      </c>
      <c r="C410" t="s">
        <v>9</v>
      </c>
      <c r="D410" t="s">
        <v>14</v>
      </c>
      <c r="E410">
        <v>76343</v>
      </c>
      <c r="F410">
        <v>1639</v>
      </c>
      <c r="G410">
        <v>9008.4699999999993</v>
      </c>
      <c r="H410">
        <v>91</v>
      </c>
    </row>
    <row r="411" spans="1:8" x14ac:dyDescent="0.2">
      <c r="A411" s="5">
        <v>46266</v>
      </c>
      <c r="B411" t="s">
        <v>16</v>
      </c>
      <c r="C411" t="s">
        <v>9</v>
      </c>
      <c r="D411" t="s">
        <v>15</v>
      </c>
      <c r="E411">
        <v>30278.19</v>
      </c>
      <c r="F411">
        <v>2458</v>
      </c>
      <c r="G411">
        <v>7993.44</v>
      </c>
      <c r="H411">
        <v>115</v>
      </c>
    </row>
    <row r="412" spans="1:8" x14ac:dyDescent="0.2">
      <c r="A412" s="5">
        <v>46266</v>
      </c>
      <c r="B412" t="s">
        <v>17</v>
      </c>
      <c r="C412" t="s">
        <v>18</v>
      </c>
      <c r="D412" t="s">
        <v>10</v>
      </c>
      <c r="E412">
        <v>45754.15</v>
      </c>
      <c r="F412">
        <v>2857</v>
      </c>
      <c r="G412">
        <v>10111.67</v>
      </c>
      <c r="H412">
        <v>143</v>
      </c>
    </row>
    <row r="413" spans="1:8" x14ac:dyDescent="0.2">
      <c r="A413" s="5">
        <v>46266</v>
      </c>
      <c r="B413" t="s">
        <v>17</v>
      </c>
      <c r="C413" t="s">
        <v>18</v>
      </c>
      <c r="D413" t="s">
        <v>11</v>
      </c>
      <c r="E413">
        <v>57421.02</v>
      </c>
      <c r="F413">
        <v>2677</v>
      </c>
      <c r="G413">
        <v>11197.1</v>
      </c>
      <c r="H413">
        <v>129</v>
      </c>
    </row>
    <row r="414" spans="1:8" x14ac:dyDescent="0.2">
      <c r="A414" s="5">
        <v>46266</v>
      </c>
      <c r="B414" t="s">
        <v>17</v>
      </c>
      <c r="C414" t="s">
        <v>18</v>
      </c>
      <c r="D414" t="s">
        <v>12</v>
      </c>
      <c r="E414">
        <v>65466.55</v>
      </c>
      <c r="F414">
        <v>1936</v>
      </c>
      <c r="G414">
        <v>9361.7199999999993</v>
      </c>
      <c r="H414">
        <v>89</v>
      </c>
    </row>
    <row r="415" spans="1:8" x14ac:dyDescent="0.2">
      <c r="A415" s="5">
        <v>46266</v>
      </c>
      <c r="B415" t="s">
        <v>17</v>
      </c>
      <c r="C415" t="s">
        <v>18</v>
      </c>
      <c r="D415" t="s">
        <v>13</v>
      </c>
      <c r="E415">
        <v>90860.67</v>
      </c>
      <c r="F415">
        <v>3594</v>
      </c>
      <c r="G415">
        <v>15628.04</v>
      </c>
      <c r="H415">
        <v>170</v>
      </c>
    </row>
    <row r="416" spans="1:8" x14ac:dyDescent="0.2">
      <c r="A416" s="5">
        <v>46266</v>
      </c>
      <c r="B416" t="s">
        <v>17</v>
      </c>
      <c r="C416" t="s">
        <v>18</v>
      </c>
      <c r="D416" t="s">
        <v>14</v>
      </c>
      <c r="E416">
        <v>121167.81</v>
      </c>
      <c r="F416">
        <v>2232</v>
      </c>
      <c r="G416">
        <v>14297.8</v>
      </c>
      <c r="H416">
        <v>112</v>
      </c>
    </row>
    <row r="417" spans="1:8" x14ac:dyDescent="0.2">
      <c r="A417" s="5">
        <v>46266</v>
      </c>
      <c r="B417" t="s">
        <v>17</v>
      </c>
      <c r="C417" t="s">
        <v>18</v>
      </c>
      <c r="D417" t="s">
        <v>15</v>
      </c>
      <c r="E417">
        <v>51351.37</v>
      </c>
      <c r="F417">
        <v>3823</v>
      </c>
      <c r="G417">
        <v>13556.76</v>
      </c>
      <c r="H417">
        <v>159</v>
      </c>
    </row>
    <row r="418" spans="1:8" x14ac:dyDescent="0.2">
      <c r="A418" s="5">
        <v>46266</v>
      </c>
      <c r="B418" t="s">
        <v>19</v>
      </c>
      <c r="C418" t="s">
        <v>18</v>
      </c>
      <c r="D418" t="s">
        <v>10</v>
      </c>
      <c r="E418">
        <v>36450.879999999997</v>
      </c>
      <c r="F418">
        <v>2302</v>
      </c>
      <c r="G418">
        <v>8055.64</v>
      </c>
      <c r="H418">
        <v>103</v>
      </c>
    </row>
    <row r="419" spans="1:8" x14ac:dyDescent="0.2">
      <c r="A419" s="5">
        <v>46266</v>
      </c>
      <c r="B419" t="s">
        <v>19</v>
      </c>
      <c r="C419" t="s">
        <v>18</v>
      </c>
      <c r="D419" t="s">
        <v>11</v>
      </c>
      <c r="E419">
        <v>42045.54</v>
      </c>
      <c r="F419">
        <v>2018</v>
      </c>
      <c r="G419">
        <v>8198.8799999999992</v>
      </c>
      <c r="H419">
        <v>90</v>
      </c>
    </row>
    <row r="420" spans="1:8" x14ac:dyDescent="0.2">
      <c r="A420" s="5">
        <v>46266</v>
      </c>
      <c r="B420" t="s">
        <v>19</v>
      </c>
      <c r="C420" t="s">
        <v>18</v>
      </c>
      <c r="D420" t="s">
        <v>12</v>
      </c>
      <c r="E420">
        <v>40373.19</v>
      </c>
      <c r="F420">
        <v>1205</v>
      </c>
      <c r="G420">
        <v>5773.37</v>
      </c>
      <c r="H420">
        <v>71</v>
      </c>
    </row>
    <row r="421" spans="1:8" x14ac:dyDescent="0.2">
      <c r="A421" s="5">
        <v>46266</v>
      </c>
      <c r="B421" t="s">
        <v>19</v>
      </c>
      <c r="C421" t="s">
        <v>18</v>
      </c>
      <c r="D421" t="s">
        <v>13</v>
      </c>
      <c r="E421">
        <v>65975.429999999993</v>
      </c>
      <c r="F421">
        <v>2539</v>
      </c>
      <c r="G421">
        <v>11347.77</v>
      </c>
      <c r="H421">
        <v>112</v>
      </c>
    </row>
    <row r="422" spans="1:8" x14ac:dyDescent="0.2">
      <c r="A422" s="5">
        <v>46266</v>
      </c>
      <c r="B422" t="s">
        <v>19</v>
      </c>
      <c r="C422" t="s">
        <v>18</v>
      </c>
      <c r="D422" t="s">
        <v>14</v>
      </c>
      <c r="E422">
        <v>77812.350000000006</v>
      </c>
      <c r="F422">
        <v>1527</v>
      </c>
      <c r="G422">
        <v>9181.86</v>
      </c>
      <c r="H422">
        <v>79</v>
      </c>
    </row>
    <row r="423" spans="1:8" x14ac:dyDescent="0.2">
      <c r="A423" s="5">
        <v>46266</v>
      </c>
      <c r="B423" t="s">
        <v>19</v>
      </c>
      <c r="C423" t="s">
        <v>18</v>
      </c>
      <c r="D423" t="s">
        <v>15</v>
      </c>
      <c r="E423">
        <v>31306.39</v>
      </c>
      <c r="F423">
        <v>2286</v>
      </c>
      <c r="G423">
        <v>8264.89</v>
      </c>
      <c r="H423">
        <v>114</v>
      </c>
    </row>
    <row r="424" spans="1:8" x14ac:dyDescent="0.2">
      <c r="A424" s="5">
        <v>46266</v>
      </c>
      <c r="B424" t="s">
        <v>20</v>
      </c>
      <c r="C424" t="s">
        <v>21</v>
      </c>
      <c r="D424" t="s">
        <v>10</v>
      </c>
      <c r="E424">
        <v>51985.9</v>
      </c>
      <c r="F424">
        <v>3379</v>
      </c>
      <c r="G424">
        <v>11488.88</v>
      </c>
      <c r="H424">
        <v>141</v>
      </c>
    </row>
    <row r="425" spans="1:8" x14ac:dyDescent="0.2">
      <c r="A425" s="5">
        <v>46266</v>
      </c>
      <c r="B425" t="s">
        <v>20</v>
      </c>
      <c r="C425" t="s">
        <v>21</v>
      </c>
      <c r="D425" t="s">
        <v>12</v>
      </c>
      <c r="E425">
        <v>55826.37</v>
      </c>
      <c r="F425">
        <v>1629</v>
      </c>
      <c r="G425">
        <v>7983.17</v>
      </c>
      <c r="H425">
        <v>79</v>
      </c>
    </row>
    <row r="426" spans="1:8" x14ac:dyDescent="0.2">
      <c r="A426" s="5">
        <v>46266</v>
      </c>
      <c r="B426" t="s">
        <v>20</v>
      </c>
      <c r="C426" t="s">
        <v>21</v>
      </c>
      <c r="D426" t="s">
        <v>13</v>
      </c>
      <c r="E426">
        <v>63349.37</v>
      </c>
      <c r="F426">
        <v>2454</v>
      </c>
      <c r="G426">
        <v>10896.09</v>
      </c>
      <c r="H426">
        <v>114</v>
      </c>
    </row>
    <row r="427" spans="1:8" x14ac:dyDescent="0.2">
      <c r="A427" s="5">
        <v>46266</v>
      </c>
      <c r="B427" t="s">
        <v>20</v>
      </c>
      <c r="C427" t="s">
        <v>21</v>
      </c>
      <c r="D427" t="s">
        <v>23</v>
      </c>
      <c r="E427">
        <v>37934.22</v>
      </c>
      <c r="F427">
        <v>2995</v>
      </c>
      <c r="G427">
        <v>10014.629999999999</v>
      </c>
      <c r="H427">
        <v>149</v>
      </c>
    </row>
    <row r="428" spans="1:8" x14ac:dyDescent="0.2">
      <c r="A428" s="5">
        <v>46266</v>
      </c>
      <c r="B428" t="s">
        <v>20</v>
      </c>
      <c r="C428" t="s">
        <v>21</v>
      </c>
      <c r="D428" t="s">
        <v>14</v>
      </c>
      <c r="E428">
        <v>104647.49</v>
      </c>
      <c r="F428">
        <v>2027</v>
      </c>
      <c r="G428">
        <v>12348.4</v>
      </c>
      <c r="H428">
        <v>88</v>
      </c>
    </row>
    <row r="429" spans="1:8" x14ac:dyDescent="0.2">
      <c r="A429" s="5">
        <v>46266</v>
      </c>
      <c r="B429" t="s">
        <v>20</v>
      </c>
      <c r="C429" t="s">
        <v>21</v>
      </c>
      <c r="D429" t="s">
        <v>24</v>
      </c>
      <c r="E429">
        <v>51715.97</v>
      </c>
      <c r="F429">
        <v>2328</v>
      </c>
      <c r="G429">
        <v>10084.61</v>
      </c>
      <c r="H429">
        <v>102</v>
      </c>
    </row>
    <row r="430" spans="1:8" x14ac:dyDescent="0.2">
      <c r="A430" s="5">
        <v>46266</v>
      </c>
      <c r="B430" t="s">
        <v>22</v>
      </c>
      <c r="C430" t="s">
        <v>21</v>
      </c>
      <c r="D430" t="s">
        <v>10</v>
      </c>
      <c r="E430">
        <v>30645.53</v>
      </c>
      <c r="F430">
        <v>1887</v>
      </c>
      <c r="G430">
        <v>6772.66</v>
      </c>
      <c r="H430">
        <v>101</v>
      </c>
    </row>
    <row r="431" spans="1:8" x14ac:dyDescent="0.2">
      <c r="A431" s="5">
        <v>46266</v>
      </c>
      <c r="B431" t="s">
        <v>22</v>
      </c>
      <c r="C431" t="s">
        <v>21</v>
      </c>
      <c r="D431" t="s">
        <v>11</v>
      </c>
      <c r="E431">
        <v>35201.800000000003</v>
      </c>
      <c r="F431">
        <v>1684</v>
      </c>
      <c r="G431">
        <v>6864.35</v>
      </c>
      <c r="H431">
        <v>74</v>
      </c>
    </row>
    <row r="432" spans="1:8" x14ac:dyDescent="0.2">
      <c r="A432" s="5">
        <v>46266</v>
      </c>
      <c r="B432" t="s">
        <v>22</v>
      </c>
      <c r="C432" t="s">
        <v>21</v>
      </c>
      <c r="D432" t="s">
        <v>12</v>
      </c>
      <c r="E432">
        <v>38872.949999999997</v>
      </c>
      <c r="F432">
        <v>1105</v>
      </c>
      <c r="G432">
        <v>5558.83</v>
      </c>
      <c r="H432">
        <v>60</v>
      </c>
    </row>
    <row r="433" spans="1:8" x14ac:dyDescent="0.2">
      <c r="A433" s="5">
        <v>46266</v>
      </c>
      <c r="B433" t="s">
        <v>22</v>
      </c>
      <c r="C433" t="s">
        <v>21</v>
      </c>
      <c r="D433" t="s">
        <v>13</v>
      </c>
      <c r="E433">
        <v>52928.34</v>
      </c>
      <c r="F433">
        <v>2039</v>
      </c>
      <c r="G433">
        <v>9103.67</v>
      </c>
      <c r="H433">
        <v>101</v>
      </c>
    </row>
    <row r="434" spans="1:8" x14ac:dyDescent="0.2">
      <c r="A434" s="5">
        <v>46266</v>
      </c>
      <c r="B434" t="s">
        <v>22</v>
      </c>
      <c r="C434" t="s">
        <v>21</v>
      </c>
      <c r="D434" t="s">
        <v>14</v>
      </c>
      <c r="E434">
        <v>71859.33</v>
      </c>
      <c r="F434">
        <v>1325</v>
      </c>
      <c r="G434">
        <v>8479.4</v>
      </c>
      <c r="H434">
        <v>66</v>
      </c>
    </row>
    <row r="435" spans="1:8" x14ac:dyDescent="0.2">
      <c r="A435" s="5">
        <v>46266</v>
      </c>
      <c r="B435" t="s">
        <v>22</v>
      </c>
      <c r="C435" t="s">
        <v>21</v>
      </c>
      <c r="D435" t="s">
        <v>15</v>
      </c>
      <c r="E435">
        <v>25513.16</v>
      </c>
      <c r="F435">
        <v>2014</v>
      </c>
      <c r="G435">
        <v>6735.47</v>
      </c>
      <c r="H435">
        <v>82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style="1" customWidth="1"/>
    <col min="2" max="2" width="14" customWidth="1"/>
    <col min="3" max="3" width="15" style="6" customWidth="1"/>
    <col min="4" max="4" width="14" style="3" customWidth="1"/>
    <col min="5" max="5" width="12" style="3" customWidth="1"/>
  </cols>
  <sheetData>
    <row r="1" spans="1:5" ht="22" customHeight="1" x14ac:dyDescent="0.2">
      <c r="A1" s="4" t="s">
        <v>0</v>
      </c>
      <c r="B1" s="4" t="s">
        <v>1</v>
      </c>
      <c r="C1" s="4" t="s">
        <v>25</v>
      </c>
      <c r="D1" s="4" t="s">
        <v>26</v>
      </c>
      <c r="E1" s="4" t="s">
        <v>27</v>
      </c>
    </row>
    <row r="2" spans="1:5" x14ac:dyDescent="0.2">
      <c r="A2" s="5">
        <v>45931</v>
      </c>
      <c r="B2" t="s">
        <v>8</v>
      </c>
      <c r="C2">
        <v>625000</v>
      </c>
      <c r="D2">
        <v>588</v>
      </c>
      <c r="E2">
        <v>434</v>
      </c>
    </row>
    <row r="3" spans="1:5" x14ac:dyDescent="0.2">
      <c r="A3" s="5">
        <v>45931</v>
      </c>
      <c r="B3" t="s">
        <v>16</v>
      </c>
      <c r="C3">
        <v>420000</v>
      </c>
      <c r="D3">
        <v>331</v>
      </c>
      <c r="E3">
        <v>254</v>
      </c>
    </row>
    <row r="4" spans="1:5" x14ac:dyDescent="0.2">
      <c r="A4" s="5">
        <v>45931</v>
      </c>
      <c r="B4" t="s">
        <v>17</v>
      </c>
      <c r="C4">
        <v>340000</v>
      </c>
      <c r="D4">
        <v>372</v>
      </c>
      <c r="E4">
        <v>279</v>
      </c>
    </row>
    <row r="5" spans="1:5" x14ac:dyDescent="0.2">
      <c r="A5" s="5">
        <v>45931</v>
      </c>
      <c r="B5" t="s">
        <v>19</v>
      </c>
      <c r="C5">
        <v>310000</v>
      </c>
      <c r="D5">
        <v>275</v>
      </c>
      <c r="E5">
        <v>211</v>
      </c>
    </row>
    <row r="6" spans="1:5" x14ac:dyDescent="0.2">
      <c r="A6" s="5">
        <v>45931</v>
      </c>
      <c r="B6" t="s">
        <v>20</v>
      </c>
      <c r="C6">
        <v>360000</v>
      </c>
      <c r="D6">
        <v>338</v>
      </c>
      <c r="E6">
        <v>245</v>
      </c>
    </row>
    <row r="7" spans="1:5" x14ac:dyDescent="0.2">
      <c r="A7" s="5">
        <v>45931</v>
      </c>
      <c r="B7" t="s">
        <v>22</v>
      </c>
      <c r="C7">
        <v>235000</v>
      </c>
      <c r="D7">
        <v>245</v>
      </c>
      <c r="E7">
        <v>177</v>
      </c>
    </row>
    <row r="8" spans="1:5" x14ac:dyDescent="0.2">
      <c r="A8" s="5">
        <v>45962</v>
      </c>
      <c r="B8" t="s">
        <v>8</v>
      </c>
      <c r="C8">
        <v>675000</v>
      </c>
      <c r="D8">
        <v>602</v>
      </c>
      <c r="E8">
        <v>431</v>
      </c>
    </row>
    <row r="9" spans="1:5" x14ac:dyDescent="0.2">
      <c r="A9" s="5">
        <v>45962</v>
      </c>
      <c r="B9" t="s">
        <v>16</v>
      </c>
      <c r="C9">
        <v>435000</v>
      </c>
      <c r="D9">
        <v>369</v>
      </c>
      <c r="E9">
        <v>262</v>
      </c>
    </row>
    <row r="10" spans="1:5" x14ac:dyDescent="0.2">
      <c r="A10" s="5">
        <v>45962</v>
      </c>
      <c r="B10" t="s">
        <v>17</v>
      </c>
      <c r="C10">
        <v>380000</v>
      </c>
      <c r="D10">
        <v>388</v>
      </c>
      <c r="E10">
        <v>285</v>
      </c>
    </row>
    <row r="11" spans="1:5" x14ac:dyDescent="0.2">
      <c r="A11" s="5">
        <v>45962</v>
      </c>
      <c r="B11" t="s">
        <v>19</v>
      </c>
      <c r="C11">
        <v>295000</v>
      </c>
      <c r="D11">
        <v>295</v>
      </c>
      <c r="E11">
        <v>215</v>
      </c>
    </row>
    <row r="12" spans="1:5" x14ac:dyDescent="0.2">
      <c r="A12" s="5">
        <v>45962</v>
      </c>
      <c r="B12" t="s">
        <v>20</v>
      </c>
      <c r="C12">
        <v>370000</v>
      </c>
      <c r="D12">
        <v>361</v>
      </c>
      <c r="E12">
        <v>277</v>
      </c>
    </row>
    <row r="13" spans="1:5" x14ac:dyDescent="0.2">
      <c r="A13" s="5">
        <v>45962</v>
      </c>
      <c r="B13" t="s">
        <v>22</v>
      </c>
      <c r="C13">
        <v>260000</v>
      </c>
      <c r="D13">
        <v>238</v>
      </c>
      <c r="E13">
        <v>179</v>
      </c>
    </row>
    <row r="14" spans="1:5" x14ac:dyDescent="0.2">
      <c r="A14" s="5">
        <v>45992</v>
      </c>
      <c r="B14" t="s">
        <v>8</v>
      </c>
      <c r="C14">
        <v>725000</v>
      </c>
      <c r="D14">
        <v>673</v>
      </c>
      <c r="E14">
        <v>472</v>
      </c>
    </row>
    <row r="15" spans="1:5" x14ac:dyDescent="0.2">
      <c r="A15" s="5">
        <v>45992</v>
      </c>
      <c r="B15" t="s">
        <v>16</v>
      </c>
      <c r="C15">
        <v>510000</v>
      </c>
      <c r="D15">
        <v>398</v>
      </c>
      <c r="E15">
        <v>288</v>
      </c>
    </row>
    <row r="16" spans="1:5" x14ac:dyDescent="0.2">
      <c r="A16" s="5">
        <v>45992</v>
      </c>
      <c r="B16" t="s">
        <v>17</v>
      </c>
      <c r="C16">
        <v>435000</v>
      </c>
      <c r="D16">
        <v>428</v>
      </c>
      <c r="E16">
        <v>300</v>
      </c>
    </row>
    <row r="17" spans="1:5" x14ac:dyDescent="0.2">
      <c r="A17" s="5">
        <v>45992</v>
      </c>
      <c r="B17" t="s">
        <v>19</v>
      </c>
      <c r="C17">
        <v>350000</v>
      </c>
      <c r="D17">
        <v>334</v>
      </c>
      <c r="E17">
        <v>226</v>
      </c>
    </row>
    <row r="18" spans="1:5" x14ac:dyDescent="0.2">
      <c r="A18" s="5">
        <v>45992</v>
      </c>
      <c r="B18" t="s">
        <v>20</v>
      </c>
      <c r="C18">
        <v>400000</v>
      </c>
      <c r="D18">
        <v>385</v>
      </c>
      <c r="E18">
        <v>282</v>
      </c>
    </row>
    <row r="19" spans="1:5" x14ac:dyDescent="0.2">
      <c r="A19" s="5">
        <v>45992</v>
      </c>
      <c r="B19" t="s">
        <v>22</v>
      </c>
      <c r="C19">
        <v>280000</v>
      </c>
      <c r="D19">
        <v>268</v>
      </c>
      <c r="E19">
        <v>191</v>
      </c>
    </row>
    <row r="20" spans="1:5" x14ac:dyDescent="0.2">
      <c r="A20" s="5">
        <v>46023</v>
      </c>
      <c r="B20" t="s">
        <v>8</v>
      </c>
      <c r="C20">
        <v>545000</v>
      </c>
      <c r="D20">
        <v>526</v>
      </c>
      <c r="E20">
        <v>408</v>
      </c>
    </row>
    <row r="21" spans="1:5" x14ac:dyDescent="0.2">
      <c r="A21" s="5">
        <v>46023</v>
      </c>
      <c r="B21" t="s">
        <v>16</v>
      </c>
      <c r="C21">
        <v>350000</v>
      </c>
      <c r="D21">
        <v>297</v>
      </c>
      <c r="E21">
        <v>238</v>
      </c>
    </row>
    <row r="22" spans="1:5" x14ac:dyDescent="0.2">
      <c r="A22" s="5">
        <v>46023</v>
      </c>
      <c r="B22" t="s">
        <v>17</v>
      </c>
      <c r="C22">
        <v>330000</v>
      </c>
      <c r="D22">
        <v>339</v>
      </c>
      <c r="E22">
        <v>262</v>
      </c>
    </row>
    <row r="23" spans="1:5" x14ac:dyDescent="0.2">
      <c r="A23" s="5">
        <v>46023</v>
      </c>
      <c r="B23" t="s">
        <v>19</v>
      </c>
      <c r="C23">
        <v>265000</v>
      </c>
      <c r="D23">
        <v>245</v>
      </c>
      <c r="E23">
        <v>200</v>
      </c>
    </row>
    <row r="24" spans="1:5" x14ac:dyDescent="0.2">
      <c r="A24" s="5">
        <v>46023</v>
      </c>
      <c r="B24" t="s">
        <v>20</v>
      </c>
      <c r="C24">
        <v>305000</v>
      </c>
      <c r="D24">
        <v>302</v>
      </c>
      <c r="E24">
        <v>234</v>
      </c>
    </row>
    <row r="25" spans="1:5" x14ac:dyDescent="0.2">
      <c r="A25" s="5">
        <v>46023</v>
      </c>
      <c r="B25" t="s">
        <v>22</v>
      </c>
      <c r="C25">
        <v>235000</v>
      </c>
      <c r="D25">
        <v>224</v>
      </c>
      <c r="E25">
        <v>180</v>
      </c>
    </row>
    <row r="26" spans="1:5" x14ac:dyDescent="0.2">
      <c r="A26" s="5">
        <v>46054</v>
      </c>
      <c r="B26" t="s">
        <v>8</v>
      </c>
      <c r="C26">
        <v>595000</v>
      </c>
      <c r="D26">
        <v>495</v>
      </c>
      <c r="E26">
        <v>398</v>
      </c>
    </row>
    <row r="27" spans="1:5" x14ac:dyDescent="0.2">
      <c r="A27" s="5">
        <v>46054</v>
      </c>
      <c r="B27" t="s">
        <v>16</v>
      </c>
      <c r="C27">
        <v>400000</v>
      </c>
      <c r="D27">
        <v>299</v>
      </c>
      <c r="E27">
        <v>240</v>
      </c>
    </row>
    <row r="28" spans="1:5" x14ac:dyDescent="0.2">
      <c r="A28" s="5">
        <v>46054</v>
      </c>
      <c r="B28" t="s">
        <v>17</v>
      </c>
      <c r="C28">
        <v>330000</v>
      </c>
      <c r="D28">
        <v>328</v>
      </c>
      <c r="E28">
        <v>256</v>
      </c>
    </row>
    <row r="29" spans="1:5" x14ac:dyDescent="0.2">
      <c r="A29" s="5">
        <v>46054</v>
      </c>
      <c r="B29" t="s">
        <v>19</v>
      </c>
      <c r="C29">
        <v>260000</v>
      </c>
      <c r="D29">
        <v>244</v>
      </c>
      <c r="E29">
        <v>191</v>
      </c>
    </row>
    <row r="30" spans="1:5" x14ac:dyDescent="0.2">
      <c r="A30" s="5">
        <v>46054</v>
      </c>
      <c r="B30" t="s">
        <v>20</v>
      </c>
      <c r="C30">
        <v>300000</v>
      </c>
      <c r="D30">
        <v>300</v>
      </c>
      <c r="E30">
        <v>229</v>
      </c>
    </row>
    <row r="31" spans="1:5" x14ac:dyDescent="0.2">
      <c r="A31" s="5">
        <v>46054</v>
      </c>
      <c r="B31" t="s">
        <v>22</v>
      </c>
      <c r="C31">
        <v>200000</v>
      </c>
      <c r="D31">
        <v>202</v>
      </c>
      <c r="E31">
        <v>161</v>
      </c>
    </row>
    <row r="32" spans="1:5" x14ac:dyDescent="0.2">
      <c r="A32" s="5">
        <v>46082</v>
      </c>
      <c r="B32" t="s">
        <v>8</v>
      </c>
      <c r="C32">
        <v>605000</v>
      </c>
      <c r="D32">
        <v>594</v>
      </c>
      <c r="E32">
        <v>435</v>
      </c>
    </row>
    <row r="33" spans="1:5" x14ac:dyDescent="0.2">
      <c r="A33" s="5">
        <v>46082</v>
      </c>
      <c r="B33" t="s">
        <v>16</v>
      </c>
      <c r="C33">
        <v>415000</v>
      </c>
      <c r="D33">
        <v>334</v>
      </c>
      <c r="E33">
        <v>256</v>
      </c>
    </row>
    <row r="34" spans="1:5" x14ac:dyDescent="0.2">
      <c r="A34" s="5">
        <v>46082</v>
      </c>
      <c r="B34" t="s">
        <v>17</v>
      </c>
      <c r="C34">
        <v>405000</v>
      </c>
      <c r="D34">
        <v>399</v>
      </c>
      <c r="E34">
        <v>290</v>
      </c>
    </row>
    <row r="35" spans="1:5" x14ac:dyDescent="0.2">
      <c r="A35" s="5">
        <v>46082</v>
      </c>
      <c r="B35" t="s">
        <v>19</v>
      </c>
      <c r="C35">
        <v>300000</v>
      </c>
      <c r="D35">
        <v>271</v>
      </c>
      <c r="E35">
        <v>205</v>
      </c>
    </row>
    <row r="36" spans="1:5" x14ac:dyDescent="0.2">
      <c r="A36" s="5">
        <v>46082</v>
      </c>
      <c r="B36" t="s">
        <v>20</v>
      </c>
      <c r="C36">
        <v>360000</v>
      </c>
      <c r="D36">
        <v>336</v>
      </c>
      <c r="E36">
        <v>245</v>
      </c>
    </row>
    <row r="37" spans="1:5" x14ac:dyDescent="0.2">
      <c r="A37" s="5">
        <v>46082</v>
      </c>
      <c r="B37" t="s">
        <v>22</v>
      </c>
      <c r="C37">
        <v>250000</v>
      </c>
      <c r="D37">
        <v>237</v>
      </c>
      <c r="E37">
        <v>174</v>
      </c>
    </row>
    <row r="38" spans="1:5" x14ac:dyDescent="0.2">
      <c r="A38" s="5">
        <v>46113</v>
      </c>
      <c r="B38" t="s">
        <v>8</v>
      </c>
      <c r="C38">
        <v>650000</v>
      </c>
      <c r="D38">
        <v>600</v>
      </c>
      <c r="E38">
        <v>435</v>
      </c>
    </row>
    <row r="39" spans="1:5" x14ac:dyDescent="0.2">
      <c r="A39" s="5">
        <v>46113</v>
      </c>
      <c r="B39" t="s">
        <v>16</v>
      </c>
      <c r="C39">
        <v>410000</v>
      </c>
      <c r="D39">
        <v>342</v>
      </c>
      <c r="E39">
        <v>262</v>
      </c>
    </row>
    <row r="40" spans="1:5" x14ac:dyDescent="0.2">
      <c r="A40" s="5">
        <v>46113</v>
      </c>
      <c r="B40" t="s">
        <v>17</v>
      </c>
      <c r="C40">
        <v>380000</v>
      </c>
      <c r="D40">
        <v>422</v>
      </c>
      <c r="E40">
        <v>304</v>
      </c>
    </row>
    <row r="41" spans="1:5" x14ac:dyDescent="0.2">
      <c r="A41" s="5">
        <v>46113</v>
      </c>
      <c r="B41" t="s">
        <v>19</v>
      </c>
      <c r="C41">
        <v>310000</v>
      </c>
      <c r="D41">
        <v>307</v>
      </c>
      <c r="E41">
        <v>225</v>
      </c>
    </row>
    <row r="42" spans="1:5" x14ac:dyDescent="0.2">
      <c r="A42" s="5">
        <v>46113</v>
      </c>
      <c r="B42" t="s">
        <v>20</v>
      </c>
      <c r="C42">
        <v>410000</v>
      </c>
      <c r="D42">
        <v>357</v>
      </c>
      <c r="E42">
        <v>272</v>
      </c>
    </row>
    <row r="43" spans="1:5" x14ac:dyDescent="0.2">
      <c r="A43" s="5">
        <v>46113</v>
      </c>
      <c r="B43" t="s">
        <v>22</v>
      </c>
      <c r="C43">
        <v>255000</v>
      </c>
      <c r="D43">
        <v>259</v>
      </c>
      <c r="E43">
        <v>196</v>
      </c>
    </row>
    <row r="44" spans="1:5" x14ac:dyDescent="0.2">
      <c r="A44" s="5">
        <v>46143</v>
      </c>
      <c r="B44" t="s">
        <v>8</v>
      </c>
      <c r="C44">
        <v>630000</v>
      </c>
      <c r="D44">
        <v>575</v>
      </c>
      <c r="E44">
        <v>422</v>
      </c>
    </row>
    <row r="45" spans="1:5" x14ac:dyDescent="0.2">
      <c r="A45" s="5">
        <v>46143</v>
      </c>
      <c r="B45" t="s">
        <v>16</v>
      </c>
      <c r="C45">
        <v>445000</v>
      </c>
      <c r="D45">
        <v>346</v>
      </c>
      <c r="E45">
        <v>270</v>
      </c>
    </row>
    <row r="46" spans="1:5" x14ac:dyDescent="0.2">
      <c r="A46" s="5">
        <v>46143</v>
      </c>
      <c r="B46" t="s">
        <v>17</v>
      </c>
      <c r="C46">
        <v>380000</v>
      </c>
      <c r="D46">
        <v>395</v>
      </c>
      <c r="E46">
        <v>289</v>
      </c>
    </row>
    <row r="47" spans="1:5" x14ac:dyDescent="0.2">
      <c r="A47" s="5">
        <v>46143</v>
      </c>
      <c r="B47" t="s">
        <v>19</v>
      </c>
      <c r="C47">
        <v>305000</v>
      </c>
      <c r="D47">
        <v>269</v>
      </c>
      <c r="E47">
        <v>208</v>
      </c>
    </row>
    <row r="48" spans="1:5" x14ac:dyDescent="0.2">
      <c r="A48" s="5">
        <v>46143</v>
      </c>
      <c r="B48" t="s">
        <v>20</v>
      </c>
      <c r="C48">
        <v>360000</v>
      </c>
      <c r="D48">
        <v>340</v>
      </c>
      <c r="E48">
        <v>246</v>
      </c>
    </row>
    <row r="49" spans="1:5" x14ac:dyDescent="0.2">
      <c r="A49" s="5">
        <v>46143</v>
      </c>
      <c r="B49" t="s">
        <v>22</v>
      </c>
      <c r="C49">
        <v>245000</v>
      </c>
      <c r="D49">
        <v>226</v>
      </c>
      <c r="E49">
        <v>172</v>
      </c>
    </row>
    <row r="50" spans="1:5" x14ac:dyDescent="0.2">
      <c r="A50" s="5">
        <v>46174</v>
      </c>
      <c r="B50" t="s">
        <v>8</v>
      </c>
      <c r="C50">
        <v>600000</v>
      </c>
      <c r="D50">
        <v>580</v>
      </c>
      <c r="E50">
        <v>436</v>
      </c>
    </row>
    <row r="51" spans="1:5" x14ac:dyDescent="0.2">
      <c r="A51" s="5">
        <v>46174</v>
      </c>
      <c r="B51" t="s">
        <v>16</v>
      </c>
      <c r="C51">
        <v>395000</v>
      </c>
      <c r="D51">
        <v>315</v>
      </c>
      <c r="E51">
        <v>231</v>
      </c>
    </row>
    <row r="52" spans="1:5" x14ac:dyDescent="0.2">
      <c r="A52" s="5">
        <v>46174</v>
      </c>
      <c r="B52" t="s">
        <v>17</v>
      </c>
      <c r="C52">
        <v>410000</v>
      </c>
      <c r="D52">
        <v>374</v>
      </c>
      <c r="E52">
        <v>273</v>
      </c>
    </row>
    <row r="53" spans="1:5" x14ac:dyDescent="0.2">
      <c r="A53" s="5">
        <v>46174</v>
      </c>
      <c r="B53" t="s">
        <v>19</v>
      </c>
      <c r="C53">
        <v>310000</v>
      </c>
      <c r="D53">
        <v>278</v>
      </c>
      <c r="E53">
        <v>199</v>
      </c>
    </row>
    <row r="54" spans="1:5" x14ac:dyDescent="0.2">
      <c r="A54" s="5">
        <v>46174</v>
      </c>
      <c r="B54" t="s">
        <v>20</v>
      </c>
      <c r="C54">
        <v>325000</v>
      </c>
      <c r="D54">
        <v>321</v>
      </c>
      <c r="E54">
        <v>241</v>
      </c>
    </row>
    <row r="55" spans="1:5" x14ac:dyDescent="0.2">
      <c r="A55" s="5">
        <v>46174</v>
      </c>
      <c r="B55" t="s">
        <v>22</v>
      </c>
      <c r="C55">
        <v>265000</v>
      </c>
      <c r="D55">
        <v>227</v>
      </c>
      <c r="E55">
        <v>172</v>
      </c>
    </row>
    <row r="56" spans="1:5" x14ac:dyDescent="0.2">
      <c r="A56" s="5">
        <v>46204</v>
      </c>
      <c r="B56" t="s">
        <v>8</v>
      </c>
      <c r="C56">
        <v>635000</v>
      </c>
      <c r="D56">
        <v>569</v>
      </c>
      <c r="E56">
        <v>421</v>
      </c>
    </row>
    <row r="57" spans="1:5" x14ac:dyDescent="0.2">
      <c r="A57" s="5">
        <v>46204</v>
      </c>
      <c r="B57" t="s">
        <v>16</v>
      </c>
      <c r="C57">
        <v>430000</v>
      </c>
      <c r="D57">
        <v>325</v>
      </c>
      <c r="E57">
        <v>259</v>
      </c>
    </row>
    <row r="58" spans="1:5" x14ac:dyDescent="0.2">
      <c r="A58" s="5">
        <v>46204</v>
      </c>
      <c r="B58" t="s">
        <v>17</v>
      </c>
      <c r="C58">
        <v>400000</v>
      </c>
      <c r="D58">
        <v>400</v>
      </c>
      <c r="E58">
        <v>305</v>
      </c>
    </row>
    <row r="59" spans="1:5" x14ac:dyDescent="0.2">
      <c r="A59" s="5">
        <v>46204</v>
      </c>
      <c r="B59" t="s">
        <v>19</v>
      </c>
      <c r="C59">
        <v>310000</v>
      </c>
      <c r="D59">
        <v>282</v>
      </c>
      <c r="E59">
        <v>213</v>
      </c>
    </row>
    <row r="60" spans="1:5" x14ac:dyDescent="0.2">
      <c r="A60" s="5">
        <v>46204</v>
      </c>
      <c r="B60" t="s">
        <v>20</v>
      </c>
      <c r="C60">
        <v>370000</v>
      </c>
      <c r="D60">
        <v>327</v>
      </c>
      <c r="E60">
        <v>258</v>
      </c>
    </row>
    <row r="61" spans="1:5" x14ac:dyDescent="0.2">
      <c r="A61" s="5">
        <v>46204</v>
      </c>
      <c r="B61" t="s">
        <v>22</v>
      </c>
      <c r="C61">
        <v>235000</v>
      </c>
      <c r="D61">
        <v>233</v>
      </c>
      <c r="E61">
        <v>168</v>
      </c>
    </row>
    <row r="62" spans="1:5" x14ac:dyDescent="0.2">
      <c r="A62" s="5">
        <v>46235</v>
      </c>
      <c r="B62" t="s">
        <v>8</v>
      </c>
      <c r="C62">
        <v>680000</v>
      </c>
      <c r="D62">
        <v>605</v>
      </c>
      <c r="E62">
        <v>447</v>
      </c>
    </row>
    <row r="63" spans="1:5" x14ac:dyDescent="0.2">
      <c r="A63" s="5">
        <v>46235</v>
      </c>
      <c r="B63" t="s">
        <v>16</v>
      </c>
      <c r="C63">
        <v>415000</v>
      </c>
      <c r="D63">
        <v>366</v>
      </c>
      <c r="E63">
        <v>264</v>
      </c>
    </row>
    <row r="64" spans="1:5" x14ac:dyDescent="0.2">
      <c r="A64" s="5">
        <v>46235</v>
      </c>
      <c r="B64" t="s">
        <v>17</v>
      </c>
      <c r="C64">
        <v>450000</v>
      </c>
      <c r="D64">
        <v>426</v>
      </c>
      <c r="E64">
        <v>313</v>
      </c>
    </row>
    <row r="65" spans="1:5" x14ac:dyDescent="0.2">
      <c r="A65" s="5">
        <v>46235</v>
      </c>
      <c r="B65" t="s">
        <v>19</v>
      </c>
      <c r="C65">
        <v>340000</v>
      </c>
      <c r="D65">
        <v>319</v>
      </c>
      <c r="E65">
        <v>227</v>
      </c>
    </row>
    <row r="66" spans="1:5" x14ac:dyDescent="0.2">
      <c r="A66" s="5">
        <v>46235</v>
      </c>
      <c r="B66" t="s">
        <v>20</v>
      </c>
      <c r="C66">
        <v>410000</v>
      </c>
      <c r="D66">
        <v>362</v>
      </c>
      <c r="E66">
        <v>269</v>
      </c>
    </row>
    <row r="67" spans="1:5" x14ac:dyDescent="0.2">
      <c r="A67" s="5">
        <v>46235</v>
      </c>
      <c r="B67" t="s">
        <v>22</v>
      </c>
      <c r="C67">
        <v>285000</v>
      </c>
      <c r="D67">
        <v>269</v>
      </c>
      <c r="E67">
        <v>196</v>
      </c>
    </row>
    <row r="68" spans="1:5" x14ac:dyDescent="0.2">
      <c r="A68" s="5">
        <v>46266</v>
      </c>
      <c r="B68" t="s">
        <v>8</v>
      </c>
      <c r="C68">
        <v>600000</v>
      </c>
      <c r="D68">
        <v>567</v>
      </c>
      <c r="E68">
        <v>430</v>
      </c>
    </row>
    <row r="69" spans="1:5" x14ac:dyDescent="0.2">
      <c r="A69" s="5">
        <v>46266</v>
      </c>
      <c r="B69" t="s">
        <v>16</v>
      </c>
      <c r="C69">
        <v>400000</v>
      </c>
      <c r="D69">
        <v>330</v>
      </c>
      <c r="E69">
        <v>251</v>
      </c>
    </row>
    <row r="70" spans="1:5" x14ac:dyDescent="0.2">
      <c r="A70" s="5">
        <v>46266</v>
      </c>
      <c r="B70" t="s">
        <v>17</v>
      </c>
      <c r="C70">
        <v>415000</v>
      </c>
      <c r="D70">
        <v>385</v>
      </c>
      <c r="E70">
        <v>291</v>
      </c>
    </row>
    <row r="71" spans="1:5" x14ac:dyDescent="0.2">
      <c r="A71" s="5">
        <v>46266</v>
      </c>
      <c r="B71" t="s">
        <v>19</v>
      </c>
      <c r="C71">
        <v>305000</v>
      </c>
      <c r="D71">
        <v>274</v>
      </c>
      <c r="E71">
        <v>208</v>
      </c>
    </row>
    <row r="72" spans="1:5" x14ac:dyDescent="0.2">
      <c r="A72" s="5">
        <v>46266</v>
      </c>
      <c r="B72" t="s">
        <v>20</v>
      </c>
      <c r="C72">
        <v>365000</v>
      </c>
      <c r="D72">
        <v>330</v>
      </c>
      <c r="E72">
        <v>258</v>
      </c>
    </row>
    <row r="73" spans="1:5" x14ac:dyDescent="0.2">
      <c r="A73" s="5">
        <v>46266</v>
      </c>
      <c r="B73" t="s">
        <v>22</v>
      </c>
      <c r="C73">
        <v>250000</v>
      </c>
      <c r="D73">
        <v>242</v>
      </c>
      <c r="E73">
        <v>183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"/>
  <sheetViews>
    <sheetView workbookViewId="0"/>
  </sheetViews>
  <sheetFormatPr baseColWidth="10" defaultColWidth="8.83203125" defaultRowHeight="15" x14ac:dyDescent="0.2"/>
  <cols>
    <col min="1" max="1" width="20" customWidth="1"/>
    <col min="2" max="13" width="13" customWidth="1"/>
  </cols>
  <sheetData>
    <row r="1" spans="1:14" ht="28" x14ac:dyDescent="0.3">
      <c r="A1" s="42" t="s">
        <v>28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4" x14ac:dyDescent="0.2">
      <c r="A2" s="33" t="s">
        <v>29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4" spans="1:14" x14ac:dyDescent="0.2">
      <c r="A4" s="39" t="s">
        <v>30</v>
      </c>
      <c r="B4" s="28"/>
      <c r="C4" s="32" t="s">
        <v>31</v>
      </c>
      <c r="D4" s="28"/>
      <c r="E4" s="34" t="s">
        <v>32</v>
      </c>
      <c r="F4" s="28"/>
      <c r="G4" s="40" t="s">
        <v>33</v>
      </c>
      <c r="H4" s="28"/>
      <c r="I4" s="41" t="s">
        <v>34</v>
      </c>
      <c r="J4" s="28"/>
      <c r="K4" s="43" t="s">
        <v>35</v>
      </c>
      <c r="L4" s="28"/>
      <c r="M4" s="44" t="s">
        <v>36</v>
      </c>
      <c r="N4" s="28"/>
    </row>
    <row r="5" spans="1:14" x14ac:dyDescent="0.2">
      <c r="A5" s="30">
        <v>28022768.300000001</v>
      </c>
      <c r="B5" s="28"/>
      <c r="C5" s="30">
        <v>2299043.2400000002</v>
      </c>
      <c r="D5" s="28"/>
      <c r="E5" s="30">
        <v>2548931.66</v>
      </c>
      <c r="F5" s="28"/>
      <c r="G5" s="30">
        <v>2335000</v>
      </c>
      <c r="H5" s="28"/>
      <c r="I5" s="30">
        <v>-35956.76</v>
      </c>
      <c r="J5" s="28"/>
      <c r="K5" s="30">
        <v>0.98460099999999995</v>
      </c>
      <c r="L5" s="28"/>
      <c r="M5" s="30">
        <v>4795357.2300000004</v>
      </c>
      <c r="N5" s="28"/>
    </row>
    <row r="6" spans="1:14" x14ac:dyDescent="0.2">
      <c r="A6" s="31" t="s">
        <v>37</v>
      </c>
      <c r="B6" s="28"/>
      <c r="C6" s="27" t="s">
        <v>38</v>
      </c>
      <c r="D6" s="28"/>
      <c r="E6" s="36" t="s">
        <v>39</v>
      </c>
      <c r="F6" s="28"/>
      <c r="G6" s="35" t="s">
        <v>40</v>
      </c>
      <c r="H6" s="28"/>
      <c r="I6" s="29" t="s">
        <v>41</v>
      </c>
      <c r="J6" s="28"/>
      <c r="K6" s="38" t="s">
        <v>42</v>
      </c>
      <c r="L6" s="28"/>
      <c r="M6" s="37" t="s">
        <v>43</v>
      </c>
      <c r="N6" s="28"/>
    </row>
    <row r="7" spans="1:14" x14ac:dyDescent="0.2">
      <c r="A7" s="30">
        <v>0.17167499999999999</v>
      </c>
      <c r="B7" s="28"/>
      <c r="C7" s="30">
        <v>2128</v>
      </c>
      <c r="D7" s="28"/>
      <c r="E7" s="30">
        <v>1621</v>
      </c>
      <c r="F7" s="28"/>
      <c r="G7" s="30">
        <v>1080.3800000000001</v>
      </c>
      <c r="H7" s="28"/>
      <c r="I7" s="30">
        <v>1112467</v>
      </c>
      <c r="J7" s="28"/>
      <c r="K7" s="30">
        <v>52249</v>
      </c>
      <c r="L7" s="28"/>
      <c r="M7" s="30">
        <v>2335230.69</v>
      </c>
      <c r="N7" s="28"/>
    </row>
    <row r="9" spans="1:14" x14ac:dyDescent="0.2">
      <c r="A9" s="7" t="s">
        <v>44</v>
      </c>
      <c r="B9" s="8">
        <v>45931</v>
      </c>
      <c r="C9" s="8">
        <v>45962</v>
      </c>
      <c r="D9" s="8">
        <v>45992</v>
      </c>
      <c r="E9" s="8">
        <v>46023</v>
      </c>
      <c r="F9" s="8">
        <v>46054</v>
      </c>
      <c r="G9" s="8">
        <v>46082</v>
      </c>
      <c r="H9" s="8">
        <v>46113</v>
      </c>
      <c r="I9" s="8">
        <v>46143</v>
      </c>
      <c r="J9" s="8">
        <v>46174</v>
      </c>
      <c r="K9" s="8">
        <v>46204</v>
      </c>
      <c r="L9" s="8">
        <v>46235</v>
      </c>
      <c r="M9" s="8">
        <v>46266</v>
      </c>
    </row>
    <row r="10" spans="1:14" x14ac:dyDescent="0.2">
      <c r="A10" s="9" t="s">
        <v>8</v>
      </c>
      <c r="B10" s="9">
        <v>646384.9</v>
      </c>
      <c r="C10" s="9">
        <v>660447.75</v>
      </c>
      <c r="D10" s="9">
        <v>743819.24</v>
      </c>
      <c r="E10" s="9">
        <v>560870.99</v>
      </c>
      <c r="F10" s="9">
        <v>586508.5</v>
      </c>
      <c r="G10" s="9">
        <v>610881.9</v>
      </c>
      <c r="H10" s="9">
        <v>638879.86</v>
      </c>
      <c r="I10" s="9">
        <v>656777.92000000004</v>
      </c>
      <c r="J10" s="9">
        <v>614902.79</v>
      </c>
      <c r="K10" s="9">
        <v>616281.22</v>
      </c>
      <c r="L10" s="9">
        <v>700159.54</v>
      </c>
      <c r="M10" s="9">
        <v>604080.53</v>
      </c>
    </row>
    <row r="11" spans="1:14" x14ac:dyDescent="0.2">
      <c r="A11" s="9" t="s">
        <v>16</v>
      </c>
      <c r="B11" s="9">
        <v>358817.49</v>
      </c>
      <c r="C11" s="9">
        <v>378746.25</v>
      </c>
      <c r="D11" s="9">
        <v>445740.81</v>
      </c>
      <c r="E11" s="9">
        <v>319786.61</v>
      </c>
      <c r="F11" s="9">
        <v>340076.61</v>
      </c>
      <c r="G11" s="9">
        <v>356078.16</v>
      </c>
      <c r="H11" s="9">
        <v>371264.06</v>
      </c>
      <c r="I11" s="9">
        <v>392987.49</v>
      </c>
      <c r="J11" s="9">
        <v>337039.69</v>
      </c>
      <c r="K11" s="9">
        <v>379660.01</v>
      </c>
      <c r="L11" s="9">
        <v>369650.38</v>
      </c>
      <c r="M11" s="9">
        <v>348496.93</v>
      </c>
    </row>
    <row r="12" spans="1:14" x14ac:dyDescent="0.2">
      <c r="A12" s="9" t="s">
        <v>17</v>
      </c>
      <c r="B12" s="9">
        <v>372963.79</v>
      </c>
      <c r="C12" s="9">
        <v>400432.61</v>
      </c>
      <c r="D12" s="9">
        <v>487193.22</v>
      </c>
      <c r="E12" s="9">
        <v>360133.89</v>
      </c>
      <c r="F12" s="9">
        <v>343564.06</v>
      </c>
      <c r="G12" s="9">
        <v>439154.61</v>
      </c>
      <c r="H12" s="9">
        <v>427702.36</v>
      </c>
      <c r="I12" s="9">
        <v>408063.24</v>
      </c>
      <c r="J12" s="9">
        <v>430870.62</v>
      </c>
      <c r="K12" s="9">
        <v>424989.67</v>
      </c>
      <c r="L12" s="9">
        <v>471033.48</v>
      </c>
      <c r="M12" s="9">
        <v>432021.57</v>
      </c>
    </row>
    <row r="13" spans="1:14" x14ac:dyDescent="0.2">
      <c r="A13" s="9" t="s">
        <v>19</v>
      </c>
      <c r="B13" s="9">
        <v>316155.65000000002</v>
      </c>
      <c r="C13" s="9">
        <v>304190.12</v>
      </c>
      <c r="D13" s="9">
        <v>347109.57</v>
      </c>
      <c r="E13" s="9">
        <v>273643.48</v>
      </c>
      <c r="F13" s="9">
        <v>261118.92</v>
      </c>
      <c r="G13" s="9">
        <v>295816.18</v>
      </c>
      <c r="H13" s="9">
        <v>313287.77</v>
      </c>
      <c r="I13" s="9">
        <v>317417.5</v>
      </c>
      <c r="J13" s="9">
        <v>313954.73</v>
      </c>
      <c r="K13" s="9">
        <v>315087.32</v>
      </c>
      <c r="L13" s="9">
        <v>341727.03</v>
      </c>
      <c r="M13" s="9">
        <v>293963.78000000003</v>
      </c>
    </row>
    <row r="14" spans="1:14" x14ac:dyDescent="0.2">
      <c r="A14" s="9" t="s">
        <v>20</v>
      </c>
      <c r="B14" s="9">
        <v>363755.75</v>
      </c>
      <c r="C14" s="9">
        <v>361457.67</v>
      </c>
      <c r="D14" s="9">
        <v>398073.93</v>
      </c>
      <c r="E14" s="9">
        <v>302720.71000000002</v>
      </c>
      <c r="F14" s="9">
        <v>293676.34000000003</v>
      </c>
      <c r="G14" s="9">
        <v>346246.87</v>
      </c>
      <c r="H14" s="9">
        <v>385830.25</v>
      </c>
      <c r="I14" s="9">
        <v>349486.73</v>
      </c>
      <c r="J14" s="9">
        <v>318247.92</v>
      </c>
      <c r="K14" s="9">
        <v>369950.93</v>
      </c>
      <c r="L14" s="9">
        <v>387359.47</v>
      </c>
      <c r="M14" s="9">
        <v>365459.32</v>
      </c>
    </row>
    <row r="15" spans="1:14" x14ac:dyDescent="0.2">
      <c r="A15" s="9" t="s">
        <v>22</v>
      </c>
      <c r="B15" s="9">
        <v>235146.23999999999</v>
      </c>
      <c r="C15" s="9">
        <v>273591.37</v>
      </c>
      <c r="D15" s="9">
        <v>293436.83</v>
      </c>
      <c r="E15" s="9">
        <v>228374.49</v>
      </c>
      <c r="F15" s="9">
        <v>213506.88</v>
      </c>
      <c r="G15" s="9">
        <v>260590.49</v>
      </c>
      <c r="H15" s="9">
        <v>257479.1</v>
      </c>
      <c r="I15" s="9">
        <v>252629.3</v>
      </c>
      <c r="J15" s="9">
        <v>265601.25</v>
      </c>
      <c r="K15" s="9">
        <v>236188.79</v>
      </c>
      <c r="L15" s="9">
        <v>279001.76</v>
      </c>
      <c r="M15" s="9">
        <v>255021.11</v>
      </c>
    </row>
    <row r="16" spans="1:14" x14ac:dyDescent="0.2">
      <c r="A16" s="9" t="s">
        <v>45</v>
      </c>
      <c r="B16" s="9">
        <v>2293223.8199999998</v>
      </c>
      <c r="C16" s="9">
        <v>2378865.77</v>
      </c>
      <c r="D16" s="9">
        <v>2715373.6</v>
      </c>
      <c r="E16" s="9">
        <v>2045530.17</v>
      </c>
      <c r="F16" s="9">
        <v>2038451.31</v>
      </c>
      <c r="G16" s="9">
        <v>2308768.21</v>
      </c>
      <c r="H16" s="9">
        <v>2394443.4</v>
      </c>
      <c r="I16" s="9">
        <v>2377362.1800000002</v>
      </c>
      <c r="J16" s="9">
        <v>2280617</v>
      </c>
      <c r="K16" s="9">
        <v>2342157.94</v>
      </c>
      <c r="L16" s="9">
        <v>2548931.66</v>
      </c>
      <c r="M16" s="9">
        <v>2299043.2400000002</v>
      </c>
    </row>
    <row r="19" spans="1:2" x14ac:dyDescent="0.2">
      <c r="A19" s="7" t="s">
        <v>46</v>
      </c>
    </row>
    <row r="20" spans="1:2" x14ac:dyDescent="0.2">
      <c r="A20" s="9" t="s">
        <v>8</v>
      </c>
      <c r="B20">
        <v>7639995.1399999997</v>
      </c>
    </row>
    <row r="21" spans="1:2" x14ac:dyDescent="0.2">
      <c r="A21" s="9" t="s">
        <v>16</v>
      </c>
      <c r="B21">
        <v>4398344.49</v>
      </c>
    </row>
    <row r="22" spans="1:2" x14ac:dyDescent="0.2">
      <c r="A22" s="9" t="s">
        <v>17</v>
      </c>
      <c r="B22">
        <v>4998123.12</v>
      </c>
    </row>
    <row r="23" spans="1:2" x14ac:dyDescent="0.2">
      <c r="A23" s="9" t="s">
        <v>19</v>
      </c>
      <c r="B23">
        <v>3693472.05</v>
      </c>
    </row>
    <row r="24" spans="1:2" x14ac:dyDescent="0.2">
      <c r="A24" s="9" t="s">
        <v>20</v>
      </c>
      <c r="B24">
        <v>4242265.8899999997</v>
      </c>
    </row>
    <row r="25" spans="1:2" x14ac:dyDescent="0.2">
      <c r="A25" s="9" t="s">
        <v>22</v>
      </c>
      <c r="B25">
        <v>3050567.61</v>
      </c>
    </row>
    <row r="28" spans="1:2" x14ac:dyDescent="0.2">
      <c r="A28" s="7" t="s">
        <v>47</v>
      </c>
    </row>
    <row r="29" spans="1:2" x14ac:dyDescent="0.2">
      <c r="A29" s="9" t="s">
        <v>14</v>
      </c>
      <c r="B29">
        <v>608008.32999999996</v>
      </c>
    </row>
    <row r="30" spans="1:2" x14ac:dyDescent="0.2">
      <c r="A30" s="9" t="s">
        <v>13</v>
      </c>
      <c r="B30">
        <v>481285.75</v>
      </c>
    </row>
    <row r="31" spans="1:2" x14ac:dyDescent="0.2">
      <c r="A31" s="9" t="s">
        <v>12</v>
      </c>
      <c r="B31">
        <v>373553.01</v>
      </c>
    </row>
    <row r="32" spans="1:2" x14ac:dyDescent="0.2">
      <c r="A32" s="9" t="s">
        <v>10</v>
      </c>
      <c r="B32">
        <v>285107.82</v>
      </c>
    </row>
    <row r="33" spans="1:2" x14ac:dyDescent="0.2">
      <c r="A33" s="9" t="s">
        <v>11</v>
      </c>
      <c r="B33">
        <v>263547.07</v>
      </c>
    </row>
    <row r="34" spans="1:2" x14ac:dyDescent="0.2">
      <c r="A34" s="9" t="s">
        <v>15</v>
      </c>
      <c r="B34">
        <v>197891.07</v>
      </c>
    </row>
    <row r="35" spans="1:2" x14ac:dyDescent="0.2">
      <c r="A35" s="9" t="s">
        <v>24</v>
      </c>
      <c r="B35">
        <v>51715.97</v>
      </c>
    </row>
    <row r="36" spans="1:2" x14ac:dyDescent="0.2">
      <c r="A36" s="9" t="s">
        <v>23</v>
      </c>
      <c r="B36">
        <v>37934.22</v>
      </c>
    </row>
  </sheetData>
  <mergeCells count="30">
    <mergeCell ref="A1:L1"/>
    <mergeCell ref="K4:L4"/>
    <mergeCell ref="M4:N4"/>
    <mergeCell ref="A7:B7"/>
    <mergeCell ref="G7:H7"/>
    <mergeCell ref="I7:J7"/>
    <mergeCell ref="G6:H6"/>
    <mergeCell ref="M7:N7"/>
    <mergeCell ref="E6:F6"/>
    <mergeCell ref="M6:N6"/>
    <mergeCell ref="K6:L6"/>
    <mergeCell ref="K7:L7"/>
    <mergeCell ref="C7:D7"/>
    <mergeCell ref="E7:F7"/>
    <mergeCell ref="M5:N5"/>
    <mergeCell ref="A6:B6"/>
    <mergeCell ref="C4:D4"/>
    <mergeCell ref="A2:L2"/>
    <mergeCell ref="E4:F4"/>
    <mergeCell ref="A5:B5"/>
    <mergeCell ref="G5:H5"/>
    <mergeCell ref="I5:J5"/>
    <mergeCell ref="A4:B4"/>
    <mergeCell ref="G4:H4"/>
    <mergeCell ref="I4:J4"/>
    <mergeCell ref="C6:D6"/>
    <mergeCell ref="I6:J6"/>
    <mergeCell ref="C5:D5"/>
    <mergeCell ref="E5:F5"/>
    <mergeCell ref="K5:L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"/>
  <sheetViews>
    <sheetView workbookViewId="0"/>
  </sheetViews>
  <sheetFormatPr baseColWidth="10" defaultColWidth="8.83203125" defaultRowHeight="15" x14ac:dyDescent="0.2"/>
  <cols>
    <col min="1" max="3" width="16" customWidth="1"/>
    <col min="4" max="4" width="12" customWidth="1"/>
    <col min="5" max="5" width="3" customWidth="1"/>
    <col min="6" max="6" width="12" customWidth="1"/>
    <col min="7" max="7" width="16" customWidth="1"/>
    <col min="8" max="8" width="3" customWidth="1"/>
    <col min="9" max="9" width="20" customWidth="1"/>
    <col min="10" max="10" width="18" customWidth="1"/>
    <col min="11" max="11" width="44" customWidth="1"/>
  </cols>
  <sheetData>
    <row r="1" spans="1:11" ht="19" x14ac:dyDescent="0.25">
      <c r="A1" s="10" t="s">
        <v>48</v>
      </c>
    </row>
    <row r="2" spans="1:11" x14ac:dyDescent="0.2">
      <c r="A2" s="11" t="s">
        <v>49</v>
      </c>
      <c r="B2" s="1">
        <v>46266</v>
      </c>
      <c r="C2" s="12" t="s">
        <v>50</v>
      </c>
    </row>
    <row r="4" spans="1:11" ht="22" customHeight="1" x14ac:dyDescent="0.2">
      <c r="A4" s="4" t="s">
        <v>1</v>
      </c>
      <c r="B4" s="4" t="s">
        <v>4</v>
      </c>
      <c r="C4" s="4" t="s">
        <v>25</v>
      </c>
      <c r="D4" s="4" t="s">
        <v>51</v>
      </c>
      <c r="F4" s="4" t="s">
        <v>0</v>
      </c>
      <c r="G4" s="4" t="s">
        <v>4</v>
      </c>
      <c r="I4" s="4" t="s">
        <v>52</v>
      </c>
      <c r="J4" s="4" t="s">
        <v>53</v>
      </c>
      <c r="K4" s="4" t="s">
        <v>54</v>
      </c>
    </row>
    <row r="5" spans="1:11" x14ac:dyDescent="0.2">
      <c r="A5" t="s">
        <v>8</v>
      </c>
      <c r="B5" s="13">
        <f>SUMIFS(t_Synth[CA_USD],t_Synth[Mois],$B$2,t_Synth[Agence],$A5)</f>
        <v>604080.52999999991</v>
      </c>
      <c r="C5" s="13">
        <f>SUMIFS(t_Agence[Objectif_USD],t_Agence[Mois],$B$2,t_Agence[Agence],$A5)</f>
        <v>600000</v>
      </c>
      <c r="D5" s="14">
        <f t="shared" ref="D5:D10" si="0">B5/C5</f>
        <v>1.0068008833333333</v>
      </c>
      <c r="F5" s="1">
        <v>45931</v>
      </c>
      <c r="G5" s="13">
        <f>SUMIFS(t_Synth[CA_USD],t_Synth[Mois],$F5)</f>
        <v>2293223.8200000003</v>
      </c>
      <c r="I5" s="15" t="s">
        <v>55</v>
      </c>
      <c r="J5" s="13">
        <f>SUMIFS(t_Synth[CA_USD],t_Synth[Mois],$B$2)</f>
        <v>2299043.2400000002</v>
      </c>
      <c r="K5" s="12" t="s">
        <v>56</v>
      </c>
    </row>
    <row r="6" spans="1:11" x14ac:dyDescent="0.2">
      <c r="A6" t="s">
        <v>16</v>
      </c>
      <c r="B6" s="13">
        <f>SUMIFS(t_Synth[CA_USD],t_Synth[Mois],$B$2,t_Synth[Agence],$A6)</f>
        <v>348496.93</v>
      </c>
      <c r="C6" s="13">
        <f>SUMIFS(t_Agence[Objectif_USD],t_Agence[Mois],$B$2,t_Agence[Agence],$A6)</f>
        <v>400000</v>
      </c>
      <c r="D6" s="14">
        <f t="shared" si="0"/>
        <v>0.87124232499999998</v>
      </c>
      <c r="F6" s="1">
        <v>45962</v>
      </c>
      <c r="G6" s="13">
        <f>SUMIFS(t_Synth[CA_USD],t_Synth[Mois],$F6)</f>
        <v>2378865.77</v>
      </c>
      <c r="I6" s="15" t="s">
        <v>57</v>
      </c>
      <c r="J6" s="13">
        <f>SUMIFS(t_Agence[Objectif_USD],t_Agence[Mois],$B$2)</f>
        <v>2335000</v>
      </c>
      <c r="K6" s="12" t="s">
        <v>58</v>
      </c>
    </row>
    <row r="7" spans="1:11" x14ac:dyDescent="0.2">
      <c r="A7" t="s">
        <v>17</v>
      </c>
      <c r="B7" s="13">
        <f>SUMIFS(t_Synth[CA_USD],t_Synth[Mois],$B$2,t_Synth[Agence],$A7)</f>
        <v>432021.57</v>
      </c>
      <c r="C7" s="13">
        <f>SUMIFS(t_Agence[Objectif_USD],t_Agence[Mois],$B$2,t_Agence[Agence],$A7)</f>
        <v>415000</v>
      </c>
      <c r="D7" s="14">
        <f t="shared" si="0"/>
        <v>1.0410158313253013</v>
      </c>
      <c r="F7" s="1">
        <v>45992</v>
      </c>
      <c r="G7" s="13">
        <f>SUMIFS(t_Synth[CA_USD],t_Synth[Mois],$F7)</f>
        <v>2715373.6</v>
      </c>
      <c r="I7" s="15" t="s">
        <v>59</v>
      </c>
      <c r="J7" s="14">
        <f>J5/J6</f>
        <v>0.9846009593147752</v>
      </c>
      <c r="K7" s="12" t="s">
        <v>60</v>
      </c>
    </row>
    <row r="8" spans="1:11" x14ac:dyDescent="0.2">
      <c r="A8" t="s">
        <v>19</v>
      </c>
      <c r="B8" s="13">
        <f>SUMIFS(t_Synth[CA_USD],t_Synth[Mois],$B$2,t_Synth[Agence],$A8)</f>
        <v>293963.78000000003</v>
      </c>
      <c r="C8" s="13">
        <f>SUMIFS(t_Agence[Objectif_USD],t_Agence[Mois],$B$2,t_Agence[Agence],$A8)</f>
        <v>305000</v>
      </c>
      <c r="D8" s="14">
        <f t="shared" si="0"/>
        <v>0.9638156721311476</v>
      </c>
      <c r="F8" s="1">
        <v>46023</v>
      </c>
      <c r="G8" s="13">
        <f>SUMIFS(t_Synth[CA_USD],t_Synth[Mois],$F8)</f>
        <v>2045530.17</v>
      </c>
      <c r="I8" s="15" t="s">
        <v>61</v>
      </c>
      <c r="J8" s="14">
        <f>J5/SUMIFS(t_Synth[CA_USD],t_Synth[Mois],EDATE($B$2,-1))-1</f>
        <v>-9.8036531901369184E-2</v>
      </c>
      <c r="K8" s="12" t="s">
        <v>62</v>
      </c>
    </row>
    <row r="9" spans="1:11" x14ac:dyDescent="0.2">
      <c r="A9" t="s">
        <v>20</v>
      </c>
      <c r="B9" s="13">
        <f>SUMIFS(t_Synth[CA_USD],t_Synth[Mois],$B$2,t_Synth[Agence],$A9)</f>
        <v>365459.32000000007</v>
      </c>
      <c r="C9" s="13">
        <f>SUMIFS(t_Agence[Objectif_USD],t_Agence[Mois],$B$2,t_Agence[Agence],$A9)</f>
        <v>365000</v>
      </c>
      <c r="D9" s="14">
        <f t="shared" si="0"/>
        <v>1.0012584109589042</v>
      </c>
      <c r="F9" s="1">
        <v>46054</v>
      </c>
      <c r="G9" s="13">
        <f>SUMIFS(t_Synth[CA_USD],t_Synth[Mois],$F9)</f>
        <v>2038451.31</v>
      </c>
      <c r="I9" s="15" t="s">
        <v>63</v>
      </c>
      <c r="J9" s="14">
        <f>SUMIFS(t_Synth[Marge_USD],t_Synth[Mois],$B$2)/J5</f>
        <v>0.17167453970983165</v>
      </c>
      <c r="K9" s="12" t="s">
        <v>64</v>
      </c>
    </row>
    <row r="10" spans="1:11" x14ac:dyDescent="0.2">
      <c r="A10" t="s">
        <v>22</v>
      </c>
      <c r="B10" s="13">
        <f>SUMIFS(t_Synth[CA_USD],t_Synth[Mois],$B$2,t_Synth[Agence],$A10)</f>
        <v>255021.11000000002</v>
      </c>
      <c r="C10" s="13">
        <f>SUMIFS(t_Agence[Objectif_USD],t_Agence[Mois],$B$2,t_Agence[Agence],$A10)</f>
        <v>250000</v>
      </c>
      <c r="D10" s="14">
        <f t="shared" si="0"/>
        <v>1.02008444</v>
      </c>
      <c r="F10" s="1">
        <v>46082</v>
      </c>
      <c r="G10" s="13">
        <f>SUMIFS(t_Synth[CA_USD],t_Synth[Mois],$F10)</f>
        <v>2308768.21</v>
      </c>
      <c r="I10" s="15" t="s">
        <v>65</v>
      </c>
      <c r="J10" s="13">
        <f>SUM(t_Synth[CA_USD])</f>
        <v>28022768.29999999</v>
      </c>
      <c r="K10" s="12" t="s">
        <v>66</v>
      </c>
    </row>
    <row r="11" spans="1:11" x14ac:dyDescent="0.2">
      <c r="F11" s="1">
        <v>46113</v>
      </c>
      <c r="G11" s="13">
        <f>SUMIFS(t_Synth[CA_USD],t_Synth[Mois],$F11)</f>
        <v>2394443.4000000004</v>
      </c>
      <c r="I11" s="15" t="s">
        <v>67</v>
      </c>
      <c r="J11" s="16">
        <f>SUMIFS(t_Agence[Nb_Commandes],t_Agence[Mois],$B$2)</f>
        <v>2128</v>
      </c>
      <c r="K11" s="12" t="s">
        <v>68</v>
      </c>
    </row>
    <row r="12" spans="1:11" x14ac:dyDescent="0.2">
      <c r="F12" s="1">
        <v>46143</v>
      </c>
      <c r="G12" s="13">
        <f>SUMIFS(t_Synth[CA_USD],t_Synth[Mois],$F12)</f>
        <v>2377362.1799999997</v>
      </c>
      <c r="I12" s="15" t="s">
        <v>69</v>
      </c>
      <c r="J12" s="17">
        <f>J5/J11</f>
        <v>1080.3774624060152</v>
      </c>
      <c r="K12" s="12" t="s">
        <v>70</v>
      </c>
    </row>
    <row r="13" spans="1:11" x14ac:dyDescent="0.2">
      <c r="F13" s="1">
        <v>46174</v>
      </c>
      <c r="G13" s="13">
        <f>SUMIFS(t_Synth[CA_USD],t_Synth[Mois],$F13)</f>
        <v>2280617</v>
      </c>
      <c r="I13" s="15" t="s">
        <v>71</v>
      </c>
      <c r="J13" s="18" t="str">
        <f>INDEX($A$5:$A$10,MATCH(MIN($D$5:$D$10),$D$5:$D$10,0))</f>
        <v>Lubumbashi</v>
      </c>
      <c r="K13" s="12" t="s">
        <v>72</v>
      </c>
    </row>
    <row r="14" spans="1:11" x14ac:dyDescent="0.2">
      <c r="F14" s="1">
        <v>46204</v>
      </c>
      <c r="G14" s="13">
        <f>SUMIFS(t_Synth[CA_USD],t_Synth[Mois],$F14)</f>
        <v>2342157.9400000004</v>
      </c>
      <c r="I14" s="15" t="s">
        <v>73</v>
      </c>
      <c r="J14" s="13">
        <f>INDEX($B$5:$B$10,MATCH(MIN($D$5:$D$10),$D$5:$D$10,0))-INDEX($C$5:$C$10,MATCH(MIN($D$5:$D$10),$D$5:$D$10,0))</f>
        <v>-51503.070000000007</v>
      </c>
      <c r="K14" s="12" t="s">
        <v>74</v>
      </c>
    </row>
    <row r="15" spans="1:11" x14ac:dyDescent="0.2">
      <c r="F15" s="1">
        <v>46235</v>
      </c>
      <c r="G15" s="13">
        <f>SUMIFS(t_Synth[CA_USD],t_Synth[Mois],$F15)</f>
        <v>2548931.66</v>
      </c>
      <c r="I15" s="15" t="s">
        <v>75</v>
      </c>
      <c r="J15" s="19">
        <f>J10-SUM($G$5:$G$16)</f>
        <v>0</v>
      </c>
      <c r="K15" s="12" t="s">
        <v>76</v>
      </c>
    </row>
    <row r="16" spans="1:11" x14ac:dyDescent="0.2">
      <c r="F16" s="1">
        <v>46266</v>
      </c>
      <c r="G16" s="13">
        <f>SUMIFS(t_Synth[CA_USD],t_Synth[Mois],$F16)</f>
        <v>2299043.2400000002</v>
      </c>
      <c r="I16" s="15" t="s">
        <v>77</v>
      </c>
      <c r="J16" s="19">
        <f>J5-SUM($B$5:$B$10)</f>
        <v>0</v>
      </c>
      <c r="K16" s="12" t="s">
        <v>78</v>
      </c>
    </row>
    <row r="19" spans="1:1" x14ac:dyDescent="0.2">
      <c r="A19" s="12" t="s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G18"/>
  <sheetViews>
    <sheetView showGridLines="0" showRowColHeaders="0" workbookViewId="0"/>
  </sheetViews>
  <sheetFormatPr baseColWidth="10" defaultColWidth="8.83203125" defaultRowHeight="15" x14ac:dyDescent="0.2"/>
  <cols>
    <col min="1" max="1" width="2" customWidth="1"/>
    <col min="2" max="7" width="22" customWidth="1"/>
    <col min="8" max="8" width="2" customWidth="1"/>
  </cols>
  <sheetData>
    <row r="2" spans="2:7" ht="30" customHeight="1" x14ac:dyDescent="0.3">
      <c r="B2" s="46" t="s">
        <v>80</v>
      </c>
      <c r="C2" s="28"/>
      <c r="D2" s="28"/>
      <c r="E2" s="28"/>
      <c r="F2" s="28"/>
      <c r="G2" s="28"/>
    </row>
    <row r="3" spans="2:7" x14ac:dyDescent="0.2">
      <c r="B3" s="45" t="s">
        <v>81</v>
      </c>
      <c r="C3" s="28"/>
      <c r="D3" s="28"/>
      <c r="E3" s="28"/>
      <c r="F3" s="28"/>
      <c r="G3" s="28"/>
    </row>
    <row r="5" spans="2:7" x14ac:dyDescent="0.2">
      <c r="B5" s="20" t="s">
        <v>82</v>
      </c>
      <c r="C5" s="20" t="s">
        <v>83</v>
      </c>
      <c r="D5" s="20" t="s">
        <v>84</v>
      </c>
      <c r="E5" s="20" t="s">
        <v>85</v>
      </c>
    </row>
    <row r="6" spans="2:7" ht="34" customHeight="1" x14ac:dyDescent="0.35">
      <c r="B6" s="21">
        <f>KPI_CA</f>
        <v>2299043.2400000002</v>
      </c>
      <c r="C6" s="22">
        <f>KPI_ATTEINTE</f>
        <v>0.9846009593147752</v>
      </c>
      <c r="D6" s="22">
        <f>KPI_VAR_M1</f>
        <v>-9.8036531901369184E-2</v>
      </c>
      <c r="E6" s="22">
        <f>KPI_MARGE</f>
        <v>0.17167453970983165</v>
      </c>
    </row>
    <row r="8" spans="2:7" x14ac:dyDescent="0.2">
      <c r="B8" s="20" t="s">
        <v>86</v>
      </c>
    </row>
    <row r="9" spans="2:7" ht="26" x14ac:dyDescent="0.3">
      <c r="B9" s="47" t="str">
        <f>KPI_AGENCE_ALERTE</f>
        <v>Lubumbashi</v>
      </c>
      <c r="C9" s="28"/>
      <c r="D9" s="23">
        <f>KPI_ECART_ALERTE</f>
        <v>-51503.070000000007</v>
      </c>
      <c r="E9" s="12" t="s">
        <v>87</v>
      </c>
    </row>
    <row r="12" spans="2:7" ht="22" customHeight="1" x14ac:dyDescent="0.2">
      <c r="B12" s="4" t="s">
        <v>1</v>
      </c>
      <c r="C12" s="4" t="s">
        <v>88</v>
      </c>
      <c r="D12" s="4" t="s">
        <v>89</v>
      </c>
      <c r="E12" s="4" t="s">
        <v>51</v>
      </c>
    </row>
    <row r="13" spans="2:7" x14ac:dyDescent="0.2">
      <c r="B13" t="str">
        <f>CALCULS!A5</f>
        <v>Kinshasa</v>
      </c>
      <c r="C13" s="6">
        <f>CALCULS!B5</f>
        <v>604080.52999999991</v>
      </c>
      <c r="D13" s="6">
        <f>CALCULS!C5</f>
        <v>600000</v>
      </c>
      <c r="E13" s="24">
        <f>CALCULS!D5</f>
        <v>1.0068008833333333</v>
      </c>
    </row>
    <row r="14" spans="2:7" x14ac:dyDescent="0.2">
      <c r="B14" t="str">
        <f>CALCULS!A6</f>
        <v>Lubumbashi</v>
      </c>
      <c r="C14" s="6">
        <f>CALCULS!B6</f>
        <v>348496.93</v>
      </c>
      <c r="D14" s="6">
        <f>CALCULS!C6</f>
        <v>400000</v>
      </c>
      <c r="E14" s="24">
        <f>CALCULS!D6</f>
        <v>0.87124232499999998</v>
      </c>
    </row>
    <row r="15" spans="2:7" x14ac:dyDescent="0.2">
      <c r="B15" t="str">
        <f>CALCULS!A7</f>
        <v>Abidjan</v>
      </c>
      <c r="C15" s="6">
        <f>CALCULS!B7</f>
        <v>432021.57</v>
      </c>
      <c r="D15" s="6">
        <f>CALCULS!C7</f>
        <v>415000</v>
      </c>
      <c r="E15" s="24">
        <f>CALCULS!D7</f>
        <v>1.0410158313253013</v>
      </c>
    </row>
    <row r="16" spans="2:7" x14ac:dyDescent="0.2">
      <c r="B16" t="str">
        <f>CALCULS!A8</f>
        <v>Dakar</v>
      </c>
      <c r="C16" s="6">
        <f>CALCULS!B8</f>
        <v>293963.78000000003</v>
      </c>
      <c r="D16" s="6">
        <f>CALCULS!C8</f>
        <v>305000</v>
      </c>
      <c r="E16" s="24">
        <f>CALCULS!D8</f>
        <v>0.9638156721311476</v>
      </c>
    </row>
    <row r="17" spans="2:5" x14ac:dyDescent="0.2">
      <c r="B17" t="str">
        <f>CALCULS!A9</f>
        <v>Douala</v>
      </c>
      <c r="C17" s="6">
        <f>CALCULS!B9</f>
        <v>365459.32000000007</v>
      </c>
      <c r="D17" s="6">
        <f>CALCULS!C9</f>
        <v>365000</v>
      </c>
      <c r="E17" s="24">
        <f>CALCULS!D9</f>
        <v>1.0012584109589042</v>
      </c>
    </row>
    <row r="18" spans="2:5" x14ac:dyDescent="0.2">
      <c r="B18" t="str">
        <f>CALCULS!A10</f>
        <v>Libreville</v>
      </c>
      <c r="C18" s="6">
        <f>CALCULS!B10</f>
        <v>255021.11000000002</v>
      </c>
      <c r="D18" s="6">
        <f>CALCULS!C10</f>
        <v>250000</v>
      </c>
      <c r="E18" s="24">
        <f>CALCULS!D10</f>
        <v>1.02008444</v>
      </c>
    </row>
  </sheetData>
  <mergeCells count="3">
    <mergeCell ref="B3:G3"/>
    <mergeCell ref="B2:G2"/>
    <mergeCell ref="B9:C9"/>
  </mergeCells>
  <conditionalFormatting sqref="C13:C18">
    <cfRule type="dataBar" priority="1">
      <dataBar>
        <cfvo type="num" val="0"/>
        <cfvo type="max"/>
        <color rgb="FF4A7EBB"/>
      </dataBar>
    </cfRule>
  </conditionalFormatting>
  <conditionalFormatting sqref="E13:E18">
    <cfRule type="iconSet" priority="2">
      <iconSet>
        <cfvo type="num" val="0"/>
        <cfvo type="num" val="0.95"/>
        <cfvo type="num" val="1"/>
      </iconSet>
    </cfRule>
  </conditionalFormatting>
  <pageMargins left="0.75" right="0.75" top="1" bottom="1" header="0.5" footer="0.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/>
  </sheetViews>
  <sheetFormatPr baseColWidth="10" defaultColWidth="8.83203125" defaultRowHeight="15" x14ac:dyDescent="0.2"/>
  <cols>
    <col min="1" max="1" width="26" customWidth="1"/>
    <col min="2" max="2" width="96" customWidth="1"/>
  </cols>
  <sheetData>
    <row r="1" spans="1:2" ht="19" x14ac:dyDescent="0.25">
      <c r="A1" s="10" t="s">
        <v>90</v>
      </c>
    </row>
    <row r="3" spans="1:2" ht="30" customHeight="1" x14ac:dyDescent="0.2">
      <c r="A3" s="25" t="s">
        <v>91</v>
      </c>
      <c r="B3" s="26" t="s">
        <v>92</v>
      </c>
    </row>
    <row r="4" spans="1:2" ht="30" customHeight="1" x14ac:dyDescent="0.2">
      <c r="A4" s="25" t="s">
        <v>93</v>
      </c>
      <c r="B4" s="26" t="s">
        <v>94</v>
      </c>
    </row>
    <row r="5" spans="1:2" ht="30" customHeight="1" x14ac:dyDescent="0.2">
      <c r="A5" s="25" t="s">
        <v>95</v>
      </c>
      <c r="B5" s="26" t="s">
        <v>96</v>
      </c>
    </row>
    <row r="6" spans="1:2" ht="30" customHeight="1" x14ac:dyDescent="0.2">
      <c r="A6" s="25" t="s">
        <v>97</v>
      </c>
      <c r="B6" s="26" t="s">
        <v>98</v>
      </c>
    </row>
    <row r="7" spans="1:2" ht="30" customHeight="1" x14ac:dyDescent="0.2">
      <c r="A7" s="25" t="s">
        <v>99</v>
      </c>
      <c r="B7" s="26" t="s">
        <v>100</v>
      </c>
    </row>
    <row r="8" spans="1:2" ht="30" customHeight="1" x14ac:dyDescent="0.2">
      <c r="A8" s="25" t="s">
        <v>101</v>
      </c>
      <c r="B8" s="26" t="s">
        <v>102</v>
      </c>
    </row>
    <row r="9" spans="1:2" ht="30" customHeight="1" x14ac:dyDescent="0.2">
      <c r="A9" s="25" t="s">
        <v>103</v>
      </c>
      <c r="B9" s="26" t="s">
        <v>104</v>
      </c>
    </row>
    <row r="10" spans="1:2" ht="30" customHeight="1" x14ac:dyDescent="0.2">
      <c r="A10" s="25" t="s">
        <v>105</v>
      </c>
      <c r="B10" s="26" t="s">
        <v>106</v>
      </c>
    </row>
    <row r="11" spans="1:2" ht="30" customHeight="1" x14ac:dyDescent="0.2">
      <c r="A11" s="25" t="s">
        <v>107</v>
      </c>
      <c r="B11" s="26" t="s">
        <v>108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baseColWidth="10" defaultColWidth="8.83203125" defaultRowHeight="15" x14ac:dyDescent="0.2"/>
  <cols>
    <col min="1" max="1" width="26" customWidth="1"/>
    <col min="2" max="2" width="96" customWidth="1"/>
  </cols>
  <sheetData>
    <row r="1" spans="1:2" ht="19" x14ac:dyDescent="0.25">
      <c r="A1" s="10" t="s">
        <v>109</v>
      </c>
    </row>
    <row r="3" spans="1:2" ht="30" customHeight="1" x14ac:dyDescent="0.2">
      <c r="A3" s="25" t="s">
        <v>110</v>
      </c>
      <c r="B3" s="26" t="s">
        <v>111</v>
      </c>
    </row>
    <row r="4" spans="1:2" ht="30" customHeight="1" x14ac:dyDescent="0.2">
      <c r="A4" s="25" t="s">
        <v>112</v>
      </c>
      <c r="B4" s="26" t="s">
        <v>113</v>
      </c>
    </row>
    <row r="5" spans="1:2" ht="30" customHeight="1" x14ac:dyDescent="0.2">
      <c r="A5" s="25" t="s">
        <v>114</v>
      </c>
      <c r="B5" s="26" t="s">
        <v>115</v>
      </c>
    </row>
    <row r="6" spans="1:2" ht="30" customHeight="1" x14ac:dyDescent="0.2">
      <c r="A6" s="25" t="s">
        <v>116</v>
      </c>
      <c r="B6" s="26" t="s">
        <v>117</v>
      </c>
    </row>
    <row r="7" spans="1:2" ht="30" customHeight="1" x14ac:dyDescent="0.2">
      <c r="A7" s="25" t="s">
        <v>118</v>
      </c>
      <c r="B7" s="26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13</vt:i4>
      </vt:variant>
    </vt:vector>
  </HeadingPairs>
  <TitlesOfParts>
    <vt:vector size="20" baseType="lpstr">
      <vt:lpstr>Synthese</vt:lpstr>
      <vt:lpstr>Agences</vt:lpstr>
      <vt:lpstr>Rapport_actuel</vt:lpstr>
      <vt:lpstr>CALCULS</vt:lpstr>
      <vt:lpstr>TABLEAU_DE_BORD</vt:lpstr>
      <vt:lpstr>README</vt:lpstr>
      <vt:lpstr>ANNEXE_IA</vt:lpstr>
      <vt:lpstr>KPI_AGENCE_ALERTE</vt:lpstr>
      <vt:lpstr>KPI_ATTEINTE</vt:lpstr>
      <vt:lpstr>KPI_CA</vt:lpstr>
      <vt:lpstr>KPI_COMMANDES</vt:lpstr>
      <vt:lpstr>KPI_CUMUL</vt:lpstr>
      <vt:lpstr>KPI_ECART_ALERTE</vt:lpstr>
      <vt:lpstr>KPI_MARGE</vt:lpstr>
      <vt:lpstr>KPI_OBJECTIF</vt:lpstr>
      <vt:lpstr>KPI_PANIER</vt:lpstr>
      <vt:lpstr>KPI_VAR_M1</vt:lpstr>
      <vt:lpstr>R_CONTROLE</vt:lpstr>
      <vt:lpstr>R_ECART_AGENCES</vt:lpstr>
      <vt:lpstr>TABLEAU_DE_BORD!Zone_d_impression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aksanti</cp:lastModifiedBy>
  <dcterms:created xsi:type="dcterms:W3CDTF">2026-09-17T18:37:08Z</dcterms:created>
  <dcterms:modified xsi:type="dcterms:W3CDTF">2026-09-17T18:37:23Z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2026-09-17T18:37:23Z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5ceb0cb7-0969-4605-a05e-0ceeaa2aca04</vt:lpwstr>
  </property>
  <property fmtid="{D5CDD505-2E9C-101B-9397-08002B2CF9AE}" pid="7" name="MSIP_Label_defa4170-0d19-0005-0004-bc88714345d2_ActionId">
    <vt:lpwstr>f45ac4c8-ae77-4d76-a7d7-3eb58c0b4998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