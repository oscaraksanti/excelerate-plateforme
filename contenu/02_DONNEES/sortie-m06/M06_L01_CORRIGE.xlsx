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s" sheetId="1" state="visible" r:id="rId1"/>
    <sheet xmlns:r="http://schemas.openxmlformats.org/officeDocument/2006/relationships" name="Graphiques" sheetId="2" state="visible" r:id="rId2"/>
    <sheet xmlns:r="http://schemas.openxmlformats.org/officeDocument/2006/relationships" name="Axe_qui_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\ &quot;USD&quot;"/>
  </numFmts>
  <fonts count="4">
    <font>
      <name val="Calibri"/>
      <family val="2"/>
      <color theme="1"/>
      <sz val="11"/>
      <scheme val="minor"/>
    </font>
    <font>
      <name val="Calibri"/>
      <b val="1"/>
      <color rgb="FF101418"/>
      <sz val="14"/>
    </font>
    <font>
      <name val="Calibri"/>
      <b val="1"/>
      <sz val="11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430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Douze mois très stables — et un recul de 9,8 % en septembre</a:t>
            </a:r>
          </a:p>
        </rich>
      </tx>
      <overlay val="0"/>
    </title>
    <plotArea>
      <lineChart>
        <grouping val="standard"/>
        <varyColors val="0"/>
        <ser>
          <idx val="0"/>
          <order val="0"/>
          <tx>
            <strRef>
              <f>'Donnees'!B4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'Donnees'!$A$5:$A$16</f>
            </numRef>
          </cat>
          <val>
            <numRef>
              <f>'Donnees'!$B$5:$B$16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.00,,&quot; M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Kinshasa pèse deux fois et demie Libreville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strRef>
              <f>'Donnees'!E4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'Donnees'!$D$5:$D$10</f>
            </numRef>
          </cat>
          <val>
            <numRef>
              <f>'Donnees'!$E$5:$E$10</f>
            </numRef>
          </val>
        </ser>
        <dLbls>
          <numFmt formatCode="#,##0.00,,&quot; M&quot;" sourceLinked="0"/>
          <showLegendKey val="0"/>
          <showVal val="1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numFmt formatCode="#,##0.00,,&quot; M&quot;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Douala est la seule agence au mix différent</a:t>
            </a:r>
          </a:p>
        </rich>
      </tx>
      <overlay val="0"/>
    </title>
    <plotArea>
      <barChart>
        <barDir val="bar"/>
        <grouping val="percentStacked"/>
        <varyColors val="0"/>
        <ser>
          <idx val="0"/>
          <order val="0"/>
          <tx>
            <strRef>
              <f>'Donnees'!H4</f>
            </strRef>
          </tx>
          <spPr>
            <a:ln xmlns:a="http://schemas.openxmlformats.org/drawingml/2006/main">
              <a:prstDash val="solid"/>
            </a:ln>
          </spPr>
          <cat>
            <numRef>
              <f>'Donnees'!$G$5:$G$10</f>
            </numRef>
          </cat>
          <val>
            <numRef>
              <f>'Donnees'!$H$5:$H$10</f>
            </numRef>
          </val>
        </ser>
        <ser>
          <idx val="1"/>
          <order val="1"/>
          <tx>
            <strRef>
              <f>'Donnees'!I4</f>
            </strRef>
          </tx>
          <spPr>
            <a:ln xmlns:a="http://schemas.openxmlformats.org/drawingml/2006/main">
              <a:prstDash val="solid"/>
            </a:ln>
          </spPr>
          <cat>
            <numRef>
              <f>'Donnees'!$G$5:$G$10</f>
            </numRef>
          </cat>
          <val>
            <numRef>
              <f>'Donnees'!$I$5:$I$10</f>
            </numRef>
          </val>
        </ser>
        <ser>
          <idx val="2"/>
          <order val="2"/>
          <tx>
            <strRef>
              <f>'Donnees'!J4</f>
            </strRef>
          </tx>
          <spPr>
            <a:ln xmlns:a="http://schemas.openxmlformats.org/drawingml/2006/main">
              <a:prstDash val="solid"/>
            </a:ln>
          </spPr>
          <cat>
            <numRef>
              <f>'Donnees'!$G$5:$G$10</f>
            </numRef>
          </cat>
          <val>
            <numRef>
              <f>'Donnees'!$J$5:$J$10</f>
            </numRef>
          </val>
        </ser>
        <ser>
          <idx val="3"/>
          <order val="3"/>
          <tx>
            <strRef>
              <f>'Donnees'!K4</f>
            </strRef>
          </tx>
          <spPr>
            <a:ln xmlns:a="http://schemas.openxmlformats.org/drawingml/2006/main">
              <a:prstDash val="solid"/>
            </a:ln>
          </spPr>
          <cat>
            <numRef>
              <f>'Donnees'!$G$5:$G$10</f>
            </numRef>
          </cat>
          <val>
            <numRef>
              <f>'Donnees'!$K$5:$K$10</f>
            </numRef>
          </val>
        </ser>
        <ser>
          <idx val="4"/>
          <order val="4"/>
          <tx>
            <strRef>
              <f>'Donnees'!L4</f>
            </strRef>
          </tx>
          <spPr>
            <a:ln xmlns:a="http://schemas.openxmlformats.org/drawingml/2006/main">
              <a:prstDash val="solid"/>
            </a:ln>
          </spPr>
          <cat>
            <numRef>
              <f>'Donnees'!$G$5:$G$10</f>
            </numRef>
          </cat>
          <val>
            <numRef>
              <f>'Donnees'!$L$5:$L$10</f>
            </numRef>
          </val>
        </ser>
        <ser>
          <idx val="5"/>
          <order val="5"/>
          <tx>
            <strRef>
              <f>'Donnees'!M4</f>
            </strRef>
          </tx>
          <spPr>
            <a:ln xmlns:a="http://schemas.openxmlformats.org/drawingml/2006/main">
              <a:prstDash val="solid"/>
            </a:ln>
          </spPr>
          <cat>
            <numRef>
              <f>'Donnees'!$G$5:$G$10</f>
            </numRef>
          </cat>
          <val>
            <numRef>
              <f>'Donnees'!$M$5:$M$10</f>
            </numRef>
          </val>
        </ser>
        <ser>
          <idx val="6"/>
          <order val="6"/>
          <tx>
            <strRef>
              <f>'Donnees'!N4</f>
            </strRef>
          </tx>
          <spPr>
            <a:ln xmlns:a="http://schemas.openxmlformats.org/drawingml/2006/main">
              <a:prstDash val="solid"/>
            </a:ln>
          </spPr>
          <cat>
            <numRef>
              <f>'Donnees'!$G$5:$G$10</f>
            </numRef>
          </cat>
          <val>
            <numRef>
              <f>'Donnees'!$N$5:$N$10</f>
            </numRef>
          </val>
        </ser>
        <ser>
          <idx val="7"/>
          <order val="7"/>
          <tx>
            <strRef>
              <f>'Donnees'!O4</f>
            </strRef>
          </tx>
          <spPr>
            <a:ln xmlns:a="http://schemas.openxmlformats.org/drawingml/2006/main">
              <a:prstDash val="solid"/>
            </a:ln>
          </spPr>
          <cat>
            <numRef>
              <f>'Donnees'!$G$5:$G$10</f>
            </numRef>
          </cat>
          <val>
            <numRef>
              <f>'Donnees'!$O$5:$O$10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 marge suit le volume — sauf pour une agence</a:t>
            </a:r>
          </a:p>
        </rich>
      </tx>
      <overlay val="0"/>
    </title>
    <plotArea>
      <scatterChart>
        <varyColors val="0"/>
        <ser>
          <idx val="0"/>
          <order val="0"/>
          <tx>
            <v>Agences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ln xmlns:a="http://schemas.openxmlformats.org/drawingml/2006/main">
                <a:prstDash val="solid"/>
              </a:ln>
            </spPr>
          </marker>
          <xVal>
            <numRef>
              <f>'Donnees'!$R$5:$R$10</f>
            </numRef>
          </xVal>
          <yVal>
            <numRef>
              <f>'Donnees'!$S$5:$S$10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Chiffre d'affaires (USD)</a:t>
                </a:r>
              </a:p>
            </rich>
          </tx>
        </title>
        <numFmt formatCode="#,##0.00,,&quot; M&quot;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Marge (USD)</a:t>
                </a:r>
              </a:p>
            </rich>
          </tx>
        </title>
        <numFmt formatCode="#,##0.00,,&quot; M&quot;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Axe à zéro — douze mois très stables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strRef>
              <f>'Donnees'!B4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'Donnees'!$A$5:$A$16</f>
            </numRef>
          </cat>
          <val>
            <numRef>
              <f>'Donnees'!$B$5:$B$16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numFmt formatCode="#,##0.00,,&quot; M&quot;" sourceLinked="0"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Axe à 1,8 M — le même mois paraît catastrophique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strRef>
              <f>'Donnees'!B4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'Donnees'!$A$5:$A$16</f>
            </numRef>
          </cat>
          <val>
            <numRef>
              <f>'Donnees'!$B$5:$B$16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800000"/>
          <min val="1800000"/>
        </scaling>
        <delete val="0"/>
        <axPos val="l"/>
        <majorGridlines/>
        <numFmt formatCode="#,##0.00,,&quot; M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2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19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2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4" max="4"/>
    <col width="15" customWidth="1" min="5" max="5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7" max="17"/>
    <col width="15" customWidth="1" min="18" max="18"/>
    <col width="15" customWidth="1" min="19" max="19"/>
  </cols>
  <sheetData>
    <row r="1">
      <c r="A1" s="1" t="inlineStr">
        <is>
          <t>Quatre questions, quatre jeux de données</t>
        </is>
      </c>
    </row>
    <row r="3">
      <c r="A3" s="2" t="inlineStr">
        <is>
          <t>① ÉVOLUTION — comment ça bouge dans le temps</t>
        </is>
      </c>
      <c r="D3" s="2" t="inlineStr">
        <is>
          <t>② COMPARAISON — qui fait plus que qui</t>
        </is>
      </c>
      <c r="G3" s="2" t="inlineStr">
        <is>
          <t>③ COMPOSITION — de quoi est fait le CA de chaque agence</t>
        </is>
      </c>
      <c r="Q3" s="2" t="inlineStr">
        <is>
          <t>④ CORRÉLATION — est-ce que ça va ensemble</t>
        </is>
      </c>
    </row>
    <row r="4" ht="22" customHeight="1">
      <c r="A4" s="3" t="inlineStr">
        <is>
          <t>Mois</t>
        </is>
      </c>
      <c r="B4" s="3" t="inlineStr">
        <is>
          <t>CA_USD</t>
        </is>
      </c>
      <c r="D4" s="3" t="inlineStr">
        <is>
          <t>Agence</t>
        </is>
      </c>
      <c r="E4" s="3" t="inlineStr">
        <is>
          <t>CA_USD</t>
        </is>
      </c>
      <c r="G4" s="3" t="inlineStr">
        <is>
          <t>Agence</t>
        </is>
      </c>
      <c r="H4" s="3" t="inlineStr">
        <is>
          <t>Riz</t>
        </is>
      </c>
      <c r="I4" s="3" t="inlineStr">
        <is>
          <t>Huiles</t>
        </is>
      </c>
      <c r="J4" s="3" t="inlineStr">
        <is>
          <t>Farine</t>
        </is>
      </c>
      <c r="K4" s="3" t="inlineStr">
        <is>
          <t>Boissons</t>
        </is>
      </c>
      <c r="L4" s="3" t="inlineStr">
        <is>
          <t>Conserves</t>
        </is>
      </c>
      <c r="M4" s="3" t="inlineStr">
        <is>
          <t>Savons</t>
        </is>
      </c>
      <c r="N4" s="3" t="inlineStr">
        <is>
          <t>Hygiène &amp; entretien</t>
        </is>
      </c>
      <c r="O4" s="3" t="inlineStr">
        <is>
          <t>Épicerie sèche</t>
        </is>
      </c>
      <c r="Q4" s="3" t="inlineStr">
        <is>
          <t>Agence</t>
        </is>
      </c>
      <c r="R4" s="3" t="inlineStr">
        <is>
          <t>CA_USD</t>
        </is>
      </c>
      <c r="S4" s="3" t="inlineStr">
        <is>
          <t>Marge_USD</t>
        </is>
      </c>
    </row>
    <row r="5">
      <c r="A5" t="inlineStr">
        <is>
          <t>oct. 25</t>
        </is>
      </c>
      <c r="B5" s="4" t="n">
        <v>2293223.82</v>
      </c>
      <c r="D5" t="inlineStr">
        <is>
          <t>Libreville</t>
        </is>
      </c>
      <c r="E5" s="4" t="n">
        <v>3050567.61</v>
      </c>
      <c r="G5" t="inlineStr">
        <is>
          <t>Kinshasa</t>
        </is>
      </c>
      <c r="H5" s="4" t="n">
        <v>2112279.61</v>
      </c>
      <c r="I5" s="4" t="n">
        <v>1650592.49</v>
      </c>
      <c r="J5" s="4" t="n">
        <v>1276559.52</v>
      </c>
      <c r="K5" s="4" t="n">
        <v>893373.41</v>
      </c>
      <c r="L5" s="4" t="n">
        <v>950628.9</v>
      </c>
      <c r="M5" s="4" t="n">
        <v>756561.21</v>
      </c>
      <c r="N5" s="4" t="n">
        <v>0</v>
      </c>
      <c r="O5" s="4" t="n">
        <v>0</v>
      </c>
      <c r="Q5" t="inlineStr">
        <is>
          <t>Kinshasa</t>
        </is>
      </c>
      <c r="R5" s="4" t="n">
        <v>7639995.14</v>
      </c>
      <c r="S5" s="4" t="n">
        <v>1298239.25</v>
      </c>
    </row>
    <row r="6">
      <c r="A6" t="inlineStr">
        <is>
          <t>nov. 25</t>
        </is>
      </c>
      <c r="B6" s="4" t="n">
        <v>2378865.77</v>
      </c>
      <c r="D6" t="inlineStr">
        <is>
          <t>Dakar</t>
        </is>
      </c>
      <c r="E6" s="4" t="n">
        <v>3693472.05</v>
      </c>
      <c r="G6" t="inlineStr">
        <is>
          <t>Lubumbashi</t>
        </is>
      </c>
      <c r="H6" s="4" t="n">
        <v>1139591.86</v>
      </c>
      <c r="I6" s="4" t="n">
        <v>971530.27</v>
      </c>
      <c r="J6" s="4" t="n">
        <v>771741.61</v>
      </c>
      <c r="K6" s="4" t="n">
        <v>506171.99</v>
      </c>
      <c r="L6" s="4" t="n">
        <v>566160.9300000001</v>
      </c>
      <c r="M6" s="4" t="n">
        <v>443147.83</v>
      </c>
      <c r="N6" s="4" t="n">
        <v>0</v>
      </c>
      <c r="O6" s="4" t="n">
        <v>0</v>
      </c>
      <c r="Q6" t="inlineStr">
        <is>
          <t>Lubumbashi</t>
        </is>
      </c>
      <c r="R6" s="4" t="n">
        <v>4398344.49</v>
      </c>
      <c r="S6" s="4" t="n">
        <v>751190.49</v>
      </c>
    </row>
    <row r="7">
      <c r="A7" t="inlineStr">
        <is>
          <t>déc. 25</t>
        </is>
      </c>
      <c r="B7" s="4" t="n">
        <v>2715373.6</v>
      </c>
      <c r="D7" t="inlineStr">
        <is>
          <t>Douala</t>
        </is>
      </c>
      <c r="E7" s="4" t="n">
        <v>4242265.89</v>
      </c>
      <c r="G7" t="inlineStr">
        <is>
          <t>Abidjan</t>
        </is>
      </c>
      <c r="H7" s="4" t="n">
        <v>1399143.17</v>
      </c>
      <c r="I7" s="4" t="n">
        <v>1054093.69</v>
      </c>
      <c r="J7" s="4" t="n">
        <v>806021.39</v>
      </c>
      <c r="K7" s="4" t="n">
        <v>579195.4399999999</v>
      </c>
      <c r="L7" s="4" t="n">
        <v>643251.47</v>
      </c>
      <c r="M7" s="4" t="n">
        <v>516417.96</v>
      </c>
      <c r="N7" s="4" t="n">
        <v>0</v>
      </c>
      <c r="O7" s="4" t="n">
        <v>0</v>
      </c>
      <c r="Q7" t="inlineStr">
        <is>
          <t>Abidjan</t>
        </is>
      </c>
      <c r="R7" s="4" t="n">
        <v>4998123.12</v>
      </c>
      <c r="S7" s="4" t="n">
        <v>851434.65</v>
      </c>
    </row>
    <row r="8">
      <c r="A8" t="inlineStr">
        <is>
          <t>janv. 26</t>
        </is>
      </c>
      <c r="B8" s="4" t="n">
        <v>2045530.17</v>
      </c>
      <c r="D8" t="inlineStr">
        <is>
          <t>Lubumbashi</t>
        </is>
      </c>
      <c r="E8" s="4" t="n">
        <v>4398344.49</v>
      </c>
      <c r="G8" t="inlineStr">
        <is>
          <t>Dakar</t>
        </is>
      </c>
      <c r="H8" s="4" t="n">
        <v>1002436.3</v>
      </c>
      <c r="I8" s="4" t="n">
        <v>758144.61</v>
      </c>
      <c r="J8" s="4" t="n">
        <v>667973.29</v>
      </c>
      <c r="K8" s="4" t="n">
        <v>437409.12</v>
      </c>
      <c r="L8" s="4" t="n">
        <v>454560.41</v>
      </c>
      <c r="M8" s="4" t="n">
        <v>372948.32</v>
      </c>
      <c r="N8" s="4" t="n">
        <v>0</v>
      </c>
      <c r="O8" s="4" t="n">
        <v>0</v>
      </c>
      <c r="Q8" t="inlineStr">
        <is>
          <t>Dakar</t>
        </is>
      </c>
      <c r="R8" s="4" t="n">
        <v>3693472.05</v>
      </c>
      <c r="S8" s="4" t="n">
        <v>627973.6</v>
      </c>
    </row>
    <row r="9">
      <c r="A9" t="inlineStr">
        <is>
          <t>févr. 26</t>
        </is>
      </c>
      <c r="B9" s="4" t="n">
        <v>2038451.31</v>
      </c>
      <c r="D9" t="inlineStr">
        <is>
          <t>Abidjan</t>
        </is>
      </c>
      <c r="E9" s="4" t="n">
        <v>4998123.12</v>
      </c>
      <c r="G9" t="inlineStr">
        <is>
          <t>Douala</t>
        </is>
      </c>
      <c r="H9" s="4" t="n">
        <v>1117940.96</v>
      </c>
      <c r="I9" s="4" t="n">
        <v>815848.37</v>
      </c>
      <c r="J9" s="4" t="n">
        <v>606070.47</v>
      </c>
      <c r="K9" s="4" t="n">
        <v>635504.9300000001</v>
      </c>
      <c r="L9" s="4" t="n">
        <v>214791.21</v>
      </c>
      <c r="M9" s="4" t="n">
        <v>228861.6</v>
      </c>
      <c r="N9" s="4" t="n">
        <v>314916.21</v>
      </c>
      <c r="O9" s="4" t="n">
        <v>308332.14</v>
      </c>
      <c r="Q9" t="inlineStr">
        <is>
          <t>Douala</t>
        </is>
      </c>
      <c r="R9" s="4" t="n">
        <v>4242265.89</v>
      </c>
      <c r="S9" s="4" t="n">
        <v>744924.01</v>
      </c>
    </row>
    <row r="10">
      <c r="A10" t="inlineStr">
        <is>
          <t>mars 26</t>
        </is>
      </c>
      <c r="B10" s="4" t="n">
        <v>2308768.21</v>
      </c>
      <c r="D10" t="inlineStr">
        <is>
          <t>Kinshasa</t>
        </is>
      </c>
      <c r="E10" s="4" t="n">
        <v>7639995.14</v>
      </c>
      <c r="G10" t="inlineStr">
        <is>
          <t>Libreville</t>
        </is>
      </c>
      <c r="H10" s="4" t="n">
        <v>811914.12</v>
      </c>
      <c r="I10" s="4" t="n">
        <v>650635.29</v>
      </c>
      <c r="J10" s="4" t="n">
        <v>514563.5</v>
      </c>
      <c r="K10" s="4" t="n">
        <v>338380.11</v>
      </c>
      <c r="L10" s="4" t="n">
        <v>413683.48</v>
      </c>
      <c r="M10" s="4" t="n">
        <v>321391.11</v>
      </c>
      <c r="N10" s="4" t="n">
        <v>0</v>
      </c>
      <c r="O10" s="4" t="n">
        <v>0</v>
      </c>
      <c r="Q10" t="inlineStr">
        <is>
          <t>Libreville</t>
        </is>
      </c>
      <c r="R10" s="4" t="n">
        <v>3050567.61</v>
      </c>
      <c r="S10" s="4" t="n">
        <v>521595.23</v>
      </c>
    </row>
    <row r="11">
      <c r="A11" t="inlineStr">
        <is>
          <t>avr. 26</t>
        </is>
      </c>
      <c r="B11" s="4" t="n">
        <v>2394443.4</v>
      </c>
    </row>
    <row r="12">
      <c r="A12" t="inlineStr">
        <is>
          <t>mai 26</t>
        </is>
      </c>
      <c r="B12" s="4" t="n">
        <v>2377362.18</v>
      </c>
    </row>
    <row r="13">
      <c r="A13" t="inlineStr">
        <is>
          <t>juin 26</t>
        </is>
      </c>
      <c r="B13" s="4" t="n">
        <v>2280617</v>
      </c>
    </row>
    <row r="14">
      <c r="A14" t="inlineStr">
        <is>
          <t>juil. 26</t>
        </is>
      </c>
      <c r="B14" s="4" t="n">
        <v>2342157.94</v>
      </c>
    </row>
    <row r="15">
      <c r="A15" t="inlineStr">
        <is>
          <t>août 26</t>
        </is>
      </c>
      <c r="B15" s="4" t="n">
        <v>2548931.66</v>
      </c>
    </row>
    <row r="16">
      <c r="A16" t="inlineStr">
        <is>
          <t>sept. 26</t>
        </is>
      </c>
      <c r="B16" s="4" t="n">
        <v>2299043.24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Le bon type, question par question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Le même chiffre, deux axes, deux conclusions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2026-09-17T18:37:08Z</dcterms:created>
  <dcterms:modified xmlns:dcterms="http://purl.org/dc/terms/" xmlns:xsi="http://www.w3.org/2001/XMLSchema-instance" xsi:type="dcterms:W3CDTF">2026-09-17T18:37:08Z</dcterms:modified>
</cp:coreProperties>
</file>