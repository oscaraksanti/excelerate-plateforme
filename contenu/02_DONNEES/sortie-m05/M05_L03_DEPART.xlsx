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vi" sheetId="1" state="visible" r:id="rId1"/>
    <sheet xmlns:r="http://schemas.openxmlformats.org/officeDocument/2006/relationships" name="Comparaison" sheetId="2" state="visible" r:id="rId2"/>
  </sheets>
  <definedNames>
    <definedName name="_xlnm._FilterDatabase" localSheetId="0" hidden="1">'Suivi'!$A$1:$I$421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00\ &quot;USD&quot;"/>
    <numFmt numFmtId="166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101418"/>
      <sz val="14"/>
    </font>
    <font>
      <name val="Calibri"/>
      <i val="1"/>
      <color rgb="FF6B7280"/>
      <sz val="10"/>
    </font>
  </fonts>
  <fills count="4">
    <fill>
      <patternFill/>
    </fill>
    <fill>
      <patternFill patternType="gray125"/>
    </fill>
    <fill>
      <patternFill patternType="solid">
        <fgColor rgb="FF243044"/>
      </patternFill>
    </fill>
    <fill>
      <patternFill patternType="solid">
        <fgColor rgb="FFFFF6D8"/>
      </patternFill>
    </fill>
  </fills>
  <borders count="2">
    <border>
      <left/>
      <right/>
      <top/>
      <bottom/>
      <diagonal/>
    </border>
    <border>
      <bottom style="thin">
        <color rgb="FFD6DB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166" fontId="0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165" fontId="0" fillId="3" borderId="1" pivotButton="0" quotePrefix="0" xfId="0"/>
    <xf numFmtId="0" fontId="3" fillId="0" borderId="0" pivotButton="0" quotePrefix="0" xfId="0"/>
    <xf numFmtId="1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" min="1" max="1"/>
    <col width="19" customWidth="1" min="2" max="2"/>
    <col width="26" customWidth="1" min="3" max="3"/>
    <col width="11" customWidth="1" min="4" max="4"/>
    <col width="13" customWidth="1" min="5" max="5"/>
    <col width="10" customWidth="1" style="2" min="6" max="6"/>
    <col width="14" customWidth="1" style="3" min="7" max="7"/>
    <col width="14" customWidth="1" style="3" min="8" max="8"/>
    <col width="12" customWidth="1" style="4" min="9" max="9"/>
  </cols>
  <sheetData>
    <row r="1" ht="22" customHeight="1">
      <c r="A1" s="5" t="inlineStr">
        <is>
          <t>Date_Vente</t>
        </is>
      </c>
      <c r="B1" s="5" t="inlineStr">
        <is>
          <t>Commercial</t>
        </is>
      </c>
      <c r="C1" s="5" t="inlineStr">
        <is>
          <t>Client</t>
        </is>
      </c>
      <c r="D1" s="5" t="inlineStr">
        <is>
          <t>Reference</t>
        </is>
      </c>
      <c r="E1" s="5" t="inlineStr">
        <is>
          <t>Famille</t>
        </is>
      </c>
      <c r="F1" s="5" t="inlineStr">
        <is>
          <t>Quantite</t>
        </is>
      </c>
      <c r="G1" s="5" t="inlineStr">
        <is>
          <t>Montant_USD</t>
        </is>
      </c>
      <c r="H1" s="5" t="inlineStr">
        <is>
          <t>Cout_USD</t>
        </is>
      </c>
      <c r="I1" s="5" t="inlineStr">
        <is>
          <t>Marge_Pct</t>
        </is>
      </c>
    </row>
    <row r="2">
      <c r="A2" s="6" t="n">
        <v>45931</v>
      </c>
      <c r="B2" t="inlineStr">
        <is>
          <t>Grace Kasongo</t>
        </is>
      </c>
      <c r="C2" t="inlineStr">
        <is>
          <t>BOULANGERIE RUASHI 09</t>
        </is>
      </c>
      <c r="D2" t="inlineStr">
        <is>
          <t>REF-0221</t>
        </is>
      </c>
      <c r="E2" t="inlineStr">
        <is>
          <t>Huiles</t>
        </is>
      </c>
      <c r="F2" t="n">
        <v>3</v>
      </c>
      <c r="G2" t="n">
        <v>114.26</v>
      </c>
      <c r="H2" t="n">
        <v>89.17</v>
      </c>
      <c r="I2" s="4">
        <f>(G2-H2)/H2</f>
        <v/>
      </c>
    </row>
    <row r="3">
      <c r="A3" s="6" t="n">
        <v>45931</v>
      </c>
      <c r="B3" t="inlineStr">
        <is>
          <t>Grace Kasongo</t>
        </is>
      </c>
      <c r="C3" t="inlineStr">
        <is>
          <t>BOULANGERIE RUASHI 09</t>
        </is>
      </c>
      <c r="D3" t="inlineStr">
        <is>
          <t>REF-0448</t>
        </is>
      </c>
      <c r="E3" t="inlineStr">
        <is>
          <t>Huiles</t>
        </is>
      </c>
      <c r="F3" t="n">
        <v>12</v>
      </c>
      <c r="G3" t="n">
        <v>315.22</v>
      </c>
      <c r="H3" t="n">
        <v>268.39</v>
      </c>
      <c r="I3" s="4">
        <f>(G3-H3)/H3</f>
        <v/>
      </c>
    </row>
    <row r="4">
      <c r="A4" s="6" t="n">
        <v>45931</v>
      </c>
      <c r="B4" t="inlineStr">
        <is>
          <t>Grace Kasongo</t>
        </is>
      </c>
      <c r="C4" t="inlineStr">
        <is>
          <t>BOULANGERIE RUASHI 09</t>
        </is>
      </c>
      <c r="D4" t="inlineStr">
        <is>
          <t>REF-0475</t>
        </is>
      </c>
      <c r="E4" t="inlineStr">
        <is>
          <t>Savons</t>
        </is>
      </c>
      <c r="F4" t="n">
        <v>49</v>
      </c>
      <c r="G4" t="n">
        <v>328.41</v>
      </c>
      <c r="H4" t="n">
        <v>242.59</v>
      </c>
      <c r="I4" s="4">
        <f>(G4-H4)/H4</f>
        <v/>
      </c>
    </row>
    <row r="5">
      <c r="A5" s="6" t="n">
        <v>45931</v>
      </c>
      <c r="B5" t="inlineStr">
        <is>
          <t>Grace Kasongo</t>
        </is>
      </c>
      <c r="C5" t="inlineStr">
        <is>
          <t>BOULANGERIE RUASHI 09</t>
        </is>
      </c>
      <c r="D5" t="inlineStr">
        <is>
          <t>REF-0673</t>
        </is>
      </c>
      <c r="E5" t="inlineStr">
        <is>
          <t>Savons</t>
        </is>
      </c>
      <c r="F5" t="n">
        <v>7</v>
      </c>
      <c r="G5" t="n">
        <v>57.4</v>
      </c>
      <c r="H5" t="n">
        <v>46.21</v>
      </c>
      <c r="I5" s="4">
        <f>(G5-H5)/H5</f>
        <v/>
      </c>
    </row>
    <row r="6">
      <c r="A6" s="6" t="n">
        <v>45931</v>
      </c>
      <c r="B6" t="inlineStr">
        <is>
          <t>Nadège Kalala</t>
        </is>
      </c>
      <c r="C6" t="inlineStr">
        <is>
          <t>KIOSQUE ABOBO 05</t>
        </is>
      </c>
      <c r="D6" t="inlineStr">
        <is>
          <t>REF-0324</t>
        </is>
      </c>
      <c r="E6" t="inlineStr">
        <is>
          <t>Huiles</t>
        </is>
      </c>
      <c r="F6" t="n">
        <v>10</v>
      </c>
      <c r="G6" t="n">
        <v>322.14</v>
      </c>
      <c r="H6" t="n">
        <v>278.2</v>
      </c>
      <c r="I6" s="4">
        <f>(G6-H6)/H6</f>
        <v/>
      </c>
    </row>
    <row r="7">
      <c r="A7" s="6" t="n">
        <v>45931</v>
      </c>
      <c r="B7" t="inlineStr">
        <is>
          <t>Nadège Kalala</t>
        </is>
      </c>
      <c r="C7" t="inlineStr">
        <is>
          <t>KIOSQUE ABOBO 05</t>
        </is>
      </c>
      <c r="D7" t="inlineStr">
        <is>
          <t>REF-0009</t>
        </is>
      </c>
      <c r="E7" t="inlineStr">
        <is>
          <t>Huiles</t>
        </is>
      </c>
      <c r="F7" t="n">
        <v>11</v>
      </c>
      <c r="G7" t="n">
        <v>394.37</v>
      </c>
      <c r="H7" t="n">
        <v>297.89</v>
      </c>
      <c r="I7" s="4">
        <f>(G7-H7)/H7</f>
        <v/>
      </c>
    </row>
    <row r="8">
      <c r="A8" s="6" t="n">
        <v>45931</v>
      </c>
      <c r="B8" t="inlineStr">
        <is>
          <t>Nadège Kalala</t>
        </is>
      </c>
      <c r="C8" t="inlineStr">
        <is>
          <t>ALIMENTATION NGIRI 02</t>
        </is>
      </c>
      <c r="D8" t="inlineStr">
        <is>
          <t>REF-0082</t>
        </is>
      </c>
      <c r="E8" t="inlineStr">
        <is>
          <t>Boissons</t>
        </is>
      </c>
      <c r="F8" t="n">
        <v>13</v>
      </c>
      <c r="G8" t="n">
        <v>115.66</v>
      </c>
      <c r="H8" t="n">
        <v>93.78</v>
      </c>
      <c r="I8" s="4">
        <f>(G8-H8)/H8</f>
        <v/>
      </c>
    </row>
    <row r="9">
      <c r="A9" s="6" t="n">
        <v>45931</v>
      </c>
      <c r="B9" t="inlineStr">
        <is>
          <t>Nadège Kalala</t>
        </is>
      </c>
      <c r="C9" t="inlineStr">
        <is>
          <t>ALIMENTATION NGIRI 02</t>
        </is>
      </c>
      <c r="D9" t="inlineStr">
        <is>
          <t>REF-0695</t>
        </is>
      </c>
      <c r="E9" t="inlineStr">
        <is>
          <t>Farine</t>
        </is>
      </c>
      <c r="F9" t="n">
        <v>17</v>
      </c>
      <c r="G9" t="n">
        <v>444.9</v>
      </c>
      <c r="H9" t="n">
        <v>360.05</v>
      </c>
      <c r="I9" s="4">
        <f>(G9-H9)/H9</f>
        <v/>
      </c>
    </row>
    <row r="10">
      <c r="A10" s="6" t="n">
        <v>45931</v>
      </c>
      <c r="B10" t="inlineStr">
        <is>
          <t>Nadège Kalala</t>
        </is>
      </c>
      <c r="C10" t="inlineStr">
        <is>
          <t>ALIMENTATION NGIRI 02</t>
        </is>
      </c>
      <c r="D10" t="inlineStr">
        <is>
          <t>REF-0054</t>
        </is>
      </c>
      <c r="E10" t="inlineStr">
        <is>
          <t>Huiles</t>
        </is>
      </c>
      <c r="F10" t="n">
        <v>15</v>
      </c>
      <c r="G10" t="n">
        <v>423.44</v>
      </c>
      <c r="H10" t="n">
        <v>357.01</v>
      </c>
      <c r="I10" s="4">
        <f>(G10-H10)/H10</f>
        <v/>
      </c>
    </row>
    <row r="11">
      <c r="A11" s="6" t="n">
        <v>45931</v>
      </c>
      <c r="B11" t="inlineStr">
        <is>
          <t>Nadège Kalala</t>
        </is>
      </c>
      <c r="C11" t="inlineStr">
        <is>
          <t>ALIMENTATION NGIRI 02</t>
        </is>
      </c>
      <c r="D11" t="inlineStr">
        <is>
          <t>REF-0658</t>
        </is>
      </c>
      <c r="E11" t="inlineStr">
        <is>
          <t>Farine</t>
        </is>
      </c>
      <c r="F11" t="n">
        <v>28</v>
      </c>
      <c r="G11" t="n">
        <v>1009.18</v>
      </c>
      <c r="H11" t="n">
        <v>635.35</v>
      </c>
      <c r="I11" s="4">
        <f>(G11-H11)/H11</f>
        <v/>
      </c>
    </row>
    <row r="12" hidden="1">
      <c r="A12" s="6" t="n">
        <v>45931</v>
      </c>
      <c r="B12" t="inlineStr">
        <is>
          <t>Nadège Kalala</t>
        </is>
      </c>
      <c r="C12" t="inlineStr">
        <is>
          <t>ALIMENTATION NGIRI 02</t>
        </is>
      </c>
      <c r="D12" t="inlineStr">
        <is>
          <t>REF-0208</t>
        </is>
      </c>
      <c r="E12" t="inlineStr">
        <is>
          <t>Savons</t>
        </is>
      </c>
      <c r="F12" t="n">
        <v>29</v>
      </c>
      <c r="G12" t="n">
        <v>500</v>
      </c>
      <c r="H12" t="n">
        <v>332.01</v>
      </c>
      <c r="I12" s="4">
        <f>(G12-H12)/H12</f>
        <v/>
      </c>
    </row>
    <row r="13" hidden="1">
      <c r="A13" s="6" t="n">
        <v>45931</v>
      </c>
      <c r="B13" t="inlineStr">
        <is>
          <t>Sylvie Nguema</t>
        </is>
      </c>
      <c r="C13" t="inlineStr">
        <is>
          <t>GROSSISTE BINZA 33</t>
        </is>
      </c>
      <c r="D13" t="inlineStr">
        <is>
          <t>REF-0023</t>
        </is>
      </c>
      <c r="E13" t="inlineStr">
        <is>
          <t>Boissons</t>
        </is>
      </c>
      <c r="F13" t="n">
        <v>6</v>
      </c>
      <c r="G13" t="n">
        <v>92.44</v>
      </c>
      <c r="H13" t="n">
        <v>81.27</v>
      </c>
      <c r="I13" s="4">
        <f>(G13-H13)/H13</f>
        <v/>
      </c>
    </row>
    <row r="14" hidden="1">
      <c r="A14" s="6" t="n">
        <v>45931</v>
      </c>
      <c r="B14" t="inlineStr">
        <is>
          <t>Sylvie Nguema</t>
        </is>
      </c>
      <c r="C14" t="inlineStr">
        <is>
          <t>GROSSISTE BINZA 33</t>
        </is>
      </c>
      <c r="D14" t="inlineStr">
        <is>
          <t>REF-0827</t>
        </is>
      </c>
      <c r="E14" t="inlineStr">
        <is>
          <t>Boissons</t>
        </is>
      </c>
      <c r="F14" t="n">
        <v>4</v>
      </c>
      <c r="G14" t="n">
        <v>84.12</v>
      </c>
      <c r="H14" t="n">
        <v>68.48999999999999</v>
      </c>
      <c r="I14" s="4">
        <f>(G14-H14)/H14</f>
        <v/>
      </c>
    </row>
    <row r="15" hidden="1">
      <c r="A15" s="6" t="n">
        <v>45931</v>
      </c>
      <c r="B15" t="inlineStr">
        <is>
          <t>Sylvie Nguema</t>
        </is>
      </c>
      <c r="C15" t="inlineStr">
        <is>
          <t>GROSSISTE BINZA 33</t>
        </is>
      </c>
      <c r="D15" t="inlineStr">
        <is>
          <t>REF-0290</t>
        </is>
      </c>
      <c r="E15" t="inlineStr">
        <is>
          <t>Conserves</t>
        </is>
      </c>
      <c r="F15" t="n">
        <v>27</v>
      </c>
      <c r="G15" t="n">
        <v>616.05</v>
      </c>
      <c r="H15" t="n">
        <v>423.76</v>
      </c>
      <c r="I15" s="4">
        <f>(G15-H15)/H15</f>
        <v/>
      </c>
    </row>
    <row r="16" hidden="1">
      <c r="A16" s="6" t="n">
        <v>45931</v>
      </c>
      <c r="B16" t="inlineStr">
        <is>
          <t>Sylvie Nguema</t>
        </is>
      </c>
      <c r="C16" t="inlineStr">
        <is>
          <t>GROSSISTE BINZA 33</t>
        </is>
      </c>
      <c r="D16" t="inlineStr">
        <is>
          <t>REF-0620</t>
        </is>
      </c>
      <c r="E16" t="inlineStr">
        <is>
          <t>Boissons</t>
        </is>
      </c>
      <c r="F16" t="n">
        <v>10</v>
      </c>
      <c r="G16" t="n">
        <v>161.38</v>
      </c>
      <c r="H16" t="n">
        <v>131.21</v>
      </c>
      <c r="I16" s="4">
        <f>(G16-H16)/H16</f>
        <v/>
      </c>
    </row>
    <row r="17">
      <c r="A17" s="6" t="n">
        <v>45931</v>
      </c>
      <c r="B17" t="inlineStr">
        <is>
          <t>Serge Tshibangu</t>
        </is>
      </c>
      <c r="C17" t="inlineStr">
        <is>
          <t>GROSSISTE COCODY 40</t>
        </is>
      </c>
      <c r="D17" t="inlineStr">
        <is>
          <t>REF-0173</t>
        </is>
      </c>
      <c r="E17" t="inlineStr">
        <is>
          <t>Savons</t>
        </is>
      </c>
      <c r="F17" t="n">
        <v>10</v>
      </c>
      <c r="G17" t="n">
        <v>189.36</v>
      </c>
      <c r="H17" t="n">
        <v>125.74</v>
      </c>
      <c r="I17" s="4">
        <f>(G17-H17)/H17</f>
        <v/>
      </c>
    </row>
    <row r="18">
      <c r="A18" s="6" t="n">
        <v>45931</v>
      </c>
      <c r="B18" t="inlineStr">
        <is>
          <t>Serge Tshibangu</t>
        </is>
      </c>
      <c r="C18" t="inlineStr">
        <is>
          <t>GROSSISTE COCODY 40</t>
        </is>
      </c>
      <c r="D18" t="inlineStr">
        <is>
          <t>REF-0284</t>
        </is>
      </c>
      <c r="E18" t="inlineStr">
        <is>
          <t>Farine</t>
        </is>
      </c>
      <c r="F18" t="n">
        <v>25</v>
      </c>
      <c r="G18" t="n">
        <v>660.7</v>
      </c>
      <c r="H18" t="n">
        <v>471.52</v>
      </c>
      <c r="I18" s="4">
        <f>(G18-H18)/H18</f>
        <v/>
      </c>
    </row>
    <row r="19">
      <c r="A19" s="6" t="n">
        <v>45931</v>
      </c>
      <c r="B19" t="inlineStr">
        <is>
          <t>Sylvie Nguema</t>
        </is>
      </c>
      <c r="C19" t="inlineStr">
        <is>
          <t>HOTEL MEDINA 33</t>
        </is>
      </c>
      <c r="D19" t="inlineStr">
        <is>
          <t>REF-0846</t>
        </is>
      </c>
      <c r="E19" t="inlineStr">
        <is>
          <t>Huiles</t>
        </is>
      </c>
      <c r="F19" t="n">
        <v>14</v>
      </c>
      <c r="G19" t="n">
        <v>268.71</v>
      </c>
      <c r="H19" t="n">
        <v>197.4</v>
      </c>
      <c r="I19" s="4">
        <f>(G19-H19)/H19</f>
        <v/>
      </c>
    </row>
    <row r="20">
      <c r="A20" s="6" t="n">
        <v>45931</v>
      </c>
      <c r="B20" t="inlineStr">
        <is>
          <t>Sylvie Nguema</t>
        </is>
      </c>
      <c r="C20" t="inlineStr">
        <is>
          <t>HOTEL MEDINA 33</t>
        </is>
      </c>
      <c r="D20" t="inlineStr">
        <is>
          <t>REF-0006</t>
        </is>
      </c>
      <c r="E20" t="inlineStr">
        <is>
          <t>Savons</t>
        </is>
      </c>
      <c r="F20" t="n">
        <v>13</v>
      </c>
      <c r="G20" t="n">
        <v>235.94</v>
      </c>
      <c r="H20" t="n">
        <v>160.32</v>
      </c>
      <c r="I20" s="4">
        <f>(G20-H20)/H20</f>
        <v/>
      </c>
    </row>
    <row r="21">
      <c r="A21" s="6" t="n">
        <v>45931</v>
      </c>
      <c r="B21" t="inlineStr">
        <is>
          <t>Thomas Obiang</t>
        </is>
      </c>
      <c r="C21" t="inlineStr">
        <is>
          <t>SUPERMARCHE NDJILI 01</t>
        </is>
      </c>
      <c r="D21" t="inlineStr">
        <is>
          <t>REF-0317</t>
        </is>
      </c>
      <c r="E21" t="inlineStr">
        <is>
          <t>Savons</t>
        </is>
      </c>
      <c r="F21" t="n">
        <v>8</v>
      </c>
      <c r="G21" t="n">
        <v>141.45</v>
      </c>
      <c r="H21" t="n">
        <v>92.78</v>
      </c>
      <c r="I21" s="4">
        <f>(G21-H21)/H21</f>
        <v/>
      </c>
    </row>
    <row r="22">
      <c r="A22" s="6" t="n">
        <v>45931</v>
      </c>
      <c r="B22" t="inlineStr">
        <is>
          <t>Grace Kasongo</t>
        </is>
      </c>
      <c r="C22" t="inlineStr">
        <is>
          <t>HOTEL KINTAMBO 24</t>
        </is>
      </c>
      <c r="D22" t="inlineStr">
        <is>
          <t>REF-0975</t>
        </is>
      </c>
      <c r="E22" t="inlineStr">
        <is>
          <t>Conserves</t>
        </is>
      </c>
      <c r="F22" t="n">
        <v>4</v>
      </c>
      <c r="G22" t="n">
        <v>67.88</v>
      </c>
      <c r="H22" t="n">
        <v>51.04</v>
      </c>
      <c r="I22" s="4">
        <f>(G22-H22)/H22</f>
        <v/>
      </c>
    </row>
    <row r="23">
      <c r="A23" s="6" t="n">
        <v>45932</v>
      </c>
      <c r="B23" t="inlineStr">
        <is>
          <t>Patrick Ilunga</t>
        </is>
      </c>
      <c r="C23" t="inlineStr">
        <is>
          <t>EPICERIE SELEMBAO 21</t>
        </is>
      </c>
      <c r="D23" t="inlineStr">
        <is>
          <t>REF-0232</t>
        </is>
      </c>
      <c r="E23" t="inlineStr">
        <is>
          <t>Conserves</t>
        </is>
      </c>
      <c r="F23" t="n">
        <v>13</v>
      </c>
      <c r="G23" t="n">
        <v>146.87</v>
      </c>
      <c r="H23" t="n">
        <v>115.77</v>
      </c>
      <c r="I23" s="4">
        <f>(G23-H23)/H23</f>
        <v/>
      </c>
    </row>
    <row r="24">
      <c r="A24" s="6" t="n">
        <v>45932</v>
      </c>
      <c r="B24" t="inlineStr">
        <is>
          <t>Patrick Ilunga</t>
        </is>
      </c>
      <c r="C24" t="inlineStr">
        <is>
          <t>EPICERIE SELEMBAO 21</t>
        </is>
      </c>
      <c r="D24" t="inlineStr">
        <is>
          <t>REF-0149</t>
        </is>
      </c>
      <c r="E24" t="inlineStr">
        <is>
          <t>Conserves</t>
        </is>
      </c>
      <c r="F24" t="n">
        <v>7</v>
      </c>
      <c r="G24" t="n">
        <v>182.3</v>
      </c>
      <c r="H24" t="n">
        <v>128.11</v>
      </c>
      <c r="I24" s="4">
        <f>(G24-H24)/H24</f>
        <v/>
      </c>
    </row>
    <row r="25">
      <c r="A25" s="6" t="n">
        <v>45932</v>
      </c>
      <c r="B25" t="inlineStr">
        <is>
          <t>Thomas Obiang</t>
        </is>
      </c>
      <c r="C25" t="inlineStr">
        <is>
          <t>ALIMENTATION NGALULA 36</t>
        </is>
      </c>
      <c r="D25" t="inlineStr">
        <is>
          <t>REF-0316</t>
        </is>
      </c>
      <c r="E25" t="inlineStr">
        <is>
          <t>Savons</t>
        </is>
      </c>
      <c r="F25" t="n">
        <v>39</v>
      </c>
      <c r="G25" t="n">
        <v>368.28</v>
      </c>
      <c r="H25" t="n">
        <v>291.56</v>
      </c>
      <c r="I25" s="4">
        <f>(G25-H25)/H25</f>
        <v/>
      </c>
    </row>
    <row r="26">
      <c r="A26" s="6" t="n">
        <v>45932</v>
      </c>
      <c r="B26" t="inlineStr">
        <is>
          <t>Thomas Obiang</t>
        </is>
      </c>
      <c r="C26" t="inlineStr">
        <is>
          <t>ALIMENTATION NGALULA 36</t>
        </is>
      </c>
      <c r="D26" t="inlineStr">
        <is>
          <t>REF-0218</t>
        </is>
      </c>
      <c r="E26" t="inlineStr">
        <is>
          <t>Boissons</t>
        </is>
      </c>
      <c r="F26" t="n">
        <v>7</v>
      </c>
      <c r="G26" t="n">
        <v>150.83</v>
      </c>
      <c r="H26" t="n">
        <v>132.02</v>
      </c>
      <c r="I26" s="4">
        <f>(G26-H26)/H26</f>
        <v/>
      </c>
    </row>
    <row r="27">
      <c r="A27" s="6" t="n">
        <v>45932</v>
      </c>
      <c r="B27" t="inlineStr">
        <is>
          <t>Thomas Obiang</t>
        </is>
      </c>
      <c r="C27" t="inlineStr">
        <is>
          <t>ALIMENTATION NGALULA 36</t>
        </is>
      </c>
      <c r="D27" t="inlineStr">
        <is>
          <t>REF-0262</t>
        </is>
      </c>
      <c r="E27" t="inlineStr">
        <is>
          <t>Conserves</t>
        </is>
      </c>
      <c r="F27" t="n">
        <v>24</v>
      </c>
      <c r="G27" t="n">
        <v>338.34</v>
      </c>
      <c r="H27" t="n">
        <v>214.62</v>
      </c>
      <c r="I27" s="4">
        <f>(G27-H27)/H27</f>
        <v/>
      </c>
    </row>
    <row r="28">
      <c r="A28" s="6" t="n">
        <v>45932</v>
      </c>
      <c r="B28" t="inlineStr">
        <is>
          <t>Thomas Obiang</t>
        </is>
      </c>
      <c r="C28" t="inlineStr">
        <is>
          <t>ALIMENTATION NGALULA 36</t>
        </is>
      </c>
      <c r="D28" t="inlineStr">
        <is>
          <t>REF-0689</t>
        </is>
      </c>
      <c r="E28" t="inlineStr">
        <is>
          <t>Savons</t>
        </is>
      </c>
      <c r="F28" t="n">
        <v>8</v>
      </c>
      <c r="G28" t="n">
        <v>128.78</v>
      </c>
      <c r="H28" t="n">
        <v>89.16</v>
      </c>
      <c r="I28" s="4">
        <f>(G28-H28)/H28</f>
        <v/>
      </c>
    </row>
    <row r="29">
      <c r="A29" s="6" t="n">
        <v>45932</v>
      </c>
      <c r="B29" t="inlineStr">
        <is>
          <t>Patrick Ilunga</t>
        </is>
      </c>
      <c r="C29" t="inlineStr">
        <is>
          <t>BOULANGERIE PIKINE 13</t>
        </is>
      </c>
      <c r="D29" t="inlineStr">
        <is>
          <t>REF-0194</t>
        </is>
      </c>
      <c r="E29" t="inlineStr">
        <is>
          <t>Boissons</t>
        </is>
      </c>
      <c r="F29" t="n">
        <v>21</v>
      </c>
      <c r="G29" t="n">
        <v>207.44</v>
      </c>
      <c r="H29" t="n">
        <v>133.49</v>
      </c>
      <c r="I29" s="4">
        <f>(G29-H29)/H29</f>
        <v/>
      </c>
    </row>
    <row r="30">
      <c r="A30" s="6" t="n">
        <v>45932</v>
      </c>
      <c r="B30" t="inlineStr">
        <is>
          <t>Patrick Ilunga</t>
        </is>
      </c>
      <c r="C30" t="inlineStr">
        <is>
          <t>BOULANGERIE PIKINE 13</t>
        </is>
      </c>
      <c r="D30" t="inlineStr">
        <is>
          <t>REF-0916</t>
        </is>
      </c>
      <c r="E30" t="inlineStr">
        <is>
          <t>Huiles</t>
        </is>
      </c>
      <c r="F30" t="n">
        <v>18</v>
      </c>
      <c r="G30" t="n">
        <v>448.01</v>
      </c>
      <c r="H30" t="n">
        <v>356.66</v>
      </c>
      <c r="I30" s="4">
        <f>(G30-H30)/H30</f>
        <v/>
      </c>
    </row>
    <row r="31">
      <c r="A31" s="6" t="n">
        <v>45932</v>
      </c>
      <c r="B31" t="inlineStr">
        <is>
          <t>Patrick Ilunga</t>
        </is>
      </c>
      <c r="C31" t="inlineStr">
        <is>
          <t>BOULANGERIE PIKINE 13</t>
        </is>
      </c>
      <c r="D31" t="inlineStr">
        <is>
          <t>REF-0544</t>
        </is>
      </c>
      <c r="E31" t="inlineStr">
        <is>
          <t>Savons</t>
        </is>
      </c>
      <c r="F31" t="n">
        <v>7</v>
      </c>
      <c r="G31" t="n">
        <v>50.94</v>
      </c>
      <c r="H31" t="n">
        <v>37.05</v>
      </c>
      <c r="I31" s="4">
        <f>(G31-H31)/H31</f>
        <v/>
      </c>
    </row>
    <row r="32">
      <c r="A32" s="6" t="n">
        <v>45932</v>
      </c>
      <c r="B32" t="inlineStr">
        <is>
          <t>Thomas Obiang</t>
        </is>
      </c>
      <c r="C32" t="inlineStr">
        <is>
          <t>SUPERMARCHE GOMBE 05</t>
        </is>
      </c>
      <c r="D32" t="inlineStr">
        <is>
          <t>REF-0373</t>
        </is>
      </c>
      <c r="E32" t="inlineStr">
        <is>
          <t>Savons</t>
        </is>
      </c>
      <c r="F32" t="n">
        <v>14</v>
      </c>
      <c r="G32" t="n">
        <v>121.05</v>
      </c>
      <c r="H32" t="n">
        <v>88.88</v>
      </c>
      <c r="I32" s="4">
        <f>(G32-H32)/H32</f>
        <v/>
      </c>
    </row>
    <row r="33">
      <c r="A33" s="6" t="n">
        <v>45932</v>
      </c>
      <c r="B33" t="inlineStr">
        <is>
          <t>Grace Kasongo</t>
        </is>
      </c>
      <c r="C33" t="inlineStr">
        <is>
          <t>ALIMENTATION COCODY 31</t>
        </is>
      </c>
      <c r="D33" t="inlineStr">
        <is>
          <t>REF-0636</t>
        </is>
      </c>
      <c r="E33" t="inlineStr">
        <is>
          <t>Savons</t>
        </is>
      </c>
      <c r="F33" t="n">
        <v>7</v>
      </c>
      <c r="G33" t="n">
        <v>137.63</v>
      </c>
      <c r="H33" t="n">
        <v>94.17</v>
      </c>
      <c r="I33" s="4">
        <f>(G33-H33)/H33</f>
        <v/>
      </c>
    </row>
    <row r="34">
      <c r="A34" s="6" t="n">
        <v>45932</v>
      </c>
      <c r="B34" t="inlineStr">
        <is>
          <t>Thomas Obiang</t>
        </is>
      </c>
      <c r="C34" t="inlineStr">
        <is>
          <t>CANTINE VICTOIRE 38</t>
        </is>
      </c>
      <c r="D34" t="inlineStr">
        <is>
          <t>REF-0150</t>
        </is>
      </c>
      <c r="E34" t="inlineStr">
        <is>
          <t>Farine</t>
        </is>
      </c>
      <c r="F34" t="n">
        <v>6</v>
      </c>
      <c r="G34" t="n">
        <v>276.1</v>
      </c>
      <c r="H34" t="n">
        <v>226.96</v>
      </c>
      <c r="I34" s="4">
        <f>(G34-H34)/H34</f>
        <v/>
      </c>
    </row>
    <row r="35">
      <c r="A35" s="6" t="n">
        <v>45932</v>
      </c>
      <c r="B35" t="inlineStr">
        <is>
          <t>Thomas Obiang</t>
        </is>
      </c>
      <c r="C35" t="inlineStr">
        <is>
          <t>CANTINE VICTOIRE 38</t>
        </is>
      </c>
      <c r="D35" t="inlineStr">
        <is>
          <t>REF-0656</t>
        </is>
      </c>
      <c r="E35" t="inlineStr">
        <is>
          <t>Conserves</t>
        </is>
      </c>
      <c r="F35" t="n">
        <v>7</v>
      </c>
      <c r="G35" t="n">
        <v>227.06</v>
      </c>
      <c r="H35" t="n">
        <v>185.58</v>
      </c>
      <c r="I35" s="4">
        <f>(G35-H35)/H35</f>
        <v/>
      </c>
    </row>
    <row r="36">
      <c r="A36" s="6" t="n">
        <v>45932</v>
      </c>
      <c r="B36" t="inlineStr">
        <is>
          <t>Thomas Obiang</t>
        </is>
      </c>
      <c r="C36" t="inlineStr">
        <is>
          <t>CANTINE VICTOIRE 38</t>
        </is>
      </c>
      <c r="D36" t="inlineStr">
        <is>
          <t>REF-0869</t>
        </is>
      </c>
      <c r="E36" t="inlineStr">
        <is>
          <t>Conserves</t>
        </is>
      </c>
      <c r="F36" t="n">
        <v>10</v>
      </c>
      <c r="G36" t="n">
        <v>164.66</v>
      </c>
      <c r="H36" t="n">
        <v>121.24</v>
      </c>
      <c r="I36" s="4">
        <f>(G36-H36)/H36</f>
        <v/>
      </c>
    </row>
    <row r="37">
      <c r="A37" s="6" t="n">
        <v>45932</v>
      </c>
      <c r="B37" t="inlineStr">
        <is>
          <t>Nadège Kalala</t>
        </is>
      </c>
      <c r="C37" t="inlineStr">
        <is>
          <t>RESTAURANT MONT-NGAFULA 22</t>
        </is>
      </c>
      <c r="D37" t="inlineStr">
        <is>
          <t>REF-0519</t>
        </is>
      </c>
      <c r="E37" t="inlineStr">
        <is>
          <t>Savons</t>
        </is>
      </c>
      <c r="F37" t="n">
        <v>18</v>
      </c>
      <c r="G37" t="n">
        <v>297.59</v>
      </c>
      <c r="H37" t="n">
        <v>0</v>
      </c>
      <c r="I37" s="4">
        <f>(G37-H37)/H37</f>
        <v/>
      </c>
    </row>
    <row r="38">
      <c r="A38" s="6" t="n">
        <v>45932</v>
      </c>
      <c r="B38" t="inlineStr">
        <is>
          <t>Nadège Kalala</t>
        </is>
      </c>
      <c r="C38" t="inlineStr">
        <is>
          <t>RESTAURANT MONT-NGAFULA 22</t>
        </is>
      </c>
      <c r="D38" t="inlineStr">
        <is>
          <t>REF-0421</t>
        </is>
      </c>
      <c r="E38" t="inlineStr">
        <is>
          <t>Boissons</t>
        </is>
      </c>
      <c r="F38" t="n">
        <v>25</v>
      </c>
      <c r="G38" t="n">
        <v>507.26</v>
      </c>
      <c r="H38" t="n">
        <v>423.3</v>
      </c>
      <c r="I38" s="4">
        <f>(G38-H38)/H38</f>
        <v/>
      </c>
    </row>
    <row r="39">
      <c r="A39" s="6" t="n">
        <v>45932</v>
      </c>
      <c r="B39" t="inlineStr">
        <is>
          <t>Nadège Kalala</t>
        </is>
      </c>
      <c r="C39" t="inlineStr">
        <is>
          <t>RESTAURANT MONT-NGAFULA 22</t>
        </is>
      </c>
      <c r="D39" t="inlineStr">
        <is>
          <t>REF-0783</t>
        </is>
      </c>
      <c r="E39" t="inlineStr">
        <is>
          <t>Huiles</t>
        </is>
      </c>
      <c r="F39" t="n">
        <v>18</v>
      </c>
      <c r="G39" t="n">
        <v>576.74</v>
      </c>
      <c r="H39" t="n">
        <v>392.24</v>
      </c>
      <c r="I39" s="4">
        <f>(G39-H39)/H39</f>
        <v/>
      </c>
    </row>
    <row r="40">
      <c r="A40" s="6" t="n">
        <v>45932</v>
      </c>
      <c r="B40" t="inlineStr">
        <is>
          <t>Nadège Kalala</t>
        </is>
      </c>
      <c r="C40" t="inlineStr">
        <is>
          <t>RESTAURANT MONT-NGAFULA 22</t>
        </is>
      </c>
      <c r="D40" t="inlineStr">
        <is>
          <t>REF-0477</t>
        </is>
      </c>
      <c r="E40" t="inlineStr">
        <is>
          <t>Riz</t>
        </is>
      </c>
      <c r="F40" t="n">
        <v>20</v>
      </c>
      <c r="G40" t="n">
        <v>1440.26</v>
      </c>
      <c r="H40" t="n">
        <v>1021.86</v>
      </c>
      <c r="I40" s="4">
        <f>(G40-H40)/H40</f>
        <v/>
      </c>
    </row>
    <row r="41">
      <c r="A41" s="6" t="n">
        <v>45932</v>
      </c>
      <c r="B41" t="inlineStr">
        <is>
          <t>Nadège Kalala</t>
        </is>
      </c>
      <c r="C41" t="inlineStr">
        <is>
          <t>RESTAURANT MONT-NGAFULA 22</t>
        </is>
      </c>
      <c r="D41" t="inlineStr">
        <is>
          <t>REF-0453</t>
        </is>
      </c>
      <c r="E41" t="inlineStr">
        <is>
          <t>Huiles</t>
        </is>
      </c>
      <c r="F41" t="n">
        <v>35</v>
      </c>
      <c r="G41" t="n">
        <v>1183.13</v>
      </c>
      <c r="H41" t="n">
        <v>1028.16</v>
      </c>
      <c r="I41" s="4">
        <f>(G41-H41)/H41</f>
        <v/>
      </c>
    </row>
    <row r="42">
      <c r="A42" s="6" t="n">
        <v>45932</v>
      </c>
      <c r="B42" t="inlineStr">
        <is>
          <t>Nadège Kalala</t>
        </is>
      </c>
      <c r="C42" t="inlineStr">
        <is>
          <t>GROSSISTE MEDINA 26</t>
        </is>
      </c>
      <c r="D42" t="inlineStr">
        <is>
          <t>REF-0599</t>
        </is>
      </c>
      <c r="E42" t="inlineStr">
        <is>
          <t>Huiles</t>
        </is>
      </c>
      <c r="F42" t="n">
        <v>8</v>
      </c>
      <c r="G42" t="n">
        <v>194.68</v>
      </c>
      <c r="H42" t="n">
        <v>132.25</v>
      </c>
      <c r="I42" s="4">
        <f>(G42-H42)/H42</f>
        <v/>
      </c>
    </row>
    <row r="43">
      <c r="A43" s="6" t="n">
        <v>45932</v>
      </c>
      <c r="B43" t="inlineStr">
        <is>
          <t>Nadège Kalala</t>
        </is>
      </c>
      <c r="C43" t="inlineStr">
        <is>
          <t>GROSSISTE MEDINA 26</t>
        </is>
      </c>
      <c r="D43" t="inlineStr">
        <is>
          <t>REF-0418</t>
        </is>
      </c>
      <c r="E43" t="inlineStr">
        <is>
          <t>Savons</t>
        </is>
      </c>
      <c r="F43" t="n">
        <v>11</v>
      </c>
      <c r="G43" t="n">
        <v>201.33</v>
      </c>
      <c r="H43" t="n">
        <v>132.36</v>
      </c>
      <c r="I43" s="4">
        <f>(G43-H43)/H43</f>
        <v/>
      </c>
    </row>
    <row r="44">
      <c r="A44" s="6" t="n">
        <v>45932</v>
      </c>
      <c r="B44" t="inlineStr">
        <is>
          <t>Nadège Kalala</t>
        </is>
      </c>
      <c r="C44" t="inlineStr">
        <is>
          <t>GROSSISTE MEDINA 26</t>
        </is>
      </c>
      <c r="D44" t="inlineStr">
        <is>
          <t>REF-0826</t>
        </is>
      </c>
      <c r="E44" t="inlineStr">
        <is>
          <t>Huiles</t>
        </is>
      </c>
      <c r="F44" t="n">
        <v>18</v>
      </c>
      <c r="G44" t="n">
        <v>290.2</v>
      </c>
      <c r="H44" t="n">
        <v>182.35</v>
      </c>
      <c r="I44" s="4">
        <f>(G44-H44)/H44</f>
        <v/>
      </c>
    </row>
    <row r="45">
      <c r="A45" s="6" t="n">
        <v>45932</v>
      </c>
      <c r="B45" t="inlineStr">
        <is>
          <t>Nadège Kalala</t>
        </is>
      </c>
      <c r="C45" t="inlineStr">
        <is>
          <t>GROSSISTE MEDINA 26</t>
        </is>
      </c>
      <c r="D45" t="inlineStr">
        <is>
          <t>REF-0701</t>
        </is>
      </c>
      <c r="E45" t="inlineStr">
        <is>
          <t>Boissons</t>
        </is>
      </c>
      <c r="F45" t="n">
        <v>10</v>
      </c>
      <c r="G45" t="n">
        <v>85.59999999999999</v>
      </c>
      <c r="H45" t="n">
        <v>68.04000000000001</v>
      </c>
      <c r="I45" s="4">
        <f>(G45-H45)/H45</f>
        <v/>
      </c>
    </row>
    <row r="46">
      <c r="A46" s="6" t="n">
        <v>45932</v>
      </c>
      <c r="B46" t="inlineStr">
        <is>
          <t>Nadège Kalala</t>
        </is>
      </c>
      <c r="C46" t="inlineStr">
        <is>
          <t>GROSSISTE MEDINA 26</t>
        </is>
      </c>
      <c r="D46" t="inlineStr">
        <is>
          <t>REF-0525</t>
        </is>
      </c>
      <c r="E46" t="inlineStr">
        <is>
          <t>Savons</t>
        </is>
      </c>
      <c r="F46" t="n">
        <v>8</v>
      </c>
      <c r="G46" t="n">
        <v>88.25</v>
      </c>
      <c r="H46" t="n">
        <v>73.55</v>
      </c>
      <c r="I46" s="4">
        <f>(G46-H46)/H46</f>
        <v/>
      </c>
    </row>
    <row r="47">
      <c r="A47" s="6" t="n">
        <v>45932</v>
      </c>
      <c r="B47" t="inlineStr">
        <is>
          <t>Grace Kasongo</t>
        </is>
      </c>
      <c r="C47" t="inlineStr">
        <is>
          <t>HOTEL TREICHVILLE 27</t>
        </is>
      </c>
      <c r="D47" t="inlineStr">
        <is>
          <t>REF-0007</t>
        </is>
      </c>
      <c r="E47" t="inlineStr">
        <is>
          <t>Riz</t>
        </is>
      </c>
      <c r="F47" t="n">
        <v>89</v>
      </c>
      <c r="G47" t="n">
        <v>5473.15</v>
      </c>
      <c r="H47" t="n">
        <v>3466.96</v>
      </c>
      <c r="I47" s="4">
        <f>(G47-H47)/H47</f>
        <v/>
      </c>
    </row>
    <row r="48">
      <c r="A48" s="6" t="n">
        <v>45932</v>
      </c>
      <c r="B48" t="inlineStr">
        <is>
          <t>Grace Kasongo</t>
        </is>
      </c>
      <c r="C48" t="inlineStr">
        <is>
          <t>HOTEL TREICHVILLE 27</t>
        </is>
      </c>
      <c r="D48" t="inlineStr">
        <is>
          <t>REF-0830</t>
        </is>
      </c>
      <c r="E48" t="inlineStr">
        <is>
          <t>Farine</t>
        </is>
      </c>
      <c r="F48" t="n">
        <v>20</v>
      </c>
      <c r="G48" t="n">
        <v>571.26</v>
      </c>
      <c r="H48" t="n">
        <v>425.21</v>
      </c>
      <c r="I48" s="4">
        <f>(G48-H48)/H48</f>
        <v/>
      </c>
    </row>
    <row r="49">
      <c r="A49" s="6" t="n">
        <v>45932</v>
      </c>
      <c r="B49" t="inlineStr">
        <is>
          <t>Grace Kasongo</t>
        </is>
      </c>
      <c r="C49" t="inlineStr">
        <is>
          <t>HOTEL TREICHVILLE 27</t>
        </is>
      </c>
      <c r="D49" t="inlineStr">
        <is>
          <t>REF-0892</t>
        </is>
      </c>
      <c r="E49" t="inlineStr">
        <is>
          <t>Boissons</t>
        </is>
      </c>
      <c r="F49" t="n">
        <v>6</v>
      </c>
      <c r="G49" t="n">
        <v>129.41</v>
      </c>
      <c r="H49" t="n">
        <v>93.56999999999999</v>
      </c>
      <c r="I49" s="4">
        <f>(G49-H49)/H49</f>
        <v/>
      </c>
    </row>
    <row r="50">
      <c r="A50" s="6" t="n">
        <v>45932</v>
      </c>
      <c r="B50" t="inlineStr">
        <is>
          <t>Grace Kasongo</t>
        </is>
      </c>
      <c r="C50" t="inlineStr">
        <is>
          <t>HOTEL TREICHVILLE 27</t>
        </is>
      </c>
      <c r="D50" t="inlineStr">
        <is>
          <t>REF-0031</t>
        </is>
      </c>
      <c r="E50" t="inlineStr">
        <is>
          <t>Huiles</t>
        </is>
      </c>
      <c r="F50" t="n">
        <v>10</v>
      </c>
      <c r="G50" t="n">
        <v>389.26</v>
      </c>
      <c r="H50" t="n">
        <v>274.52</v>
      </c>
      <c r="I50" s="4">
        <f>(G50-H50)/H50</f>
        <v/>
      </c>
    </row>
    <row r="51">
      <c r="A51" s="6" t="n">
        <v>45932</v>
      </c>
      <c r="B51" t="inlineStr">
        <is>
          <t>Grace Kasongo</t>
        </is>
      </c>
      <c r="C51" t="inlineStr">
        <is>
          <t>HOTEL TREICHVILLE 27</t>
        </is>
      </c>
      <c r="D51" t="inlineStr">
        <is>
          <t>REF-0138</t>
        </is>
      </c>
      <c r="E51" t="inlineStr">
        <is>
          <t>Huiles</t>
        </is>
      </c>
      <c r="F51" t="n">
        <v>47</v>
      </c>
      <c r="G51" t="n">
        <v>672.66</v>
      </c>
      <c r="H51" t="n">
        <v>458.13</v>
      </c>
      <c r="I51" s="4">
        <f>(G51-H51)/H51</f>
        <v/>
      </c>
    </row>
    <row r="52">
      <c r="A52" s="6" t="n">
        <v>45932</v>
      </c>
      <c r="B52" t="inlineStr">
        <is>
          <t>Nadège Kalala</t>
        </is>
      </c>
      <c r="C52" t="inlineStr">
        <is>
          <t>DEPOT BONABERI 04</t>
        </is>
      </c>
      <c r="D52" t="inlineStr">
        <is>
          <t>REF-0217</t>
        </is>
      </c>
      <c r="E52" t="inlineStr">
        <is>
          <t>Farine</t>
        </is>
      </c>
      <c r="F52" t="n">
        <v>17</v>
      </c>
      <c r="G52" t="n">
        <v>284.39</v>
      </c>
      <c r="H52" t="n">
        <v>204.74</v>
      </c>
      <c r="I52" s="4">
        <f>(G52-H52)/H52</f>
        <v/>
      </c>
    </row>
    <row r="53">
      <c r="A53" s="6" t="n">
        <v>45932</v>
      </c>
      <c r="B53" t="inlineStr">
        <is>
          <t>Nadège Kalala</t>
        </is>
      </c>
      <c r="C53" t="inlineStr">
        <is>
          <t>DEPOT BONABERI 04</t>
        </is>
      </c>
      <c r="D53" t="inlineStr">
        <is>
          <t>REF-0452</t>
        </is>
      </c>
      <c r="E53" t="inlineStr">
        <is>
          <t>Riz</t>
        </is>
      </c>
      <c r="F53" t="n">
        <v>11</v>
      </c>
      <c r="G53" t="n">
        <v>312.98</v>
      </c>
      <c r="H53" t="n">
        <v>205.54</v>
      </c>
      <c r="I53" s="4">
        <f>(G53-H53)/H53</f>
        <v/>
      </c>
    </row>
    <row r="54">
      <c r="A54" s="6" t="n">
        <v>45932</v>
      </c>
      <c r="B54" t="inlineStr">
        <is>
          <t>Nadège Kalala</t>
        </is>
      </c>
      <c r="C54" t="inlineStr">
        <is>
          <t>DEPOT BONABERI 04</t>
        </is>
      </c>
      <c r="D54" t="inlineStr">
        <is>
          <t>REF-0559</t>
        </is>
      </c>
      <c r="E54" t="inlineStr">
        <is>
          <t>Conserves</t>
        </is>
      </c>
      <c r="F54" t="n">
        <v>50</v>
      </c>
      <c r="G54" t="n">
        <v>1538.51</v>
      </c>
      <c r="H54" t="n">
        <v>1322.61</v>
      </c>
      <c r="I54" s="4">
        <f>(G54-H54)/H54</f>
        <v/>
      </c>
    </row>
    <row r="55">
      <c r="A55" s="6" t="n">
        <v>45932</v>
      </c>
      <c r="B55" t="inlineStr">
        <is>
          <t>Nadège Kalala</t>
        </is>
      </c>
      <c r="C55" t="inlineStr">
        <is>
          <t>DEPOT BONABERI 04</t>
        </is>
      </c>
      <c r="D55" t="inlineStr">
        <is>
          <t>REF-0501</t>
        </is>
      </c>
      <c r="E55" t="inlineStr">
        <is>
          <t>Boissons</t>
        </is>
      </c>
      <c r="F55" t="n">
        <v>24</v>
      </c>
      <c r="G55" t="n">
        <v>588.02</v>
      </c>
      <c r="H55" t="n">
        <v>395.02</v>
      </c>
      <c r="I55" s="4">
        <f>(G55-H55)/H55</f>
        <v/>
      </c>
    </row>
    <row r="56">
      <c r="A56" s="6" t="n">
        <v>45932</v>
      </c>
      <c r="B56" t="inlineStr">
        <is>
          <t>Nadège Kalala</t>
        </is>
      </c>
      <c r="C56" t="inlineStr">
        <is>
          <t>KIOSQUE BONAPRISO 01</t>
        </is>
      </c>
      <c r="D56" t="inlineStr">
        <is>
          <t>REF-0901</t>
        </is>
      </c>
      <c r="E56" t="inlineStr">
        <is>
          <t>Riz</t>
        </is>
      </c>
      <c r="F56" t="n">
        <v>8</v>
      </c>
      <c r="G56" t="n">
        <v>288.95</v>
      </c>
      <c r="H56" t="n">
        <v>219.36</v>
      </c>
      <c r="I56" s="4">
        <f>(G56-H56)/H56</f>
        <v/>
      </c>
    </row>
    <row r="57">
      <c r="A57" s="6" t="n">
        <v>45932</v>
      </c>
      <c r="B57" t="inlineStr">
        <is>
          <t>Nadège Kalala</t>
        </is>
      </c>
      <c r="C57" t="inlineStr">
        <is>
          <t>KIOSQUE BONAPRISO 01</t>
        </is>
      </c>
      <c r="D57" t="inlineStr">
        <is>
          <t>REF-0914</t>
        </is>
      </c>
      <c r="E57" t="inlineStr">
        <is>
          <t>Boissons</t>
        </is>
      </c>
      <c r="F57" t="n">
        <v>7</v>
      </c>
      <c r="G57" t="n">
        <v>89.40000000000001</v>
      </c>
      <c r="H57" t="n">
        <v>70.31999999999999</v>
      </c>
      <c r="I57" s="4">
        <f>(G57-H57)/H57</f>
        <v/>
      </c>
    </row>
    <row r="58">
      <c r="A58" s="6" t="n">
        <v>45932</v>
      </c>
      <c r="B58" t="inlineStr">
        <is>
          <t>Nadège Kalala</t>
        </is>
      </c>
      <c r="C58" t="inlineStr">
        <is>
          <t>KIOSQUE BONAPRISO 01</t>
        </is>
      </c>
      <c r="D58" t="inlineStr">
        <is>
          <t>REF-0465</t>
        </is>
      </c>
      <c r="E58" t="inlineStr">
        <is>
          <t>Savons</t>
        </is>
      </c>
      <c r="F58" t="n">
        <v>42</v>
      </c>
      <c r="G58" t="n">
        <v>400.84</v>
      </c>
      <c r="H58" t="n">
        <v>317.04</v>
      </c>
      <c r="I58" s="4">
        <f>(G58-H58)/H58</f>
        <v/>
      </c>
    </row>
    <row r="59">
      <c r="A59" s="6" t="n">
        <v>45932</v>
      </c>
      <c r="B59" t="inlineStr">
        <is>
          <t>Nadège Kalala</t>
        </is>
      </c>
      <c r="C59" t="inlineStr">
        <is>
          <t>KIOSQUE BONAPRISO 01</t>
        </is>
      </c>
      <c r="D59" t="inlineStr">
        <is>
          <t>REF-0894</t>
        </is>
      </c>
      <c r="E59" t="inlineStr">
        <is>
          <t>Savons</t>
        </is>
      </c>
      <c r="F59" t="n">
        <v>26</v>
      </c>
      <c r="G59" t="n">
        <v>388.75</v>
      </c>
      <c r="H59" t="n">
        <v>288.97</v>
      </c>
      <c r="I59" s="4">
        <f>(G59-H59)/H59</f>
        <v/>
      </c>
    </row>
    <row r="60">
      <c r="A60" s="6" t="n">
        <v>45932</v>
      </c>
      <c r="B60" t="inlineStr">
        <is>
          <t>Grace Kasongo</t>
        </is>
      </c>
      <c r="C60" t="inlineStr">
        <is>
          <t>SUPERMARCHE MEDINA 30</t>
        </is>
      </c>
      <c r="D60" t="inlineStr">
        <is>
          <t>REF-0783</t>
        </is>
      </c>
      <c r="E60" t="inlineStr">
        <is>
          <t>Huiles</t>
        </is>
      </c>
      <c r="F60" t="n">
        <v>8</v>
      </c>
      <c r="G60" t="n">
        <v>264.84</v>
      </c>
      <c r="H60" t="n">
        <v>200.22</v>
      </c>
      <c r="I60" s="4">
        <f>(G60-H60)/H60</f>
        <v/>
      </c>
    </row>
    <row r="61">
      <c r="A61" s="6" t="n">
        <v>45932</v>
      </c>
      <c r="B61" t="inlineStr">
        <is>
          <t>Grace Kasongo</t>
        </is>
      </c>
      <c r="C61" t="inlineStr">
        <is>
          <t>SUPERMARCHE MEDINA 30</t>
        </is>
      </c>
      <c r="D61" t="inlineStr">
        <is>
          <t>REF-0196</t>
        </is>
      </c>
      <c r="E61" t="inlineStr">
        <is>
          <t>Boissons</t>
        </is>
      </c>
      <c r="F61" t="n">
        <v>49</v>
      </c>
      <c r="G61" t="n">
        <v>1162.48</v>
      </c>
      <c r="H61" t="n">
        <v>1003.75</v>
      </c>
      <c r="I61" s="4">
        <f>(G61-H61)/H61</f>
        <v/>
      </c>
    </row>
    <row r="62">
      <c r="A62" s="6" t="n">
        <v>45933</v>
      </c>
      <c r="B62" t="inlineStr">
        <is>
          <t>Serge Tshibangu</t>
        </is>
      </c>
      <c r="C62" t="inlineStr">
        <is>
          <t>DEPOT AKANDA 20</t>
        </is>
      </c>
      <c r="D62" t="inlineStr">
        <is>
          <t>REF-0264</t>
        </is>
      </c>
      <c r="E62" t="inlineStr">
        <is>
          <t>Farine</t>
        </is>
      </c>
      <c r="F62" t="n">
        <v>9</v>
      </c>
      <c r="G62" t="n">
        <v>430.83</v>
      </c>
      <c r="H62" t="n">
        <v>286.55</v>
      </c>
      <c r="I62" s="4">
        <f>(G62-H62)/H62</f>
        <v/>
      </c>
    </row>
    <row r="63">
      <c r="A63" s="6" t="n">
        <v>45933</v>
      </c>
      <c r="B63" t="inlineStr">
        <is>
          <t>Serge Tshibangu</t>
        </is>
      </c>
      <c r="C63" t="inlineStr">
        <is>
          <t>DEPOT AKANDA 20</t>
        </is>
      </c>
      <c r="D63" t="inlineStr">
        <is>
          <t>REF-0836</t>
        </is>
      </c>
      <c r="E63" t="inlineStr">
        <is>
          <t>Boissons</t>
        </is>
      </c>
      <c r="F63" t="n">
        <v>16</v>
      </c>
      <c r="G63" t="n">
        <v>239.63</v>
      </c>
      <c r="H63" t="n">
        <v>161.07</v>
      </c>
      <c r="I63" s="4">
        <f>(G63-H63)/H63</f>
        <v/>
      </c>
    </row>
    <row r="64">
      <c r="A64" s="6" t="n">
        <v>45933</v>
      </c>
      <c r="B64" t="inlineStr">
        <is>
          <t>Aïcha Bakala</t>
        </is>
      </c>
      <c r="C64" t="inlineStr">
        <is>
          <t>ALIMENTATION MONT-NGAFULA 24</t>
        </is>
      </c>
      <c r="D64" t="inlineStr">
        <is>
          <t>REF-0251</t>
        </is>
      </c>
      <c r="E64" t="inlineStr">
        <is>
          <t>Savons</t>
        </is>
      </c>
      <c r="F64" t="n">
        <v>14</v>
      </c>
      <c r="G64" t="n">
        <v>234.12</v>
      </c>
      <c r="H64" t="n">
        <v>163.55</v>
      </c>
      <c r="I64" s="4">
        <f>(G64-H64)/H64</f>
        <v/>
      </c>
    </row>
    <row r="65">
      <c r="A65" s="6" t="n">
        <v>45933</v>
      </c>
      <c r="B65" t="inlineStr">
        <is>
          <t>Aïcha Bakala</t>
        </is>
      </c>
      <c r="C65" t="inlineStr">
        <is>
          <t>ALIMENTATION MONT-NGAFULA 24</t>
        </is>
      </c>
      <c r="D65" t="inlineStr">
        <is>
          <t>REF-0620</t>
        </is>
      </c>
      <c r="E65" t="inlineStr">
        <is>
          <t>Boissons</t>
        </is>
      </c>
      <c r="F65" t="n">
        <v>8</v>
      </c>
      <c r="G65" t="n">
        <v>135.67</v>
      </c>
      <c r="H65" t="n">
        <v>110.23</v>
      </c>
      <c r="I65" s="4">
        <f>(G65-H65)/H65</f>
        <v/>
      </c>
    </row>
    <row r="66">
      <c r="A66" s="6" t="n">
        <v>45933</v>
      </c>
      <c r="B66" t="inlineStr">
        <is>
          <t>Patrick Ilunga</t>
        </is>
      </c>
      <c r="C66" t="inlineStr">
        <is>
          <t>RESTAURANT COCODY 19</t>
        </is>
      </c>
      <c r="D66" t="inlineStr">
        <is>
          <t>REF-0331</t>
        </is>
      </c>
      <c r="E66" t="inlineStr">
        <is>
          <t>Riz</t>
        </is>
      </c>
      <c r="F66" t="n">
        <v>15</v>
      </c>
      <c r="G66" t="n">
        <v>374.78</v>
      </c>
      <c r="H66" t="n">
        <v>273.63</v>
      </c>
      <c r="I66" s="4">
        <f>(G66-H66)/H66</f>
        <v/>
      </c>
    </row>
    <row r="67">
      <c r="A67" s="6" t="n">
        <v>45933</v>
      </c>
      <c r="B67" t="inlineStr">
        <is>
          <t>Patrick Ilunga</t>
        </is>
      </c>
      <c r="C67" t="inlineStr">
        <is>
          <t>RESTAURANT COCODY 19</t>
        </is>
      </c>
      <c r="D67" t="inlineStr">
        <is>
          <t>REF-0561</t>
        </is>
      </c>
      <c r="E67" t="inlineStr">
        <is>
          <t>Savons</t>
        </is>
      </c>
      <c r="F67" t="n">
        <v>20</v>
      </c>
      <c r="G67" t="n">
        <v>397.33</v>
      </c>
      <c r="H67" t="n">
        <v>286.62</v>
      </c>
      <c r="I67" s="4">
        <f>(G67-H67)/H67</f>
        <v/>
      </c>
    </row>
    <row r="68">
      <c r="A68" s="6" t="n">
        <v>45933</v>
      </c>
      <c r="B68" t="inlineStr">
        <is>
          <t>Nadège Kalala</t>
        </is>
      </c>
      <c r="C68" t="inlineStr">
        <is>
          <t>BOULANGERIE BARUMBU 33</t>
        </is>
      </c>
      <c r="D68" t="inlineStr">
        <is>
          <t>REF-0372</t>
        </is>
      </c>
      <c r="E68" t="inlineStr">
        <is>
          <t>Conserves</t>
        </is>
      </c>
      <c r="F68" t="n">
        <v>18</v>
      </c>
      <c r="G68" t="n">
        <v>215.83</v>
      </c>
      <c r="H68" t="n">
        <v>138.16</v>
      </c>
      <c r="I68" s="4">
        <f>(G68-H68)/H68</f>
        <v/>
      </c>
    </row>
    <row r="69">
      <c r="A69" s="6" t="n">
        <v>45933</v>
      </c>
      <c r="B69" t="inlineStr">
        <is>
          <t>Nadège Kalala</t>
        </is>
      </c>
      <c r="C69" t="inlineStr">
        <is>
          <t>BOULANGERIE BARUMBU 33</t>
        </is>
      </c>
      <c r="D69" t="inlineStr">
        <is>
          <t>REF-0573</t>
        </is>
      </c>
      <c r="E69" t="inlineStr">
        <is>
          <t>Farine</t>
        </is>
      </c>
      <c r="F69" t="n">
        <v>20</v>
      </c>
      <c r="G69" t="n">
        <v>567.5700000000001</v>
      </c>
      <c r="H69" t="n">
        <v>370.52</v>
      </c>
      <c r="I69" s="4">
        <f>(G69-H69)/H69</f>
        <v/>
      </c>
    </row>
    <row r="70">
      <c r="A70" s="6" t="n">
        <v>45933</v>
      </c>
      <c r="B70" t="inlineStr">
        <is>
          <t>Grace Kasongo</t>
        </is>
      </c>
      <c r="C70" t="inlineStr">
        <is>
          <t>EPICERIE RUASHI 39</t>
        </is>
      </c>
      <c r="D70" t="inlineStr">
        <is>
          <t>REF-0206</t>
        </is>
      </c>
      <c r="E70" t="inlineStr">
        <is>
          <t>Savons</t>
        </is>
      </c>
      <c r="F70" t="n">
        <v>17</v>
      </c>
      <c r="G70" t="n">
        <v>155.53</v>
      </c>
      <c r="H70" t="n">
        <v>122.78</v>
      </c>
      <c r="I70" s="4">
        <f>(G70-H70)/H70</f>
        <v/>
      </c>
    </row>
    <row r="71">
      <c r="A71" s="6" t="n">
        <v>45933</v>
      </c>
      <c r="B71" t="inlineStr">
        <is>
          <t>Grace Kasongo</t>
        </is>
      </c>
      <c r="C71" t="inlineStr">
        <is>
          <t>EPICERIE RUASHI 39</t>
        </is>
      </c>
      <c r="D71" t="inlineStr">
        <is>
          <t>REF-0074</t>
        </is>
      </c>
      <c r="E71" t="inlineStr">
        <is>
          <t>Savons</t>
        </is>
      </c>
      <c r="F71" t="n">
        <v>46</v>
      </c>
      <c r="G71" t="n">
        <v>880.1900000000001</v>
      </c>
      <c r="H71" t="n">
        <v>598.1</v>
      </c>
      <c r="I71" s="4">
        <f>(G71-H71)/H71</f>
        <v/>
      </c>
    </row>
    <row r="72">
      <c r="A72" s="6" t="n">
        <v>45933</v>
      </c>
      <c r="B72" t="inlineStr">
        <is>
          <t>Grace Kasongo</t>
        </is>
      </c>
      <c r="C72" t="inlineStr">
        <is>
          <t>EPICERIE RUASHI 39</t>
        </is>
      </c>
      <c r="D72" t="inlineStr">
        <is>
          <t>REF-0160</t>
        </is>
      </c>
      <c r="E72" t="inlineStr">
        <is>
          <t>Farine</t>
        </is>
      </c>
      <c r="F72" t="n">
        <v>8</v>
      </c>
      <c r="G72" t="n">
        <v>139.35</v>
      </c>
      <c r="H72" t="n">
        <v>103.08</v>
      </c>
      <c r="I72" s="4">
        <f>(G72-H72)/H72</f>
        <v/>
      </c>
    </row>
    <row r="73">
      <c r="A73" s="6" t="n">
        <v>45933</v>
      </c>
      <c r="B73" t="inlineStr">
        <is>
          <t>Patrick Ilunga</t>
        </is>
      </c>
      <c r="C73" t="inlineStr">
        <is>
          <t>CANTINE LIMETE 07</t>
        </is>
      </c>
      <c r="D73" t="inlineStr">
        <is>
          <t>REF-0861</t>
        </is>
      </c>
      <c r="E73" t="inlineStr">
        <is>
          <t>Huiles</t>
        </is>
      </c>
      <c r="F73" t="n">
        <v>5</v>
      </c>
      <c r="G73" t="n">
        <v>181.9</v>
      </c>
      <c r="H73" t="n">
        <v>124.02</v>
      </c>
      <c r="I73" s="4">
        <f>(G73-H73)/H73</f>
        <v/>
      </c>
    </row>
    <row r="74">
      <c r="A74" s="6" t="n">
        <v>45933</v>
      </c>
      <c r="B74" t="inlineStr">
        <is>
          <t>Patrick Ilunga</t>
        </is>
      </c>
      <c r="C74" t="inlineStr">
        <is>
          <t>CANTINE LIMETE 07</t>
        </is>
      </c>
      <c r="D74" t="inlineStr">
        <is>
          <t>REF-0544</t>
        </is>
      </c>
      <c r="E74" t="inlineStr">
        <is>
          <t>Savons</t>
        </is>
      </c>
      <c r="F74" t="n">
        <v>10</v>
      </c>
      <c r="G74" t="n">
        <v>75</v>
      </c>
      <c r="H74" t="n">
        <v>52.57</v>
      </c>
      <c r="I74" s="4">
        <f>(G74-H74)/H74</f>
        <v/>
      </c>
    </row>
    <row r="75">
      <c r="A75" s="6" t="n">
        <v>45933</v>
      </c>
      <c r="B75" t="inlineStr">
        <is>
          <t>Aïcha Bakala</t>
        </is>
      </c>
      <c r="C75" t="inlineStr">
        <is>
          <t>SUPERMARCHE MATONGE 02</t>
        </is>
      </c>
      <c r="D75" t="inlineStr">
        <is>
          <t>REF-0027</t>
        </is>
      </c>
      <c r="E75" t="inlineStr">
        <is>
          <t>Boissons</t>
        </is>
      </c>
      <c r="F75" t="n">
        <v>34</v>
      </c>
      <c r="G75" t="n">
        <v>353.11</v>
      </c>
      <c r="H75" t="n">
        <v>236.5</v>
      </c>
      <c r="I75" s="4">
        <f>(G75-H75)/H75</f>
        <v/>
      </c>
    </row>
    <row r="76">
      <c r="A76" s="6" t="n">
        <v>45933</v>
      </c>
      <c r="B76" t="inlineStr">
        <is>
          <t>Patrick Ilunga</t>
        </is>
      </c>
      <c r="C76" t="inlineStr">
        <is>
          <t>ALIMENTATION YOPOUGON 10</t>
        </is>
      </c>
      <c r="D76" t="inlineStr">
        <is>
          <t>REF-0105</t>
        </is>
      </c>
      <c r="E76" t="inlineStr">
        <is>
          <t>Boissons</t>
        </is>
      </c>
      <c r="F76" t="n">
        <v>33</v>
      </c>
      <c r="G76" t="n">
        <v>702.65</v>
      </c>
      <c r="H76" t="n">
        <v>601.52</v>
      </c>
      <c r="I76" s="4">
        <f>(G76-H76)/H76</f>
        <v/>
      </c>
    </row>
    <row r="77">
      <c r="A77" s="6" t="n">
        <v>45933</v>
      </c>
      <c r="B77" t="inlineStr">
        <is>
          <t>Patrick Ilunga</t>
        </is>
      </c>
      <c r="C77" t="inlineStr">
        <is>
          <t>ALIMENTATION YOPOUGON 10</t>
        </is>
      </c>
      <c r="D77" t="inlineStr">
        <is>
          <t>REF-0387</t>
        </is>
      </c>
      <c r="E77" t="inlineStr">
        <is>
          <t>Huiles</t>
        </is>
      </c>
      <c r="F77" t="n">
        <v>19</v>
      </c>
      <c r="G77" t="n">
        <v>316.39</v>
      </c>
      <c r="H77" t="n">
        <v>247.49</v>
      </c>
      <c r="I77" s="4">
        <f>(G77-H77)/H77</f>
        <v/>
      </c>
    </row>
    <row r="78">
      <c r="A78" s="6" t="n">
        <v>45933</v>
      </c>
      <c r="B78" t="inlineStr">
        <is>
          <t>Patrick Ilunga</t>
        </is>
      </c>
      <c r="C78" t="inlineStr">
        <is>
          <t>ALIMENTATION YOPOUGON 10</t>
        </is>
      </c>
      <c r="D78" t="inlineStr">
        <is>
          <t>REF-0462</t>
        </is>
      </c>
      <c r="E78" t="inlineStr">
        <is>
          <t>Boissons</t>
        </is>
      </c>
      <c r="F78" t="n">
        <v>5</v>
      </c>
      <c r="G78" t="n">
        <v>98.19</v>
      </c>
      <c r="H78" t="n">
        <v>73.3</v>
      </c>
      <c r="I78" s="4">
        <f>(G78-H78)/H78</f>
        <v/>
      </c>
    </row>
    <row r="79">
      <c r="A79" s="6" t="n">
        <v>45933</v>
      </c>
      <c r="B79" t="inlineStr">
        <is>
          <t>Patrick Ilunga</t>
        </is>
      </c>
      <c r="C79" t="inlineStr">
        <is>
          <t>ALIMENTATION YOPOUGON 10</t>
        </is>
      </c>
      <c r="D79" t="inlineStr">
        <is>
          <t>REF-0061</t>
        </is>
      </c>
      <c r="E79" t="inlineStr">
        <is>
          <t>Farine</t>
        </is>
      </c>
      <c r="F79" t="n">
        <v>75</v>
      </c>
      <c r="G79" t="n">
        <v>3581.45</v>
      </c>
      <c r="H79" t="n">
        <v>2433.69</v>
      </c>
      <c r="I79" s="4">
        <f>(G79-H79)/H79</f>
        <v/>
      </c>
    </row>
    <row r="80">
      <c r="A80" s="6" t="n">
        <v>45933</v>
      </c>
      <c r="B80" t="inlineStr">
        <is>
          <t>Patrick Ilunga</t>
        </is>
      </c>
      <c r="C80" t="inlineStr">
        <is>
          <t>ALIMENTATION YOPOUGON 10</t>
        </is>
      </c>
      <c r="D80" t="inlineStr">
        <is>
          <t>REF-0841</t>
        </is>
      </c>
      <c r="E80" t="inlineStr">
        <is>
          <t>Huiles</t>
        </is>
      </c>
      <c r="F80" t="n">
        <v>5</v>
      </c>
      <c r="G80" t="n">
        <v>108.19</v>
      </c>
      <c r="H80" t="n">
        <v>90.61</v>
      </c>
      <c r="I80" s="4">
        <f>(G80-H80)/H80</f>
        <v/>
      </c>
    </row>
    <row r="81">
      <c r="A81" s="6" t="n">
        <v>45933</v>
      </c>
      <c r="B81" t="inlineStr">
        <is>
          <t>Aïcha Bakala</t>
        </is>
      </c>
      <c r="C81" t="inlineStr">
        <is>
          <t>BOULANGERIE MASINA 08</t>
        </is>
      </c>
      <c r="D81" t="inlineStr">
        <is>
          <t>REF-0633</t>
        </is>
      </c>
      <c r="E81" t="inlineStr">
        <is>
          <t>Riz</t>
        </is>
      </c>
      <c r="F81" t="n">
        <v>25</v>
      </c>
      <c r="G81" t="n">
        <v>1854.27</v>
      </c>
      <c r="H81" t="n">
        <v>1420.33</v>
      </c>
      <c r="I81" s="4">
        <f>(G81-H81)/H81</f>
        <v/>
      </c>
    </row>
    <row r="82">
      <c r="A82" s="6" t="n">
        <v>45933</v>
      </c>
      <c r="B82" t="inlineStr">
        <is>
          <t>Grace Kasongo</t>
        </is>
      </c>
      <c r="C82" t="inlineStr">
        <is>
          <t>CANTINE AKANDA 04</t>
        </is>
      </c>
      <c r="D82" t="inlineStr">
        <is>
          <t>REF-0572</t>
        </is>
      </c>
      <c r="E82" t="inlineStr">
        <is>
          <t>Conserves</t>
        </is>
      </c>
      <c r="F82" t="n">
        <v>17</v>
      </c>
      <c r="G82" t="n">
        <v>193.97</v>
      </c>
      <c r="H82" t="n">
        <v>127.01</v>
      </c>
      <c r="I82" s="4">
        <f>(G82-H82)/H82</f>
        <v/>
      </c>
    </row>
    <row r="83">
      <c r="A83" s="6" t="n">
        <v>45933</v>
      </c>
      <c r="B83" t="inlineStr">
        <is>
          <t>Grace Kasongo</t>
        </is>
      </c>
      <c r="C83" t="inlineStr">
        <is>
          <t>CANTINE AKANDA 04</t>
        </is>
      </c>
      <c r="D83" t="inlineStr">
        <is>
          <t>REF-0131</t>
        </is>
      </c>
      <c r="E83" t="inlineStr">
        <is>
          <t>Savons</t>
        </is>
      </c>
      <c r="F83" t="n">
        <v>9</v>
      </c>
      <c r="G83" t="n">
        <v>85.87</v>
      </c>
      <c r="H83" t="n">
        <v>57.27</v>
      </c>
      <c r="I83" s="4">
        <f>(G83-H83)/H83</f>
        <v/>
      </c>
    </row>
    <row r="84">
      <c r="A84" s="6" t="n">
        <v>45933</v>
      </c>
      <c r="B84" t="inlineStr">
        <is>
          <t>Grace Kasongo</t>
        </is>
      </c>
      <c r="C84" t="inlineStr">
        <is>
          <t>CANTINE AKANDA 04</t>
        </is>
      </c>
      <c r="D84" t="inlineStr">
        <is>
          <t>REF-0890</t>
        </is>
      </c>
      <c r="E84" t="inlineStr">
        <is>
          <t>Savons</t>
        </is>
      </c>
      <c r="F84" t="n">
        <v>24</v>
      </c>
      <c r="G84" t="n">
        <v>320.85</v>
      </c>
      <c r="H84" t="n">
        <v>278.18</v>
      </c>
      <c r="I84" s="4">
        <f>(G84-H84)/H84</f>
        <v/>
      </c>
    </row>
    <row r="85">
      <c r="A85" s="6" t="n">
        <v>45933</v>
      </c>
      <c r="B85" t="inlineStr">
        <is>
          <t>Sylvie Nguema</t>
        </is>
      </c>
      <c r="C85" t="inlineStr">
        <is>
          <t>MINI-MARCHE GOMBE 34</t>
        </is>
      </c>
      <c r="D85" t="inlineStr">
        <is>
          <t>REF-0147</t>
        </is>
      </c>
      <c r="E85" t="inlineStr">
        <is>
          <t>Farine</t>
        </is>
      </c>
      <c r="F85" t="n">
        <v>9</v>
      </c>
      <c r="G85" t="n">
        <v>208.16</v>
      </c>
      <c r="H85" t="n">
        <v>146.48</v>
      </c>
      <c r="I85" s="4">
        <f>(G85-H85)/H85</f>
        <v/>
      </c>
    </row>
    <row r="86">
      <c r="A86" s="6" t="n">
        <v>45933</v>
      </c>
      <c r="B86" t="inlineStr">
        <is>
          <t>Sylvie Nguema</t>
        </is>
      </c>
      <c r="C86" t="inlineStr">
        <is>
          <t>MINI-MARCHE GOMBE 34</t>
        </is>
      </c>
      <c r="D86" t="inlineStr">
        <is>
          <t>REF-0041</t>
        </is>
      </c>
      <c r="E86" t="inlineStr">
        <is>
          <t>Huiles</t>
        </is>
      </c>
      <c r="F86" t="n">
        <v>2</v>
      </c>
      <c r="G86" t="n">
        <v>55.59</v>
      </c>
      <c r="H86" t="n">
        <v>40.4</v>
      </c>
      <c r="I86" s="4">
        <f>(G86-H86)/H86</f>
        <v/>
      </c>
    </row>
    <row r="87">
      <c r="A87" s="6" t="n">
        <v>45933</v>
      </c>
      <c r="B87" t="inlineStr">
        <is>
          <t>Sylvie Nguema</t>
        </is>
      </c>
      <c r="C87" t="inlineStr">
        <is>
          <t>MINI-MARCHE GOMBE 34</t>
        </is>
      </c>
      <c r="D87" t="inlineStr">
        <is>
          <t>REF-0178</t>
        </is>
      </c>
      <c r="E87" t="inlineStr">
        <is>
          <t>Huiles</t>
        </is>
      </c>
      <c r="F87" t="n">
        <v>5</v>
      </c>
      <c r="G87" t="n">
        <v>192.63</v>
      </c>
      <c r="H87" t="n">
        <v>124.26</v>
      </c>
      <c r="I87" s="4">
        <f>(G87-H87)/H87</f>
        <v/>
      </c>
    </row>
    <row r="88">
      <c r="A88" s="6" t="n">
        <v>45933</v>
      </c>
      <c r="B88" t="inlineStr">
        <is>
          <t>Serge Tshibangu</t>
        </is>
      </c>
      <c r="C88" t="inlineStr">
        <is>
          <t>GROSSISTE YOPOUGON 17</t>
        </is>
      </c>
      <c r="D88" t="inlineStr">
        <is>
          <t>REF-0598</t>
        </is>
      </c>
      <c r="E88" t="inlineStr">
        <is>
          <t>Savons</t>
        </is>
      </c>
      <c r="F88" t="n">
        <v>12</v>
      </c>
      <c r="G88" t="n">
        <v>112.29</v>
      </c>
      <c r="H88" t="n">
        <v>95.12</v>
      </c>
      <c r="I88" s="4">
        <f>(G88-H88)/H88</f>
        <v/>
      </c>
    </row>
    <row r="89">
      <c r="A89" s="6" t="n">
        <v>45933</v>
      </c>
      <c r="B89" t="inlineStr">
        <is>
          <t>Serge Tshibangu</t>
        </is>
      </c>
      <c r="C89" t="inlineStr">
        <is>
          <t>GROSSISTE YOPOUGON 17</t>
        </is>
      </c>
      <c r="D89" t="inlineStr">
        <is>
          <t>REF-0751</t>
        </is>
      </c>
      <c r="E89" t="inlineStr">
        <is>
          <t>Huiles</t>
        </is>
      </c>
      <c r="F89" t="n">
        <v>11</v>
      </c>
      <c r="G89" t="n">
        <v>130.85</v>
      </c>
      <c r="H89" t="n">
        <v>89.48</v>
      </c>
      <c r="I89" s="4">
        <f>(G89-H89)/H89</f>
        <v/>
      </c>
    </row>
    <row r="90">
      <c r="A90" s="6" t="n">
        <v>45933</v>
      </c>
      <c r="B90" t="inlineStr">
        <is>
          <t>Serge Tshibangu</t>
        </is>
      </c>
      <c r="C90" t="inlineStr">
        <is>
          <t>GROSSISTE YOPOUGON 17</t>
        </is>
      </c>
      <c r="D90" t="inlineStr">
        <is>
          <t>REF-0156</t>
        </is>
      </c>
      <c r="E90" t="inlineStr">
        <is>
          <t>Huiles</t>
        </is>
      </c>
      <c r="F90" t="n">
        <v>8</v>
      </c>
      <c r="G90" t="n">
        <v>205.11</v>
      </c>
      <c r="H90" t="n">
        <v>157.24</v>
      </c>
      <c r="I90" s="4">
        <f>(G90-H90)/H90</f>
        <v/>
      </c>
    </row>
    <row r="91">
      <c r="A91" s="6" t="n">
        <v>45934</v>
      </c>
      <c r="B91" t="inlineStr">
        <is>
          <t>Aïcha Bakala</t>
        </is>
      </c>
      <c r="C91" t="inlineStr">
        <is>
          <t>MINI-MARCHE AKANDA 29</t>
        </is>
      </c>
      <c r="D91" t="inlineStr">
        <is>
          <t>REF-0342</t>
        </is>
      </c>
      <c r="E91" t="inlineStr">
        <is>
          <t>Conserves</t>
        </is>
      </c>
      <c r="F91" t="n">
        <v>16</v>
      </c>
      <c r="G91" t="n">
        <v>180.35</v>
      </c>
      <c r="H91" t="n">
        <v>145.73</v>
      </c>
      <c r="I91" s="4">
        <f>(G91-H91)/H91</f>
        <v/>
      </c>
    </row>
    <row r="92">
      <c r="A92" s="6" t="n">
        <v>45934</v>
      </c>
      <c r="B92" t="inlineStr">
        <is>
          <t>Aïcha Bakala</t>
        </is>
      </c>
      <c r="C92" t="inlineStr">
        <is>
          <t>MINI-MARCHE AKANDA 29</t>
        </is>
      </c>
      <c r="D92" t="inlineStr">
        <is>
          <t>REF-0465</t>
        </is>
      </c>
      <c r="E92" t="inlineStr">
        <is>
          <t>Savons</t>
        </is>
      </c>
      <c r="F92" t="n">
        <v>26</v>
      </c>
      <c r="G92" t="n">
        <v>262.15</v>
      </c>
      <c r="H92" t="n">
        <v>199.2</v>
      </c>
      <c r="I92" s="4">
        <f>(G92-H92)/H92</f>
        <v/>
      </c>
    </row>
    <row r="93">
      <c r="A93" s="6" t="n">
        <v>45934</v>
      </c>
      <c r="B93" t="inlineStr">
        <is>
          <t>Aïcha Bakala</t>
        </is>
      </c>
      <c r="C93" t="inlineStr">
        <is>
          <t>MINI-MARCHE AKANDA 29</t>
        </is>
      </c>
      <c r="D93" t="inlineStr">
        <is>
          <t>REF-0714</t>
        </is>
      </c>
      <c r="E93" t="inlineStr">
        <is>
          <t>Savons</t>
        </is>
      </c>
      <c r="F93" t="n">
        <v>8</v>
      </c>
      <c r="G93" t="n">
        <v>122</v>
      </c>
      <c r="H93" t="n">
        <v>87.56</v>
      </c>
      <c r="I93" s="4">
        <f>(G93-H93)/H93</f>
        <v/>
      </c>
    </row>
    <row r="94">
      <c r="A94" s="6" t="n">
        <v>45934</v>
      </c>
      <c r="B94" t="inlineStr">
        <is>
          <t>Aïcha Bakala</t>
        </is>
      </c>
      <c r="C94" t="inlineStr">
        <is>
          <t>DEPOT BONABERI 04</t>
        </is>
      </c>
      <c r="D94" t="inlineStr">
        <is>
          <t>REF-0395</t>
        </is>
      </c>
      <c r="E94" t="inlineStr">
        <is>
          <t>Boissons</t>
        </is>
      </c>
      <c r="F94" t="n">
        <v>18</v>
      </c>
      <c r="G94" t="n">
        <v>145.85</v>
      </c>
      <c r="H94" t="n">
        <v>100.3</v>
      </c>
      <c r="I94" s="4">
        <f>(G94-H94)/H94</f>
        <v/>
      </c>
    </row>
    <row r="95">
      <c r="A95" s="6" t="n">
        <v>45934</v>
      </c>
      <c r="B95" t="inlineStr">
        <is>
          <t>Aïcha Bakala</t>
        </is>
      </c>
      <c r="C95" t="inlineStr">
        <is>
          <t>DEPOT BONABERI 04</t>
        </is>
      </c>
      <c r="D95" t="inlineStr">
        <is>
          <t>REF-0514</t>
        </is>
      </c>
      <c r="E95" t="inlineStr">
        <is>
          <t>Huiles</t>
        </is>
      </c>
      <c r="F95" t="n">
        <v>60</v>
      </c>
      <c r="G95" t="n">
        <v>1026.11</v>
      </c>
      <c r="H95" t="n">
        <v>821.25</v>
      </c>
      <c r="I95" s="4">
        <f>(G95-H95)/H95</f>
        <v/>
      </c>
    </row>
    <row r="96">
      <c r="A96" s="6" t="n">
        <v>45934</v>
      </c>
      <c r="B96" t="inlineStr">
        <is>
          <t>Aïcha Bakala</t>
        </is>
      </c>
      <c r="C96" t="inlineStr">
        <is>
          <t>DEPOT BONABERI 04</t>
        </is>
      </c>
      <c r="D96" t="inlineStr">
        <is>
          <t>REF-0255</t>
        </is>
      </c>
      <c r="E96" t="inlineStr">
        <is>
          <t>Farine</t>
        </is>
      </c>
      <c r="F96" t="n">
        <v>25</v>
      </c>
      <c r="G96" t="n">
        <v>1168.18</v>
      </c>
      <c r="H96" t="n">
        <v>802.42</v>
      </c>
      <c r="I96" s="4">
        <f>(G96-H96)/H96</f>
        <v/>
      </c>
    </row>
    <row r="97">
      <c r="A97" s="6" t="n">
        <v>45934</v>
      </c>
      <c r="B97" t="inlineStr">
        <is>
          <t>Aïcha Bakala</t>
        </is>
      </c>
      <c r="C97" t="inlineStr">
        <is>
          <t>DEPOT BONABERI 04</t>
        </is>
      </c>
      <c r="D97" t="inlineStr">
        <is>
          <t>REF-0236</t>
        </is>
      </c>
      <c r="E97" t="inlineStr">
        <is>
          <t>Huiles</t>
        </is>
      </c>
      <c r="F97" t="n">
        <v>23</v>
      </c>
      <c r="G97" t="n">
        <v>441.11</v>
      </c>
      <c r="H97" t="n">
        <v>344.16</v>
      </c>
      <c r="I97" s="4">
        <f>(G97-H97)/H97</f>
        <v/>
      </c>
    </row>
    <row r="98">
      <c r="A98" s="6" t="n">
        <v>45934</v>
      </c>
      <c r="B98" t="inlineStr">
        <is>
          <t>Nadège Kalala</t>
        </is>
      </c>
      <c r="C98" t="inlineStr">
        <is>
          <t>EPICERIE BARUMBU 28</t>
        </is>
      </c>
      <c r="D98" t="inlineStr">
        <is>
          <t>REF-0382</t>
        </is>
      </c>
      <c r="E98" t="inlineStr">
        <is>
          <t>Huiles</t>
        </is>
      </c>
      <c r="F98" t="n">
        <v>11</v>
      </c>
      <c r="G98" t="n">
        <v>202.59</v>
      </c>
      <c r="H98" t="n">
        <v>176.03</v>
      </c>
      <c r="I98" s="4">
        <f>(G98-H98)/H98</f>
        <v/>
      </c>
    </row>
    <row r="99">
      <c r="A99" s="6" t="n">
        <v>45934</v>
      </c>
      <c r="B99" t="inlineStr">
        <is>
          <t>Grace Kasongo</t>
        </is>
      </c>
      <c r="C99" t="inlineStr">
        <is>
          <t>KIOSQUE LIMETE 06</t>
        </is>
      </c>
      <c r="D99" t="inlineStr">
        <is>
          <t>REF-0596</t>
        </is>
      </c>
      <c r="E99" t="inlineStr">
        <is>
          <t>Conserves</t>
        </is>
      </c>
      <c r="F99" t="n">
        <v>21</v>
      </c>
      <c r="G99" t="n">
        <v>365.21</v>
      </c>
      <c r="H99" t="n">
        <v>314.06</v>
      </c>
      <c r="I99" s="4">
        <f>(G99-H99)/H99</f>
        <v/>
      </c>
    </row>
    <row r="100">
      <c r="A100" s="6" t="n">
        <v>45934</v>
      </c>
      <c r="B100" t="inlineStr">
        <is>
          <t>Serge Tshibangu</t>
        </is>
      </c>
      <c r="C100" t="inlineStr">
        <is>
          <t>SUPERMARCHE RUASHI 09</t>
        </is>
      </c>
      <c r="D100" t="inlineStr">
        <is>
          <t>REF-0390</t>
        </is>
      </c>
      <c r="E100" t="inlineStr">
        <is>
          <t>Riz</t>
        </is>
      </c>
      <c r="F100" t="n">
        <v>17</v>
      </c>
      <c r="G100" t="n">
        <v>678.01</v>
      </c>
      <c r="H100" t="n">
        <v>538.71</v>
      </c>
      <c r="I100" s="4">
        <f>(G100-H100)/H100</f>
        <v/>
      </c>
    </row>
    <row r="101">
      <c r="A101" s="6" t="n">
        <v>45934</v>
      </c>
      <c r="B101" t="inlineStr">
        <is>
          <t>Nadège Kalala</t>
        </is>
      </c>
      <c r="C101" t="inlineStr">
        <is>
          <t>SUPERETTE BANDAL 20</t>
        </is>
      </c>
      <c r="D101" t="inlineStr">
        <is>
          <t>REF-0849</t>
        </is>
      </c>
      <c r="E101" t="inlineStr">
        <is>
          <t>Riz</t>
        </is>
      </c>
      <c r="F101" t="n">
        <v>11</v>
      </c>
      <c r="G101" t="n">
        <v>376.44</v>
      </c>
      <c r="H101" t="n">
        <v>291.7</v>
      </c>
      <c r="I101" s="4">
        <f>(G101-H101)/H101</f>
        <v/>
      </c>
    </row>
    <row r="102">
      <c r="A102" s="6" t="n">
        <v>45934</v>
      </c>
      <c r="B102" t="inlineStr">
        <is>
          <t>Nadège Kalala</t>
        </is>
      </c>
      <c r="C102" t="inlineStr">
        <is>
          <t>SUPERETTE BANDAL 20</t>
        </is>
      </c>
      <c r="D102" t="inlineStr">
        <is>
          <t>REF-0085</t>
        </is>
      </c>
      <c r="E102" t="inlineStr">
        <is>
          <t>Savons</t>
        </is>
      </c>
      <c r="F102" t="n">
        <v>24</v>
      </c>
      <c r="G102" t="n">
        <v>355.96</v>
      </c>
      <c r="H102" t="n">
        <v>235.33</v>
      </c>
      <c r="I102" s="4">
        <f>(G102-H102)/H102</f>
        <v/>
      </c>
    </row>
    <row r="103">
      <c r="A103" s="6" t="n">
        <v>45934</v>
      </c>
      <c r="B103" t="inlineStr">
        <is>
          <t>Thomas Obiang</t>
        </is>
      </c>
      <c r="C103" t="inlineStr">
        <is>
          <t>EPICERIE BANDAL 22</t>
        </is>
      </c>
      <c r="D103" t="inlineStr">
        <is>
          <t>REF-0230</t>
        </is>
      </c>
      <c r="E103" t="inlineStr">
        <is>
          <t>Farine</t>
        </is>
      </c>
      <c r="F103" t="n">
        <v>17</v>
      </c>
      <c r="G103" t="n">
        <v>712.09</v>
      </c>
      <c r="H103" t="n">
        <v>592.05</v>
      </c>
      <c r="I103" s="4">
        <f>(G103-H103)/H103</f>
        <v/>
      </c>
    </row>
    <row r="104">
      <c r="A104" s="6" t="n">
        <v>45934</v>
      </c>
      <c r="B104" t="inlineStr">
        <is>
          <t>Sylvie Nguema</t>
        </is>
      </c>
      <c r="C104" t="inlineStr">
        <is>
          <t>SUPERETTE BARUMBU 25</t>
        </is>
      </c>
      <c r="D104" t="inlineStr">
        <is>
          <t>REF-0837</t>
        </is>
      </c>
      <c r="E104" t="inlineStr">
        <is>
          <t>Riz</t>
        </is>
      </c>
      <c r="F104" t="n">
        <v>14</v>
      </c>
      <c r="G104" t="n">
        <v>721.8</v>
      </c>
      <c r="H104" t="n">
        <v>618.3200000000001</v>
      </c>
      <c r="I104" s="4">
        <f>(G104-H104)/H104</f>
        <v/>
      </c>
    </row>
    <row r="105">
      <c r="A105" s="6" t="n">
        <v>45934</v>
      </c>
      <c r="B105" t="inlineStr">
        <is>
          <t>Sylvie Nguema</t>
        </is>
      </c>
      <c r="C105" t="inlineStr">
        <is>
          <t>SUPERETTE BARUMBU 25</t>
        </is>
      </c>
      <c r="D105" t="inlineStr">
        <is>
          <t>REF-0806</t>
        </is>
      </c>
      <c r="E105" t="inlineStr">
        <is>
          <t>Boissons</t>
        </is>
      </c>
      <c r="F105" t="n">
        <v>32</v>
      </c>
      <c r="G105" t="n">
        <v>348.26</v>
      </c>
      <c r="H105" t="n">
        <v>247.28</v>
      </c>
      <c r="I105" s="4">
        <f>(G105-H105)/H105</f>
        <v/>
      </c>
    </row>
    <row r="106">
      <c r="A106" s="6" t="n">
        <v>45934</v>
      </c>
      <c r="B106" t="inlineStr">
        <is>
          <t>Sylvie Nguema</t>
        </is>
      </c>
      <c r="C106" t="inlineStr">
        <is>
          <t>DEPOT BANDAL 29</t>
        </is>
      </c>
      <c r="D106" t="inlineStr">
        <is>
          <t>REF-0743</t>
        </is>
      </c>
      <c r="E106" t="inlineStr">
        <is>
          <t>Conserves</t>
        </is>
      </c>
      <c r="F106" t="n">
        <v>11</v>
      </c>
      <c r="G106" t="n">
        <v>207.11</v>
      </c>
      <c r="H106" t="n">
        <v>131.76</v>
      </c>
      <c r="I106" s="4">
        <f>(G106-H106)/H106</f>
        <v/>
      </c>
    </row>
    <row r="107">
      <c r="A107" s="6" t="n">
        <v>45935</v>
      </c>
      <c r="B107" t="inlineStr">
        <is>
          <t>Aïcha Bakala</t>
        </is>
      </c>
      <c r="C107" t="inlineStr">
        <is>
          <t>GROSSISTE PLATEAU 21</t>
        </is>
      </c>
      <c r="D107" t="inlineStr">
        <is>
          <t>REF-0567</t>
        </is>
      </c>
      <c r="E107" t="inlineStr">
        <is>
          <t>Boissons</t>
        </is>
      </c>
      <c r="F107" t="n">
        <v>17</v>
      </c>
      <c r="G107" t="n">
        <v>226.21</v>
      </c>
      <c r="H107" t="n">
        <v>171.55</v>
      </c>
      <c r="I107" s="4">
        <f>(G107-H107)/H107</f>
        <v/>
      </c>
    </row>
    <row r="108">
      <c r="A108" s="6" t="n">
        <v>45935</v>
      </c>
      <c r="B108" t="inlineStr">
        <is>
          <t>Aïcha Bakala</t>
        </is>
      </c>
      <c r="C108" t="inlineStr">
        <is>
          <t>GROSSISTE PLATEAU 21</t>
        </is>
      </c>
      <c r="D108" t="inlineStr">
        <is>
          <t>REF-0248</t>
        </is>
      </c>
      <c r="E108" t="inlineStr">
        <is>
          <t>Farine</t>
        </is>
      </c>
      <c r="F108" t="n">
        <v>16</v>
      </c>
      <c r="G108" t="n">
        <v>608.48</v>
      </c>
      <c r="H108" t="n">
        <v>445.54</v>
      </c>
      <c r="I108" s="4">
        <f>(G108-H108)/H108</f>
        <v/>
      </c>
    </row>
    <row r="109">
      <c r="A109" s="6" t="n">
        <v>45935</v>
      </c>
      <c r="B109" t="inlineStr">
        <is>
          <t>Aïcha Bakala</t>
        </is>
      </c>
      <c r="C109" t="inlineStr">
        <is>
          <t>GROSSISTE PLATEAU 21</t>
        </is>
      </c>
      <c r="D109" t="inlineStr">
        <is>
          <t>REF-0395</t>
        </is>
      </c>
      <c r="E109" t="inlineStr">
        <is>
          <t>Boissons</t>
        </is>
      </c>
      <c r="F109" t="n">
        <v>11</v>
      </c>
      <c r="G109" t="n">
        <v>91.31</v>
      </c>
      <c r="H109" t="n">
        <v>76.78</v>
      </c>
      <c r="I109" s="4">
        <f>(G109-H109)/H109</f>
        <v/>
      </c>
    </row>
    <row r="110">
      <c r="A110" s="6" t="n">
        <v>45935</v>
      </c>
      <c r="B110" t="inlineStr">
        <is>
          <t>Aïcha Bakala</t>
        </is>
      </c>
      <c r="C110" t="inlineStr">
        <is>
          <t>GROSSISTE PLATEAU 21</t>
        </is>
      </c>
      <c r="D110" t="inlineStr">
        <is>
          <t>REF-0839</t>
        </is>
      </c>
      <c r="E110" t="inlineStr">
        <is>
          <t>Boissons</t>
        </is>
      </c>
      <c r="F110" t="n">
        <v>8</v>
      </c>
      <c r="G110" t="n">
        <v>67.19</v>
      </c>
      <c r="H110" t="n">
        <v>54.82</v>
      </c>
      <c r="I110" s="4">
        <f>(G110-H110)/H110</f>
        <v/>
      </c>
    </row>
    <row r="111">
      <c r="A111" s="6" t="n">
        <v>45935</v>
      </c>
      <c r="B111" t="inlineStr">
        <is>
          <t>Thomas Obiang</t>
        </is>
      </c>
      <c r="C111" t="inlineStr">
        <is>
          <t>MINI-MARCHE ABOBO 11</t>
        </is>
      </c>
      <c r="D111" t="inlineStr">
        <is>
          <t>REF-0190</t>
        </is>
      </c>
      <c r="E111" t="inlineStr">
        <is>
          <t>Boissons</t>
        </is>
      </c>
      <c r="F111" t="n">
        <v>71</v>
      </c>
      <c r="G111" t="n">
        <v>738.85</v>
      </c>
      <c r="H111" t="n">
        <v>540.97</v>
      </c>
      <c r="I111" s="4">
        <f>(G111-H111)/H111</f>
        <v/>
      </c>
    </row>
    <row r="112">
      <c r="A112" s="6" t="n">
        <v>45935</v>
      </c>
      <c r="B112" t="inlineStr">
        <is>
          <t>Patrick Ilunga</t>
        </is>
      </c>
      <c r="C112" t="inlineStr">
        <is>
          <t>SUPERETTE ABOBO 33</t>
        </is>
      </c>
      <c r="D112" t="inlineStr">
        <is>
          <t>REF-0646</t>
        </is>
      </c>
      <c r="E112" t="inlineStr">
        <is>
          <t>Conserves</t>
        </is>
      </c>
      <c r="F112" t="n">
        <v>99</v>
      </c>
      <c r="G112" t="n">
        <v>1168.65</v>
      </c>
      <c r="H112" t="n">
        <v>886.2</v>
      </c>
      <c r="I112" s="4">
        <f>(G112-H112)/H112</f>
        <v/>
      </c>
    </row>
    <row r="113">
      <c r="A113" s="6" t="n">
        <v>45935</v>
      </c>
      <c r="B113" t="inlineStr">
        <is>
          <t>Nadège Kalala</t>
        </is>
      </c>
      <c r="C113" t="inlineStr">
        <is>
          <t>KIOSQUE VICTOIRE 15</t>
        </is>
      </c>
      <c r="D113" t="inlineStr">
        <is>
          <t>REF-0789</t>
        </is>
      </c>
      <c r="E113" t="inlineStr">
        <is>
          <t>Riz</t>
        </is>
      </c>
      <c r="F113" t="n">
        <v>78</v>
      </c>
      <c r="G113" t="n">
        <v>5834.24</v>
      </c>
      <c r="H113" t="n">
        <v>4345.45</v>
      </c>
      <c r="I113" s="4">
        <f>(G113-H113)/H113</f>
        <v/>
      </c>
    </row>
    <row r="114">
      <c r="A114" s="6" t="n">
        <v>45935</v>
      </c>
      <c r="B114" t="inlineStr">
        <is>
          <t>Nadège Kalala</t>
        </is>
      </c>
      <c r="C114" t="inlineStr">
        <is>
          <t>KIOSQUE VICTOIRE 15</t>
        </is>
      </c>
      <c r="D114" t="inlineStr">
        <is>
          <t>REF-0310</t>
        </is>
      </c>
      <c r="E114" t="inlineStr">
        <is>
          <t>Farine</t>
        </is>
      </c>
      <c r="F114" t="n">
        <v>9</v>
      </c>
      <c r="G114" t="n">
        <v>446.24</v>
      </c>
      <c r="H114" t="n">
        <v>353.4</v>
      </c>
      <c r="I114" s="4">
        <f>(G114-H114)/H114</f>
        <v/>
      </c>
    </row>
    <row r="115">
      <c r="A115" s="6" t="n">
        <v>45935</v>
      </c>
      <c r="B115" t="inlineStr">
        <is>
          <t>Nadège Kalala</t>
        </is>
      </c>
      <c r="C115" t="inlineStr">
        <is>
          <t>KIOSQUE VICTOIRE 15</t>
        </is>
      </c>
      <c r="D115" t="inlineStr">
        <is>
          <t>REF-0165</t>
        </is>
      </c>
      <c r="E115" t="inlineStr">
        <is>
          <t>Riz</t>
        </is>
      </c>
      <c r="F115" t="n">
        <v>10</v>
      </c>
      <c r="G115" t="n">
        <v>355.08</v>
      </c>
      <c r="H115" t="n">
        <v>279.2</v>
      </c>
      <c r="I115" s="4">
        <f>(G115-H115)/H115</f>
        <v/>
      </c>
    </row>
    <row r="116">
      <c r="A116" s="6" t="n">
        <v>45935</v>
      </c>
      <c r="B116" t="inlineStr">
        <is>
          <t>Nadège Kalala</t>
        </is>
      </c>
      <c r="C116" t="inlineStr">
        <is>
          <t>KIOSQUE VICTOIRE 15</t>
        </is>
      </c>
      <c r="D116" t="inlineStr">
        <is>
          <t>REF-0259</t>
        </is>
      </c>
      <c r="E116" t="inlineStr">
        <is>
          <t>Boissons</t>
        </is>
      </c>
      <c r="F116" t="n">
        <v>8</v>
      </c>
      <c r="G116" t="n">
        <v>77.7</v>
      </c>
      <c r="H116" t="n">
        <v>61.5</v>
      </c>
      <c r="I116" s="4">
        <f>(G116-H116)/H116</f>
        <v/>
      </c>
    </row>
    <row r="117">
      <c r="A117" s="6" t="n">
        <v>45935</v>
      </c>
      <c r="B117" t="inlineStr">
        <is>
          <t>Patrick Ilunga</t>
        </is>
      </c>
      <c r="C117" t="inlineStr">
        <is>
          <t>BOUTIQUE BINZA 07</t>
        </is>
      </c>
      <c r="D117" t="inlineStr">
        <is>
          <t>REF-0918</t>
        </is>
      </c>
      <c r="E117" t="inlineStr">
        <is>
          <t>Huiles</t>
        </is>
      </c>
      <c r="F117" t="n">
        <v>8</v>
      </c>
      <c r="G117" t="n">
        <v>307.75</v>
      </c>
      <c r="H117" t="n">
        <v>208.24</v>
      </c>
      <c r="I117" s="4">
        <f>(G117-H117)/H117</f>
        <v/>
      </c>
    </row>
    <row r="118">
      <c r="A118" s="6" t="n">
        <v>45935</v>
      </c>
      <c r="B118" t="inlineStr">
        <is>
          <t>Serge Tshibangu</t>
        </is>
      </c>
      <c r="C118" t="inlineStr">
        <is>
          <t>MAGASIN OWENDO 20</t>
        </is>
      </c>
      <c r="D118" t="inlineStr">
        <is>
          <t>REF-0041</t>
        </is>
      </c>
      <c r="E118" t="inlineStr">
        <is>
          <t>Huiles</t>
        </is>
      </c>
      <c r="F118" t="n">
        <v>25</v>
      </c>
      <c r="G118" t="n">
        <v>704.8</v>
      </c>
      <c r="H118" t="n">
        <v>584.3</v>
      </c>
      <c r="I118" s="4">
        <f>(G118-H118)/H118</f>
        <v/>
      </c>
    </row>
    <row r="119">
      <c r="A119" s="6" t="n">
        <v>45935</v>
      </c>
      <c r="B119" t="inlineStr">
        <is>
          <t>Serge Tshibangu</t>
        </is>
      </c>
      <c r="C119" t="inlineStr">
        <is>
          <t>MAGASIN OWENDO 20</t>
        </is>
      </c>
      <c r="D119" t="inlineStr">
        <is>
          <t>REF-0483</t>
        </is>
      </c>
      <c r="E119" t="inlineStr">
        <is>
          <t>Huiles</t>
        </is>
      </c>
      <c r="F119" t="n">
        <v>16</v>
      </c>
      <c r="G119" t="n">
        <v>265.1</v>
      </c>
      <c r="H119" t="n">
        <v>168.04</v>
      </c>
      <c r="I119" s="4">
        <f>(G119-H119)/H119</f>
        <v/>
      </c>
    </row>
    <row r="120">
      <c r="A120" s="6" t="n">
        <v>45935</v>
      </c>
      <c r="B120" t="inlineStr">
        <is>
          <t>Patrick Ilunga</t>
        </is>
      </c>
      <c r="C120" t="inlineStr">
        <is>
          <t>HOTEL SANDAGA 17</t>
        </is>
      </c>
      <c r="D120" t="inlineStr">
        <is>
          <t>REF-0445</t>
        </is>
      </c>
      <c r="E120" t="inlineStr">
        <is>
          <t>Savons</t>
        </is>
      </c>
      <c r="F120" t="n">
        <v>90</v>
      </c>
      <c r="G120" t="n">
        <v>1655.79</v>
      </c>
      <c r="H120" t="n">
        <v>1139.68</v>
      </c>
      <c r="I120" s="4">
        <f>(G120-H120)/H120</f>
        <v/>
      </c>
    </row>
    <row r="121">
      <c r="A121" s="6" t="n">
        <v>45935</v>
      </c>
      <c r="B121" t="inlineStr">
        <is>
          <t>Patrick Ilunga</t>
        </is>
      </c>
      <c r="C121" t="inlineStr">
        <is>
          <t>HOTEL SANDAGA 17</t>
        </is>
      </c>
      <c r="D121" t="inlineStr">
        <is>
          <t>REF-0943</t>
        </is>
      </c>
      <c r="E121" t="inlineStr">
        <is>
          <t>Riz</t>
        </is>
      </c>
      <c r="F121" t="n">
        <v>13</v>
      </c>
      <c r="G121" t="n">
        <v>883.24</v>
      </c>
      <c r="H121" t="n">
        <v>675.26</v>
      </c>
      <c r="I121" s="4">
        <f>(G121-H121)/H121</f>
        <v/>
      </c>
    </row>
    <row r="122">
      <c r="A122" s="6" t="n">
        <v>45935</v>
      </c>
      <c r="B122" t="inlineStr">
        <is>
          <t>Patrick Ilunga</t>
        </is>
      </c>
      <c r="C122" t="inlineStr">
        <is>
          <t>HOTEL SANDAGA 17</t>
        </is>
      </c>
      <c r="D122" t="inlineStr">
        <is>
          <t>REF-0749</t>
        </is>
      </c>
      <c r="E122" t="inlineStr">
        <is>
          <t>Savons</t>
        </is>
      </c>
      <c r="F122" t="n">
        <v>20</v>
      </c>
      <c r="G122" t="n">
        <v>159.41</v>
      </c>
      <c r="H122" t="n">
        <v>99.88</v>
      </c>
      <c r="I122" s="4">
        <f>(G122-H122)/H122</f>
        <v/>
      </c>
    </row>
    <row r="123">
      <c r="A123" s="6" t="n">
        <v>45935</v>
      </c>
      <c r="B123" t="inlineStr">
        <is>
          <t>Patrick Ilunga</t>
        </is>
      </c>
      <c r="C123" t="inlineStr">
        <is>
          <t>HOTEL SANDAGA 17</t>
        </is>
      </c>
      <c r="D123" t="inlineStr">
        <is>
          <t>REF-0472</t>
        </is>
      </c>
      <c r="E123" t="inlineStr">
        <is>
          <t>Farine</t>
        </is>
      </c>
      <c r="F123" t="n">
        <v>16</v>
      </c>
      <c r="G123" t="n">
        <v>657.21</v>
      </c>
      <c r="H123" t="n">
        <v>510.43</v>
      </c>
      <c r="I123" s="4">
        <f>(G123-H123)/H123</f>
        <v/>
      </c>
    </row>
    <row r="124">
      <c r="A124" s="6" t="n">
        <v>45935</v>
      </c>
      <c r="B124" t="inlineStr">
        <is>
          <t>Patrick Ilunga</t>
        </is>
      </c>
      <c r="C124" t="inlineStr">
        <is>
          <t>HOTEL SANDAGA 17</t>
        </is>
      </c>
      <c r="D124" t="inlineStr">
        <is>
          <t>REF-0154</t>
        </is>
      </c>
      <c r="E124" t="inlineStr">
        <is>
          <t>Conserves</t>
        </is>
      </c>
      <c r="F124" t="n">
        <v>18</v>
      </c>
      <c r="G124" t="n">
        <v>382.87</v>
      </c>
      <c r="H124" t="n">
        <v>269.38</v>
      </c>
      <c r="I124" s="4">
        <f>(G124-H124)/H124</f>
        <v/>
      </c>
    </row>
    <row r="125">
      <c r="A125" s="6" t="n">
        <v>45935</v>
      </c>
      <c r="B125" t="inlineStr">
        <is>
          <t>Aïcha Bakala</t>
        </is>
      </c>
      <c r="C125" t="inlineStr">
        <is>
          <t>DEPOT BONABERI 24</t>
        </is>
      </c>
      <c r="D125" t="inlineStr">
        <is>
          <t>REF-0899</t>
        </is>
      </c>
      <c r="E125" t="inlineStr">
        <is>
          <t>Huiles</t>
        </is>
      </c>
      <c r="F125" t="n">
        <v>22</v>
      </c>
      <c r="G125" t="n">
        <v>495.1</v>
      </c>
      <c r="H125" t="n">
        <v>350.32</v>
      </c>
      <c r="I125" s="4">
        <f>(G125-H125)/H125</f>
        <v/>
      </c>
    </row>
    <row r="126">
      <c r="A126" s="6" t="n">
        <v>45935</v>
      </c>
      <c r="B126" t="inlineStr">
        <is>
          <t>Aïcha Bakala</t>
        </is>
      </c>
      <c r="C126" t="inlineStr">
        <is>
          <t>DEPOT BONABERI 24</t>
        </is>
      </c>
      <c r="D126" t="inlineStr">
        <is>
          <t>REF-0621</t>
        </is>
      </c>
      <c r="E126" t="inlineStr">
        <is>
          <t>Conserves</t>
        </is>
      </c>
      <c r="F126" t="n">
        <v>13</v>
      </c>
      <c r="G126" t="n">
        <v>163.59</v>
      </c>
      <c r="H126" t="n">
        <v>104.84</v>
      </c>
      <c r="I126" s="4">
        <f>(G126-H126)/H126</f>
        <v/>
      </c>
    </row>
    <row r="127">
      <c r="A127" s="6" t="n">
        <v>45935</v>
      </c>
      <c r="B127" t="inlineStr">
        <is>
          <t>Aïcha Bakala</t>
        </is>
      </c>
      <c r="C127" t="inlineStr">
        <is>
          <t>DEPOT BONABERI 24</t>
        </is>
      </c>
      <c r="D127" t="inlineStr">
        <is>
          <t>REF-0058</t>
        </is>
      </c>
      <c r="E127" t="inlineStr">
        <is>
          <t>Savons</t>
        </is>
      </c>
      <c r="F127" t="n">
        <v>76</v>
      </c>
      <c r="G127" t="n">
        <v>637.41</v>
      </c>
      <c r="H127" t="n">
        <v>458.16</v>
      </c>
      <c r="I127" s="4">
        <f>(G127-H127)/H127</f>
        <v/>
      </c>
    </row>
    <row r="128">
      <c r="A128" s="6" t="n">
        <v>45935</v>
      </c>
      <c r="B128" t="inlineStr">
        <is>
          <t>Nadège Kalala</t>
        </is>
      </c>
      <c r="C128" t="inlineStr">
        <is>
          <t>KIOSQUE LIKASI 14</t>
        </is>
      </c>
      <c r="D128" t="inlineStr">
        <is>
          <t>REF-0326</t>
        </is>
      </c>
      <c r="E128" t="inlineStr">
        <is>
          <t>Huiles</t>
        </is>
      </c>
      <c r="F128" t="n">
        <v>24</v>
      </c>
      <c r="G128" t="n">
        <v>401.91</v>
      </c>
      <c r="H128" t="n">
        <v>309.5</v>
      </c>
      <c r="I128" s="4">
        <f>(G128-H128)/H128</f>
        <v/>
      </c>
    </row>
    <row r="129">
      <c r="A129" s="6" t="n">
        <v>45935</v>
      </c>
      <c r="B129" t="inlineStr">
        <is>
          <t>Nadège Kalala</t>
        </is>
      </c>
      <c r="C129" t="inlineStr">
        <is>
          <t>KIOSQUE LIKASI 14</t>
        </is>
      </c>
      <c r="D129" t="inlineStr">
        <is>
          <t>REF-0676</t>
        </is>
      </c>
      <c r="E129" t="inlineStr">
        <is>
          <t>Farine</t>
        </is>
      </c>
      <c r="F129" t="n">
        <v>43</v>
      </c>
      <c r="G129" t="n">
        <v>1237.4</v>
      </c>
      <c r="H129" t="n">
        <v>782.83</v>
      </c>
      <c r="I129" s="4">
        <f>(G129-H129)/H129</f>
        <v/>
      </c>
    </row>
    <row r="130">
      <c r="A130" s="6" t="n">
        <v>45935</v>
      </c>
      <c r="B130" t="inlineStr">
        <is>
          <t>Serge Tshibangu</t>
        </is>
      </c>
      <c r="C130" t="inlineStr">
        <is>
          <t>KIOSQUE MATONGE 05</t>
        </is>
      </c>
      <c r="D130" t="inlineStr">
        <is>
          <t>REF-0024</t>
        </is>
      </c>
      <c r="E130" t="inlineStr">
        <is>
          <t>Riz</t>
        </is>
      </c>
      <c r="F130" t="n">
        <v>11</v>
      </c>
      <c r="G130" t="n">
        <v>289.37</v>
      </c>
      <c r="H130" t="n">
        <v>242.31</v>
      </c>
      <c r="I130" s="4">
        <f>(G130-H130)/H130</f>
        <v/>
      </c>
    </row>
    <row r="131">
      <c r="A131" s="6" t="n">
        <v>45935</v>
      </c>
      <c r="B131" t="inlineStr">
        <is>
          <t>Serge Tshibangu</t>
        </is>
      </c>
      <c r="C131" t="inlineStr">
        <is>
          <t>KIOSQUE MATONGE 05</t>
        </is>
      </c>
      <c r="D131" t="inlineStr">
        <is>
          <t>REF-0296</t>
        </is>
      </c>
      <c r="E131" t="inlineStr">
        <is>
          <t>Savons</t>
        </is>
      </c>
      <c r="F131" t="n">
        <v>12</v>
      </c>
      <c r="G131" t="n">
        <v>102.04</v>
      </c>
      <c r="H131" t="n">
        <v>89.34</v>
      </c>
      <c r="I131" s="4">
        <f>(G131-H131)/H131</f>
        <v/>
      </c>
    </row>
    <row r="132">
      <c r="A132" s="6" t="n">
        <v>45935</v>
      </c>
      <c r="B132" t="inlineStr">
        <is>
          <t>Aïcha Bakala</t>
        </is>
      </c>
      <c r="C132" t="inlineStr">
        <is>
          <t>EPICERIE BARUMBU 01</t>
        </is>
      </c>
      <c r="D132" t="inlineStr">
        <is>
          <t>REF-0613</t>
        </is>
      </c>
      <c r="E132" t="inlineStr">
        <is>
          <t>Boissons</t>
        </is>
      </c>
      <c r="F132" t="n">
        <v>19</v>
      </c>
      <c r="G132" t="n">
        <v>247.84</v>
      </c>
      <c r="H132" t="n">
        <v>187.24</v>
      </c>
      <c r="I132" s="4">
        <f>(G132-H132)/H132</f>
        <v/>
      </c>
    </row>
    <row r="133">
      <c r="A133" s="6" t="n">
        <v>45936</v>
      </c>
      <c r="B133" t="inlineStr">
        <is>
          <t>Sylvie Nguema</t>
        </is>
      </c>
      <c r="C133" t="inlineStr">
        <is>
          <t>BOULANGERIE NGIRI 23</t>
        </is>
      </c>
      <c r="D133" t="inlineStr">
        <is>
          <t>REF-0233</t>
        </is>
      </c>
      <c r="E133" t="inlineStr">
        <is>
          <t>Boissons</t>
        </is>
      </c>
      <c r="F133" t="n">
        <v>7</v>
      </c>
      <c r="G133" t="n">
        <v>100.54</v>
      </c>
      <c r="H133" t="n">
        <v>76.76000000000001</v>
      </c>
      <c r="I133" s="4">
        <f>(G133-H133)/H133</f>
        <v/>
      </c>
    </row>
    <row r="134">
      <c r="A134" s="6" t="n">
        <v>45936</v>
      </c>
      <c r="B134" t="inlineStr">
        <is>
          <t>Sylvie Nguema</t>
        </is>
      </c>
      <c r="C134" t="inlineStr">
        <is>
          <t>BOULANGERIE NGIRI 23</t>
        </is>
      </c>
      <c r="D134" t="inlineStr">
        <is>
          <t>REF-0390</t>
        </is>
      </c>
      <c r="E134" t="inlineStr">
        <is>
          <t>Riz</t>
        </is>
      </c>
      <c r="F134" t="n">
        <v>13</v>
      </c>
      <c r="G134" t="n">
        <v>542.5700000000001</v>
      </c>
      <c r="H134" t="n">
        <v>451.87</v>
      </c>
      <c r="I134" s="4">
        <f>(G134-H134)/H134</f>
        <v/>
      </c>
    </row>
    <row r="135">
      <c r="A135" s="6" t="n">
        <v>45936</v>
      </c>
      <c r="B135" t="inlineStr">
        <is>
          <t>Grace Kasongo</t>
        </is>
      </c>
      <c r="C135" t="inlineStr">
        <is>
          <t>BOULANGERIE SANDAGA 33</t>
        </is>
      </c>
      <c r="D135" t="inlineStr">
        <is>
          <t>REF-0088</t>
        </is>
      </c>
      <c r="E135" t="inlineStr">
        <is>
          <t>Farine</t>
        </is>
      </c>
      <c r="F135" t="n">
        <v>4</v>
      </c>
      <c r="G135" t="n">
        <v>72.34999999999999</v>
      </c>
      <c r="H135" t="n">
        <v>57.15</v>
      </c>
      <c r="I135" s="4">
        <f>(G135-H135)/H135</f>
        <v/>
      </c>
    </row>
    <row r="136">
      <c r="A136" s="6" t="n">
        <v>45936</v>
      </c>
      <c r="B136" t="inlineStr">
        <is>
          <t>Grace Kasongo</t>
        </is>
      </c>
      <c r="C136" t="inlineStr">
        <is>
          <t>BOULANGERIE SANDAGA 33</t>
        </is>
      </c>
      <c r="D136" t="inlineStr">
        <is>
          <t>REF-0409</t>
        </is>
      </c>
      <c r="E136" t="inlineStr">
        <is>
          <t>Savons</t>
        </is>
      </c>
      <c r="F136" t="n">
        <v>21</v>
      </c>
      <c r="G136" t="n">
        <v>289.94</v>
      </c>
      <c r="H136" t="n">
        <v>229.94</v>
      </c>
      <c r="I136" s="4">
        <f>(G136-H136)/H136</f>
        <v/>
      </c>
    </row>
    <row r="137">
      <c r="A137" s="6" t="n">
        <v>45936</v>
      </c>
      <c r="B137" t="inlineStr">
        <is>
          <t>Grace Kasongo</t>
        </is>
      </c>
      <c r="C137" t="inlineStr">
        <is>
          <t>BOULANGERIE SANDAGA 33</t>
        </is>
      </c>
      <c r="D137" t="inlineStr">
        <is>
          <t>REF-0498</t>
        </is>
      </c>
      <c r="E137" t="inlineStr">
        <is>
          <t>Boissons</t>
        </is>
      </c>
      <c r="F137" t="n">
        <v>20</v>
      </c>
      <c r="G137" t="n">
        <v>316.76</v>
      </c>
      <c r="H137" t="n">
        <v>235.53</v>
      </c>
      <c r="I137" s="4">
        <f>(G137-H137)/H137</f>
        <v/>
      </c>
    </row>
    <row r="138">
      <c r="A138" s="6" t="n">
        <v>45936</v>
      </c>
      <c r="B138" t="inlineStr">
        <is>
          <t>Grace Kasongo</t>
        </is>
      </c>
      <c r="C138" t="inlineStr">
        <is>
          <t>BOULANGERIE SANDAGA 33</t>
        </is>
      </c>
      <c r="D138" t="inlineStr">
        <is>
          <t>REF-0253</t>
        </is>
      </c>
      <c r="E138" t="inlineStr">
        <is>
          <t>Huiles</t>
        </is>
      </c>
      <c r="F138" t="n">
        <v>12</v>
      </c>
      <c r="G138" t="n">
        <v>319.63</v>
      </c>
      <c r="H138" t="n">
        <v>241.45</v>
      </c>
      <c r="I138" s="4">
        <f>(G138-H138)/H138</f>
        <v/>
      </c>
    </row>
    <row r="139">
      <c r="A139" s="6" t="n">
        <v>45936</v>
      </c>
      <c r="B139" t="inlineStr">
        <is>
          <t>Serge Tshibangu</t>
        </is>
      </c>
      <c r="C139" t="inlineStr">
        <is>
          <t>SUPERETTE NGIRI 04</t>
        </is>
      </c>
      <c r="D139" t="inlineStr">
        <is>
          <t>REF-0635</t>
        </is>
      </c>
      <c r="E139" t="inlineStr">
        <is>
          <t>Savons</t>
        </is>
      </c>
      <c r="F139" t="n">
        <v>15</v>
      </c>
      <c r="G139" t="n">
        <v>183.86</v>
      </c>
      <c r="H139" t="n">
        <v>131.39</v>
      </c>
      <c r="I139" s="4">
        <f>(G139-H139)/H139</f>
        <v/>
      </c>
    </row>
    <row r="140">
      <c r="A140" s="6" t="n">
        <v>45936</v>
      </c>
      <c r="B140" t="inlineStr">
        <is>
          <t>Nadège Kalala</t>
        </is>
      </c>
      <c r="C140" t="inlineStr">
        <is>
          <t>ALIMENTATION MASINA 24</t>
        </is>
      </c>
      <c r="D140" t="inlineStr">
        <is>
          <t>REF-0687</t>
        </is>
      </c>
      <c r="E140" t="inlineStr">
        <is>
          <t>Huiles</t>
        </is>
      </c>
      <c r="F140" t="n">
        <v>24</v>
      </c>
      <c r="G140" t="n">
        <v>795.59</v>
      </c>
      <c r="H140" t="n">
        <v>514.9400000000001</v>
      </c>
      <c r="I140" s="4">
        <f>(G140-H140)/H140</f>
        <v/>
      </c>
    </row>
    <row r="141">
      <c r="A141" s="6" t="n">
        <v>45936</v>
      </c>
      <c r="B141" t="inlineStr">
        <is>
          <t>Nadège Kalala</t>
        </is>
      </c>
      <c r="C141" t="inlineStr">
        <is>
          <t>ALIMENTATION MASINA 24</t>
        </is>
      </c>
      <c r="D141" t="inlineStr">
        <is>
          <t>REF-0803</t>
        </is>
      </c>
      <c r="E141" t="inlineStr">
        <is>
          <t>Boissons</t>
        </is>
      </c>
      <c r="F141" t="n">
        <v>14</v>
      </c>
      <c r="G141" t="n">
        <v>249.84</v>
      </c>
      <c r="H141" t="n">
        <v>205.45</v>
      </c>
      <c r="I141" s="4">
        <f>(G141-H141)/H141</f>
        <v/>
      </c>
    </row>
    <row r="142">
      <c r="A142" s="6" t="n">
        <v>45936</v>
      </c>
      <c r="B142" t="inlineStr">
        <is>
          <t>Serge Tshibangu</t>
        </is>
      </c>
      <c r="C142" t="inlineStr">
        <is>
          <t>GROSSISTE BONAPRISO 10</t>
        </is>
      </c>
      <c r="D142" t="inlineStr">
        <is>
          <t>REF-0778</t>
        </is>
      </c>
      <c r="E142" t="inlineStr">
        <is>
          <t>Farine</t>
        </is>
      </c>
      <c r="F142" t="n">
        <v>16</v>
      </c>
      <c r="G142" t="n">
        <v>556.62</v>
      </c>
      <c r="H142" t="n">
        <v>441.47</v>
      </c>
      <c r="I142" s="4">
        <f>(G142-H142)/H142</f>
        <v/>
      </c>
    </row>
    <row r="143">
      <c r="A143" s="6" t="n">
        <v>45936</v>
      </c>
      <c r="B143" t="inlineStr">
        <is>
          <t>Serge Tshibangu</t>
        </is>
      </c>
      <c r="C143" t="inlineStr">
        <is>
          <t>GROSSISTE BONAPRISO 10</t>
        </is>
      </c>
      <c r="D143" t="inlineStr">
        <is>
          <t>REF-0117</t>
        </is>
      </c>
      <c r="E143" t="inlineStr">
        <is>
          <t>Riz</t>
        </is>
      </c>
      <c r="F143" t="n">
        <v>14</v>
      </c>
      <c r="G143" t="n">
        <v>646.3099999999999</v>
      </c>
      <c r="H143" t="n">
        <v>401.4</v>
      </c>
      <c r="I143" s="4">
        <f>(G143-H143)/H143</f>
        <v/>
      </c>
    </row>
    <row r="144">
      <c r="A144" s="6" t="n">
        <v>45936</v>
      </c>
      <c r="B144" t="inlineStr">
        <is>
          <t>Grace Kasongo</t>
        </is>
      </c>
      <c r="C144" t="inlineStr">
        <is>
          <t>MINI-MARCHE BONAPRISO 09</t>
        </is>
      </c>
      <c r="D144" t="inlineStr">
        <is>
          <t>REF-0912</t>
        </is>
      </c>
      <c r="E144" t="inlineStr">
        <is>
          <t>Boissons</t>
        </is>
      </c>
      <c r="F144" t="n">
        <v>12</v>
      </c>
      <c r="G144" t="n">
        <v>117.98</v>
      </c>
      <c r="H144" t="n">
        <v>97.02</v>
      </c>
      <c r="I144" s="4">
        <f>(G144-H144)/H144</f>
        <v/>
      </c>
    </row>
    <row r="145">
      <c r="A145" s="6" t="n">
        <v>45936</v>
      </c>
      <c r="B145" t="inlineStr">
        <is>
          <t>Grace Kasongo</t>
        </is>
      </c>
      <c r="C145" t="inlineStr">
        <is>
          <t>MINI-MARCHE BONAPRISO 09</t>
        </is>
      </c>
      <c r="D145" t="inlineStr">
        <is>
          <t>REF-0811</t>
        </is>
      </c>
      <c r="E145" t="inlineStr">
        <is>
          <t>Farine</t>
        </is>
      </c>
      <c r="F145" t="n">
        <v>23</v>
      </c>
      <c r="G145" t="n">
        <v>454.97</v>
      </c>
      <c r="H145" t="n">
        <v>398.68</v>
      </c>
      <c r="I145" s="4">
        <f>(G145-H145)/H145</f>
        <v/>
      </c>
    </row>
    <row r="146">
      <c r="A146" s="6" t="n">
        <v>45936</v>
      </c>
      <c r="B146" t="inlineStr">
        <is>
          <t>Aïcha Bakala</t>
        </is>
      </c>
      <c r="C146" t="inlineStr">
        <is>
          <t>SUPERMARCHE LEMBA 08</t>
        </is>
      </c>
      <c r="D146" t="inlineStr">
        <is>
          <t>REF-0306</t>
        </is>
      </c>
      <c r="E146" t="inlineStr">
        <is>
          <t>Savons</t>
        </is>
      </c>
      <c r="F146" t="n">
        <v>49</v>
      </c>
      <c r="G146" t="n">
        <v>800.4400000000001</v>
      </c>
      <c r="H146" t="n">
        <v>581.49</v>
      </c>
      <c r="I146" s="4">
        <f>(G146-H146)/H146</f>
        <v/>
      </c>
    </row>
    <row r="147">
      <c r="A147" s="6" t="n">
        <v>45936</v>
      </c>
      <c r="B147" t="inlineStr">
        <is>
          <t>Aïcha Bakala</t>
        </is>
      </c>
      <c r="C147" t="inlineStr">
        <is>
          <t>SUPERMARCHE LEMBA 08</t>
        </is>
      </c>
      <c r="D147" t="inlineStr">
        <is>
          <t>REF-0029</t>
        </is>
      </c>
      <c r="E147" t="inlineStr">
        <is>
          <t>Huiles</t>
        </is>
      </c>
      <c r="F147" t="n">
        <v>11</v>
      </c>
      <c r="G147" t="n">
        <v>283.13</v>
      </c>
      <c r="H147" t="n">
        <v>243.16</v>
      </c>
      <c r="I147" s="4">
        <f>(G147-H147)/H147</f>
        <v/>
      </c>
    </row>
    <row r="148">
      <c r="A148" s="6" t="n">
        <v>45936</v>
      </c>
      <c r="B148" t="inlineStr">
        <is>
          <t>Aïcha Bakala</t>
        </is>
      </c>
      <c r="C148" t="inlineStr">
        <is>
          <t>SUPERMARCHE AKANDA 21</t>
        </is>
      </c>
      <c r="D148" t="inlineStr">
        <is>
          <t>REF-0445</t>
        </is>
      </c>
      <c r="E148" t="inlineStr">
        <is>
          <t>Savons</t>
        </is>
      </c>
      <c r="F148" t="n">
        <v>11</v>
      </c>
      <c r="G148" t="n">
        <v>198.25</v>
      </c>
      <c r="H148" t="n">
        <v>134.09</v>
      </c>
      <c r="I148" s="4">
        <f>(G148-H148)/H148</f>
        <v/>
      </c>
    </row>
    <row r="149">
      <c r="A149" s="6" t="n">
        <v>45936</v>
      </c>
      <c r="B149" t="inlineStr">
        <is>
          <t>Aïcha Bakala</t>
        </is>
      </c>
      <c r="C149" t="inlineStr">
        <is>
          <t>SUPERMARCHE AKANDA 21</t>
        </is>
      </c>
      <c r="D149" t="inlineStr">
        <is>
          <t>REF-0892</t>
        </is>
      </c>
      <c r="E149" t="inlineStr">
        <is>
          <t>Boissons</t>
        </is>
      </c>
      <c r="F149" t="n">
        <v>8</v>
      </c>
      <c r="G149" t="n">
        <v>161.11</v>
      </c>
      <c r="H149" t="n">
        <v>126.38</v>
      </c>
      <c r="I149" s="4">
        <f>(G149-H149)/H149</f>
        <v/>
      </c>
    </row>
    <row r="150">
      <c r="A150" s="6" t="n">
        <v>45936</v>
      </c>
      <c r="B150" t="inlineStr">
        <is>
          <t>Aïcha Bakala</t>
        </is>
      </c>
      <c r="C150" t="inlineStr">
        <is>
          <t>SUPERMARCHE AKANDA 21</t>
        </is>
      </c>
      <c r="D150" t="inlineStr">
        <is>
          <t>REF-0372</t>
        </is>
      </c>
      <c r="E150" t="inlineStr">
        <is>
          <t>Conserves</t>
        </is>
      </c>
      <c r="F150" t="n">
        <v>30</v>
      </c>
      <c r="G150" t="n">
        <v>354.89</v>
      </c>
      <c r="H150" t="n">
        <v>293.87</v>
      </c>
      <c r="I150" s="4">
        <f>(G150-H150)/H150</f>
        <v/>
      </c>
    </row>
    <row r="151">
      <c r="A151" s="6" t="n">
        <v>45936</v>
      </c>
      <c r="B151" t="inlineStr">
        <is>
          <t>Sylvie Nguema</t>
        </is>
      </c>
      <c r="C151" t="inlineStr">
        <is>
          <t>HOTEL KINTAMBO 24</t>
        </is>
      </c>
      <c r="D151" t="inlineStr">
        <is>
          <t>REF-0351</t>
        </is>
      </c>
      <c r="E151" t="inlineStr">
        <is>
          <t>Farine</t>
        </is>
      </c>
      <c r="F151" t="n">
        <v>32</v>
      </c>
      <c r="G151" t="n">
        <v>831.02</v>
      </c>
      <c r="H151" t="n">
        <v>602.96</v>
      </c>
      <c r="I151" s="4">
        <f>(G151-H151)/H151</f>
        <v/>
      </c>
    </row>
    <row r="152">
      <c r="A152" s="6" t="n">
        <v>45936</v>
      </c>
      <c r="B152" t="inlineStr">
        <is>
          <t>Sylvie Nguema</t>
        </is>
      </c>
      <c r="C152" t="inlineStr">
        <is>
          <t>HOTEL KINTAMBO 24</t>
        </is>
      </c>
      <c r="D152" t="inlineStr">
        <is>
          <t>REF-0260</t>
        </is>
      </c>
      <c r="E152" t="inlineStr">
        <is>
          <t>Conserves</t>
        </is>
      </c>
      <c r="F152" t="n">
        <v>44</v>
      </c>
      <c r="G152" t="n">
        <v>1190.37</v>
      </c>
      <c r="H152" t="n">
        <v>827.8200000000001</v>
      </c>
      <c r="I152" s="4">
        <f>(G152-H152)/H152</f>
        <v/>
      </c>
    </row>
    <row r="153">
      <c r="A153" s="6" t="n">
        <v>45937</v>
      </c>
      <c r="B153" t="inlineStr">
        <is>
          <t>Aïcha Bakala</t>
        </is>
      </c>
      <c r="C153" t="inlineStr">
        <is>
          <t>BOULANGERIE MEDINA 05</t>
        </is>
      </c>
      <c r="D153" t="inlineStr">
        <is>
          <t>REF-0632</t>
        </is>
      </c>
      <c r="E153" t="inlineStr">
        <is>
          <t>Savons</t>
        </is>
      </c>
      <c r="F153" t="n">
        <v>12</v>
      </c>
      <c r="G153" t="n">
        <v>78.95999999999999</v>
      </c>
      <c r="H153" t="n">
        <v>51.74</v>
      </c>
      <c r="I153" s="4">
        <f>(G153-H153)/H153</f>
        <v/>
      </c>
    </row>
    <row r="154">
      <c r="A154" s="6" t="n">
        <v>45937</v>
      </c>
      <c r="B154" t="inlineStr">
        <is>
          <t>Nadège Kalala</t>
        </is>
      </c>
      <c r="C154" t="inlineStr">
        <is>
          <t>CANTINE COCODY 29</t>
        </is>
      </c>
      <c r="D154" t="inlineStr">
        <is>
          <t>REF-0207</t>
        </is>
      </c>
      <c r="E154" t="inlineStr">
        <is>
          <t>Conserves</t>
        </is>
      </c>
      <c r="F154" t="n">
        <v>8</v>
      </c>
      <c r="G154" t="n">
        <v>118.88</v>
      </c>
      <c r="H154" t="n">
        <v>0</v>
      </c>
      <c r="I154" s="4">
        <f>(G154-H154)/H154</f>
        <v/>
      </c>
    </row>
    <row r="155">
      <c r="A155" s="6" t="n">
        <v>45937</v>
      </c>
      <c r="B155" t="inlineStr">
        <is>
          <t>Nadège Kalala</t>
        </is>
      </c>
      <c r="C155" t="inlineStr">
        <is>
          <t>CANTINE COCODY 29</t>
        </is>
      </c>
      <c r="D155" t="inlineStr">
        <is>
          <t>REF-0016</t>
        </is>
      </c>
      <c r="E155" t="inlineStr">
        <is>
          <t>Boissons</t>
        </is>
      </c>
      <c r="F155" t="n">
        <v>27</v>
      </c>
      <c r="G155" t="n">
        <v>253.66</v>
      </c>
      <c r="H155" t="n">
        <v>193.2</v>
      </c>
      <c r="I155" s="4">
        <f>(G155-H155)/H155</f>
        <v/>
      </c>
    </row>
    <row r="156">
      <c r="A156" s="6" t="n">
        <v>45937</v>
      </c>
      <c r="B156" t="inlineStr">
        <is>
          <t>Nadège Kalala</t>
        </is>
      </c>
      <c r="C156" t="inlineStr">
        <is>
          <t>CANTINE COCODY 29</t>
        </is>
      </c>
      <c r="D156" t="inlineStr">
        <is>
          <t>REF-0816</t>
        </is>
      </c>
      <c r="E156" t="inlineStr">
        <is>
          <t>Savons</t>
        </is>
      </c>
      <c r="F156" t="n">
        <v>4</v>
      </c>
      <c r="G156" t="n">
        <v>41.95</v>
      </c>
      <c r="H156" t="n">
        <v>29.35</v>
      </c>
      <c r="I156" s="4">
        <f>(G156-H156)/H156</f>
        <v/>
      </c>
    </row>
    <row r="157">
      <c r="A157" s="6" t="n">
        <v>45937</v>
      </c>
      <c r="B157" t="inlineStr">
        <is>
          <t>Thomas Obiang</t>
        </is>
      </c>
      <c r="C157" t="inlineStr">
        <is>
          <t>GROSSISTE BONAPRISO 06</t>
        </is>
      </c>
      <c r="D157" t="inlineStr">
        <is>
          <t>REF-0778</t>
        </is>
      </c>
      <c r="E157" t="inlineStr">
        <is>
          <t>Farine</t>
        </is>
      </c>
      <c r="F157" t="n">
        <v>17</v>
      </c>
      <c r="G157" t="n">
        <v>626.24</v>
      </c>
      <c r="H157" t="n">
        <v>465.83</v>
      </c>
      <c r="I157" s="4">
        <f>(G157-H157)/H157</f>
        <v/>
      </c>
    </row>
    <row r="158">
      <c r="A158" s="6" t="n">
        <v>45937</v>
      </c>
      <c r="B158" t="inlineStr">
        <is>
          <t>Sylvie Nguema</t>
        </is>
      </c>
      <c r="C158" t="inlineStr">
        <is>
          <t>KIOSQUE BINZA 12</t>
        </is>
      </c>
      <c r="D158" t="inlineStr">
        <is>
          <t>REF-0256</t>
        </is>
      </c>
      <c r="E158" t="inlineStr">
        <is>
          <t>Conserves</t>
        </is>
      </c>
      <c r="F158" t="n">
        <v>5</v>
      </c>
      <c r="G158" t="n">
        <v>76.47</v>
      </c>
      <c r="H158" t="n">
        <v>59.65</v>
      </c>
      <c r="I158" s="4">
        <f>(G158-H158)/H158</f>
        <v/>
      </c>
    </row>
    <row r="159">
      <c r="A159" s="6" t="n">
        <v>45937</v>
      </c>
      <c r="B159" t="inlineStr">
        <is>
          <t>Sylvie Nguema</t>
        </is>
      </c>
      <c r="C159" t="inlineStr">
        <is>
          <t>KIOSQUE BINZA 12</t>
        </is>
      </c>
      <c r="D159" t="inlineStr">
        <is>
          <t>REF-0859</t>
        </is>
      </c>
      <c r="E159" t="inlineStr">
        <is>
          <t>Farine</t>
        </is>
      </c>
      <c r="F159" t="n">
        <v>10</v>
      </c>
      <c r="G159" t="n">
        <v>327.34</v>
      </c>
      <c r="H159" t="n">
        <v>222.89</v>
      </c>
      <c r="I159" s="4">
        <f>(G159-H159)/H159</f>
        <v/>
      </c>
    </row>
    <row r="160">
      <c r="A160" s="6" t="n">
        <v>45937</v>
      </c>
      <c r="B160" t="inlineStr">
        <is>
          <t>Sylvie Nguema</t>
        </is>
      </c>
      <c r="C160" t="inlineStr">
        <is>
          <t>KIOSQUE BINZA 12</t>
        </is>
      </c>
      <c r="D160" t="inlineStr">
        <is>
          <t>REF-0483</t>
        </is>
      </c>
      <c r="E160" t="inlineStr">
        <is>
          <t>Huiles</t>
        </is>
      </c>
      <c r="F160" t="n">
        <v>4</v>
      </c>
      <c r="G160" t="n">
        <v>69.23999999999999</v>
      </c>
      <c r="H160" t="n">
        <v>50.25</v>
      </c>
      <c r="I160" s="4">
        <f>(G160-H160)/H160</f>
        <v/>
      </c>
    </row>
    <row r="161">
      <c r="A161" s="6" t="n">
        <v>45937</v>
      </c>
      <c r="B161" t="inlineStr">
        <is>
          <t>Sylvie Nguema</t>
        </is>
      </c>
      <c r="C161" t="inlineStr">
        <is>
          <t>KIOSQUE BINZA 12</t>
        </is>
      </c>
      <c r="D161" t="inlineStr">
        <is>
          <t>REF-0216</t>
        </is>
      </c>
      <c r="E161" t="inlineStr">
        <is>
          <t>Riz</t>
        </is>
      </c>
      <c r="F161" t="n">
        <v>9</v>
      </c>
      <c r="G161" t="n">
        <v>625.62</v>
      </c>
      <c r="H161" t="n">
        <v>394.61</v>
      </c>
      <c r="I161" s="4">
        <f>(G161-H161)/H161</f>
        <v/>
      </c>
    </row>
    <row r="162">
      <c r="A162" s="6" t="n">
        <v>45938</v>
      </c>
      <c r="B162" t="inlineStr">
        <is>
          <t>Nadège Kalala</t>
        </is>
      </c>
      <c r="C162" t="inlineStr">
        <is>
          <t>KIOSQUE BINZA 40</t>
        </is>
      </c>
      <c r="D162" t="inlineStr">
        <is>
          <t>REF-0699</t>
        </is>
      </c>
      <c r="E162" t="inlineStr">
        <is>
          <t>Huiles</t>
        </is>
      </c>
      <c r="F162" t="n">
        <v>10</v>
      </c>
      <c r="G162" t="n">
        <v>360.56</v>
      </c>
      <c r="H162" t="n">
        <v>285.72</v>
      </c>
      <c r="I162" s="4">
        <f>(G162-H162)/H162</f>
        <v/>
      </c>
    </row>
    <row r="163">
      <c r="A163" s="6" t="n">
        <v>45938</v>
      </c>
      <c r="B163" t="inlineStr">
        <is>
          <t>Nadège Kalala</t>
        </is>
      </c>
      <c r="C163" t="inlineStr">
        <is>
          <t>EPICERIE MONT-NGAFULA 02</t>
        </is>
      </c>
      <c r="D163" t="inlineStr">
        <is>
          <t>REF-0563</t>
        </is>
      </c>
      <c r="E163" t="inlineStr">
        <is>
          <t>Boissons</t>
        </is>
      </c>
      <c r="F163" t="n">
        <v>25</v>
      </c>
      <c r="G163" t="n">
        <v>550.5700000000001</v>
      </c>
      <c r="H163" t="n">
        <v>446.15</v>
      </c>
      <c r="I163" s="4">
        <f>(G163-H163)/H163</f>
        <v/>
      </c>
    </row>
    <row r="164">
      <c r="A164" s="6" t="n">
        <v>45938</v>
      </c>
      <c r="B164" t="inlineStr">
        <is>
          <t>Nadège Kalala</t>
        </is>
      </c>
      <c r="C164" t="inlineStr">
        <is>
          <t>EPICERIE MONT-NGAFULA 02</t>
        </is>
      </c>
      <c r="D164" t="inlineStr">
        <is>
          <t>REF-0244</t>
        </is>
      </c>
      <c r="E164" t="inlineStr">
        <is>
          <t>Savons</t>
        </is>
      </c>
      <c r="F164" t="n">
        <v>21</v>
      </c>
      <c r="G164" t="n">
        <v>239.16</v>
      </c>
      <c r="H164" t="n">
        <v>166.57</v>
      </c>
      <c r="I164" s="4">
        <f>(G164-H164)/H164</f>
        <v/>
      </c>
    </row>
    <row r="165">
      <c r="A165" s="6" t="n">
        <v>45938</v>
      </c>
      <c r="B165" t="inlineStr">
        <is>
          <t>Nadège Kalala</t>
        </is>
      </c>
      <c r="C165" t="inlineStr">
        <is>
          <t>EPICERIE MONT-NGAFULA 02</t>
        </is>
      </c>
      <c r="D165" t="inlineStr">
        <is>
          <t>REF-0237</t>
        </is>
      </c>
      <c r="E165" t="inlineStr">
        <is>
          <t>Savons</t>
        </is>
      </c>
      <c r="F165" t="n">
        <v>13</v>
      </c>
      <c r="G165" t="n">
        <v>145.08</v>
      </c>
      <c r="H165" t="n">
        <v>97.87</v>
      </c>
      <c r="I165" s="4">
        <f>(G165-H165)/H165</f>
        <v/>
      </c>
    </row>
    <row r="166">
      <c r="A166" s="6" t="n">
        <v>45938</v>
      </c>
      <c r="B166" t="inlineStr">
        <is>
          <t>Nadège Kalala</t>
        </is>
      </c>
      <c r="C166" t="inlineStr">
        <is>
          <t>EPICERIE MONT-NGAFULA 02</t>
        </is>
      </c>
      <c r="D166" t="inlineStr">
        <is>
          <t>REF-0463</t>
        </is>
      </c>
      <c r="E166" t="inlineStr">
        <is>
          <t>Savons</t>
        </is>
      </c>
      <c r="F166" t="n">
        <v>9</v>
      </c>
      <c r="G166" t="n">
        <v>123.06</v>
      </c>
      <c r="H166" t="n">
        <v>96.63</v>
      </c>
      <c r="I166" s="4">
        <f>(G166-H166)/H166</f>
        <v/>
      </c>
    </row>
    <row r="167">
      <c r="A167" s="6" t="n">
        <v>45938</v>
      </c>
      <c r="B167" t="inlineStr">
        <is>
          <t>Grace Kasongo</t>
        </is>
      </c>
      <c r="C167" t="inlineStr">
        <is>
          <t>SUPERETTE MONT-NGAFULA 35</t>
        </is>
      </c>
      <c r="D167" t="inlineStr">
        <is>
          <t>REF-0097</t>
        </is>
      </c>
      <c r="E167" t="inlineStr">
        <is>
          <t>Farine</t>
        </is>
      </c>
      <c r="F167" t="n">
        <v>19</v>
      </c>
      <c r="G167" t="n">
        <v>468.15</v>
      </c>
      <c r="H167" t="n">
        <v>345.41</v>
      </c>
      <c r="I167" s="4">
        <f>(G167-H167)/H167</f>
        <v/>
      </c>
    </row>
    <row r="168">
      <c r="A168" s="6" t="n">
        <v>45938</v>
      </c>
      <c r="B168" t="inlineStr">
        <is>
          <t>Thomas Obiang</t>
        </is>
      </c>
      <c r="C168" t="inlineStr">
        <is>
          <t>CANTINE AKANDA 37</t>
        </is>
      </c>
      <c r="D168" t="inlineStr">
        <is>
          <t>REF-0645</t>
        </is>
      </c>
      <c r="E168" t="inlineStr">
        <is>
          <t>Huiles</t>
        </is>
      </c>
      <c r="F168" t="n">
        <v>52</v>
      </c>
      <c r="G168" t="n">
        <v>1033.51</v>
      </c>
      <c r="H168" t="n">
        <v>860.25</v>
      </c>
      <c r="I168" s="4">
        <f>(G168-H168)/H168</f>
        <v/>
      </c>
    </row>
    <row r="169">
      <c r="A169" s="6" t="n">
        <v>45938</v>
      </c>
      <c r="B169" t="inlineStr">
        <is>
          <t>Thomas Obiang</t>
        </is>
      </c>
      <c r="C169" t="inlineStr">
        <is>
          <t>CANTINE AKANDA 37</t>
        </is>
      </c>
      <c r="D169" t="inlineStr">
        <is>
          <t>REF-0744</t>
        </is>
      </c>
      <c r="E169" t="inlineStr">
        <is>
          <t>Savons</t>
        </is>
      </c>
      <c r="F169" t="n">
        <v>21</v>
      </c>
      <c r="G169" t="n">
        <v>234.13</v>
      </c>
      <c r="H169" t="n">
        <v>190.77</v>
      </c>
      <c r="I169" s="4">
        <f>(G169-H169)/H169</f>
        <v/>
      </c>
    </row>
    <row r="170">
      <c r="A170" s="6" t="n">
        <v>45938</v>
      </c>
      <c r="B170" t="inlineStr">
        <is>
          <t>Sylvie Nguema</t>
        </is>
      </c>
      <c r="C170" t="inlineStr">
        <is>
          <t>SUPERETTE BONABERI 39</t>
        </is>
      </c>
      <c r="D170" t="inlineStr">
        <is>
          <t>REF-0732</t>
        </is>
      </c>
      <c r="E170" t="inlineStr">
        <is>
          <t>Conserves</t>
        </is>
      </c>
      <c r="F170" t="n">
        <v>29</v>
      </c>
      <c r="G170" t="n">
        <v>644.55</v>
      </c>
      <c r="H170" t="n">
        <v>475.32</v>
      </c>
      <c r="I170" s="4">
        <f>(G170-H170)/H170</f>
        <v/>
      </c>
    </row>
    <row r="171">
      <c r="A171" s="6" t="n">
        <v>45938</v>
      </c>
      <c r="B171" t="inlineStr">
        <is>
          <t>Nadège Kalala</t>
        </is>
      </c>
      <c r="C171" t="inlineStr">
        <is>
          <t>SUPERMARCHE COCODY 18</t>
        </is>
      </c>
      <c r="D171" t="inlineStr">
        <is>
          <t>REF-0725</t>
        </is>
      </c>
      <c r="E171" t="inlineStr">
        <is>
          <t>Huiles</t>
        </is>
      </c>
      <c r="F171" t="n">
        <v>20</v>
      </c>
      <c r="G171" t="n">
        <v>387.77</v>
      </c>
      <c r="H171" t="n">
        <v>283.51</v>
      </c>
      <c r="I171" s="4">
        <f>(G171-H171)/H171</f>
        <v/>
      </c>
    </row>
    <row r="172">
      <c r="A172" s="6" t="n">
        <v>45938</v>
      </c>
      <c r="B172" t="inlineStr">
        <is>
          <t>Grace Kasongo</t>
        </is>
      </c>
      <c r="C172" t="inlineStr">
        <is>
          <t>KIOSQUE TREICHVILLE 04</t>
        </is>
      </c>
      <c r="D172" t="inlineStr">
        <is>
          <t>REF-0357</t>
        </is>
      </c>
      <c r="E172" t="inlineStr">
        <is>
          <t>Boissons</t>
        </is>
      </c>
      <c r="F172" t="n">
        <v>4</v>
      </c>
      <c r="G172" t="n">
        <v>84.84</v>
      </c>
      <c r="H172" t="n">
        <v>65.41</v>
      </c>
      <c r="I172" s="4">
        <f>(G172-H172)/H172</f>
        <v/>
      </c>
    </row>
    <row r="173">
      <c r="A173" s="6" t="n">
        <v>45938</v>
      </c>
      <c r="B173" t="inlineStr">
        <is>
          <t>Aïcha Bakala</t>
        </is>
      </c>
      <c r="C173" t="inlineStr">
        <is>
          <t>MINI-MARCHE ABOBO 34</t>
        </is>
      </c>
      <c r="D173" t="inlineStr">
        <is>
          <t>REF-0441</t>
        </is>
      </c>
      <c r="E173" t="inlineStr">
        <is>
          <t>Boissons</t>
        </is>
      </c>
      <c r="F173" t="n">
        <v>12</v>
      </c>
      <c r="G173" t="n">
        <v>102.06</v>
      </c>
      <c r="H173" t="n">
        <v>79.17</v>
      </c>
      <c r="I173" s="4">
        <f>(G173-H173)/H173</f>
        <v/>
      </c>
    </row>
    <row r="174">
      <c r="A174" s="6" t="n">
        <v>45938</v>
      </c>
      <c r="B174" t="inlineStr">
        <is>
          <t>Aïcha Bakala</t>
        </is>
      </c>
      <c r="C174" t="inlineStr">
        <is>
          <t>MINI-MARCHE ABOBO 34</t>
        </is>
      </c>
      <c r="D174" t="inlineStr">
        <is>
          <t>REF-0422</t>
        </is>
      </c>
      <c r="E174" t="inlineStr">
        <is>
          <t>Conserves</t>
        </is>
      </c>
      <c r="F174" t="n">
        <v>18</v>
      </c>
      <c r="G174" t="n">
        <v>223.85</v>
      </c>
      <c r="H174" t="n">
        <v>166.48</v>
      </c>
      <c r="I174" s="4">
        <f>(G174-H174)/H174</f>
        <v/>
      </c>
    </row>
    <row r="175">
      <c r="A175" s="6" t="n">
        <v>45938</v>
      </c>
      <c r="B175" t="inlineStr">
        <is>
          <t>Aïcha Bakala</t>
        </is>
      </c>
      <c r="C175" t="inlineStr">
        <is>
          <t>MINI-MARCHE ABOBO 34</t>
        </is>
      </c>
      <c r="D175" t="inlineStr">
        <is>
          <t>REF-0546</t>
        </is>
      </c>
      <c r="E175" t="inlineStr">
        <is>
          <t>Riz</t>
        </is>
      </c>
      <c r="F175" t="n">
        <v>7</v>
      </c>
      <c r="G175" t="n">
        <v>479.68</v>
      </c>
      <c r="H175" t="n">
        <v>365.38</v>
      </c>
      <c r="I175" s="4">
        <f>(G175-H175)/H175</f>
        <v/>
      </c>
    </row>
    <row r="176">
      <c r="A176" s="6" t="n">
        <v>45938</v>
      </c>
      <c r="B176" t="inlineStr">
        <is>
          <t>Aïcha Bakala</t>
        </is>
      </c>
      <c r="C176" t="inlineStr">
        <is>
          <t>MINI-MARCHE ABOBO 34</t>
        </is>
      </c>
      <c r="D176" t="inlineStr">
        <is>
          <t>REF-0048</t>
        </is>
      </c>
      <c r="E176" t="inlineStr">
        <is>
          <t>Riz</t>
        </is>
      </c>
      <c r="F176" t="n">
        <v>16</v>
      </c>
      <c r="G176" t="n">
        <v>1273.09</v>
      </c>
      <c r="H176" t="n">
        <v>912.11</v>
      </c>
      <c r="I176" s="4">
        <f>(G176-H176)/H176</f>
        <v/>
      </c>
    </row>
    <row r="177">
      <c r="A177" s="6" t="n">
        <v>45938</v>
      </c>
      <c r="B177" t="inlineStr">
        <is>
          <t>Aïcha Bakala</t>
        </is>
      </c>
      <c r="C177" t="inlineStr">
        <is>
          <t>MINI-MARCHE ABOBO 34</t>
        </is>
      </c>
      <c r="D177" t="inlineStr">
        <is>
          <t>REF-0651</t>
        </is>
      </c>
      <c r="E177" t="inlineStr">
        <is>
          <t>Riz</t>
        </is>
      </c>
      <c r="F177" t="n">
        <v>5</v>
      </c>
      <c r="G177" t="n">
        <v>193.95</v>
      </c>
      <c r="H177" t="n">
        <v>155.16</v>
      </c>
      <c r="I177" s="4">
        <f>(G177-H177)/H177</f>
        <v/>
      </c>
    </row>
    <row r="178">
      <c r="A178" s="6" t="n">
        <v>45938</v>
      </c>
      <c r="B178" t="inlineStr">
        <is>
          <t>Nadège Kalala</t>
        </is>
      </c>
      <c r="C178" t="inlineStr">
        <is>
          <t>CANTINE TREICHVILLE 26</t>
        </is>
      </c>
      <c r="D178" t="inlineStr">
        <is>
          <t>REF-0930</t>
        </is>
      </c>
      <c r="E178" t="inlineStr">
        <is>
          <t>Conserves</t>
        </is>
      </c>
      <c r="F178" t="n">
        <v>20</v>
      </c>
      <c r="G178" t="n">
        <v>485.11</v>
      </c>
      <c r="H178" t="n">
        <v>362.04</v>
      </c>
      <c r="I178" s="4">
        <f>(G178-H178)/H178</f>
        <v/>
      </c>
    </row>
    <row r="179">
      <c r="A179" s="6" t="n">
        <v>45938</v>
      </c>
      <c r="B179" t="inlineStr">
        <is>
          <t>Nadège Kalala</t>
        </is>
      </c>
      <c r="C179" t="inlineStr">
        <is>
          <t>CANTINE TREICHVILLE 26</t>
        </is>
      </c>
      <c r="D179" t="inlineStr">
        <is>
          <t>REF-0107</t>
        </is>
      </c>
      <c r="E179" t="inlineStr">
        <is>
          <t>Huiles</t>
        </is>
      </c>
      <c r="F179" t="n">
        <v>20</v>
      </c>
      <c r="G179" t="n">
        <v>546.13</v>
      </c>
      <c r="H179" t="n">
        <v>357.41</v>
      </c>
      <c r="I179" s="4">
        <f>(G179-H179)/H179</f>
        <v/>
      </c>
    </row>
    <row r="180">
      <c r="A180" s="6" t="n">
        <v>45938</v>
      </c>
      <c r="B180" t="inlineStr">
        <is>
          <t>Patrick Ilunga</t>
        </is>
      </c>
      <c r="C180" t="inlineStr">
        <is>
          <t>SUPERMARCHE MATONGE 02</t>
        </is>
      </c>
      <c r="D180" t="inlineStr">
        <is>
          <t>REF-0120</t>
        </is>
      </c>
      <c r="E180" t="inlineStr">
        <is>
          <t>Boissons</t>
        </is>
      </c>
      <c r="F180" t="n">
        <v>30</v>
      </c>
      <c r="G180" t="n">
        <v>545.03</v>
      </c>
      <c r="H180" t="n">
        <v>427.48</v>
      </c>
      <c r="I180" s="4">
        <f>(G180-H180)/H180</f>
        <v/>
      </c>
    </row>
    <row r="181">
      <c r="A181" s="6" t="n">
        <v>45939</v>
      </c>
      <c r="B181" t="inlineStr">
        <is>
          <t>Aïcha Bakala</t>
        </is>
      </c>
      <c r="C181" t="inlineStr">
        <is>
          <t>EPICERIE COCODY 25</t>
        </is>
      </c>
      <c r="D181" t="inlineStr">
        <is>
          <t>REF-0595</t>
        </is>
      </c>
      <c r="E181" t="inlineStr">
        <is>
          <t>Savons</t>
        </is>
      </c>
      <c r="F181" t="n">
        <v>22</v>
      </c>
      <c r="G181" t="n">
        <v>373.8</v>
      </c>
      <c r="H181" t="n">
        <v>263.21</v>
      </c>
      <c r="I181" s="4">
        <f>(G181-H181)/H181</f>
        <v/>
      </c>
    </row>
    <row r="182">
      <c r="A182" s="6" t="n">
        <v>45939</v>
      </c>
      <c r="B182" t="inlineStr">
        <is>
          <t>Aïcha Bakala</t>
        </is>
      </c>
      <c r="C182" t="inlineStr">
        <is>
          <t>EPICERIE COCODY 25</t>
        </is>
      </c>
      <c r="D182" t="inlineStr">
        <is>
          <t>REF-0441</t>
        </is>
      </c>
      <c r="E182" t="inlineStr">
        <is>
          <t>Boissons</t>
        </is>
      </c>
      <c r="F182" t="n">
        <v>21</v>
      </c>
      <c r="G182" t="n">
        <v>170.11</v>
      </c>
      <c r="H182" t="n">
        <v>120.45</v>
      </c>
      <c r="I182" s="4">
        <f>(G182-H182)/H182</f>
        <v/>
      </c>
    </row>
    <row r="183">
      <c r="A183" s="6" t="n">
        <v>45939</v>
      </c>
      <c r="B183" t="inlineStr">
        <is>
          <t>Aïcha Bakala</t>
        </is>
      </c>
      <c r="C183" t="inlineStr">
        <is>
          <t>EPICERIE COCODY 25</t>
        </is>
      </c>
      <c r="D183" t="inlineStr">
        <is>
          <t>REF-0273</t>
        </is>
      </c>
      <c r="E183" t="inlineStr">
        <is>
          <t>Conserves</t>
        </is>
      </c>
      <c r="F183" t="n">
        <v>8</v>
      </c>
      <c r="G183" t="n">
        <v>184.62</v>
      </c>
      <c r="H183" t="n">
        <v>142.5</v>
      </c>
      <c r="I183" s="4">
        <f>(G183-H183)/H183</f>
        <v/>
      </c>
    </row>
    <row r="184">
      <c r="A184" s="6" t="n">
        <v>45939</v>
      </c>
      <c r="B184" t="inlineStr">
        <is>
          <t>Thomas Obiang</t>
        </is>
      </c>
      <c r="C184" t="inlineStr">
        <is>
          <t>GROSSISTE SANDAGA 28</t>
        </is>
      </c>
      <c r="D184" t="inlineStr">
        <is>
          <t>REF-0044</t>
        </is>
      </c>
      <c r="E184" t="inlineStr">
        <is>
          <t>Huiles</t>
        </is>
      </c>
      <c r="F184" t="n">
        <v>24</v>
      </c>
      <c r="G184" t="n">
        <v>566.17</v>
      </c>
      <c r="H184" t="n">
        <v>479.21</v>
      </c>
      <c r="I184" s="4">
        <f>(G184-H184)/H184</f>
        <v/>
      </c>
    </row>
    <row r="185">
      <c r="A185" s="6" t="n">
        <v>45939</v>
      </c>
      <c r="B185" t="inlineStr">
        <is>
          <t>Thomas Obiang</t>
        </is>
      </c>
      <c r="C185" t="inlineStr">
        <is>
          <t>GROSSISTE SANDAGA 28</t>
        </is>
      </c>
      <c r="D185" t="inlineStr">
        <is>
          <t>REF-0704</t>
        </is>
      </c>
      <c r="E185" t="inlineStr">
        <is>
          <t>Boissons</t>
        </is>
      </c>
      <c r="F185" t="n">
        <v>17</v>
      </c>
      <c r="G185" t="n">
        <v>211.43</v>
      </c>
      <c r="H185" t="n">
        <v>153.23</v>
      </c>
      <c r="I185" s="4">
        <f>(G185-H185)/H185</f>
        <v/>
      </c>
    </row>
    <row r="186">
      <c r="A186" s="6" t="n">
        <v>45939</v>
      </c>
      <c r="B186" t="inlineStr">
        <is>
          <t>Grace Kasongo</t>
        </is>
      </c>
      <c r="C186" t="inlineStr">
        <is>
          <t>MAGASIN NGIRI 30</t>
        </is>
      </c>
      <c r="D186" t="inlineStr">
        <is>
          <t>REF-0608</t>
        </is>
      </c>
      <c r="E186" t="inlineStr">
        <is>
          <t>Savons</t>
        </is>
      </c>
      <c r="F186" t="n">
        <v>24</v>
      </c>
      <c r="G186" t="n">
        <v>163.69</v>
      </c>
      <c r="H186" t="n">
        <v>118.6</v>
      </c>
      <c r="I186" s="4">
        <f>(G186-H186)/H186</f>
        <v/>
      </c>
    </row>
    <row r="187">
      <c r="A187" s="6" t="n">
        <v>45939</v>
      </c>
      <c r="B187" t="inlineStr">
        <is>
          <t>Grace Kasongo</t>
        </is>
      </c>
      <c r="C187" t="inlineStr">
        <is>
          <t>MAGASIN NGIRI 30</t>
        </is>
      </c>
      <c r="D187" t="inlineStr">
        <is>
          <t>REF-0334</t>
        </is>
      </c>
      <c r="E187" t="inlineStr">
        <is>
          <t>Riz</t>
        </is>
      </c>
      <c r="F187" t="n">
        <v>10</v>
      </c>
      <c r="G187" t="n">
        <v>661.76</v>
      </c>
      <c r="H187" t="n">
        <v>520.2</v>
      </c>
      <c r="I187" s="4">
        <f>(G187-H187)/H187</f>
        <v/>
      </c>
    </row>
    <row r="188">
      <c r="A188" s="6" t="n">
        <v>45939</v>
      </c>
      <c r="B188" t="inlineStr">
        <is>
          <t>Patrick Ilunga</t>
        </is>
      </c>
      <c r="C188" t="inlineStr">
        <is>
          <t>BOULANGERIE MEDINA 06</t>
        </is>
      </c>
      <c r="D188" t="inlineStr">
        <is>
          <t>REF-0605</t>
        </is>
      </c>
      <c r="E188" t="inlineStr">
        <is>
          <t>Farine</t>
        </is>
      </c>
      <c r="F188" t="n">
        <v>27</v>
      </c>
      <c r="G188" t="n">
        <v>549.0599999999999</v>
      </c>
      <c r="H188" t="n">
        <v>461.85</v>
      </c>
      <c r="I188" s="4">
        <f>(G188-H188)/H188</f>
        <v/>
      </c>
    </row>
    <row r="189">
      <c r="A189" s="6" t="n">
        <v>45939</v>
      </c>
      <c r="B189" t="inlineStr">
        <is>
          <t>Patrick Ilunga</t>
        </is>
      </c>
      <c r="C189" t="inlineStr">
        <is>
          <t>BOULANGERIE MEDINA 06</t>
        </is>
      </c>
      <c r="D189" t="inlineStr">
        <is>
          <t>REF-0441</t>
        </is>
      </c>
      <c r="E189" t="inlineStr">
        <is>
          <t>Boissons</t>
        </is>
      </c>
      <c r="F189" t="n">
        <v>25</v>
      </c>
      <c r="G189" t="n">
        <v>199.15</v>
      </c>
      <c r="H189" t="n">
        <v>164.94</v>
      </c>
      <c r="I189" s="4">
        <f>(G189-H189)/H189</f>
        <v/>
      </c>
    </row>
    <row r="190">
      <c r="A190" s="6" t="n">
        <v>45939</v>
      </c>
      <c r="B190" t="inlineStr">
        <is>
          <t>Patrick Ilunga</t>
        </is>
      </c>
      <c r="C190" t="inlineStr">
        <is>
          <t>BOULANGERIE MEDINA 06</t>
        </is>
      </c>
      <c r="D190" t="inlineStr">
        <is>
          <t>REF-0646</t>
        </is>
      </c>
      <c r="E190" t="inlineStr">
        <is>
          <t>Conserves</t>
        </is>
      </c>
      <c r="F190" t="n">
        <v>5</v>
      </c>
      <c r="G190" t="n">
        <v>54.61</v>
      </c>
      <c r="H190" t="n">
        <v>47.89</v>
      </c>
      <c r="I190" s="4">
        <f>(G190-H190)/H190</f>
        <v/>
      </c>
    </row>
    <row r="191">
      <c r="A191" s="6" t="n">
        <v>45939</v>
      </c>
      <c r="B191" t="inlineStr">
        <is>
          <t>Patrick Ilunga</t>
        </is>
      </c>
      <c r="C191" t="inlineStr">
        <is>
          <t>BOULANGERIE MEDINA 06</t>
        </is>
      </c>
      <c r="D191" t="inlineStr">
        <is>
          <t>REF-0553</t>
        </is>
      </c>
      <c r="E191" t="inlineStr">
        <is>
          <t>Boissons</t>
        </is>
      </c>
      <c r="F191" t="n">
        <v>13</v>
      </c>
      <c r="G191" t="n">
        <v>206.57</v>
      </c>
      <c r="H191" t="n">
        <v>131.41</v>
      </c>
      <c r="I191" s="4">
        <f>(G191-H191)/H191</f>
        <v/>
      </c>
    </row>
    <row r="192">
      <c r="A192" s="6" t="n">
        <v>45939</v>
      </c>
      <c r="B192" t="inlineStr">
        <is>
          <t>Patrick Ilunga</t>
        </is>
      </c>
      <c r="C192" t="inlineStr">
        <is>
          <t>BOULANGERIE MEDINA 06</t>
        </is>
      </c>
      <c r="D192" t="inlineStr">
        <is>
          <t>REF-0341</t>
        </is>
      </c>
      <c r="E192" t="inlineStr">
        <is>
          <t>Boissons</t>
        </is>
      </c>
      <c r="F192" t="n">
        <v>15</v>
      </c>
      <c r="G192" t="n">
        <v>317.28</v>
      </c>
      <c r="H192" t="n">
        <v>240.49</v>
      </c>
      <c r="I192" s="4">
        <f>(G192-H192)/H192</f>
        <v/>
      </c>
    </row>
    <row r="193">
      <c r="A193" s="6" t="n">
        <v>45939</v>
      </c>
      <c r="B193" t="inlineStr">
        <is>
          <t>Aïcha Bakala</t>
        </is>
      </c>
      <c r="C193" t="inlineStr">
        <is>
          <t>BOUTIQUE NGALULA 03</t>
        </is>
      </c>
      <c r="D193" t="inlineStr">
        <is>
          <t>REF-0859</t>
        </is>
      </c>
      <c r="E193" t="inlineStr">
        <is>
          <t>Farine</t>
        </is>
      </c>
      <c r="F193" t="n">
        <v>9</v>
      </c>
      <c r="G193" t="n">
        <v>294.39</v>
      </c>
      <c r="H193" t="n">
        <v>210.31</v>
      </c>
      <c r="I193" s="4">
        <f>(G193-H193)/H193</f>
        <v/>
      </c>
    </row>
    <row r="194">
      <c r="A194" s="6" t="n">
        <v>45939</v>
      </c>
      <c r="B194" t="inlineStr">
        <is>
          <t>Serge Tshibangu</t>
        </is>
      </c>
      <c r="C194" t="inlineStr">
        <is>
          <t>EPICERIE ABOBO 13</t>
        </is>
      </c>
      <c r="D194" t="inlineStr">
        <is>
          <t>REF-0623</t>
        </is>
      </c>
      <c r="E194" t="inlineStr">
        <is>
          <t>Riz</t>
        </is>
      </c>
      <c r="F194" t="n">
        <v>33</v>
      </c>
      <c r="G194" t="n">
        <v>1710.89</v>
      </c>
      <c r="H194" t="n">
        <v>1223.05</v>
      </c>
      <c r="I194" s="4">
        <f>(G194-H194)/H194</f>
        <v/>
      </c>
    </row>
    <row r="195">
      <c r="A195" s="6" t="n">
        <v>45939</v>
      </c>
      <c r="B195" t="inlineStr">
        <is>
          <t>Serge Tshibangu</t>
        </is>
      </c>
      <c r="C195" t="inlineStr">
        <is>
          <t>EPICERIE ABOBO 13</t>
        </is>
      </c>
      <c r="D195" t="inlineStr">
        <is>
          <t>REF-0404</t>
        </is>
      </c>
      <c r="E195" t="inlineStr">
        <is>
          <t>Farine</t>
        </is>
      </c>
      <c r="F195" t="n">
        <v>19</v>
      </c>
      <c r="G195" t="n">
        <v>936.37</v>
      </c>
      <c r="H195" t="n">
        <v>656.21</v>
      </c>
      <c r="I195" s="4">
        <f>(G195-H195)/H195</f>
        <v/>
      </c>
    </row>
    <row r="196">
      <c r="A196" s="6" t="n">
        <v>45939</v>
      </c>
      <c r="B196" t="inlineStr">
        <is>
          <t>Serge Tshibangu</t>
        </is>
      </c>
      <c r="C196" t="inlineStr">
        <is>
          <t>EPICERIE ABOBO 13</t>
        </is>
      </c>
      <c r="D196" t="inlineStr">
        <is>
          <t>REF-0621</t>
        </is>
      </c>
      <c r="E196" t="inlineStr">
        <is>
          <t>Conserves</t>
        </is>
      </c>
      <c r="F196" t="n">
        <v>13</v>
      </c>
      <c r="G196" t="n">
        <v>157.73</v>
      </c>
      <c r="H196" t="n">
        <v>122.07</v>
      </c>
      <c r="I196" s="4">
        <f>(G196-H196)/H196</f>
        <v/>
      </c>
    </row>
    <row r="197">
      <c r="A197" s="6" t="n">
        <v>45939</v>
      </c>
      <c r="B197" t="inlineStr">
        <is>
          <t>Thomas Obiang</t>
        </is>
      </c>
      <c r="C197" t="inlineStr">
        <is>
          <t>HOTEL KINTAMBO 24</t>
        </is>
      </c>
      <c r="D197" t="inlineStr">
        <is>
          <t>REF-0792</t>
        </is>
      </c>
      <c r="E197" t="inlineStr">
        <is>
          <t>Boissons</t>
        </is>
      </c>
      <c r="F197" t="n">
        <v>10</v>
      </c>
      <c r="G197" t="n">
        <v>225.32</v>
      </c>
      <c r="H197" t="n">
        <v>184.14</v>
      </c>
      <c r="I197" s="4">
        <f>(G197-H197)/H197</f>
        <v/>
      </c>
    </row>
    <row r="198">
      <c r="A198" s="6" t="n">
        <v>45939</v>
      </c>
      <c r="B198" t="inlineStr">
        <is>
          <t>Thomas Obiang</t>
        </is>
      </c>
      <c r="C198" t="inlineStr">
        <is>
          <t>HOTEL KINTAMBO 24</t>
        </is>
      </c>
      <c r="D198" t="inlineStr">
        <is>
          <t>REF-0796</t>
        </is>
      </c>
      <c r="E198" t="inlineStr">
        <is>
          <t>Huiles</t>
        </is>
      </c>
      <c r="F198" t="n">
        <v>9</v>
      </c>
      <c r="G198" t="n">
        <v>233.08</v>
      </c>
      <c r="H198" t="n">
        <v>184.31</v>
      </c>
      <c r="I198" s="4">
        <f>(G198-H198)/H198</f>
        <v/>
      </c>
    </row>
    <row r="199">
      <c r="A199" s="6" t="n">
        <v>45939</v>
      </c>
      <c r="B199" t="inlineStr">
        <is>
          <t>Thomas Obiang</t>
        </is>
      </c>
      <c r="C199" t="inlineStr">
        <is>
          <t>HOTEL KINTAMBO 24</t>
        </is>
      </c>
      <c r="D199" t="inlineStr">
        <is>
          <t>REF-0008</t>
        </is>
      </c>
      <c r="E199" t="inlineStr">
        <is>
          <t>Savons</t>
        </is>
      </c>
      <c r="F199" t="n">
        <v>4</v>
      </c>
      <c r="G199" t="n">
        <v>76.02</v>
      </c>
      <c r="H199" t="n">
        <v>48.55</v>
      </c>
      <c r="I199" s="4">
        <f>(G199-H199)/H199</f>
        <v/>
      </c>
    </row>
    <row r="200">
      <c r="A200" s="6" t="n">
        <v>45939</v>
      </c>
      <c r="B200" t="inlineStr">
        <is>
          <t>Thomas Obiang</t>
        </is>
      </c>
      <c r="C200" t="inlineStr">
        <is>
          <t>HOTEL KINTAMBO 24</t>
        </is>
      </c>
      <c r="D200" t="inlineStr">
        <is>
          <t>REF-0241</t>
        </is>
      </c>
      <c r="E200" t="inlineStr">
        <is>
          <t>Boissons</t>
        </is>
      </c>
      <c r="F200" t="n">
        <v>14</v>
      </c>
      <c r="G200" t="n">
        <v>170.31</v>
      </c>
      <c r="H200" t="n">
        <v>126.25</v>
      </c>
      <c r="I200" s="4">
        <f>(G200-H200)/H200</f>
        <v/>
      </c>
    </row>
    <row r="201">
      <c r="A201" s="6" t="n">
        <v>45939</v>
      </c>
      <c r="B201" t="inlineStr">
        <is>
          <t>Thomas Obiang</t>
        </is>
      </c>
      <c r="C201" t="inlineStr">
        <is>
          <t>HOTEL KINTAMBO 24</t>
        </is>
      </c>
      <c r="D201" t="inlineStr">
        <is>
          <t>REF-0896</t>
        </is>
      </c>
      <c r="E201" t="inlineStr">
        <is>
          <t>Huiles</t>
        </is>
      </c>
      <c r="F201" t="n">
        <v>9</v>
      </c>
      <c r="G201" t="n">
        <v>323.75</v>
      </c>
      <c r="H201" t="n">
        <v>270.34</v>
      </c>
      <c r="I201" s="4">
        <f>(G201-H201)/H201</f>
        <v/>
      </c>
    </row>
    <row r="202">
      <c r="A202" s="6" t="n">
        <v>45939</v>
      </c>
      <c r="B202" t="inlineStr">
        <is>
          <t>Serge Tshibangu</t>
        </is>
      </c>
      <c r="C202" t="inlineStr">
        <is>
          <t>MINI-MARCHE MASINA 27</t>
        </is>
      </c>
      <c r="D202" t="inlineStr">
        <is>
          <t>REF-0198</t>
        </is>
      </c>
      <c r="E202" t="inlineStr">
        <is>
          <t>Boissons</t>
        </is>
      </c>
      <c r="F202" t="n">
        <v>11</v>
      </c>
      <c r="G202" t="n">
        <v>107.63</v>
      </c>
      <c r="H202" t="n">
        <v>77.54000000000001</v>
      </c>
      <c r="I202" s="4">
        <f>(G202-H202)/H202</f>
        <v/>
      </c>
    </row>
    <row r="203">
      <c r="A203" s="6" t="n">
        <v>45939</v>
      </c>
      <c r="B203" t="inlineStr">
        <is>
          <t>Serge Tshibangu</t>
        </is>
      </c>
      <c r="C203" t="inlineStr">
        <is>
          <t>MINI-MARCHE MASINA 27</t>
        </is>
      </c>
      <c r="D203" t="inlineStr">
        <is>
          <t>REF-0560</t>
        </is>
      </c>
      <c r="E203" t="inlineStr">
        <is>
          <t>Farine</t>
        </is>
      </c>
      <c r="F203" t="n">
        <v>26</v>
      </c>
      <c r="G203" t="n">
        <v>827</v>
      </c>
      <c r="H203" t="n">
        <v>572.45</v>
      </c>
      <c r="I203" s="4">
        <f>(G203-H203)/H203</f>
        <v/>
      </c>
    </row>
    <row r="204">
      <c r="A204" s="6" t="n">
        <v>45939</v>
      </c>
      <c r="B204" t="inlineStr">
        <is>
          <t>Serge Tshibangu</t>
        </is>
      </c>
      <c r="C204" t="inlineStr">
        <is>
          <t>MINI-MARCHE MASINA 27</t>
        </is>
      </c>
      <c r="D204" t="inlineStr">
        <is>
          <t>REF-0902</t>
        </is>
      </c>
      <c r="E204" t="inlineStr">
        <is>
          <t>Savons</t>
        </is>
      </c>
      <c r="F204" t="n">
        <v>16</v>
      </c>
      <c r="G204" t="n">
        <v>279.48</v>
      </c>
      <c r="H204" t="n">
        <v>199.21</v>
      </c>
      <c r="I204" s="4">
        <f>(G204-H204)/H204</f>
        <v/>
      </c>
    </row>
    <row r="205">
      <c r="A205" s="6" t="n">
        <v>45940</v>
      </c>
      <c r="B205" t="inlineStr">
        <is>
          <t>Serge Tshibangu</t>
        </is>
      </c>
      <c r="C205" t="inlineStr">
        <is>
          <t>BOULANGERIE NDJILI 13</t>
        </is>
      </c>
      <c r="D205" t="inlineStr">
        <is>
          <t>REF-0060</t>
        </is>
      </c>
      <c r="E205" t="inlineStr">
        <is>
          <t>Riz</t>
        </is>
      </c>
      <c r="F205" t="n">
        <v>44</v>
      </c>
      <c r="G205" t="n">
        <v>2313.21</v>
      </c>
      <c r="H205" t="n">
        <v>1802.22</v>
      </c>
      <c r="I205" s="4">
        <f>(G205-H205)/H205</f>
        <v/>
      </c>
    </row>
    <row r="206">
      <c r="A206" s="6" t="n">
        <v>45940</v>
      </c>
      <c r="B206" t="inlineStr">
        <is>
          <t>Sylvie Nguema</t>
        </is>
      </c>
      <c r="C206" t="inlineStr">
        <is>
          <t>HOTEL GOMBE 22</t>
        </is>
      </c>
      <c r="D206" t="inlineStr">
        <is>
          <t>REF-0452</t>
        </is>
      </c>
      <c r="E206" t="inlineStr">
        <is>
          <t>Riz</t>
        </is>
      </c>
      <c r="F206" t="n">
        <v>12</v>
      </c>
      <c r="G206" t="n">
        <v>327.23</v>
      </c>
      <c r="H206" t="n">
        <v>228.65</v>
      </c>
      <c r="I206" s="4">
        <f>(G206-H206)/H206</f>
        <v/>
      </c>
    </row>
    <row r="207">
      <c r="A207" s="6" t="n">
        <v>45940</v>
      </c>
      <c r="B207" t="inlineStr">
        <is>
          <t>Sylvie Nguema</t>
        </is>
      </c>
      <c r="C207" t="inlineStr">
        <is>
          <t>HOTEL GOMBE 22</t>
        </is>
      </c>
      <c r="D207" t="inlineStr">
        <is>
          <t>REF-0186</t>
        </is>
      </c>
      <c r="E207" t="inlineStr">
        <is>
          <t>Huiles</t>
        </is>
      </c>
      <c r="F207" t="n">
        <v>9</v>
      </c>
      <c r="G207" t="n">
        <v>241.52</v>
      </c>
      <c r="H207" t="n">
        <v>160.69</v>
      </c>
      <c r="I207" s="4">
        <f>(G207-H207)/H207</f>
        <v/>
      </c>
    </row>
    <row r="208">
      <c r="A208" s="6" t="n">
        <v>45940</v>
      </c>
      <c r="B208" t="inlineStr">
        <is>
          <t>Sylvie Nguema</t>
        </is>
      </c>
      <c r="C208" t="inlineStr">
        <is>
          <t>HOTEL GOMBE 22</t>
        </is>
      </c>
      <c r="D208" t="inlineStr">
        <is>
          <t>REF-0166</t>
        </is>
      </c>
      <c r="E208" t="inlineStr">
        <is>
          <t>Huiles</t>
        </is>
      </c>
      <c r="F208" t="n">
        <v>9</v>
      </c>
      <c r="G208" t="n">
        <v>217.98</v>
      </c>
      <c r="H208" t="n">
        <v>135.84</v>
      </c>
      <c r="I208" s="4">
        <f>(G208-H208)/H208</f>
        <v/>
      </c>
    </row>
    <row r="209">
      <c r="A209" s="6" t="n">
        <v>45940</v>
      </c>
      <c r="B209" t="inlineStr">
        <is>
          <t>Sylvie Nguema</t>
        </is>
      </c>
      <c r="C209" t="inlineStr">
        <is>
          <t>HOTEL GOMBE 22</t>
        </is>
      </c>
      <c r="D209" t="inlineStr">
        <is>
          <t>REF-0257</t>
        </is>
      </c>
      <c r="E209" t="inlineStr">
        <is>
          <t>Huiles</t>
        </is>
      </c>
      <c r="F209" t="n">
        <v>20</v>
      </c>
      <c r="G209" t="n">
        <v>268.02</v>
      </c>
      <c r="H209" t="n">
        <v>175.27</v>
      </c>
      <c r="I209" s="4">
        <f>(G209-H209)/H209</f>
        <v/>
      </c>
    </row>
    <row r="210">
      <c r="A210" s="6" t="n">
        <v>45940</v>
      </c>
      <c r="B210" t="inlineStr">
        <is>
          <t>Sylvie Nguema</t>
        </is>
      </c>
      <c r="C210" t="inlineStr">
        <is>
          <t>HOTEL GOMBE 22</t>
        </is>
      </c>
      <c r="D210" t="inlineStr">
        <is>
          <t>REF-0457</t>
        </is>
      </c>
      <c r="E210" t="inlineStr">
        <is>
          <t>Boissons</t>
        </is>
      </c>
      <c r="F210" t="n">
        <v>14</v>
      </c>
      <c r="G210" t="n">
        <v>273.47</v>
      </c>
      <c r="H210" t="n">
        <v>217.89</v>
      </c>
      <c r="I210" s="4">
        <f>(G210-H210)/H210</f>
        <v/>
      </c>
    </row>
    <row r="211">
      <c r="A211" s="6" t="n">
        <v>45940</v>
      </c>
      <c r="B211" t="inlineStr">
        <is>
          <t>Grace Kasongo</t>
        </is>
      </c>
      <c r="C211" t="inlineStr">
        <is>
          <t>SUPERETTE SELEMBAO 15</t>
        </is>
      </c>
      <c r="D211" t="inlineStr">
        <is>
          <t>REF-0635</t>
        </is>
      </c>
      <c r="E211" t="inlineStr">
        <is>
          <t>Savons</t>
        </is>
      </c>
      <c r="F211" t="n">
        <v>11</v>
      </c>
      <c r="G211" t="n">
        <v>134.92</v>
      </c>
      <c r="H211" t="n">
        <v>85.98</v>
      </c>
      <c r="I211" s="4">
        <f>(G211-H211)/H211</f>
        <v/>
      </c>
    </row>
    <row r="212">
      <c r="A212" s="6" t="n">
        <v>45940</v>
      </c>
      <c r="B212" t="inlineStr">
        <is>
          <t>Grace Kasongo</t>
        </is>
      </c>
      <c r="C212" t="inlineStr">
        <is>
          <t>SUPERETTE SELEMBAO 15</t>
        </is>
      </c>
      <c r="D212" t="inlineStr">
        <is>
          <t>REF-0328</t>
        </is>
      </c>
      <c r="E212" t="inlineStr">
        <is>
          <t>Huiles</t>
        </is>
      </c>
      <c r="F212" t="n">
        <v>7</v>
      </c>
      <c r="G212" t="n">
        <v>209.04</v>
      </c>
      <c r="H212" t="n">
        <v>147.48</v>
      </c>
      <c r="I212" s="4">
        <f>(G212-H212)/H212</f>
        <v/>
      </c>
    </row>
    <row r="213">
      <c r="A213" s="6" t="n">
        <v>45940</v>
      </c>
      <c r="B213" t="inlineStr">
        <is>
          <t>Grace Kasongo</t>
        </is>
      </c>
      <c r="C213" t="inlineStr">
        <is>
          <t>SUPERETTE SELEMBAO 15</t>
        </is>
      </c>
      <c r="D213" t="inlineStr">
        <is>
          <t>REF-0872</t>
        </is>
      </c>
      <c r="E213" t="inlineStr">
        <is>
          <t>Riz</t>
        </is>
      </c>
      <c r="F213" t="n">
        <v>24</v>
      </c>
      <c r="G213" t="n">
        <v>1605.31</v>
      </c>
      <c r="H213" t="n">
        <v>1110.31</v>
      </c>
      <c r="I213" s="4">
        <f>(G213-H213)/H213</f>
        <v/>
      </c>
    </row>
    <row r="214">
      <c r="A214" s="6" t="n">
        <v>45940</v>
      </c>
      <c r="B214" t="inlineStr">
        <is>
          <t>Grace Kasongo</t>
        </is>
      </c>
      <c r="C214" t="inlineStr">
        <is>
          <t>BOUTIQUE TREICHVILLE 26</t>
        </is>
      </c>
      <c r="D214" t="inlineStr">
        <is>
          <t>REF-0192</t>
        </is>
      </c>
      <c r="E214" t="inlineStr">
        <is>
          <t>Huiles</t>
        </is>
      </c>
      <c r="F214" t="n">
        <v>3</v>
      </c>
      <c r="G214" t="n">
        <v>85.95999999999999</v>
      </c>
      <c r="H214" t="n">
        <v>71.43000000000001</v>
      </c>
      <c r="I214" s="4">
        <f>(G214-H214)/H214</f>
        <v/>
      </c>
    </row>
    <row r="215">
      <c r="A215" s="6" t="n">
        <v>45940</v>
      </c>
      <c r="B215" t="inlineStr">
        <is>
          <t>Grace Kasongo</t>
        </is>
      </c>
      <c r="C215" t="inlineStr">
        <is>
          <t>BOUTIQUE TREICHVILLE 26</t>
        </is>
      </c>
      <c r="D215" t="inlineStr">
        <is>
          <t>REF-0279</t>
        </is>
      </c>
      <c r="E215" t="inlineStr">
        <is>
          <t>Savons</t>
        </is>
      </c>
      <c r="F215" t="n">
        <v>5</v>
      </c>
      <c r="G215" t="n">
        <v>35.49</v>
      </c>
      <c r="H215" t="n">
        <v>29.66</v>
      </c>
      <c r="I215" s="4">
        <f>(G215-H215)/H215</f>
        <v/>
      </c>
    </row>
    <row r="216">
      <c r="A216" s="6" t="n">
        <v>45940</v>
      </c>
      <c r="B216" t="inlineStr">
        <is>
          <t>Patrick Ilunga</t>
        </is>
      </c>
      <c r="C216" t="inlineStr">
        <is>
          <t>BOUTIQUE GOMBE 12</t>
        </is>
      </c>
      <c r="D216" t="inlineStr">
        <is>
          <t>REF-0196</t>
        </is>
      </c>
      <c r="E216" t="inlineStr">
        <is>
          <t>Boissons</t>
        </is>
      </c>
      <c r="F216" t="n">
        <v>17</v>
      </c>
      <c r="G216" t="n">
        <v>402.69</v>
      </c>
      <c r="H216" t="n">
        <v>254.08</v>
      </c>
      <c r="I216" s="4">
        <f>(G216-H216)/H216</f>
        <v/>
      </c>
    </row>
    <row r="217">
      <c r="A217" s="6" t="n">
        <v>45940</v>
      </c>
      <c r="B217" t="inlineStr">
        <is>
          <t>Patrick Ilunga</t>
        </is>
      </c>
      <c r="C217" t="inlineStr">
        <is>
          <t>BOUTIQUE GOMBE 12</t>
        </is>
      </c>
      <c r="D217" t="inlineStr">
        <is>
          <t>REF-0706</t>
        </is>
      </c>
      <c r="E217" t="inlineStr">
        <is>
          <t>Riz</t>
        </is>
      </c>
      <c r="F217" t="n">
        <v>10</v>
      </c>
      <c r="G217" t="n">
        <v>426.55</v>
      </c>
      <c r="H217" t="n">
        <v>279.78</v>
      </c>
      <c r="I217" s="4">
        <f>(G217-H217)/H217</f>
        <v/>
      </c>
    </row>
    <row r="218">
      <c r="A218" s="6" t="n">
        <v>45940</v>
      </c>
      <c r="B218" t="inlineStr">
        <is>
          <t>Patrick Ilunga</t>
        </is>
      </c>
      <c r="C218" t="inlineStr">
        <is>
          <t>BOUTIQUE GOMBE 12</t>
        </is>
      </c>
      <c r="D218" t="inlineStr">
        <is>
          <t>REF-0185</t>
        </is>
      </c>
      <c r="E218" t="inlineStr">
        <is>
          <t>Farine</t>
        </is>
      </c>
      <c r="F218" t="n">
        <v>13</v>
      </c>
      <c r="G218" t="n">
        <v>540.35</v>
      </c>
      <c r="H218" t="n">
        <v>370.75</v>
      </c>
      <c r="I218" s="4">
        <f>(G218-H218)/H218</f>
        <v/>
      </c>
    </row>
    <row r="219">
      <c r="A219" s="6" t="n">
        <v>45940</v>
      </c>
      <c r="B219" t="inlineStr">
        <is>
          <t>Patrick Ilunga</t>
        </is>
      </c>
      <c r="C219" t="inlineStr">
        <is>
          <t>BOUTIQUE GOMBE 12</t>
        </is>
      </c>
      <c r="D219" t="inlineStr">
        <is>
          <t>REF-0155</t>
        </is>
      </c>
      <c r="E219" t="inlineStr">
        <is>
          <t>Boissons</t>
        </is>
      </c>
      <c r="F219" t="n">
        <v>36</v>
      </c>
      <c r="G219" t="n">
        <v>462.52</v>
      </c>
      <c r="H219" t="n">
        <v>305.3</v>
      </c>
      <c r="I219" s="4">
        <f>(G219-H219)/H219</f>
        <v/>
      </c>
    </row>
    <row r="220">
      <c r="A220" s="6" t="n">
        <v>45940</v>
      </c>
      <c r="B220" t="inlineStr">
        <is>
          <t>Sylvie Nguema</t>
        </is>
      </c>
      <c r="C220" t="inlineStr">
        <is>
          <t>KIOSQUE COCODY 27</t>
        </is>
      </c>
      <c r="D220" t="inlineStr">
        <is>
          <t>REF-0745</t>
        </is>
      </c>
      <c r="E220" t="inlineStr">
        <is>
          <t>Boissons</t>
        </is>
      </c>
      <c r="F220" t="n">
        <v>11</v>
      </c>
      <c r="G220" t="n">
        <v>231.22</v>
      </c>
      <c r="H220" t="n">
        <v>172.14</v>
      </c>
      <c r="I220" s="4">
        <f>(G220-H220)/H220</f>
        <v/>
      </c>
    </row>
    <row r="221">
      <c r="A221" s="6" t="n">
        <v>45940</v>
      </c>
      <c r="B221" t="inlineStr">
        <is>
          <t>Sylvie Nguema</t>
        </is>
      </c>
      <c r="C221" t="inlineStr">
        <is>
          <t>KIOSQUE COCODY 27</t>
        </is>
      </c>
      <c r="D221" t="inlineStr">
        <is>
          <t>REF-0281</t>
        </is>
      </c>
      <c r="E221" t="inlineStr">
        <is>
          <t>Savons</t>
        </is>
      </c>
      <c r="F221" t="n">
        <v>5</v>
      </c>
      <c r="G221" t="n">
        <v>86.23999999999999</v>
      </c>
      <c r="H221" t="n">
        <v>74.61</v>
      </c>
      <c r="I221" s="4">
        <f>(G221-H221)/H221</f>
        <v/>
      </c>
    </row>
    <row r="222">
      <c r="A222" s="6" t="n">
        <v>45940</v>
      </c>
      <c r="B222" t="inlineStr">
        <is>
          <t>Sylvie Nguema</t>
        </is>
      </c>
      <c r="C222" t="inlineStr">
        <is>
          <t>KIOSQUE COCODY 27</t>
        </is>
      </c>
      <c r="D222" t="inlineStr">
        <is>
          <t>REF-0193</t>
        </is>
      </c>
      <c r="E222" t="inlineStr">
        <is>
          <t>Riz</t>
        </is>
      </c>
      <c r="F222" t="n">
        <v>5</v>
      </c>
      <c r="G222" t="n">
        <v>321.38</v>
      </c>
      <c r="H222" t="n">
        <v>232.86</v>
      </c>
      <c r="I222" s="4">
        <f>(G222-H222)/H222</f>
        <v/>
      </c>
    </row>
    <row r="223">
      <c r="A223" s="6" t="n">
        <v>45940</v>
      </c>
      <c r="B223" t="inlineStr">
        <is>
          <t>Sylvie Nguema</t>
        </is>
      </c>
      <c r="C223" t="inlineStr">
        <is>
          <t>KIOSQUE COCODY 27</t>
        </is>
      </c>
      <c r="D223" t="inlineStr">
        <is>
          <t>REF-0512</t>
        </is>
      </c>
      <c r="E223" t="inlineStr">
        <is>
          <t>Huiles</t>
        </is>
      </c>
      <c r="F223" t="n">
        <v>28</v>
      </c>
      <c r="G223" t="n">
        <v>517.04</v>
      </c>
      <c r="H223" t="n">
        <v>412.06</v>
      </c>
      <c r="I223" s="4">
        <f>(G223-H223)/H223</f>
        <v/>
      </c>
    </row>
    <row r="224">
      <c r="A224" s="6" t="n">
        <v>45940</v>
      </c>
      <c r="B224" t="inlineStr">
        <is>
          <t>Sylvie Nguema</t>
        </is>
      </c>
      <c r="C224" t="inlineStr">
        <is>
          <t>KIOSQUE COCODY 27</t>
        </is>
      </c>
      <c r="D224" t="inlineStr">
        <is>
          <t>REF-0533</t>
        </is>
      </c>
      <c r="E224" t="inlineStr">
        <is>
          <t>Riz</t>
        </is>
      </c>
      <c r="F224" t="n">
        <v>24</v>
      </c>
      <c r="G224" t="n">
        <v>1832.45</v>
      </c>
      <c r="H224" t="n">
        <v>1378.64</v>
      </c>
      <c r="I224" s="4">
        <f>(G224-H224)/H224</f>
        <v/>
      </c>
    </row>
    <row r="225">
      <c r="A225" s="6" t="n">
        <v>45940</v>
      </c>
      <c r="B225" t="inlineStr">
        <is>
          <t>Sylvie Nguema</t>
        </is>
      </c>
      <c r="C225" t="inlineStr">
        <is>
          <t>SUPERETTE LIKASI 27</t>
        </is>
      </c>
      <c r="D225" t="inlineStr">
        <is>
          <t>REF-0506</t>
        </is>
      </c>
      <c r="E225" t="inlineStr">
        <is>
          <t>Huiles</t>
        </is>
      </c>
      <c r="F225" t="n">
        <v>20</v>
      </c>
      <c r="G225" t="n">
        <v>508.57</v>
      </c>
      <c r="H225" t="n">
        <v>437.22</v>
      </c>
      <c r="I225" s="4">
        <f>(G225-H225)/H225</f>
        <v/>
      </c>
    </row>
    <row r="226">
      <c r="A226" s="6" t="n">
        <v>45940</v>
      </c>
      <c r="B226" t="inlineStr">
        <is>
          <t>Sylvie Nguema</t>
        </is>
      </c>
      <c r="C226" t="inlineStr">
        <is>
          <t>SUPERETTE LIKASI 27</t>
        </is>
      </c>
      <c r="D226" t="inlineStr">
        <is>
          <t>REF-0270</t>
        </is>
      </c>
      <c r="E226" t="inlineStr">
        <is>
          <t>Conserves</t>
        </is>
      </c>
      <c r="F226" t="n">
        <v>7</v>
      </c>
      <c r="G226" t="n">
        <v>105.64</v>
      </c>
      <c r="H226" t="n">
        <v>76.28</v>
      </c>
      <c r="I226" s="4">
        <f>(G226-H226)/H226</f>
        <v/>
      </c>
    </row>
    <row r="227">
      <c r="A227" s="6" t="n">
        <v>45940</v>
      </c>
      <c r="B227" t="inlineStr">
        <is>
          <t>Sylvie Nguema</t>
        </is>
      </c>
      <c r="C227" t="inlineStr">
        <is>
          <t>SUPERETTE LIKASI 27</t>
        </is>
      </c>
      <c r="D227" t="inlineStr">
        <is>
          <t>REF-0581</t>
        </is>
      </c>
      <c r="E227" t="inlineStr">
        <is>
          <t>Huiles</t>
        </is>
      </c>
      <c r="F227" t="n">
        <v>2</v>
      </c>
      <c r="G227" t="n">
        <v>41.95</v>
      </c>
      <c r="H227" t="n">
        <v>33.23</v>
      </c>
      <c r="I227" s="4">
        <f>(G227-H227)/H227</f>
        <v/>
      </c>
    </row>
    <row r="228">
      <c r="A228" s="6" t="n">
        <v>45940</v>
      </c>
      <c r="B228" t="inlineStr">
        <is>
          <t>Sylvie Nguema</t>
        </is>
      </c>
      <c r="C228" t="inlineStr">
        <is>
          <t>SUPERETTE LIKASI 27</t>
        </is>
      </c>
      <c r="D228" t="inlineStr">
        <is>
          <t>REF-0116</t>
        </is>
      </c>
      <c r="E228" t="inlineStr">
        <is>
          <t>Boissons</t>
        </is>
      </c>
      <c r="F228" t="n">
        <v>5</v>
      </c>
      <c r="G228" t="n">
        <v>111.41</v>
      </c>
      <c r="H228" t="n">
        <v>72.5</v>
      </c>
      <c r="I228" s="4">
        <f>(G228-H228)/H228</f>
        <v/>
      </c>
    </row>
    <row r="229">
      <c r="A229" s="6" t="n">
        <v>45940</v>
      </c>
      <c r="B229" t="inlineStr">
        <is>
          <t>Sylvie Nguema</t>
        </is>
      </c>
      <c r="C229" t="inlineStr">
        <is>
          <t>SUPERETTE LIKASI 27</t>
        </is>
      </c>
      <c r="D229" t="inlineStr">
        <is>
          <t>REF-0366</t>
        </is>
      </c>
      <c r="E229" t="inlineStr">
        <is>
          <t>Boissons</t>
        </is>
      </c>
      <c r="F229" t="n">
        <v>8</v>
      </c>
      <c r="G229" t="n">
        <v>77.20999999999999</v>
      </c>
      <c r="H229" t="n">
        <v>55.35</v>
      </c>
      <c r="I229" s="4">
        <f>(G229-H229)/H229</f>
        <v/>
      </c>
    </row>
    <row r="230">
      <c r="A230" s="6" t="n">
        <v>45940</v>
      </c>
      <c r="B230" t="inlineStr">
        <is>
          <t>Serge Tshibangu</t>
        </is>
      </c>
      <c r="C230" t="inlineStr">
        <is>
          <t>CANTINE SANDAGA 40</t>
        </is>
      </c>
      <c r="D230" t="inlineStr">
        <is>
          <t>REF-0669</t>
        </is>
      </c>
      <c r="E230" t="inlineStr">
        <is>
          <t>Riz</t>
        </is>
      </c>
      <c r="F230" t="n">
        <v>22</v>
      </c>
      <c r="G230" t="n">
        <v>1659.87</v>
      </c>
      <c r="H230" t="n">
        <v>1044.53</v>
      </c>
      <c r="I230" s="4">
        <f>(G230-H230)/H230</f>
        <v/>
      </c>
    </row>
    <row r="231">
      <c r="A231" s="6" t="n">
        <v>45940</v>
      </c>
      <c r="B231" t="inlineStr">
        <is>
          <t>Serge Tshibangu</t>
        </is>
      </c>
      <c r="C231" t="inlineStr">
        <is>
          <t>CANTINE SANDAGA 40</t>
        </is>
      </c>
      <c r="D231" t="inlineStr">
        <is>
          <t>REF-0589</t>
        </is>
      </c>
      <c r="E231" t="inlineStr">
        <is>
          <t>Savons</t>
        </is>
      </c>
      <c r="F231" t="n">
        <v>18</v>
      </c>
      <c r="G231" t="n">
        <v>141.2</v>
      </c>
      <c r="H231" t="n">
        <v>106.38</v>
      </c>
      <c r="I231" s="4">
        <f>(G231-H231)/H231</f>
        <v/>
      </c>
    </row>
    <row r="232">
      <c r="A232" s="6" t="n">
        <v>45940</v>
      </c>
      <c r="B232" t="inlineStr">
        <is>
          <t>Grace Kasongo</t>
        </is>
      </c>
      <c r="C232" t="inlineStr">
        <is>
          <t>RESTAURANT PLATEAU 32</t>
        </is>
      </c>
      <c r="D232" t="inlineStr">
        <is>
          <t>REF-0579</t>
        </is>
      </c>
      <c r="E232" t="inlineStr">
        <is>
          <t>Conserves</t>
        </is>
      </c>
      <c r="F232" t="n">
        <v>18</v>
      </c>
      <c r="G232" t="n">
        <v>261.53</v>
      </c>
      <c r="H232" t="n">
        <v>205.3</v>
      </c>
      <c r="I232" s="4">
        <f>(G232-H232)/H232</f>
        <v/>
      </c>
    </row>
    <row r="233">
      <c r="A233" s="6" t="n">
        <v>45940</v>
      </c>
      <c r="B233" t="inlineStr">
        <is>
          <t>Nadège Kalala</t>
        </is>
      </c>
      <c r="C233" t="inlineStr">
        <is>
          <t>MAGASIN YOPOUGON 19</t>
        </is>
      </c>
      <c r="D233" t="inlineStr">
        <is>
          <t>REF-0340</t>
        </is>
      </c>
      <c r="E233" t="inlineStr">
        <is>
          <t>Riz</t>
        </is>
      </c>
      <c r="F233" t="n">
        <v>34</v>
      </c>
      <c r="G233" t="n">
        <v>1831.35</v>
      </c>
      <c r="H233" t="n">
        <v>1227.14</v>
      </c>
      <c r="I233" s="4">
        <f>(G233-H233)/H233</f>
        <v/>
      </c>
    </row>
    <row r="234">
      <c r="A234" s="6" t="n">
        <v>45940</v>
      </c>
      <c r="B234" t="inlineStr">
        <is>
          <t>Nadège Kalala</t>
        </is>
      </c>
      <c r="C234" t="inlineStr">
        <is>
          <t>MAGASIN YOPOUGON 19</t>
        </is>
      </c>
      <c r="D234" t="inlineStr">
        <is>
          <t>REF-0327</t>
        </is>
      </c>
      <c r="E234" t="inlineStr">
        <is>
          <t>Riz</t>
        </is>
      </c>
      <c r="F234" t="n">
        <v>19</v>
      </c>
      <c r="G234" t="n">
        <v>493.7</v>
      </c>
      <c r="H234" t="n">
        <v>367.87</v>
      </c>
      <c r="I234" s="4">
        <f>(G234-H234)/H234</f>
        <v/>
      </c>
    </row>
    <row r="235">
      <c r="A235" s="6" t="n">
        <v>45940</v>
      </c>
      <c r="B235" t="inlineStr">
        <is>
          <t>Nadège Kalala</t>
        </is>
      </c>
      <c r="C235" t="inlineStr">
        <is>
          <t>MAGASIN YOPOUGON 19</t>
        </is>
      </c>
      <c r="D235" t="inlineStr">
        <is>
          <t>REF-0004</t>
        </is>
      </c>
      <c r="E235" t="inlineStr">
        <is>
          <t>Savons</t>
        </is>
      </c>
      <c r="F235" t="n">
        <v>22</v>
      </c>
      <c r="G235" t="n">
        <v>242.11</v>
      </c>
      <c r="H235" t="n">
        <v>193.03</v>
      </c>
      <c r="I235" s="4">
        <f>(G235-H235)/H235</f>
        <v/>
      </c>
    </row>
    <row r="236">
      <c r="A236" s="6" t="n">
        <v>45940</v>
      </c>
      <c r="B236" t="inlineStr">
        <is>
          <t>Sylvie Nguema</t>
        </is>
      </c>
      <c r="C236" t="inlineStr">
        <is>
          <t>DEPOT AKANDA 20</t>
        </is>
      </c>
      <c r="D236" t="inlineStr">
        <is>
          <t>REF-0425</t>
        </is>
      </c>
      <c r="E236" t="inlineStr">
        <is>
          <t>Savons</t>
        </is>
      </c>
      <c r="F236" t="n">
        <v>21</v>
      </c>
      <c r="G236" t="n">
        <v>171.34</v>
      </c>
      <c r="H236" t="n">
        <v>120.68</v>
      </c>
      <c r="I236" s="4">
        <f>(G236-H236)/H236</f>
        <v/>
      </c>
    </row>
    <row r="237">
      <c r="A237" s="6" t="n">
        <v>45940</v>
      </c>
      <c r="B237" t="inlineStr">
        <is>
          <t>Sylvie Nguema</t>
        </is>
      </c>
      <c r="C237" t="inlineStr">
        <is>
          <t>DEPOT AKANDA 20</t>
        </is>
      </c>
      <c r="D237" t="inlineStr">
        <is>
          <t>REF-0411</t>
        </is>
      </c>
      <c r="E237" t="inlineStr">
        <is>
          <t>Huiles</t>
        </is>
      </c>
      <c r="F237" t="n">
        <v>16</v>
      </c>
      <c r="G237" t="n">
        <v>416.35</v>
      </c>
      <c r="H237" t="n">
        <v>359.15</v>
      </c>
      <c r="I237" s="4">
        <f>(G237-H237)/H237</f>
        <v/>
      </c>
    </row>
    <row r="238">
      <c r="A238" s="6" t="n">
        <v>45940</v>
      </c>
      <c r="B238" t="inlineStr">
        <is>
          <t>Sylvie Nguema</t>
        </is>
      </c>
      <c r="C238" t="inlineStr">
        <is>
          <t>DEPOT AKANDA 20</t>
        </is>
      </c>
      <c r="D238" t="inlineStr">
        <is>
          <t>REF-0347</t>
        </is>
      </c>
      <c r="E238" t="inlineStr">
        <is>
          <t>Riz</t>
        </is>
      </c>
      <c r="F238" t="n">
        <v>22</v>
      </c>
      <c r="G238" t="n">
        <v>1079.41</v>
      </c>
      <c r="H238" t="n">
        <v>690.3200000000001</v>
      </c>
      <c r="I238" s="4">
        <f>(G238-H238)/H238</f>
        <v/>
      </c>
    </row>
    <row r="239">
      <c r="A239" s="6" t="n">
        <v>45941</v>
      </c>
      <c r="B239" t="inlineStr">
        <is>
          <t>Nadège Kalala</t>
        </is>
      </c>
      <c r="C239" t="inlineStr">
        <is>
          <t>SUPERETTE DEIDO 10</t>
        </is>
      </c>
      <c r="D239" t="inlineStr">
        <is>
          <t>REF-0554</t>
        </is>
      </c>
      <c r="E239" t="inlineStr">
        <is>
          <t>Riz</t>
        </is>
      </c>
      <c r="F239" t="n">
        <v>14</v>
      </c>
      <c r="G239" t="n">
        <v>964.8</v>
      </c>
      <c r="H239" t="n">
        <v>688.24</v>
      </c>
      <c r="I239" s="4">
        <f>(G239-H239)/H239</f>
        <v/>
      </c>
    </row>
    <row r="240">
      <c r="A240" s="6" t="n">
        <v>45941</v>
      </c>
      <c r="B240" t="inlineStr">
        <is>
          <t>Nadège Kalala</t>
        </is>
      </c>
      <c r="C240" t="inlineStr">
        <is>
          <t>SUPERETTE DEIDO 10</t>
        </is>
      </c>
      <c r="D240" t="inlineStr">
        <is>
          <t>REF-0916</t>
        </is>
      </c>
      <c r="E240" t="inlineStr">
        <is>
          <t>Huiles</t>
        </is>
      </c>
      <c r="F240" t="n">
        <v>13</v>
      </c>
      <c r="G240" t="n">
        <v>314.24</v>
      </c>
      <c r="H240" t="n">
        <v>274.84</v>
      </c>
      <c r="I240" s="4">
        <f>(G240-H240)/H240</f>
        <v/>
      </c>
    </row>
    <row r="241">
      <c r="A241" s="6" t="n">
        <v>45941</v>
      </c>
      <c r="B241" t="inlineStr">
        <is>
          <t>Nadège Kalala</t>
        </is>
      </c>
      <c r="C241" t="inlineStr">
        <is>
          <t>SUPERETTE DEIDO 10</t>
        </is>
      </c>
      <c r="D241" t="inlineStr">
        <is>
          <t>REF-0759</t>
        </is>
      </c>
      <c r="E241" t="inlineStr">
        <is>
          <t>Farine</t>
        </is>
      </c>
      <c r="F241" t="n">
        <v>11</v>
      </c>
      <c r="G241" t="n">
        <v>382.56</v>
      </c>
      <c r="H241" t="n">
        <v>333.6</v>
      </c>
      <c r="I241" s="4">
        <f>(G241-H241)/H241</f>
        <v/>
      </c>
    </row>
    <row r="242">
      <c r="A242" s="6" t="n">
        <v>45941</v>
      </c>
      <c r="B242" t="inlineStr">
        <is>
          <t>Nadège Kalala</t>
        </is>
      </c>
      <c r="C242" t="inlineStr">
        <is>
          <t>SUPERETTE DEIDO 10</t>
        </is>
      </c>
      <c r="D242" t="inlineStr">
        <is>
          <t>REF-0732</t>
        </is>
      </c>
      <c r="E242" t="inlineStr">
        <is>
          <t>Conserves</t>
        </is>
      </c>
      <c r="F242" t="n">
        <v>13</v>
      </c>
      <c r="G242" t="n">
        <v>282.91</v>
      </c>
      <c r="H242" t="n">
        <v>211.81</v>
      </c>
      <c r="I242" s="4">
        <f>(G242-H242)/H242</f>
        <v/>
      </c>
    </row>
    <row r="243">
      <c r="A243" s="6" t="n">
        <v>45941</v>
      </c>
      <c r="B243" t="inlineStr">
        <is>
          <t>Thomas Obiang</t>
        </is>
      </c>
      <c r="C243" t="inlineStr">
        <is>
          <t>HOTEL GOMBE 22</t>
        </is>
      </c>
      <c r="D243" t="inlineStr">
        <is>
          <t>REF-0214</t>
        </is>
      </c>
      <c r="E243" t="inlineStr">
        <is>
          <t>Boissons</t>
        </is>
      </c>
      <c r="F243" t="n">
        <v>53</v>
      </c>
      <c r="G243" t="n">
        <v>1099.98</v>
      </c>
      <c r="H243" t="n">
        <v>732.1799999999999</v>
      </c>
      <c r="I243" s="4">
        <f>(G243-H243)/H243</f>
        <v/>
      </c>
    </row>
    <row r="244">
      <c r="A244" s="6" t="n">
        <v>45941</v>
      </c>
      <c r="B244" t="inlineStr">
        <is>
          <t>Thomas Obiang</t>
        </is>
      </c>
      <c r="C244" t="inlineStr">
        <is>
          <t>HOTEL GOMBE 22</t>
        </is>
      </c>
      <c r="D244" t="inlineStr">
        <is>
          <t>REF-0478</t>
        </is>
      </c>
      <c r="E244" t="inlineStr">
        <is>
          <t>Savons</t>
        </is>
      </c>
      <c r="F244" t="n">
        <v>14</v>
      </c>
      <c r="G244" t="n">
        <v>220.41</v>
      </c>
      <c r="H244" t="n">
        <v>155.68</v>
      </c>
      <c r="I244" s="4">
        <f>(G244-H244)/H244</f>
        <v/>
      </c>
    </row>
    <row r="245">
      <c r="A245" s="6" t="n">
        <v>45941</v>
      </c>
      <c r="B245" t="inlineStr">
        <is>
          <t>Thomas Obiang</t>
        </is>
      </c>
      <c r="C245" t="inlineStr">
        <is>
          <t>HOTEL GOMBE 22</t>
        </is>
      </c>
      <c r="D245" t="inlineStr">
        <is>
          <t>REF-0845</t>
        </is>
      </c>
      <c r="E245" t="inlineStr">
        <is>
          <t>Huiles</t>
        </is>
      </c>
      <c r="F245" t="n">
        <v>16</v>
      </c>
      <c r="G245" t="n">
        <v>226.86</v>
      </c>
      <c r="H245" t="n">
        <v>164.55</v>
      </c>
      <c r="I245" s="4">
        <f>(G245-H245)/H245</f>
        <v/>
      </c>
    </row>
    <row r="246">
      <c r="A246" s="6" t="n">
        <v>45941</v>
      </c>
      <c r="B246" t="inlineStr">
        <is>
          <t>Patrick Ilunga</t>
        </is>
      </c>
      <c r="C246" t="inlineStr">
        <is>
          <t>MAGASIN TREICHVILLE 32</t>
        </is>
      </c>
      <c r="D246" t="inlineStr">
        <is>
          <t>REF-0852</t>
        </is>
      </c>
      <c r="E246" t="inlineStr">
        <is>
          <t>Huiles</t>
        </is>
      </c>
      <c r="F246" t="n">
        <v>12</v>
      </c>
      <c r="G246" t="n">
        <v>422.69</v>
      </c>
      <c r="H246" t="n">
        <v>301.47</v>
      </c>
      <c r="I246" s="4">
        <f>(G246-H246)/H246</f>
        <v/>
      </c>
    </row>
    <row r="247">
      <c r="A247" s="6" t="n">
        <v>45941</v>
      </c>
      <c r="B247" t="inlineStr">
        <is>
          <t>Patrick Ilunga</t>
        </is>
      </c>
      <c r="C247" t="inlineStr">
        <is>
          <t>MAGASIN TREICHVILLE 32</t>
        </is>
      </c>
      <c r="D247" t="inlineStr">
        <is>
          <t>REF-0584</t>
        </is>
      </c>
      <c r="E247" t="inlineStr">
        <is>
          <t>Savons</t>
        </is>
      </c>
      <c r="F247" t="n">
        <v>17</v>
      </c>
      <c r="G247" t="n">
        <v>156.79</v>
      </c>
      <c r="H247" t="n">
        <v>114.87</v>
      </c>
      <c r="I247" s="4">
        <f>(G247-H247)/H247</f>
        <v/>
      </c>
    </row>
    <row r="248">
      <c r="A248" s="6" t="n">
        <v>45941</v>
      </c>
      <c r="B248" t="inlineStr">
        <is>
          <t>Patrick Ilunga</t>
        </is>
      </c>
      <c r="C248" t="inlineStr">
        <is>
          <t>MAGASIN TREICHVILLE 32</t>
        </is>
      </c>
      <c r="D248" t="inlineStr">
        <is>
          <t>REF-0631</t>
        </is>
      </c>
      <c r="E248" t="inlineStr">
        <is>
          <t>Conserves</t>
        </is>
      </c>
      <c r="F248" t="n">
        <v>9</v>
      </c>
      <c r="G248" t="n">
        <v>123.37</v>
      </c>
      <c r="H248" t="n">
        <v>88.01000000000001</v>
      </c>
      <c r="I248" s="4">
        <f>(G248-H248)/H248</f>
        <v/>
      </c>
    </row>
    <row r="249">
      <c r="A249" s="6" t="n">
        <v>45941</v>
      </c>
      <c r="B249" t="inlineStr">
        <is>
          <t>Aïcha Bakala</t>
        </is>
      </c>
      <c r="C249" t="inlineStr">
        <is>
          <t>BOULANGERIE KATUBA 29</t>
        </is>
      </c>
      <c r="D249" t="inlineStr">
        <is>
          <t>REF-0647</t>
        </is>
      </c>
      <c r="E249" t="inlineStr">
        <is>
          <t>Huiles</t>
        </is>
      </c>
      <c r="F249" t="n">
        <v>30</v>
      </c>
      <c r="G249" t="n">
        <v>858.6799999999999</v>
      </c>
      <c r="H249" t="n">
        <v>730.26</v>
      </c>
      <c r="I249" s="4">
        <f>(G249-H249)/H249</f>
        <v/>
      </c>
    </row>
    <row r="250">
      <c r="A250" s="6" t="n">
        <v>45941</v>
      </c>
      <c r="B250" t="inlineStr">
        <is>
          <t>Aïcha Bakala</t>
        </is>
      </c>
      <c r="C250" t="inlineStr">
        <is>
          <t>BOULANGERIE KATUBA 29</t>
        </is>
      </c>
      <c r="D250" t="inlineStr">
        <is>
          <t>REF-0003</t>
        </is>
      </c>
      <c r="E250" t="inlineStr">
        <is>
          <t>Riz</t>
        </is>
      </c>
      <c r="F250" t="n">
        <v>26</v>
      </c>
      <c r="G250" t="n">
        <v>666.83</v>
      </c>
      <c r="H250" t="n">
        <v>420.13</v>
      </c>
      <c r="I250" s="4">
        <f>(G250-H250)/H250</f>
        <v/>
      </c>
    </row>
    <row r="251">
      <c r="A251" s="6" t="n">
        <v>45941</v>
      </c>
      <c r="B251" t="inlineStr">
        <is>
          <t>Grace Kasongo</t>
        </is>
      </c>
      <c r="C251" t="inlineStr">
        <is>
          <t>ALIMENTATION DEIDO 02</t>
        </is>
      </c>
      <c r="D251" t="inlineStr">
        <is>
          <t>REF-0203</t>
        </is>
      </c>
      <c r="E251" t="inlineStr">
        <is>
          <t>Savons</t>
        </is>
      </c>
      <c r="F251" t="n">
        <v>31</v>
      </c>
      <c r="G251" t="n">
        <v>522.27</v>
      </c>
      <c r="H251" t="n">
        <v>438.86</v>
      </c>
      <c r="I251" s="4">
        <f>(G251-H251)/H251</f>
        <v/>
      </c>
    </row>
    <row r="252">
      <c r="A252" s="6" t="n">
        <v>45941</v>
      </c>
      <c r="B252" t="inlineStr">
        <is>
          <t>Grace Kasongo</t>
        </is>
      </c>
      <c r="C252" t="inlineStr">
        <is>
          <t>ALIMENTATION DEIDO 02</t>
        </is>
      </c>
      <c r="D252" t="inlineStr">
        <is>
          <t>REF-0477</t>
        </is>
      </c>
      <c r="E252" t="inlineStr">
        <is>
          <t>Riz</t>
        </is>
      </c>
      <c r="F252" t="n">
        <v>29</v>
      </c>
      <c r="G252" t="n">
        <v>1934.64</v>
      </c>
      <c r="H252" t="n">
        <v>1389.21</v>
      </c>
      <c r="I252" s="4">
        <f>(G252-H252)/H252</f>
        <v/>
      </c>
    </row>
    <row r="253">
      <c r="A253" s="6" t="n">
        <v>45941</v>
      </c>
      <c r="B253" t="inlineStr">
        <is>
          <t>Sylvie Nguema</t>
        </is>
      </c>
      <c r="C253" t="inlineStr">
        <is>
          <t>EPICERIE COCODY 25</t>
        </is>
      </c>
      <c r="D253" t="inlineStr">
        <is>
          <t>REF-0228</t>
        </is>
      </c>
      <c r="E253" t="inlineStr">
        <is>
          <t>Boissons</t>
        </is>
      </c>
      <c r="F253" t="n">
        <v>43</v>
      </c>
      <c r="G253" t="n">
        <v>736.78</v>
      </c>
      <c r="H253" t="n">
        <v>644.38</v>
      </c>
      <c r="I253" s="4">
        <f>(G253-H253)/H253</f>
        <v/>
      </c>
    </row>
    <row r="254">
      <c r="A254" s="6" t="n">
        <v>45941</v>
      </c>
      <c r="B254" t="inlineStr">
        <is>
          <t>Serge Tshibangu</t>
        </is>
      </c>
      <c r="C254" t="inlineStr">
        <is>
          <t>CANTINE LEMBA 30</t>
        </is>
      </c>
      <c r="D254" t="inlineStr">
        <is>
          <t>REF-0442</t>
        </is>
      </c>
      <c r="E254" t="inlineStr">
        <is>
          <t>Boissons</t>
        </is>
      </c>
      <c r="F254" t="n">
        <v>16</v>
      </c>
      <c r="G254" t="n">
        <v>376.74</v>
      </c>
      <c r="H254" t="n">
        <v>321.63</v>
      </c>
      <c r="I254" s="4">
        <f>(G254-H254)/H254</f>
        <v/>
      </c>
    </row>
    <row r="255">
      <c r="A255" s="6" t="n">
        <v>45941</v>
      </c>
      <c r="B255" t="inlineStr">
        <is>
          <t>Nadège Kalala</t>
        </is>
      </c>
      <c r="C255" t="inlineStr">
        <is>
          <t>ALIMENTATION NGIRI 40</t>
        </is>
      </c>
      <c r="D255" t="inlineStr">
        <is>
          <t>REF-0438</t>
        </is>
      </c>
      <c r="E255" t="inlineStr">
        <is>
          <t>Conserves</t>
        </is>
      </c>
      <c r="F255" t="n">
        <v>4</v>
      </c>
      <c r="G255" t="n">
        <v>69.8</v>
      </c>
      <c r="H255" t="n">
        <v>59.8</v>
      </c>
      <c r="I255" s="4">
        <f>(G255-H255)/H255</f>
        <v/>
      </c>
    </row>
    <row r="256">
      <c r="A256" s="6" t="n">
        <v>45941</v>
      </c>
      <c r="B256" t="inlineStr">
        <is>
          <t>Nadège Kalala</t>
        </is>
      </c>
      <c r="C256" t="inlineStr">
        <is>
          <t>ALIMENTATION NGIRI 40</t>
        </is>
      </c>
      <c r="D256" t="inlineStr">
        <is>
          <t>REF-0233</t>
        </is>
      </c>
      <c r="E256" t="inlineStr">
        <is>
          <t>Boissons</t>
        </is>
      </c>
      <c r="F256" t="n">
        <v>11</v>
      </c>
      <c r="G256" t="n">
        <v>161.2</v>
      </c>
      <c r="H256" t="n">
        <v>122.1</v>
      </c>
      <c r="I256" s="4">
        <f>(G256-H256)/H256</f>
        <v/>
      </c>
    </row>
    <row r="257">
      <c r="A257" s="6" t="n">
        <v>45942</v>
      </c>
      <c r="B257" t="inlineStr">
        <is>
          <t>Serge Tshibangu</t>
        </is>
      </c>
      <c r="C257" t="inlineStr">
        <is>
          <t>HOTEL MASINA 25</t>
        </is>
      </c>
      <c r="D257" t="inlineStr">
        <is>
          <t>REF-0842</t>
        </is>
      </c>
      <c r="E257" t="inlineStr">
        <is>
          <t>Huiles</t>
        </is>
      </c>
      <c r="F257" t="n">
        <v>6</v>
      </c>
      <c r="G257" t="n">
        <v>198.23</v>
      </c>
      <c r="H257" t="n">
        <v>166.93</v>
      </c>
      <c r="I257" s="4">
        <f>(G257-H257)/H257</f>
        <v/>
      </c>
    </row>
    <row r="258">
      <c r="A258" s="6" t="n">
        <v>45942</v>
      </c>
      <c r="B258" t="inlineStr">
        <is>
          <t>Serge Tshibangu</t>
        </is>
      </c>
      <c r="C258" t="inlineStr">
        <is>
          <t>HOTEL MASINA 25</t>
        </is>
      </c>
      <c r="D258" t="inlineStr">
        <is>
          <t>REF-0160</t>
        </is>
      </c>
      <c r="E258" t="inlineStr">
        <is>
          <t>Farine</t>
        </is>
      </c>
      <c r="F258" t="n">
        <v>15</v>
      </c>
      <c r="G258" t="n">
        <v>263.46</v>
      </c>
      <c r="H258" t="n">
        <v>172.78</v>
      </c>
      <c r="I258" s="4">
        <f>(G258-H258)/H258</f>
        <v/>
      </c>
    </row>
    <row r="259">
      <c r="A259" s="6" t="n">
        <v>45942</v>
      </c>
      <c r="B259" t="inlineStr">
        <is>
          <t>Aïcha Bakala</t>
        </is>
      </c>
      <c r="C259" t="inlineStr">
        <is>
          <t>MAGASIN MONT-NGAFULA 11</t>
        </is>
      </c>
      <c r="D259" t="inlineStr">
        <is>
          <t>REF-0474</t>
        </is>
      </c>
      <c r="E259" t="inlineStr">
        <is>
          <t>Riz</t>
        </is>
      </c>
      <c r="F259" t="n">
        <v>10</v>
      </c>
      <c r="G259" t="n">
        <v>511.29</v>
      </c>
      <c r="H259" t="n">
        <v>361.43</v>
      </c>
      <c r="I259" s="4">
        <f>(G259-H259)/H259</f>
        <v/>
      </c>
    </row>
    <row r="260">
      <c r="A260" s="6" t="n">
        <v>45942</v>
      </c>
      <c r="B260" t="inlineStr">
        <is>
          <t>Aïcha Bakala</t>
        </is>
      </c>
      <c r="C260" t="inlineStr">
        <is>
          <t>MAGASIN MONT-NGAFULA 11</t>
        </is>
      </c>
      <c r="D260" t="inlineStr">
        <is>
          <t>REF-0513</t>
        </is>
      </c>
      <c r="E260" t="inlineStr">
        <is>
          <t>Conserves</t>
        </is>
      </c>
      <c r="F260" t="n">
        <v>13</v>
      </c>
      <c r="G260" t="n">
        <v>207.79</v>
      </c>
      <c r="H260" t="n">
        <v>135.92</v>
      </c>
      <c r="I260" s="4">
        <f>(G260-H260)/H260</f>
        <v/>
      </c>
    </row>
    <row r="261">
      <c r="A261" s="6" t="n">
        <v>45942</v>
      </c>
      <c r="B261" t="inlineStr">
        <is>
          <t>Aïcha Bakala</t>
        </is>
      </c>
      <c r="C261" t="inlineStr">
        <is>
          <t>MAGASIN MONT-NGAFULA 11</t>
        </is>
      </c>
      <c r="D261" t="inlineStr">
        <is>
          <t>REF-0206</t>
        </is>
      </c>
      <c r="E261" t="inlineStr">
        <is>
          <t>Savons</t>
        </is>
      </c>
      <c r="F261" t="n">
        <v>16</v>
      </c>
      <c r="G261" t="n">
        <v>139.85</v>
      </c>
      <c r="H261" t="n">
        <v>88.37</v>
      </c>
      <c r="I261" s="4">
        <f>(G261-H261)/H261</f>
        <v/>
      </c>
    </row>
    <row r="262">
      <c r="A262" s="6" t="n">
        <v>45942</v>
      </c>
      <c r="B262" t="inlineStr">
        <is>
          <t>Aïcha Bakala</t>
        </is>
      </c>
      <c r="C262" t="inlineStr">
        <is>
          <t>MAGASIN MONT-NGAFULA 11</t>
        </is>
      </c>
      <c r="D262" t="inlineStr">
        <is>
          <t>REF-0756</t>
        </is>
      </c>
      <c r="E262" t="inlineStr">
        <is>
          <t>Huiles</t>
        </is>
      </c>
      <c r="F262" t="n">
        <v>5</v>
      </c>
      <c r="G262" t="n">
        <v>126</v>
      </c>
      <c r="H262" t="n">
        <v>108.39</v>
      </c>
      <c r="I262" s="4">
        <f>(G262-H262)/H262</f>
        <v/>
      </c>
    </row>
    <row r="263">
      <c r="A263" s="6" t="n">
        <v>45942</v>
      </c>
      <c r="B263" t="inlineStr">
        <is>
          <t>Aïcha Bakala</t>
        </is>
      </c>
      <c r="C263" t="inlineStr">
        <is>
          <t>MAGASIN NGIRI 30</t>
        </is>
      </c>
      <c r="D263" t="inlineStr">
        <is>
          <t>REF-0199</t>
        </is>
      </c>
      <c r="E263" t="inlineStr">
        <is>
          <t>Huiles</t>
        </is>
      </c>
      <c r="F263" t="n">
        <v>14</v>
      </c>
      <c r="G263" t="n">
        <v>320.17</v>
      </c>
      <c r="H263" t="n">
        <v>229.55</v>
      </c>
      <c r="I263" s="4">
        <f>(G263-H263)/H263</f>
        <v/>
      </c>
    </row>
    <row r="264">
      <c r="A264" s="6" t="n">
        <v>45943</v>
      </c>
      <c r="B264" t="inlineStr">
        <is>
          <t>Grace Kasongo</t>
        </is>
      </c>
      <c r="C264" t="inlineStr">
        <is>
          <t>EPICERIE MAKELEKELE 27</t>
        </is>
      </c>
      <c r="D264" t="inlineStr">
        <is>
          <t>REF-0297</t>
        </is>
      </c>
      <c r="E264" t="inlineStr">
        <is>
          <t>Savons</t>
        </is>
      </c>
      <c r="F264" t="n">
        <v>17</v>
      </c>
      <c r="G264" t="n">
        <v>272.24</v>
      </c>
      <c r="H264" t="n">
        <v>184.45</v>
      </c>
      <c r="I264" s="4">
        <f>(G264-H264)/H264</f>
        <v/>
      </c>
    </row>
    <row r="265">
      <c r="A265" s="6" t="n">
        <v>45943</v>
      </c>
      <c r="B265" t="inlineStr">
        <is>
          <t>Grace Kasongo</t>
        </is>
      </c>
      <c r="C265" t="inlineStr">
        <is>
          <t>EPICERIE MAKELEKELE 27</t>
        </is>
      </c>
      <c r="D265" t="inlineStr">
        <is>
          <t>REF-0526</t>
        </is>
      </c>
      <c r="E265" t="inlineStr">
        <is>
          <t>Conserves</t>
        </is>
      </c>
      <c r="F265" t="n">
        <v>8</v>
      </c>
      <c r="G265" t="n">
        <v>175.01</v>
      </c>
      <c r="H265" t="n">
        <v>149.09</v>
      </c>
      <c r="I265" s="4">
        <f>(G265-H265)/H265</f>
        <v/>
      </c>
    </row>
    <row r="266">
      <c r="A266" s="6" t="n">
        <v>45943</v>
      </c>
      <c r="B266" t="inlineStr">
        <is>
          <t>Serge Tshibangu</t>
        </is>
      </c>
      <c r="C266" t="inlineStr">
        <is>
          <t>DEPOT BONABERI 24</t>
        </is>
      </c>
      <c r="D266" t="inlineStr">
        <is>
          <t>REF-0564</t>
        </is>
      </c>
      <c r="E266" t="inlineStr">
        <is>
          <t>Boissons</t>
        </is>
      </c>
      <c r="F266" t="n">
        <v>7</v>
      </c>
      <c r="G266" t="n">
        <v>108.93</v>
      </c>
      <c r="H266" t="n">
        <v>90.44</v>
      </c>
      <c r="I266" s="4">
        <f>(G266-H266)/H266</f>
        <v/>
      </c>
    </row>
    <row r="267">
      <c r="A267" s="6" t="n">
        <v>45943</v>
      </c>
      <c r="B267" t="inlineStr">
        <is>
          <t>Serge Tshibangu</t>
        </is>
      </c>
      <c r="C267" t="inlineStr">
        <is>
          <t>DEPOT BONABERI 24</t>
        </is>
      </c>
      <c r="D267" t="inlineStr">
        <is>
          <t>REF-0429</t>
        </is>
      </c>
      <c r="E267" t="inlineStr">
        <is>
          <t>Conserves</t>
        </is>
      </c>
      <c r="F267" t="n">
        <v>15</v>
      </c>
      <c r="G267" t="n">
        <v>326.75</v>
      </c>
      <c r="H267" t="n">
        <v>254.65</v>
      </c>
      <c r="I267" s="4">
        <f>(G267-H267)/H267</f>
        <v/>
      </c>
    </row>
    <row r="268">
      <c r="A268" s="6" t="n">
        <v>45943</v>
      </c>
      <c r="B268" t="inlineStr">
        <is>
          <t>Serge Tshibangu</t>
        </is>
      </c>
      <c r="C268" t="inlineStr">
        <is>
          <t>DEPOT BONABERI 24</t>
        </is>
      </c>
      <c r="D268" t="inlineStr">
        <is>
          <t>REF-0638</t>
        </is>
      </c>
      <c r="E268" t="inlineStr">
        <is>
          <t>Huiles</t>
        </is>
      </c>
      <c r="F268" t="n">
        <v>14</v>
      </c>
      <c r="G268" t="n">
        <v>485.51</v>
      </c>
      <c r="H268" t="n">
        <v>338.44</v>
      </c>
      <c r="I268" s="4">
        <f>(G268-H268)/H268</f>
        <v/>
      </c>
    </row>
    <row r="269">
      <c r="A269" s="6" t="n">
        <v>45943</v>
      </c>
      <c r="B269" t="inlineStr">
        <is>
          <t>Serge Tshibangu</t>
        </is>
      </c>
      <c r="C269" t="inlineStr">
        <is>
          <t>DEPOT BONABERI 24</t>
        </is>
      </c>
      <c r="D269" t="inlineStr">
        <is>
          <t>REF-0559</t>
        </is>
      </c>
      <c r="E269" t="inlineStr">
        <is>
          <t>Conserves</t>
        </is>
      </c>
      <c r="F269" t="n">
        <v>8</v>
      </c>
      <c r="G269" t="n">
        <v>238.84</v>
      </c>
      <c r="H269" t="n">
        <v>155.15</v>
      </c>
      <c r="I269" s="4">
        <f>(G269-H269)/H269</f>
        <v/>
      </c>
    </row>
    <row r="270">
      <c r="A270" s="6" t="n">
        <v>45943</v>
      </c>
      <c r="B270" t="inlineStr">
        <is>
          <t>Thomas Obiang</t>
        </is>
      </c>
      <c r="C270" t="inlineStr">
        <is>
          <t>KIOSQUE BARUMBU 21</t>
        </is>
      </c>
      <c r="D270" t="inlineStr">
        <is>
          <t>REF-0408</t>
        </is>
      </c>
      <c r="E270" t="inlineStr">
        <is>
          <t>Boissons</t>
        </is>
      </c>
      <c r="F270" t="n">
        <v>34</v>
      </c>
      <c r="G270" t="n">
        <v>324.04</v>
      </c>
      <c r="H270" t="n">
        <v>211.5</v>
      </c>
      <c r="I270" s="4">
        <f>(G270-H270)/H270</f>
        <v/>
      </c>
    </row>
    <row r="271">
      <c r="A271" s="6" t="n">
        <v>45943</v>
      </c>
      <c r="B271" t="inlineStr">
        <is>
          <t>Aïcha Bakala</t>
        </is>
      </c>
      <c r="C271" t="inlineStr">
        <is>
          <t>BOULANGERIE DEIDO 38</t>
        </is>
      </c>
      <c r="D271" t="inlineStr">
        <is>
          <t>REF-0411</t>
        </is>
      </c>
      <c r="E271" t="inlineStr">
        <is>
          <t>Huiles</t>
        </is>
      </c>
      <c r="F271" t="n">
        <v>22</v>
      </c>
      <c r="G271" t="n">
        <v>602.33</v>
      </c>
      <c r="H271" t="n">
        <v>469.15</v>
      </c>
      <c r="I271" s="4">
        <f>(G271-H271)/H271</f>
        <v/>
      </c>
    </row>
    <row r="272">
      <c r="A272" s="6" t="n">
        <v>45943</v>
      </c>
      <c r="B272" t="inlineStr">
        <is>
          <t>Aïcha Bakala</t>
        </is>
      </c>
      <c r="C272" t="inlineStr">
        <is>
          <t>BOULANGERIE DEIDO 38</t>
        </is>
      </c>
      <c r="D272" t="inlineStr">
        <is>
          <t>REF-0754</t>
        </is>
      </c>
      <c r="E272" t="inlineStr">
        <is>
          <t>Huiles</t>
        </is>
      </c>
      <c r="F272" t="n">
        <v>8</v>
      </c>
      <c r="G272" t="n">
        <v>243.98</v>
      </c>
      <c r="H272" t="n">
        <v>209.24</v>
      </c>
      <c r="I272" s="4">
        <f>(G272-H272)/H272</f>
        <v/>
      </c>
    </row>
    <row r="273">
      <c r="A273" s="6" t="n">
        <v>45943</v>
      </c>
      <c r="B273" t="inlineStr">
        <is>
          <t>Aïcha Bakala</t>
        </is>
      </c>
      <c r="C273" t="inlineStr">
        <is>
          <t>BOULANGERIE DEIDO 38</t>
        </is>
      </c>
      <c r="D273" t="inlineStr">
        <is>
          <t>REF-0796</t>
        </is>
      </c>
      <c r="E273" t="inlineStr">
        <is>
          <t>Huiles</t>
        </is>
      </c>
      <c r="F273" t="n">
        <v>14</v>
      </c>
      <c r="G273" t="n">
        <v>346.58</v>
      </c>
      <c r="H273" t="n">
        <v>272.57</v>
      </c>
      <c r="I273" s="4">
        <f>(G273-H273)/H273</f>
        <v/>
      </c>
    </row>
    <row r="274">
      <c r="A274" s="6" t="n">
        <v>45943</v>
      </c>
      <c r="B274" t="inlineStr">
        <is>
          <t>Patrick Ilunga</t>
        </is>
      </c>
      <c r="C274" t="inlineStr">
        <is>
          <t>RESTAURANT PIKINE 30</t>
        </is>
      </c>
      <c r="D274" t="inlineStr">
        <is>
          <t>REF-0594</t>
        </is>
      </c>
      <c r="E274" t="inlineStr">
        <is>
          <t>Huiles</t>
        </is>
      </c>
      <c r="F274" t="n">
        <v>14</v>
      </c>
      <c r="G274" t="n">
        <v>369.86</v>
      </c>
      <c r="H274" t="n">
        <v>253.96</v>
      </c>
      <c r="I274" s="4">
        <f>(G274-H274)/H274</f>
        <v/>
      </c>
    </row>
    <row r="275">
      <c r="A275" s="6" t="n">
        <v>45943</v>
      </c>
      <c r="B275" t="inlineStr">
        <is>
          <t>Patrick Ilunga</t>
        </is>
      </c>
      <c r="C275" t="inlineStr">
        <is>
          <t>RESTAURANT PIKINE 30</t>
        </is>
      </c>
      <c r="D275" t="inlineStr">
        <is>
          <t>REF-0839</t>
        </is>
      </c>
      <c r="E275" t="inlineStr">
        <is>
          <t>Boissons</t>
        </is>
      </c>
      <c r="F275" t="n">
        <v>30</v>
      </c>
      <c r="G275" t="n">
        <v>252.84</v>
      </c>
      <c r="H275" t="n">
        <v>167.31</v>
      </c>
      <c r="I275" s="4">
        <f>(G275-H275)/H275</f>
        <v/>
      </c>
    </row>
    <row r="276">
      <c r="A276" s="6" t="n">
        <v>45943</v>
      </c>
      <c r="B276" t="inlineStr">
        <is>
          <t>Patrick Ilunga</t>
        </is>
      </c>
      <c r="C276" t="inlineStr">
        <is>
          <t>RESTAURANT PIKINE 30</t>
        </is>
      </c>
      <c r="D276" t="inlineStr">
        <is>
          <t>REF-0812</t>
        </is>
      </c>
      <c r="E276" t="inlineStr">
        <is>
          <t>Riz</t>
        </is>
      </c>
      <c r="F276" t="n">
        <v>18</v>
      </c>
      <c r="G276" t="n">
        <v>1287.48</v>
      </c>
      <c r="H276" t="n">
        <v>1078.56</v>
      </c>
      <c r="I276" s="4">
        <f>(G276-H276)/H276</f>
        <v/>
      </c>
    </row>
    <row r="277">
      <c r="A277" s="6" t="n">
        <v>45943</v>
      </c>
      <c r="B277" t="inlineStr">
        <is>
          <t>Patrick Ilunga</t>
        </is>
      </c>
      <c r="C277" t="inlineStr">
        <is>
          <t>RESTAURANT PIKINE 30</t>
        </is>
      </c>
      <c r="D277" t="inlineStr">
        <is>
          <t>REF-0574</t>
        </is>
      </c>
      <c r="E277" t="inlineStr">
        <is>
          <t>Savons</t>
        </is>
      </c>
      <c r="F277" t="n">
        <v>23</v>
      </c>
      <c r="G277" t="n">
        <v>253.41</v>
      </c>
      <c r="H277" t="n">
        <v>207.42</v>
      </c>
      <c r="I277" s="4">
        <f>(G277-H277)/H277</f>
        <v/>
      </c>
    </row>
    <row r="278">
      <c r="A278" s="6" t="n">
        <v>45943</v>
      </c>
      <c r="B278" t="inlineStr">
        <is>
          <t>Grace Kasongo</t>
        </is>
      </c>
      <c r="C278" t="inlineStr">
        <is>
          <t>CANTINE LIMETE 08</t>
        </is>
      </c>
      <c r="D278" t="inlineStr">
        <is>
          <t>REF-0608</t>
        </is>
      </c>
      <c r="E278" t="inlineStr">
        <is>
          <t>Savons</t>
        </is>
      </c>
      <c r="F278" t="n">
        <v>2</v>
      </c>
      <c r="G278" t="n">
        <v>13.81</v>
      </c>
      <c r="H278" t="n">
        <v>10.32</v>
      </c>
      <c r="I278" s="4">
        <f>(G278-H278)/H278</f>
        <v/>
      </c>
    </row>
    <row r="279">
      <c r="A279" s="6" t="n">
        <v>45943</v>
      </c>
      <c r="B279" t="inlineStr">
        <is>
          <t>Patrick Ilunga</t>
        </is>
      </c>
      <c r="C279" t="inlineStr">
        <is>
          <t>SUPERETTE NGIRI 04</t>
        </is>
      </c>
      <c r="D279" t="inlineStr">
        <is>
          <t>REF-0007</t>
        </is>
      </c>
      <c r="E279" t="inlineStr">
        <is>
          <t>Riz</t>
        </is>
      </c>
      <c r="F279" t="n">
        <v>7</v>
      </c>
      <c r="G279" t="n">
        <v>421.64</v>
      </c>
      <c r="H279" t="n">
        <v>325.71</v>
      </c>
      <c r="I279" s="4">
        <f>(G279-H279)/H279</f>
        <v/>
      </c>
    </row>
    <row r="280">
      <c r="A280" s="6" t="n">
        <v>45943</v>
      </c>
      <c r="B280" t="inlineStr">
        <is>
          <t>Grace Kasongo</t>
        </is>
      </c>
      <c r="C280" t="inlineStr">
        <is>
          <t>MINI-MARCHE BINZA 27</t>
        </is>
      </c>
      <c r="D280" t="inlineStr">
        <is>
          <t>REF-0585</t>
        </is>
      </c>
      <c r="E280" t="inlineStr">
        <is>
          <t>Savons</t>
        </is>
      </c>
      <c r="F280" t="n">
        <v>16</v>
      </c>
      <c r="G280" t="n">
        <v>271.01</v>
      </c>
      <c r="H280" t="n">
        <v>171.79</v>
      </c>
      <c r="I280" s="4">
        <f>(G280-H280)/H280</f>
        <v/>
      </c>
    </row>
    <row r="281">
      <c r="A281" s="6" t="n">
        <v>45943</v>
      </c>
      <c r="B281" t="inlineStr">
        <is>
          <t>Grace Kasongo</t>
        </is>
      </c>
      <c r="C281" t="inlineStr">
        <is>
          <t>MINI-MARCHE BINZA 27</t>
        </is>
      </c>
      <c r="D281" t="inlineStr">
        <is>
          <t>REF-0889</t>
        </is>
      </c>
      <c r="E281" t="inlineStr">
        <is>
          <t>Savons</t>
        </is>
      </c>
      <c r="F281" t="n">
        <v>56</v>
      </c>
      <c r="G281" t="n">
        <v>828.09</v>
      </c>
      <c r="H281" t="n">
        <v>543.03</v>
      </c>
      <c r="I281" s="4">
        <f>(G281-H281)/H281</f>
        <v/>
      </c>
    </row>
    <row r="282">
      <c r="A282" s="6" t="n">
        <v>45943</v>
      </c>
      <c r="B282" t="inlineStr">
        <is>
          <t>Grace Kasongo</t>
        </is>
      </c>
      <c r="C282" t="inlineStr">
        <is>
          <t>MINI-MARCHE BINZA 27</t>
        </is>
      </c>
      <c r="D282" t="inlineStr">
        <is>
          <t>REF-0469</t>
        </is>
      </c>
      <c r="E282" t="inlineStr">
        <is>
          <t>Boissons</t>
        </is>
      </c>
      <c r="F282" t="n">
        <v>23</v>
      </c>
      <c r="G282" t="n">
        <v>419.31</v>
      </c>
      <c r="H282" t="n">
        <v>366</v>
      </c>
      <c r="I282" s="4">
        <f>(G282-H282)/H282</f>
        <v/>
      </c>
    </row>
    <row r="283">
      <c r="A283" s="6" t="n">
        <v>45943</v>
      </c>
      <c r="B283" t="inlineStr">
        <is>
          <t>Patrick Ilunga</t>
        </is>
      </c>
      <c r="C283" t="inlineStr">
        <is>
          <t>DEPOT KINTAMBO 25</t>
        </is>
      </c>
      <c r="D283" t="inlineStr">
        <is>
          <t>REF-0669</t>
        </is>
      </c>
      <c r="E283" t="inlineStr">
        <is>
          <t>Riz</t>
        </is>
      </c>
      <c r="F283" t="n">
        <v>133</v>
      </c>
      <c r="G283" t="n">
        <v>10214.09</v>
      </c>
      <c r="H283" t="n">
        <v>6414.83</v>
      </c>
      <c r="I283" s="4">
        <f>(G283-H283)/H283</f>
        <v/>
      </c>
    </row>
    <row r="284">
      <c r="A284" s="6" t="n">
        <v>45943</v>
      </c>
      <c r="B284" t="inlineStr">
        <is>
          <t>Patrick Ilunga</t>
        </is>
      </c>
      <c r="C284" t="inlineStr">
        <is>
          <t>DEPOT KINTAMBO 25</t>
        </is>
      </c>
      <c r="D284" t="inlineStr">
        <is>
          <t>REF-0012</t>
        </is>
      </c>
      <c r="E284" t="inlineStr">
        <is>
          <t>Huiles</t>
        </is>
      </c>
      <c r="F284" t="n">
        <v>18</v>
      </c>
      <c r="G284" t="n">
        <v>496.26</v>
      </c>
      <c r="H284" t="n">
        <v>411.61</v>
      </c>
      <c r="I284" s="4">
        <f>(G284-H284)/H284</f>
        <v/>
      </c>
    </row>
    <row r="285">
      <c r="A285" s="6" t="n">
        <v>45943</v>
      </c>
      <c r="B285" t="inlineStr">
        <is>
          <t>Patrick Ilunga</t>
        </is>
      </c>
      <c r="C285" t="inlineStr">
        <is>
          <t>DEPOT KINTAMBO 25</t>
        </is>
      </c>
      <c r="D285" t="inlineStr">
        <is>
          <t>REF-0697</t>
        </is>
      </c>
      <c r="E285" t="inlineStr">
        <is>
          <t>Farine</t>
        </is>
      </c>
      <c r="F285" t="n">
        <v>27</v>
      </c>
      <c r="G285" t="n">
        <v>1222.34</v>
      </c>
      <c r="H285" t="n">
        <v>811.46</v>
      </c>
      <c r="I285" s="4">
        <f>(G285-H285)/H285</f>
        <v/>
      </c>
    </row>
    <row r="286">
      <c r="A286" s="6" t="n">
        <v>45943</v>
      </c>
      <c r="B286" t="inlineStr">
        <is>
          <t>Patrick Ilunga</t>
        </is>
      </c>
      <c r="C286" t="inlineStr">
        <is>
          <t>DEPOT KINTAMBO 25</t>
        </is>
      </c>
      <c r="D286" t="inlineStr">
        <is>
          <t>REF-0439</t>
        </is>
      </c>
      <c r="E286" t="inlineStr">
        <is>
          <t>Boissons</t>
        </is>
      </c>
      <c r="F286" t="n">
        <v>24</v>
      </c>
      <c r="G286" t="n">
        <v>204.39</v>
      </c>
      <c r="H286" t="n">
        <v>165.78</v>
      </c>
      <c r="I286" s="4">
        <f>(G286-H286)/H286</f>
        <v/>
      </c>
    </row>
    <row r="287">
      <c r="A287" s="6" t="n">
        <v>45943</v>
      </c>
      <c r="B287" t="inlineStr">
        <is>
          <t>Patrick Ilunga</t>
        </is>
      </c>
      <c r="C287" t="inlineStr">
        <is>
          <t>DEPOT KINTAMBO 25</t>
        </is>
      </c>
      <c r="D287" t="inlineStr">
        <is>
          <t>REF-0299</t>
        </is>
      </c>
      <c r="E287" t="inlineStr">
        <is>
          <t>Riz</t>
        </is>
      </c>
      <c r="F287" t="n">
        <v>5</v>
      </c>
      <c r="G287" t="n">
        <v>203.56</v>
      </c>
      <c r="H287" t="n">
        <v>134.29</v>
      </c>
      <c r="I287" s="4">
        <f>(G287-H287)/H287</f>
        <v/>
      </c>
    </row>
    <row r="288">
      <c r="A288" s="6" t="n">
        <v>45943</v>
      </c>
      <c r="B288" t="inlineStr">
        <is>
          <t>Patrick Ilunga</t>
        </is>
      </c>
      <c r="C288" t="inlineStr">
        <is>
          <t>SUPERETTE KALAMU 03</t>
        </is>
      </c>
      <c r="D288" t="inlineStr">
        <is>
          <t>REF-0314</t>
        </is>
      </c>
      <c r="E288" t="inlineStr">
        <is>
          <t>Farine</t>
        </is>
      </c>
      <c r="F288" t="n">
        <v>9</v>
      </c>
      <c r="G288" t="n">
        <v>184.63</v>
      </c>
      <c r="H288" t="n">
        <v>0</v>
      </c>
      <c r="I288" s="4">
        <f>(G288-H288)/H288</f>
        <v/>
      </c>
    </row>
    <row r="289">
      <c r="A289" s="6" t="n">
        <v>45943</v>
      </c>
      <c r="B289" t="inlineStr">
        <is>
          <t>Patrick Ilunga</t>
        </is>
      </c>
      <c r="C289" t="inlineStr">
        <is>
          <t>SUPERETTE KALAMU 03</t>
        </is>
      </c>
      <c r="D289" t="inlineStr">
        <is>
          <t>REF-0490</t>
        </is>
      </c>
      <c r="E289" t="inlineStr">
        <is>
          <t>Farine</t>
        </is>
      </c>
      <c r="F289" t="n">
        <v>34</v>
      </c>
      <c r="G289" t="n">
        <v>1010.59</v>
      </c>
      <c r="H289" t="n">
        <v>652.8</v>
      </c>
      <c r="I289" s="4">
        <f>(G289-H289)/H289</f>
        <v/>
      </c>
    </row>
    <row r="290">
      <c r="A290" s="6" t="n">
        <v>45943</v>
      </c>
      <c r="B290" t="inlineStr">
        <is>
          <t>Patrick Ilunga</t>
        </is>
      </c>
      <c r="C290" t="inlineStr">
        <is>
          <t>SUPERETTE KALAMU 03</t>
        </is>
      </c>
      <c r="D290" t="inlineStr">
        <is>
          <t>REF-0811</t>
        </is>
      </c>
      <c r="E290" t="inlineStr">
        <is>
          <t>Farine</t>
        </is>
      </c>
      <c r="F290" t="n">
        <v>11</v>
      </c>
      <c r="G290" t="n">
        <v>206.34</v>
      </c>
      <c r="H290" t="n">
        <v>163.91</v>
      </c>
      <c r="I290" s="4">
        <f>(G290-H290)/H290</f>
        <v/>
      </c>
    </row>
    <row r="291">
      <c r="A291" s="6" t="n">
        <v>45943</v>
      </c>
      <c r="B291" t="inlineStr">
        <is>
          <t>Nadège Kalala</t>
        </is>
      </c>
      <c r="C291" t="inlineStr">
        <is>
          <t>KIOSQUE BINZA 22</t>
        </is>
      </c>
      <c r="D291" t="inlineStr">
        <is>
          <t>REF-0780</t>
        </is>
      </c>
      <c r="E291" t="inlineStr">
        <is>
          <t>Farine</t>
        </is>
      </c>
      <c r="F291" t="n">
        <v>12</v>
      </c>
      <c r="G291" t="n">
        <v>313</v>
      </c>
      <c r="H291" t="n">
        <v>270.42</v>
      </c>
      <c r="I291" s="4">
        <f>(G291-H291)/H291</f>
        <v/>
      </c>
    </row>
    <row r="292">
      <c r="A292" s="6" t="n">
        <v>45943</v>
      </c>
      <c r="B292" t="inlineStr">
        <is>
          <t>Nadège Kalala</t>
        </is>
      </c>
      <c r="C292" t="inlineStr">
        <is>
          <t>KIOSQUE BINZA 22</t>
        </is>
      </c>
      <c r="D292" t="inlineStr">
        <is>
          <t>REF-0225</t>
        </is>
      </c>
      <c r="E292" t="inlineStr">
        <is>
          <t>Riz</t>
        </is>
      </c>
      <c r="F292" t="n">
        <v>9</v>
      </c>
      <c r="G292" t="n">
        <v>672.63</v>
      </c>
      <c r="H292" t="n">
        <v>506.35</v>
      </c>
      <c r="I292" s="4">
        <f>(G292-H292)/H292</f>
        <v/>
      </c>
    </row>
    <row r="293">
      <c r="A293" s="6" t="n">
        <v>45943</v>
      </c>
      <c r="B293" t="inlineStr">
        <is>
          <t>Nadège Kalala</t>
        </is>
      </c>
      <c r="C293" t="inlineStr">
        <is>
          <t>KIOSQUE BINZA 22</t>
        </is>
      </c>
      <c r="D293" t="inlineStr">
        <is>
          <t>REF-0375</t>
        </is>
      </c>
      <c r="E293" t="inlineStr">
        <is>
          <t>Conserves</t>
        </is>
      </c>
      <c r="F293" t="n">
        <v>13</v>
      </c>
      <c r="G293" t="n">
        <v>405.29</v>
      </c>
      <c r="H293" t="n">
        <v>346.57</v>
      </c>
      <c r="I293" s="4">
        <f>(G293-H293)/H293</f>
        <v/>
      </c>
    </row>
    <row r="294">
      <c r="A294" s="6" t="n">
        <v>45943</v>
      </c>
      <c r="B294" t="inlineStr">
        <is>
          <t>Serge Tshibangu</t>
        </is>
      </c>
      <c r="C294" t="inlineStr">
        <is>
          <t>CANTINE LIKASI 07</t>
        </is>
      </c>
      <c r="D294" t="inlineStr">
        <is>
          <t>REF-0699</t>
        </is>
      </c>
      <c r="E294" t="inlineStr">
        <is>
          <t>Huiles</t>
        </is>
      </c>
      <c r="F294" t="n">
        <v>10</v>
      </c>
      <c r="G294" t="n">
        <v>372.04</v>
      </c>
      <c r="H294" t="n">
        <v>295.92</v>
      </c>
      <c r="I294" s="4">
        <f>(G294-H294)/H294</f>
        <v/>
      </c>
    </row>
    <row r="295">
      <c r="A295" s="6" t="n">
        <v>45944</v>
      </c>
      <c r="B295" t="inlineStr">
        <is>
          <t>Nadège Kalala</t>
        </is>
      </c>
      <c r="C295" t="inlineStr">
        <is>
          <t>HOTEL BINZA 22</t>
        </is>
      </c>
      <c r="D295" t="inlineStr">
        <is>
          <t>REF-0344</t>
        </is>
      </c>
      <c r="E295" t="inlineStr">
        <is>
          <t>Huiles</t>
        </is>
      </c>
      <c r="F295" t="n">
        <v>20</v>
      </c>
      <c r="G295" t="n">
        <v>660.71</v>
      </c>
      <c r="H295" t="n">
        <v>557.39</v>
      </c>
      <c r="I295" s="4">
        <f>(G295-H295)/H295</f>
        <v/>
      </c>
    </row>
    <row r="296">
      <c r="A296" s="6" t="n">
        <v>45944</v>
      </c>
      <c r="B296" t="inlineStr">
        <is>
          <t>Nadège Kalala</t>
        </is>
      </c>
      <c r="C296" t="inlineStr">
        <is>
          <t>HOTEL BINZA 22</t>
        </is>
      </c>
      <c r="D296" t="inlineStr">
        <is>
          <t>REF-0765</t>
        </is>
      </c>
      <c r="E296" t="inlineStr">
        <is>
          <t>Savons</t>
        </is>
      </c>
      <c r="F296" t="n">
        <v>25</v>
      </c>
      <c r="G296" t="n">
        <v>334.01</v>
      </c>
      <c r="H296" t="n">
        <v>255.85</v>
      </c>
      <c r="I296" s="4">
        <f>(G296-H296)/H296</f>
        <v/>
      </c>
    </row>
    <row r="297">
      <c r="A297" s="6" t="n">
        <v>45944</v>
      </c>
      <c r="B297" t="inlineStr">
        <is>
          <t>Nadège Kalala</t>
        </is>
      </c>
      <c r="C297" t="inlineStr">
        <is>
          <t>HOTEL BINZA 22</t>
        </is>
      </c>
      <c r="D297" t="inlineStr">
        <is>
          <t>REF-0761</t>
        </is>
      </c>
      <c r="E297" t="inlineStr">
        <is>
          <t>Riz</t>
        </is>
      </c>
      <c r="F297" t="n">
        <v>10</v>
      </c>
      <c r="G297" t="n">
        <v>420.34</v>
      </c>
      <c r="H297" t="n">
        <v>357.24</v>
      </c>
      <c r="I297" s="4">
        <f>(G297-H297)/H297</f>
        <v/>
      </c>
    </row>
    <row r="298">
      <c r="A298" s="6" t="n">
        <v>45944</v>
      </c>
      <c r="B298" t="inlineStr">
        <is>
          <t>Aïcha Bakala</t>
        </is>
      </c>
      <c r="C298" t="inlineStr">
        <is>
          <t>RESTAURANT KINTAMBO 08</t>
        </is>
      </c>
      <c r="D298" t="inlineStr">
        <is>
          <t>REF-0735</t>
        </is>
      </c>
      <c r="E298" t="inlineStr">
        <is>
          <t>Savons</t>
        </is>
      </c>
      <c r="F298" t="n">
        <v>17</v>
      </c>
      <c r="G298" t="n">
        <v>176</v>
      </c>
      <c r="H298" t="n">
        <v>140.01</v>
      </c>
      <c r="I298" s="4">
        <f>(G298-H298)/H298</f>
        <v/>
      </c>
    </row>
    <row r="299">
      <c r="A299" s="6" t="n">
        <v>45944</v>
      </c>
      <c r="B299" t="inlineStr">
        <is>
          <t>Aïcha Bakala</t>
        </is>
      </c>
      <c r="C299" t="inlineStr">
        <is>
          <t>RESTAURANT KINTAMBO 08</t>
        </is>
      </c>
      <c r="D299" t="inlineStr">
        <is>
          <t>REF-0204</t>
        </is>
      </c>
      <c r="E299" t="inlineStr">
        <is>
          <t>Savons</t>
        </is>
      </c>
      <c r="F299" t="n">
        <v>14</v>
      </c>
      <c r="G299" t="n">
        <v>177.66</v>
      </c>
      <c r="H299" t="n">
        <v>128.92</v>
      </c>
      <c r="I299" s="4">
        <f>(G299-H299)/H299</f>
        <v/>
      </c>
    </row>
    <row r="300">
      <c r="A300" s="6" t="n">
        <v>45944</v>
      </c>
      <c r="B300" t="inlineStr">
        <is>
          <t>Grace Kasongo</t>
        </is>
      </c>
      <c r="C300" t="inlineStr">
        <is>
          <t>CANTINE COCODY 23</t>
        </is>
      </c>
      <c r="D300" t="inlineStr">
        <is>
          <t>REF-0759</t>
        </is>
      </c>
      <c r="E300" t="inlineStr">
        <is>
          <t>Farine</t>
        </is>
      </c>
      <c r="F300" t="n">
        <v>14</v>
      </c>
      <c r="G300" t="n">
        <v>476.95</v>
      </c>
      <c r="H300" t="n">
        <v>346.13</v>
      </c>
      <c r="I300" s="4">
        <f>(G300-H300)/H300</f>
        <v/>
      </c>
    </row>
    <row r="301">
      <c r="A301" s="6" t="n">
        <v>45944</v>
      </c>
      <c r="B301" t="inlineStr">
        <is>
          <t>Grace Kasongo</t>
        </is>
      </c>
      <c r="C301" t="inlineStr">
        <is>
          <t>CANTINE COCODY 23</t>
        </is>
      </c>
      <c r="D301" t="inlineStr">
        <is>
          <t>REF-0587</t>
        </is>
      </c>
      <c r="E301" t="inlineStr">
        <is>
          <t>Boissons</t>
        </is>
      </c>
      <c r="F301" t="n">
        <v>19</v>
      </c>
      <c r="G301" t="n">
        <v>191.38</v>
      </c>
      <c r="H301" t="n">
        <v>160.31</v>
      </c>
      <c r="I301" s="4">
        <f>(G301-H301)/H301</f>
        <v/>
      </c>
    </row>
    <row r="302">
      <c r="A302" s="6" t="n">
        <v>45944</v>
      </c>
      <c r="B302" t="inlineStr">
        <is>
          <t>Aïcha Bakala</t>
        </is>
      </c>
      <c r="C302" t="inlineStr">
        <is>
          <t>EPICERIE DEIDO 39</t>
        </is>
      </c>
      <c r="D302" t="inlineStr">
        <is>
          <t>REF-0111</t>
        </is>
      </c>
      <c r="E302" t="inlineStr">
        <is>
          <t>Savons</t>
        </is>
      </c>
      <c r="F302" t="n">
        <v>42</v>
      </c>
      <c r="G302" t="n">
        <v>271.92</v>
      </c>
      <c r="H302" t="n">
        <v>172.87</v>
      </c>
      <c r="I302" s="4">
        <f>(G302-H302)/H302</f>
        <v/>
      </c>
    </row>
    <row r="303">
      <c r="A303" s="6" t="n">
        <v>45944</v>
      </c>
      <c r="B303" t="inlineStr">
        <is>
          <t>Aïcha Bakala</t>
        </is>
      </c>
      <c r="C303" t="inlineStr">
        <is>
          <t>EPICERIE DEIDO 39</t>
        </is>
      </c>
      <c r="D303" t="inlineStr">
        <is>
          <t>REF-0750</t>
        </is>
      </c>
      <c r="E303" t="inlineStr">
        <is>
          <t>Conserves</t>
        </is>
      </c>
      <c r="F303" t="n">
        <v>61</v>
      </c>
      <c r="G303" t="n">
        <v>1496.97</v>
      </c>
      <c r="H303" t="n">
        <v>1114.11</v>
      </c>
      <c r="I303" s="4">
        <f>(G303-H303)/H303</f>
        <v/>
      </c>
    </row>
    <row r="304">
      <c r="A304" s="6" t="n">
        <v>45944</v>
      </c>
      <c r="B304" t="inlineStr">
        <is>
          <t>Grace Kasongo</t>
        </is>
      </c>
      <c r="C304" t="inlineStr">
        <is>
          <t>RESTAURANT MASINA 10</t>
        </is>
      </c>
      <c r="D304" t="inlineStr">
        <is>
          <t>REF-0861</t>
        </is>
      </c>
      <c r="E304" t="inlineStr">
        <is>
          <t>Huiles</t>
        </is>
      </c>
      <c r="F304" t="n">
        <v>6</v>
      </c>
      <c r="G304" t="n">
        <v>213.43</v>
      </c>
      <c r="H304" t="n">
        <v>138.19</v>
      </c>
      <c r="I304" s="4">
        <f>(G304-H304)/H304</f>
        <v/>
      </c>
    </row>
    <row r="305">
      <c r="A305" s="6" t="n">
        <v>45944</v>
      </c>
      <c r="B305" t="inlineStr">
        <is>
          <t>Grace Kasongo</t>
        </is>
      </c>
      <c r="C305" t="inlineStr">
        <is>
          <t>RESTAURANT MASINA 10</t>
        </is>
      </c>
      <c r="D305" t="inlineStr">
        <is>
          <t>REF-0805</t>
        </is>
      </c>
      <c r="E305" t="inlineStr">
        <is>
          <t>Huiles</t>
        </is>
      </c>
      <c r="F305" t="n">
        <v>15</v>
      </c>
      <c r="G305" t="n">
        <v>450.54</v>
      </c>
      <c r="H305" t="n">
        <v>377.71</v>
      </c>
      <c r="I305" s="4">
        <f>(G305-H305)/H305</f>
        <v/>
      </c>
    </row>
    <row r="306">
      <c r="A306" s="6" t="n">
        <v>45945</v>
      </c>
      <c r="B306" t="inlineStr">
        <is>
          <t>Aïcha Bakala</t>
        </is>
      </c>
      <c r="C306" t="inlineStr">
        <is>
          <t>SUPERMARCHE COCODY 18</t>
        </is>
      </c>
      <c r="D306" t="inlineStr">
        <is>
          <t>REF-0058</t>
        </is>
      </c>
      <c r="E306" t="inlineStr">
        <is>
          <t>Savons</t>
        </is>
      </c>
      <c r="F306" t="n">
        <v>21</v>
      </c>
      <c r="G306" t="n">
        <v>178.77</v>
      </c>
      <c r="H306" t="n">
        <v>136.29</v>
      </c>
      <c r="I306" s="4">
        <f>(G306-H306)/H306</f>
        <v/>
      </c>
    </row>
    <row r="307">
      <c r="A307" s="6" t="n">
        <v>45945</v>
      </c>
      <c r="B307" t="inlineStr">
        <is>
          <t>Aïcha Bakala</t>
        </is>
      </c>
      <c r="C307" t="inlineStr">
        <is>
          <t>SUPERMARCHE COCODY 18</t>
        </is>
      </c>
      <c r="D307" t="inlineStr">
        <is>
          <t>REF-0051</t>
        </is>
      </c>
      <c r="E307" t="inlineStr">
        <is>
          <t>Farine</t>
        </is>
      </c>
      <c r="F307" t="n">
        <v>27</v>
      </c>
      <c r="G307" t="n">
        <v>1097.98</v>
      </c>
      <c r="H307" t="n">
        <v>916.84</v>
      </c>
      <c r="I307" s="4">
        <f>(G307-H307)/H307</f>
        <v/>
      </c>
    </row>
    <row r="308">
      <c r="A308" s="6" t="n">
        <v>45945</v>
      </c>
      <c r="B308" t="inlineStr">
        <is>
          <t>Aïcha Bakala</t>
        </is>
      </c>
      <c r="C308" t="inlineStr">
        <is>
          <t>SUPERMARCHE COCODY 18</t>
        </is>
      </c>
      <c r="D308" t="inlineStr">
        <is>
          <t>REF-0898</t>
        </is>
      </c>
      <c r="E308" t="inlineStr">
        <is>
          <t>Conserves</t>
        </is>
      </c>
      <c r="F308" t="n">
        <v>10</v>
      </c>
      <c r="G308" t="n">
        <v>128.17</v>
      </c>
      <c r="H308" t="n">
        <v>92.31</v>
      </c>
      <c r="I308" s="4">
        <f>(G308-H308)/H308</f>
        <v/>
      </c>
    </row>
    <row r="309">
      <c r="A309" s="6" t="n">
        <v>45945</v>
      </c>
      <c r="B309" t="inlineStr">
        <is>
          <t>Aïcha Bakala</t>
        </is>
      </c>
      <c r="C309" t="inlineStr">
        <is>
          <t>SUPERMARCHE COCODY 18</t>
        </is>
      </c>
      <c r="D309" t="inlineStr">
        <is>
          <t>REF-0108</t>
        </is>
      </c>
      <c r="E309" t="inlineStr">
        <is>
          <t>Farine</t>
        </is>
      </c>
      <c r="F309" t="n">
        <v>20</v>
      </c>
      <c r="G309" t="n">
        <v>994.59</v>
      </c>
      <c r="H309" t="n">
        <v>730.53</v>
      </c>
      <c r="I309" s="4">
        <f>(G309-H309)/H309</f>
        <v/>
      </c>
    </row>
    <row r="310">
      <c r="A310" s="6" t="n">
        <v>45945</v>
      </c>
      <c r="B310" t="inlineStr">
        <is>
          <t>Thomas Obiang</t>
        </is>
      </c>
      <c r="C310" t="inlineStr">
        <is>
          <t>ALIMENTATION YOPOUGON 31</t>
        </is>
      </c>
      <c r="D310" t="inlineStr">
        <is>
          <t>REF-0870</t>
        </is>
      </c>
      <c r="E310" t="inlineStr">
        <is>
          <t>Conserves</t>
        </is>
      </c>
      <c r="F310" t="n">
        <v>22</v>
      </c>
      <c r="G310" t="n">
        <v>723.77</v>
      </c>
      <c r="H310" t="n">
        <v>551.29</v>
      </c>
      <c r="I310" s="4">
        <f>(G310-H310)/H310</f>
        <v/>
      </c>
    </row>
    <row r="311">
      <c r="A311" s="6" t="n">
        <v>45945</v>
      </c>
      <c r="B311" t="inlineStr">
        <is>
          <t>Thomas Obiang</t>
        </is>
      </c>
      <c r="C311" t="inlineStr">
        <is>
          <t>ALIMENTATION YOPOUGON 31</t>
        </is>
      </c>
      <c r="D311" t="inlineStr">
        <is>
          <t>REF-0101</t>
        </is>
      </c>
      <c r="E311" t="inlineStr">
        <is>
          <t>Savons</t>
        </is>
      </c>
      <c r="F311" t="n">
        <v>36</v>
      </c>
      <c r="G311" t="n">
        <v>425.64</v>
      </c>
      <c r="H311" t="n">
        <v>331.11</v>
      </c>
      <c r="I311" s="4">
        <f>(G311-H311)/H311</f>
        <v/>
      </c>
    </row>
    <row r="312">
      <c r="A312" s="6" t="n">
        <v>45945</v>
      </c>
      <c r="B312" t="inlineStr">
        <is>
          <t>Thomas Obiang</t>
        </is>
      </c>
      <c r="C312" t="inlineStr">
        <is>
          <t>ALIMENTATION YOPOUGON 31</t>
        </is>
      </c>
      <c r="D312" t="inlineStr">
        <is>
          <t>REF-0457</t>
        </is>
      </c>
      <c r="E312" t="inlineStr">
        <is>
          <t>Boissons</t>
        </is>
      </c>
      <c r="F312" t="n">
        <v>34</v>
      </c>
      <c r="G312" t="n">
        <v>635.59</v>
      </c>
      <c r="H312" t="n">
        <v>432.68</v>
      </c>
      <c r="I312" s="4">
        <f>(G312-H312)/H312</f>
        <v/>
      </c>
    </row>
    <row r="313">
      <c r="A313" s="6" t="n">
        <v>45945</v>
      </c>
      <c r="B313" t="inlineStr">
        <is>
          <t>Thomas Obiang</t>
        </is>
      </c>
      <c r="C313" t="inlineStr">
        <is>
          <t>ALIMENTATION YOPOUGON 31</t>
        </is>
      </c>
      <c r="D313" t="inlineStr">
        <is>
          <t>REF-0618</t>
        </is>
      </c>
      <c r="E313" t="inlineStr">
        <is>
          <t>Riz</t>
        </is>
      </c>
      <c r="F313" t="n">
        <v>20</v>
      </c>
      <c r="G313" t="n">
        <v>1091.26</v>
      </c>
      <c r="H313" t="n">
        <v>691.95</v>
      </c>
      <c r="I313" s="4">
        <f>(G313-H313)/H313</f>
        <v/>
      </c>
    </row>
    <row r="314">
      <c r="A314" s="6" t="n">
        <v>45945</v>
      </c>
      <c r="B314" t="inlineStr">
        <is>
          <t>Thomas Obiang</t>
        </is>
      </c>
      <c r="C314" t="inlineStr">
        <is>
          <t>ALIMENTATION YOPOUGON 31</t>
        </is>
      </c>
      <c r="D314" t="inlineStr">
        <is>
          <t>REF-0313</t>
        </is>
      </c>
      <c r="E314" t="inlineStr">
        <is>
          <t>Huiles</t>
        </is>
      </c>
      <c r="F314" t="n">
        <v>9</v>
      </c>
      <c r="G314" t="n">
        <v>292.17</v>
      </c>
      <c r="H314" t="n">
        <v>219.35</v>
      </c>
      <c r="I314" s="4">
        <f>(G314-H314)/H314</f>
        <v/>
      </c>
    </row>
    <row r="315">
      <c r="A315" s="6" t="n">
        <v>45945</v>
      </c>
      <c r="B315" t="inlineStr">
        <is>
          <t>Sylvie Nguema</t>
        </is>
      </c>
      <c r="C315" t="inlineStr">
        <is>
          <t>MAGASIN YOPOUGON 19</t>
        </is>
      </c>
      <c r="D315" t="inlineStr">
        <is>
          <t>REF-0045</t>
        </is>
      </c>
      <c r="E315" t="inlineStr">
        <is>
          <t>Huiles</t>
        </is>
      </c>
      <c r="F315" t="n">
        <v>36</v>
      </c>
      <c r="G315" t="n">
        <v>467.53</v>
      </c>
      <c r="H315" t="n">
        <v>302.79</v>
      </c>
      <c r="I315" s="4">
        <f>(G315-H315)/H315</f>
        <v/>
      </c>
    </row>
    <row r="316">
      <c r="A316" s="6" t="n">
        <v>45945</v>
      </c>
      <c r="B316" t="inlineStr">
        <is>
          <t>Serge Tshibangu</t>
        </is>
      </c>
      <c r="C316" t="inlineStr">
        <is>
          <t>KIOSQUE AKANDA 06</t>
        </is>
      </c>
      <c r="D316" t="inlineStr">
        <is>
          <t>REF-0490</t>
        </is>
      </c>
      <c r="E316" t="inlineStr">
        <is>
          <t>Farine</t>
        </is>
      </c>
      <c r="F316" t="n">
        <v>7</v>
      </c>
      <c r="G316" t="n">
        <v>212.51</v>
      </c>
      <c r="H316" t="n">
        <v>159.51</v>
      </c>
      <c r="I316" s="4">
        <f>(G316-H316)/H316</f>
        <v/>
      </c>
    </row>
    <row r="317">
      <c r="A317" s="6" t="n">
        <v>45945</v>
      </c>
      <c r="B317" t="inlineStr">
        <is>
          <t>Serge Tshibangu</t>
        </is>
      </c>
      <c r="C317" t="inlineStr">
        <is>
          <t>KIOSQUE AKANDA 06</t>
        </is>
      </c>
      <c r="D317" t="inlineStr">
        <is>
          <t>REF-0084</t>
        </is>
      </c>
      <c r="E317" t="inlineStr">
        <is>
          <t>Conserves</t>
        </is>
      </c>
      <c r="F317" t="n">
        <v>9</v>
      </c>
      <c r="G317" t="n">
        <v>269.03</v>
      </c>
      <c r="H317" t="n">
        <v>176.44</v>
      </c>
      <c r="I317" s="4">
        <f>(G317-H317)/H317</f>
        <v/>
      </c>
    </row>
    <row r="318">
      <c r="A318" s="6" t="n">
        <v>45945</v>
      </c>
      <c r="B318" t="inlineStr">
        <is>
          <t>Serge Tshibangu</t>
        </is>
      </c>
      <c r="C318" t="inlineStr">
        <is>
          <t>KIOSQUE AKANDA 06</t>
        </is>
      </c>
      <c r="D318" t="inlineStr">
        <is>
          <t>REF-0489</t>
        </is>
      </c>
      <c r="E318" t="inlineStr">
        <is>
          <t>Farine</t>
        </is>
      </c>
      <c r="F318" t="n">
        <v>5</v>
      </c>
      <c r="G318" t="n">
        <v>175.19</v>
      </c>
      <c r="H318" t="n">
        <v>136.44</v>
      </c>
      <c r="I318" s="4">
        <f>(G318-H318)/H318</f>
        <v/>
      </c>
    </row>
    <row r="319">
      <c r="A319" s="6" t="n">
        <v>45945</v>
      </c>
      <c r="B319" t="inlineStr">
        <is>
          <t>Serge Tshibangu</t>
        </is>
      </c>
      <c r="C319" t="inlineStr">
        <is>
          <t>KIOSQUE AKANDA 06</t>
        </is>
      </c>
      <c r="D319" t="inlineStr">
        <is>
          <t>REF-0199</t>
        </is>
      </c>
      <c r="E319" t="inlineStr">
        <is>
          <t>Huiles</t>
        </is>
      </c>
      <c r="F319" t="n">
        <v>5</v>
      </c>
      <c r="G319" t="n">
        <v>116.51</v>
      </c>
      <c r="H319" t="n">
        <v>88.48999999999999</v>
      </c>
      <c r="I319" s="4">
        <f>(G319-H319)/H319</f>
        <v/>
      </c>
    </row>
    <row r="320">
      <c r="A320" s="6" t="n">
        <v>45945</v>
      </c>
      <c r="B320" t="inlineStr">
        <is>
          <t>Grace Kasongo</t>
        </is>
      </c>
      <c r="C320" t="inlineStr">
        <is>
          <t>ALIMENTATION KATUBA 08</t>
        </is>
      </c>
      <c r="D320" t="inlineStr">
        <is>
          <t>REF-0382</t>
        </is>
      </c>
      <c r="E320" t="inlineStr">
        <is>
          <t>Huiles</t>
        </is>
      </c>
      <c r="F320" t="n">
        <v>13</v>
      </c>
      <c r="G320" t="n">
        <v>259.93</v>
      </c>
      <c r="H320" t="n">
        <v>172.19</v>
      </c>
      <c r="I320" s="4">
        <f>(G320-H320)/H320</f>
        <v/>
      </c>
    </row>
    <row r="321">
      <c r="A321" s="6" t="n">
        <v>45945</v>
      </c>
      <c r="B321" t="inlineStr">
        <is>
          <t>Serge Tshibangu</t>
        </is>
      </c>
      <c r="C321" t="inlineStr">
        <is>
          <t>RESTAURANT PIKINE 18</t>
        </is>
      </c>
      <c r="D321" t="inlineStr">
        <is>
          <t>REF-0138</t>
        </is>
      </c>
      <c r="E321" t="inlineStr">
        <is>
          <t>Huiles</t>
        </is>
      </c>
      <c r="F321" t="n">
        <v>26</v>
      </c>
      <c r="G321" t="n">
        <v>363.87</v>
      </c>
      <c r="H321" t="n">
        <v>301.67</v>
      </c>
      <c r="I321" s="4">
        <f>(G321-H321)/H321</f>
        <v/>
      </c>
    </row>
    <row r="322">
      <c r="A322" s="6" t="n">
        <v>45945</v>
      </c>
      <c r="B322" t="inlineStr">
        <is>
          <t>Serge Tshibangu</t>
        </is>
      </c>
      <c r="C322" t="inlineStr">
        <is>
          <t>RESTAURANT PIKINE 18</t>
        </is>
      </c>
      <c r="D322" t="inlineStr">
        <is>
          <t>REF-0128</t>
        </is>
      </c>
      <c r="E322" t="inlineStr">
        <is>
          <t>Savons</t>
        </is>
      </c>
      <c r="F322" t="n">
        <v>11</v>
      </c>
      <c r="G322" t="n">
        <v>221.28</v>
      </c>
      <c r="H322" t="n">
        <v>164.38</v>
      </c>
      <c r="I322" s="4">
        <f>(G322-H322)/H322</f>
        <v/>
      </c>
    </row>
    <row r="323">
      <c r="A323" s="6" t="n">
        <v>45945</v>
      </c>
      <c r="B323" t="inlineStr">
        <is>
          <t>Serge Tshibangu</t>
        </is>
      </c>
      <c r="C323" t="inlineStr">
        <is>
          <t>RESTAURANT PIKINE 18</t>
        </is>
      </c>
      <c r="D323" t="inlineStr">
        <is>
          <t>REF-0254</t>
        </is>
      </c>
      <c r="E323" t="inlineStr">
        <is>
          <t>Boissons</t>
        </is>
      </c>
      <c r="F323" t="n">
        <v>45</v>
      </c>
      <c r="G323" t="n">
        <v>901.2</v>
      </c>
      <c r="H323" t="n">
        <v>777.47</v>
      </c>
      <c r="I323" s="4">
        <f>(G323-H323)/H323</f>
        <v/>
      </c>
    </row>
    <row r="324">
      <c r="A324" s="6" t="n">
        <v>45945</v>
      </c>
      <c r="B324" t="inlineStr">
        <is>
          <t>Aïcha Bakala</t>
        </is>
      </c>
      <c r="C324" t="inlineStr">
        <is>
          <t>SUPERMARCHE MAKELEKELE 38</t>
        </is>
      </c>
      <c r="D324" t="inlineStr">
        <is>
          <t>REF-0245</t>
        </is>
      </c>
      <c r="E324" t="inlineStr">
        <is>
          <t>Boissons</t>
        </is>
      </c>
      <c r="F324" t="n">
        <v>14</v>
      </c>
      <c r="G324" t="n">
        <v>141.24</v>
      </c>
      <c r="H324" t="n">
        <v>98.84999999999999</v>
      </c>
      <c r="I324" s="4">
        <f>(G324-H324)/H324</f>
        <v/>
      </c>
    </row>
    <row r="325">
      <c r="A325" s="6" t="n">
        <v>45945</v>
      </c>
      <c r="B325" t="inlineStr">
        <is>
          <t>Aïcha Bakala</t>
        </is>
      </c>
      <c r="C325" t="inlineStr">
        <is>
          <t>SUPERMARCHE MAKELEKELE 38</t>
        </is>
      </c>
      <c r="D325" t="inlineStr">
        <is>
          <t>REF-0407</t>
        </is>
      </c>
      <c r="E325" t="inlineStr">
        <is>
          <t>Savons</t>
        </is>
      </c>
      <c r="F325" t="n">
        <v>3</v>
      </c>
      <c r="G325" t="n">
        <v>33.19</v>
      </c>
      <c r="H325" t="n">
        <v>24.87</v>
      </c>
      <c r="I325" s="4">
        <f>(G325-H325)/H325</f>
        <v/>
      </c>
    </row>
    <row r="326">
      <c r="A326" s="6" t="n">
        <v>45945</v>
      </c>
      <c r="B326" t="inlineStr">
        <is>
          <t>Serge Tshibangu</t>
        </is>
      </c>
      <c r="C326" t="inlineStr">
        <is>
          <t>BOUTIQUE TREICHVILLE 22</t>
        </is>
      </c>
      <c r="D326" t="inlineStr">
        <is>
          <t>REF-0242</t>
        </is>
      </c>
      <c r="E326" t="inlineStr">
        <is>
          <t>Boissons</t>
        </is>
      </c>
      <c r="F326" t="n">
        <v>17</v>
      </c>
      <c r="G326" t="n">
        <v>225.63</v>
      </c>
      <c r="H326" t="n">
        <v>162.84</v>
      </c>
      <c r="I326" s="4">
        <f>(G326-H326)/H326</f>
        <v/>
      </c>
    </row>
    <row r="327">
      <c r="A327" s="6" t="n">
        <v>45945</v>
      </c>
      <c r="B327" t="inlineStr">
        <is>
          <t>Serge Tshibangu</t>
        </is>
      </c>
      <c r="C327" t="inlineStr">
        <is>
          <t>BOUTIQUE TREICHVILLE 22</t>
        </is>
      </c>
      <c r="D327" t="inlineStr">
        <is>
          <t>REF-0405</t>
        </is>
      </c>
      <c r="E327" t="inlineStr">
        <is>
          <t>Farine</t>
        </is>
      </c>
      <c r="F327" t="n">
        <v>21</v>
      </c>
      <c r="G327" t="n">
        <v>633.1900000000001</v>
      </c>
      <c r="H327" t="n">
        <v>508.77</v>
      </c>
      <c r="I327" s="4">
        <f>(G327-H327)/H327</f>
        <v/>
      </c>
    </row>
    <row r="328">
      <c r="A328" s="6" t="n">
        <v>45945</v>
      </c>
      <c r="B328" t="inlineStr">
        <is>
          <t>Serge Tshibangu</t>
        </is>
      </c>
      <c r="C328" t="inlineStr">
        <is>
          <t>BOUTIQUE TREICHVILLE 22</t>
        </is>
      </c>
      <c r="D328" t="inlineStr">
        <is>
          <t>REF-0818</t>
        </is>
      </c>
      <c r="E328" t="inlineStr">
        <is>
          <t>Riz</t>
        </is>
      </c>
      <c r="F328" t="n">
        <v>7</v>
      </c>
      <c r="G328" t="n">
        <v>210.65</v>
      </c>
      <c r="H328" t="n">
        <v>149.38</v>
      </c>
      <c r="I328" s="4">
        <f>(G328-H328)/H328</f>
        <v/>
      </c>
    </row>
    <row r="329">
      <c r="A329" s="6" t="n">
        <v>45945</v>
      </c>
      <c r="B329" t="inlineStr">
        <is>
          <t>Serge Tshibangu</t>
        </is>
      </c>
      <c r="C329" t="inlineStr">
        <is>
          <t>BOUTIQUE TREICHVILLE 22</t>
        </is>
      </c>
      <c r="D329" t="inlineStr">
        <is>
          <t>REF-0483</t>
        </is>
      </c>
      <c r="E329" t="inlineStr">
        <is>
          <t>Huiles</t>
        </is>
      </c>
      <c r="F329" t="n">
        <v>9</v>
      </c>
      <c r="G329" t="n">
        <v>153.67</v>
      </c>
      <c r="H329" t="n">
        <v>118.23</v>
      </c>
      <c r="I329" s="4">
        <f>(G329-H329)/H329</f>
        <v/>
      </c>
    </row>
    <row r="330">
      <c r="A330" s="6" t="n">
        <v>45945</v>
      </c>
      <c r="B330" t="inlineStr">
        <is>
          <t>Serge Tshibangu</t>
        </is>
      </c>
      <c r="C330" t="inlineStr">
        <is>
          <t>BOUTIQUE TREICHVILLE 22</t>
        </is>
      </c>
      <c r="D330" t="inlineStr">
        <is>
          <t>REF-0846</t>
        </is>
      </c>
      <c r="E330" t="inlineStr">
        <is>
          <t>Huiles</t>
        </is>
      </c>
      <c r="F330" t="n">
        <v>6</v>
      </c>
      <c r="G330" t="n">
        <v>108.3</v>
      </c>
      <c r="H330" t="n">
        <v>80.37</v>
      </c>
      <c r="I330" s="4">
        <f>(G330-H330)/H330</f>
        <v/>
      </c>
    </row>
    <row r="331">
      <c r="A331" s="6" t="n">
        <v>45945</v>
      </c>
      <c r="B331" t="inlineStr">
        <is>
          <t>Sylvie Nguema</t>
        </is>
      </c>
      <c r="C331" t="inlineStr">
        <is>
          <t>SUPERETTE COCODY 13</t>
        </is>
      </c>
      <c r="D331" t="inlineStr">
        <is>
          <t>REF-0758</t>
        </is>
      </c>
      <c r="E331" t="inlineStr">
        <is>
          <t>Conserves</t>
        </is>
      </c>
      <c r="F331" t="n">
        <v>16</v>
      </c>
      <c r="G331" t="n">
        <v>270.68</v>
      </c>
      <c r="H331" t="n">
        <v>182.13</v>
      </c>
      <c r="I331" s="4">
        <f>(G331-H331)/H331</f>
        <v/>
      </c>
    </row>
    <row r="332">
      <c r="A332" s="6" t="n">
        <v>45945</v>
      </c>
      <c r="B332" t="inlineStr">
        <is>
          <t>Serge Tshibangu</t>
        </is>
      </c>
      <c r="C332" t="inlineStr">
        <is>
          <t>HOTEL MEDINA 24</t>
        </is>
      </c>
      <c r="D332" t="inlineStr">
        <is>
          <t>REF-0171</t>
        </is>
      </c>
      <c r="E332" t="inlineStr">
        <is>
          <t>Huiles</t>
        </is>
      </c>
      <c r="F332" t="n">
        <v>3</v>
      </c>
      <c r="G332" t="n">
        <v>80.08</v>
      </c>
      <c r="H332" t="n">
        <v>69.68000000000001</v>
      </c>
      <c r="I332" s="4">
        <f>(G332-H332)/H332</f>
        <v/>
      </c>
    </row>
    <row r="333">
      <c r="A333" s="6" t="n">
        <v>45945</v>
      </c>
      <c r="B333" t="inlineStr">
        <is>
          <t>Sylvie Nguema</t>
        </is>
      </c>
      <c r="C333" t="inlineStr">
        <is>
          <t>MAGASIN BANDAL 28</t>
        </is>
      </c>
      <c r="D333" t="inlineStr">
        <is>
          <t>REF-0284</t>
        </is>
      </c>
      <c r="E333" t="inlineStr">
        <is>
          <t>Farine</t>
        </is>
      </c>
      <c r="F333" t="n">
        <v>7</v>
      </c>
      <c r="G333" t="n">
        <v>197.77</v>
      </c>
      <c r="H333" t="n">
        <v>138.98</v>
      </c>
      <c r="I333" s="4">
        <f>(G333-H333)/H333</f>
        <v/>
      </c>
    </row>
    <row r="334">
      <c r="A334" s="6" t="n">
        <v>45945</v>
      </c>
      <c r="B334" t="inlineStr">
        <is>
          <t>Nadège Kalala</t>
        </is>
      </c>
      <c r="C334" t="inlineStr">
        <is>
          <t>GROSSISTE BONABERI 03</t>
        </is>
      </c>
      <c r="D334" t="inlineStr">
        <is>
          <t>REF-0205</t>
        </is>
      </c>
      <c r="E334" t="inlineStr">
        <is>
          <t>Boissons</t>
        </is>
      </c>
      <c r="F334" t="n">
        <v>8</v>
      </c>
      <c r="G334" t="n">
        <v>185.23</v>
      </c>
      <c r="H334" t="n">
        <v>158.02</v>
      </c>
      <c r="I334" s="4">
        <f>(G334-H334)/H334</f>
        <v/>
      </c>
    </row>
    <row r="335">
      <c r="A335" s="6" t="n">
        <v>45946</v>
      </c>
      <c r="B335" t="inlineStr">
        <is>
          <t>Grace Kasongo</t>
        </is>
      </c>
      <c r="C335" t="inlineStr">
        <is>
          <t>GROSSISTE COCODY 40</t>
        </is>
      </c>
      <c r="D335" t="inlineStr">
        <is>
          <t>REF-0582</t>
        </is>
      </c>
      <c r="E335" t="inlineStr">
        <is>
          <t>Huiles</t>
        </is>
      </c>
      <c r="F335" t="n">
        <v>20</v>
      </c>
      <c r="G335" t="n">
        <v>242.95</v>
      </c>
      <c r="H335" t="n">
        <v>188.26</v>
      </c>
      <c r="I335" s="4">
        <f>(G335-H335)/H335</f>
        <v/>
      </c>
    </row>
    <row r="336">
      <c r="A336" s="6" t="n">
        <v>45946</v>
      </c>
      <c r="B336" t="inlineStr">
        <is>
          <t>Grace Kasongo</t>
        </is>
      </c>
      <c r="C336" t="inlineStr">
        <is>
          <t>GROSSISTE COCODY 40</t>
        </is>
      </c>
      <c r="D336" t="inlineStr">
        <is>
          <t>REF-0496</t>
        </is>
      </c>
      <c r="E336" t="inlineStr">
        <is>
          <t>Huiles</t>
        </is>
      </c>
      <c r="F336" t="n">
        <v>9</v>
      </c>
      <c r="G336" t="n">
        <v>113.34</v>
      </c>
      <c r="H336" t="n">
        <v>83.06</v>
      </c>
      <c r="I336" s="4">
        <f>(G336-H336)/H336</f>
        <v/>
      </c>
    </row>
    <row r="337">
      <c r="A337" s="6" t="n">
        <v>45946</v>
      </c>
      <c r="B337" t="inlineStr">
        <is>
          <t>Grace Kasongo</t>
        </is>
      </c>
      <c r="C337" t="inlineStr">
        <is>
          <t>GROSSISTE COCODY 40</t>
        </is>
      </c>
      <c r="D337" t="inlineStr">
        <is>
          <t>REF-0445</t>
        </is>
      </c>
      <c r="E337" t="inlineStr">
        <is>
          <t>Savons</t>
        </is>
      </c>
      <c r="F337" t="n">
        <v>23</v>
      </c>
      <c r="G337" t="n">
        <v>424.53</v>
      </c>
      <c r="H337" t="n">
        <v>305.37</v>
      </c>
      <c r="I337" s="4">
        <f>(G337-H337)/H337</f>
        <v/>
      </c>
    </row>
    <row r="338">
      <c r="A338" s="6" t="n">
        <v>45946</v>
      </c>
      <c r="B338" t="inlineStr">
        <is>
          <t>Sylvie Nguema</t>
        </is>
      </c>
      <c r="C338" t="inlineStr">
        <is>
          <t>MINI-MARCHE VICTOIRE 23</t>
        </is>
      </c>
      <c r="D338" t="inlineStr">
        <is>
          <t>REF-0822</t>
        </is>
      </c>
      <c r="E338" t="inlineStr">
        <is>
          <t>Savons</t>
        </is>
      </c>
      <c r="F338" t="n">
        <v>37</v>
      </c>
      <c r="G338" t="n">
        <v>668.3200000000001</v>
      </c>
      <c r="H338" t="n">
        <v>458.33</v>
      </c>
      <c r="I338" s="4">
        <f>(G338-H338)/H338</f>
        <v/>
      </c>
    </row>
    <row r="339">
      <c r="A339" s="6" t="n">
        <v>45946</v>
      </c>
      <c r="B339" t="inlineStr">
        <is>
          <t>Sylvie Nguema</t>
        </is>
      </c>
      <c r="C339" t="inlineStr">
        <is>
          <t>MINI-MARCHE VICTOIRE 23</t>
        </is>
      </c>
      <c r="D339" t="inlineStr">
        <is>
          <t>REF-0333</t>
        </is>
      </c>
      <c r="E339" t="inlineStr">
        <is>
          <t>Riz</t>
        </is>
      </c>
      <c r="F339" t="n">
        <v>69</v>
      </c>
      <c r="G339" t="n">
        <v>5392.86</v>
      </c>
      <c r="H339" t="n">
        <v>3522.42</v>
      </c>
      <c r="I339" s="4">
        <f>(G339-H339)/H339</f>
        <v/>
      </c>
    </row>
    <row r="340">
      <c r="A340" s="6" t="n">
        <v>45946</v>
      </c>
      <c r="B340" t="inlineStr">
        <is>
          <t>Sylvie Nguema</t>
        </is>
      </c>
      <c r="C340" t="inlineStr">
        <is>
          <t>MINI-MARCHE VICTOIRE 23</t>
        </is>
      </c>
      <c r="D340" t="inlineStr">
        <is>
          <t>REF-0663</t>
        </is>
      </c>
      <c r="E340" t="inlineStr">
        <is>
          <t>Riz</t>
        </is>
      </c>
      <c r="F340" t="n">
        <v>6</v>
      </c>
      <c r="G340" t="n">
        <v>367.02</v>
      </c>
      <c r="H340" t="n">
        <v>256.49</v>
      </c>
      <c r="I340" s="4">
        <f>(G340-H340)/H340</f>
        <v/>
      </c>
    </row>
    <row r="341">
      <c r="A341" s="6" t="n">
        <v>45946</v>
      </c>
      <c r="B341" t="inlineStr">
        <is>
          <t>Sylvie Nguema</t>
        </is>
      </c>
      <c r="C341" t="inlineStr">
        <is>
          <t>KIOSQUE MASINA 04</t>
        </is>
      </c>
      <c r="D341" t="inlineStr">
        <is>
          <t>REF-0589</t>
        </is>
      </c>
      <c r="E341" t="inlineStr">
        <is>
          <t>Savons</t>
        </is>
      </c>
      <c r="F341" t="n">
        <v>6</v>
      </c>
      <c r="G341" t="n">
        <v>48.61</v>
      </c>
      <c r="H341" t="n">
        <v>42.02</v>
      </c>
      <c r="I341" s="4">
        <f>(G341-H341)/H341</f>
        <v/>
      </c>
    </row>
    <row r="342">
      <c r="A342" s="6" t="n">
        <v>45946</v>
      </c>
      <c r="B342" t="inlineStr">
        <is>
          <t>Sylvie Nguema</t>
        </is>
      </c>
      <c r="C342" t="inlineStr">
        <is>
          <t>KIOSQUE MASINA 04</t>
        </is>
      </c>
      <c r="D342" t="inlineStr">
        <is>
          <t>REF-0013</t>
        </is>
      </c>
      <c r="E342" t="inlineStr">
        <is>
          <t>Conserves</t>
        </is>
      </c>
      <c r="F342" t="n">
        <v>15</v>
      </c>
      <c r="G342" t="n">
        <v>249.44</v>
      </c>
      <c r="H342" t="n">
        <v>165.06</v>
      </c>
      <c r="I342" s="4">
        <f>(G342-H342)/H342</f>
        <v/>
      </c>
    </row>
    <row r="343">
      <c r="A343" s="6" t="n">
        <v>45946</v>
      </c>
      <c r="B343" t="inlineStr">
        <is>
          <t>Serge Tshibangu</t>
        </is>
      </c>
      <c r="C343" t="inlineStr">
        <is>
          <t>SUPERETTE NGALULA 16</t>
        </is>
      </c>
      <c r="D343" t="inlineStr">
        <is>
          <t>REF-0075</t>
        </is>
      </c>
      <c r="E343" t="inlineStr">
        <is>
          <t>Farine</t>
        </is>
      </c>
      <c r="F343" t="n">
        <v>7</v>
      </c>
      <c r="G343" t="n">
        <v>138.49</v>
      </c>
      <c r="H343" t="n">
        <v>103.67</v>
      </c>
      <c r="I343" s="4">
        <f>(G343-H343)/H343</f>
        <v/>
      </c>
    </row>
    <row r="344">
      <c r="A344" s="6" t="n">
        <v>45946</v>
      </c>
      <c r="B344" t="inlineStr">
        <is>
          <t>Serge Tshibangu</t>
        </is>
      </c>
      <c r="C344" t="inlineStr">
        <is>
          <t>SUPERETTE NGALULA 16</t>
        </is>
      </c>
      <c r="D344" t="inlineStr">
        <is>
          <t>REF-0371</t>
        </is>
      </c>
      <c r="E344" t="inlineStr">
        <is>
          <t>Conserves</t>
        </is>
      </c>
      <c r="F344" t="n">
        <v>9</v>
      </c>
      <c r="G344" t="n">
        <v>102.58</v>
      </c>
      <c r="H344" t="n">
        <v>76.09999999999999</v>
      </c>
      <c r="I344" s="4">
        <f>(G344-H344)/H344</f>
        <v/>
      </c>
    </row>
    <row r="345">
      <c r="A345" s="6" t="n">
        <v>45946</v>
      </c>
      <c r="B345" t="inlineStr">
        <is>
          <t>Thomas Obiang</t>
        </is>
      </c>
      <c r="C345" t="inlineStr">
        <is>
          <t>SUPERMARCHE MAKELEKELE 38</t>
        </is>
      </c>
      <c r="D345" t="inlineStr">
        <is>
          <t>REF-0522</t>
        </is>
      </c>
      <c r="E345" t="inlineStr">
        <is>
          <t>Conserves</t>
        </is>
      </c>
      <c r="F345" t="n">
        <v>6</v>
      </c>
      <c r="G345" t="n">
        <v>142.3</v>
      </c>
      <c r="H345" t="n">
        <v>100.35</v>
      </c>
      <c r="I345" s="4">
        <f>(G345-H345)/H345</f>
        <v/>
      </c>
    </row>
    <row r="346">
      <c r="A346" s="6" t="n">
        <v>45946</v>
      </c>
      <c r="B346" t="inlineStr">
        <is>
          <t>Thomas Obiang</t>
        </is>
      </c>
      <c r="C346" t="inlineStr">
        <is>
          <t>SUPERMARCHE MAKELEKELE 38</t>
        </is>
      </c>
      <c r="D346" t="inlineStr">
        <is>
          <t>REF-0789</t>
        </is>
      </c>
      <c r="E346" t="inlineStr">
        <is>
          <t>Riz</t>
        </is>
      </c>
      <c r="F346" t="n">
        <v>24</v>
      </c>
      <c r="G346" t="n">
        <v>1852.52</v>
      </c>
      <c r="H346" t="n">
        <v>1159.47</v>
      </c>
      <c r="I346" s="4">
        <f>(G346-H346)/H346</f>
        <v/>
      </c>
    </row>
    <row r="347">
      <c r="A347" s="6" t="n">
        <v>45946</v>
      </c>
      <c r="B347" t="inlineStr">
        <is>
          <t>Thomas Obiang</t>
        </is>
      </c>
      <c r="C347" t="inlineStr">
        <is>
          <t>SUPERMARCHE MAKELEKELE 38</t>
        </is>
      </c>
      <c r="D347" t="inlineStr">
        <is>
          <t>REF-0431</t>
        </is>
      </c>
      <c r="E347" t="inlineStr">
        <is>
          <t>Boissons</t>
        </is>
      </c>
      <c r="F347" t="n">
        <v>31</v>
      </c>
      <c r="G347" t="n">
        <v>441.16</v>
      </c>
      <c r="H347" t="n">
        <v>358.9</v>
      </c>
      <c r="I347" s="4">
        <f>(G347-H347)/H347</f>
        <v/>
      </c>
    </row>
    <row r="348">
      <c r="A348" s="6" t="n">
        <v>45946</v>
      </c>
      <c r="B348" t="inlineStr">
        <is>
          <t>Thomas Obiang</t>
        </is>
      </c>
      <c r="C348" t="inlineStr">
        <is>
          <t>SUPERMARCHE MAKELEKELE 38</t>
        </is>
      </c>
      <c r="D348" t="inlineStr">
        <is>
          <t>REF-0809</t>
        </is>
      </c>
      <c r="E348" t="inlineStr">
        <is>
          <t>Farine</t>
        </is>
      </c>
      <c r="F348" t="n">
        <v>7</v>
      </c>
      <c r="G348" t="n">
        <v>267.68</v>
      </c>
      <c r="H348" t="n">
        <v>201.91</v>
      </c>
      <c r="I348" s="4">
        <f>(G348-H348)/H348</f>
        <v/>
      </c>
    </row>
    <row r="349">
      <c r="A349" s="6" t="n">
        <v>45946</v>
      </c>
      <c r="B349" t="inlineStr">
        <is>
          <t>Nadège Kalala</t>
        </is>
      </c>
      <c r="C349" t="inlineStr">
        <is>
          <t>SUPERETTE BARUMBU 03</t>
        </is>
      </c>
      <c r="D349" t="inlineStr">
        <is>
          <t>REF-0314</t>
        </is>
      </c>
      <c r="E349" t="inlineStr">
        <is>
          <t>Farine</t>
        </is>
      </c>
      <c r="F349" t="n">
        <v>25</v>
      </c>
      <c r="G349" t="n">
        <v>516.4400000000001</v>
      </c>
      <c r="H349" t="n">
        <v>400.49</v>
      </c>
      <c r="I349" s="4">
        <f>(G349-H349)/H349</f>
        <v/>
      </c>
    </row>
    <row r="350">
      <c r="A350" s="6" t="n">
        <v>45946</v>
      </c>
      <c r="B350" t="inlineStr">
        <is>
          <t>Nadège Kalala</t>
        </is>
      </c>
      <c r="C350" t="inlineStr">
        <is>
          <t>SUPERETTE BARUMBU 03</t>
        </is>
      </c>
      <c r="D350" t="inlineStr">
        <is>
          <t>REF-0428</t>
        </is>
      </c>
      <c r="E350" t="inlineStr">
        <is>
          <t>Huiles</t>
        </is>
      </c>
      <c r="F350" t="n">
        <v>17</v>
      </c>
      <c r="G350" t="n">
        <v>414.57</v>
      </c>
      <c r="H350" t="n">
        <v>305.75</v>
      </c>
      <c r="I350" s="4">
        <f>(G350-H350)/H350</f>
        <v/>
      </c>
    </row>
    <row r="351">
      <c r="A351" s="6" t="n">
        <v>45946</v>
      </c>
      <c r="B351" t="inlineStr">
        <is>
          <t>Serge Tshibangu</t>
        </is>
      </c>
      <c r="C351" t="inlineStr">
        <is>
          <t>KIOSQUE PIKINE 23</t>
        </is>
      </c>
      <c r="D351" t="inlineStr">
        <is>
          <t>REF-0744</t>
        </is>
      </c>
      <c r="E351" t="inlineStr">
        <is>
          <t>Savons</t>
        </is>
      </c>
      <c r="F351" t="n">
        <v>9</v>
      </c>
      <c r="G351" t="n">
        <v>98.33</v>
      </c>
      <c r="H351" t="n">
        <v>84.14</v>
      </c>
      <c r="I351" s="4">
        <f>(G351-H351)/H351</f>
        <v/>
      </c>
    </row>
    <row r="352">
      <c r="A352" s="6" t="n">
        <v>45946</v>
      </c>
      <c r="B352" t="inlineStr">
        <is>
          <t>Serge Tshibangu</t>
        </is>
      </c>
      <c r="C352" t="inlineStr">
        <is>
          <t>KIOSQUE PIKINE 23</t>
        </is>
      </c>
      <c r="D352" t="inlineStr">
        <is>
          <t>REF-0080</t>
        </is>
      </c>
      <c r="E352" t="inlineStr">
        <is>
          <t>Farine</t>
        </is>
      </c>
      <c r="F352" t="n">
        <v>85</v>
      </c>
      <c r="G352" t="n">
        <v>1843.72</v>
      </c>
      <c r="H352" t="n">
        <v>1393.95</v>
      </c>
      <c r="I352" s="4">
        <f>(G352-H352)/H352</f>
        <v/>
      </c>
    </row>
    <row r="353">
      <c r="A353" s="6" t="n">
        <v>45946</v>
      </c>
      <c r="B353" t="inlineStr">
        <is>
          <t>Sylvie Nguema</t>
        </is>
      </c>
      <c r="C353" t="inlineStr">
        <is>
          <t>BOULANGERIE ABOBO 19</t>
        </is>
      </c>
      <c r="D353" t="inlineStr">
        <is>
          <t>REF-0404</t>
        </is>
      </c>
      <c r="E353" t="inlineStr">
        <is>
          <t>Farine</t>
        </is>
      </c>
      <c r="F353" t="n">
        <v>6</v>
      </c>
      <c r="G353" t="n">
        <v>293.15</v>
      </c>
      <c r="H353" t="n">
        <v>233.93</v>
      </c>
      <c r="I353" s="4">
        <f>(G353-H353)/H353</f>
        <v/>
      </c>
    </row>
    <row r="354">
      <c r="A354" s="6" t="n">
        <v>45946</v>
      </c>
      <c r="B354" t="inlineStr">
        <is>
          <t>Sylvie Nguema</t>
        </is>
      </c>
      <c r="C354" t="inlineStr">
        <is>
          <t>BOULANGERIE ABOBO 19</t>
        </is>
      </c>
      <c r="D354" t="inlineStr">
        <is>
          <t>REF-0023</t>
        </is>
      </c>
      <c r="E354" t="inlineStr">
        <is>
          <t>Boissons</t>
        </is>
      </c>
      <c r="F354" t="n">
        <v>20</v>
      </c>
      <c r="G354" t="n">
        <v>309.33</v>
      </c>
      <c r="H354" t="n">
        <v>209.84</v>
      </c>
      <c r="I354" s="4">
        <f>(G354-H354)/H354</f>
        <v/>
      </c>
    </row>
    <row r="355">
      <c r="A355" s="6" t="n">
        <v>45946</v>
      </c>
      <c r="B355" t="inlineStr">
        <is>
          <t>Aïcha Bakala</t>
        </is>
      </c>
      <c r="C355" t="inlineStr">
        <is>
          <t>GROSSISTE NGALULA 07</t>
        </is>
      </c>
      <c r="D355" t="inlineStr">
        <is>
          <t>REF-0064</t>
        </is>
      </c>
      <c r="E355" t="inlineStr">
        <is>
          <t>Savons</t>
        </is>
      </c>
      <c r="F355" t="n">
        <v>13</v>
      </c>
      <c r="G355" t="n">
        <v>197.75</v>
      </c>
      <c r="H355" t="n">
        <v>143.53</v>
      </c>
      <c r="I355" s="4">
        <f>(G355-H355)/H355</f>
        <v/>
      </c>
    </row>
    <row r="356">
      <c r="A356" s="6" t="n">
        <v>45946</v>
      </c>
      <c r="B356" t="inlineStr">
        <is>
          <t>Aïcha Bakala</t>
        </is>
      </c>
      <c r="C356" t="inlineStr">
        <is>
          <t>GROSSISTE NGALULA 07</t>
        </is>
      </c>
      <c r="D356" t="inlineStr">
        <is>
          <t>REF-0640</t>
        </is>
      </c>
      <c r="E356" t="inlineStr">
        <is>
          <t>Conserves</t>
        </is>
      </c>
      <c r="F356" t="n">
        <v>29</v>
      </c>
      <c r="G356" t="n">
        <v>682.4400000000001</v>
      </c>
      <c r="H356" t="n">
        <v>532.63</v>
      </c>
      <c r="I356" s="4">
        <f>(G356-H356)/H356</f>
        <v/>
      </c>
    </row>
    <row r="357">
      <c r="A357" s="6" t="n">
        <v>45946</v>
      </c>
      <c r="B357" t="inlineStr">
        <is>
          <t>Serge Tshibangu</t>
        </is>
      </c>
      <c r="C357" t="inlineStr">
        <is>
          <t>SUPERETTE DEIDO 09</t>
        </is>
      </c>
      <c r="D357" t="inlineStr">
        <is>
          <t>REF-0747</t>
        </is>
      </c>
      <c r="E357" t="inlineStr">
        <is>
          <t>Huiles</t>
        </is>
      </c>
      <c r="F357" t="n">
        <v>16</v>
      </c>
      <c r="G357" t="n">
        <v>427.43</v>
      </c>
      <c r="H357" t="n">
        <v>367.8</v>
      </c>
      <c r="I357" s="4">
        <f>(G357-H357)/H357</f>
        <v/>
      </c>
    </row>
    <row r="358">
      <c r="A358" s="6" t="n">
        <v>45946</v>
      </c>
      <c r="B358" t="inlineStr">
        <is>
          <t>Serge Tshibangu</t>
        </is>
      </c>
      <c r="C358" t="inlineStr">
        <is>
          <t>SUPERETTE DEIDO 09</t>
        </is>
      </c>
      <c r="D358" t="inlineStr">
        <is>
          <t>REF-0671</t>
        </is>
      </c>
      <c r="E358" t="inlineStr">
        <is>
          <t>Boissons</t>
        </is>
      </c>
      <c r="F358" t="n">
        <v>23</v>
      </c>
      <c r="G358" t="n">
        <v>434.96</v>
      </c>
      <c r="H358" t="n">
        <v>356.27</v>
      </c>
      <c r="I358" s="4">
        <f>(G358-H358)/H358</f>
        <v/>
      </c>
    </row>
    <row r="359">
      <c r="A359" s="6" t="n">
        <v>45946</v>
      </c>
      <c r="B359" t="inlineStr">
        <is>
          <t>Serge Tshibangu</t>
        </is>
      </c>
      <c r="C359" t="inlineStr">
        <is>
          <t>SUPERETTE DEIDO 09</t>
        </is>
      </c>
      <c r="D359" t="inlineStr">
        <is>
          <t>REF-0094</t>
        </is>
      </c>
      <c r="E359" t="inlineStr">
        <is>
          <t>Boissons</t>
        </is>
      </c>
      <c r="F359" t="n">
        <v>13</v>
      </c>
      <c r="G359" t="n">
        <v>203.88</v>
      </c>
      <c r="H359" t="n">
        <v>169.93</v>
      </c>
      <c r="I359" s="4">
        <f>(G359-H359)/H359</f>
        <v/>
      </c>
    </row>
    <row r="360">
      <c r="A360" s="6" t="n">
        <v>45946</v>
      </c>
      <c r="B360" t="inlineStr">
        <is>
          <t>Serge Tshibangu</t>
        </is>
      </c>
      <c r="C360" t="inlineStr">
        <is>
          <t>SUPERETTE DEIDO 09</t>
        </is>
      </c>
      <c r="D360" t="inlineStr">
        <is>
          <t>REF-0354</t>
        </is>
      </c>
      <c r="E360" t="inlineStr">
        <is>
          <t>Conserves</t>
        </is>
      </c>
      <c r="F360" t="n">
        <v>29</v>
      </c>
      <c r="G360" t="n">
        <v>649.72</v>
      </c>
      <c r="H360" t="n">
        <v>483.58</v>
      </c>
      <c r="I360" s="4">
        <f>(G360-H360)/H360</f>
        <v/>
      </c>
    </row>
    <row r="361">
      <c r="A361" s="6" t="n">
        <v>45947</v>
      </c>
      <c r="B361" t="inlineStr">
        <is>
          <t>Nadège Kalala</t>
        </is>
      </c>
      <c r="C361" t="inlineStr">
        <is>
          <t>CANTINE TREICHVILLE 02</t>
        </is>
      </c>
      <c r="D361" t="inlineStr">
        <is>
          <t>REF-0105</t>
        </is>
      </c>
      <c r="E361" t="inlineStr">
        <is>
          <t>Boissons</t>
        </is>
      </c>
      <c r="F361" t="n">
        <v>5</v>
      </c>
      <c r="G361" t="n">
        <v>105.97</v>
      </c>
      <c r="H361" t="n">
        <v>86.69</v>
      </c>
      <c r="I361" s="4">
        <f>(G361-H361)/H361</f>
        <v/>
      </c>
    </row>
    <row r="362">
      <c r="A362" s="6" t="n">
        <v>45947</v>
      </c>
      <c r="B362" t="inlineStr">
        <is>
          <t>Grace Kasongo</t>
        </is>
      </c>
      <c r="C362" t="inlineStr">
        <is>
          <t>BOUTIQUE LIKASI 03</t>
        </is>
      </c>
      <c r="D362" t="inlineStr">
        <is>
          <t>REF-0155</t>
        </is>
      </c>
      <c r="E362" t="inlineStr">
        <is>
          <t>Boissons</t>
        </is>
      </c>
      <c r="F362" t="n">
        <v>7</v>
      </c>
      <c r="G362" t="n">
        <v>88.36</v>
      </c>
      <c r="H362" t="n">
        <v>73.13</v>
      </c>
      <c r="I362" s="4">
        <f>(G362-H362)/H362</f>
        <v/>
      </c>
    </row>
    <row r="363">
      <c r="A363" s="6" t="n">
        <v>45947</v>
      </c>
      <c r="B363" t="inlineStr">
        <is>
          <t>Grace Kasongo</t>
        </is>
      </c>
      <c r="C363" t="inlineStr">
        <is>
          <t>BOUTIQUE LIKASI 03</t>
        </is>
      </c>
      <c r="D363" t="inlineStr">
        <is>
          <t>REF-0093</t>
        </is>
      </c>
      <c r="E363" t="inlineStr">
        <is>
          <t>Conserves</t>
        </is>
      </c>
      <c r="F363" t="n">
        <v>27</v>
      </c>
      <c r="G363" t="n">
        <v>783.8099999999999</v>
      </c>
      <c r="H363" t="n">
        <v>647.24</v>
      </c>
      <c r="I363" s="4">
        <f>(G363-H363)/H363</f>
        <v/>
      </c>
    </row>
    <row r="364">
      <c r="A364" s="6" t="n">
        <v>45947</v>
      </c>
      <c r="B364" t="inlineStr">
        <is>
          <t>Grace Kasongo</t>
        </is>
      </c>
      <c r="C364" t="inlineStr">
        <is>
          <t>BOUTIQUE LIKASI 03</t>
        </is>
      </c>
      <c r="D364" t="inlineStr">
        <is>
          <t>REF-0825</t>
        </is>
      </c>
      <c r="E364" t="inlineStr">
        <is>
          <t>Savons</t>
        </is>
      </c>
      <c r="F364" t="n">
        <v>1</v>
      </c>
      <c r="G364" t="n">
        <v>17.38</v>
      </c>
      <c r="H364" t="n">
        <v>11.45</v>
      </c>
      <c r="I364" s="4">
        <f>(G364-H364)/H364</f>
        <v/>
      </c>
    </row>
    <row r="365">
      <c r="A365" s="6" t="n">
        <v>45947</v>
      </c>
      <c r="B365" t="inlineStr">
        <is>
          <t>Grace Kasongo</t>
        </is>
      </c>
      <c r="C365" t="inlineStr">
        <is>
          <t>BOUTIQUE LIKASI 03</t>
        </is>
      </c>
      <c r="D365" t="inlineStr">
        <is>
          <t>REF-0087</t>
        </is>
      </c>
      <c r="E365" t="inlineStr">
        <is>
          <t>Huiles</t>
        </is>
      </c>
      <c r="F365" t="n">
        <v>7</v>
      </c>
      <c r="G365" t="n">
        <v>212.13</v>
      </c>
      <c r="H365" t="n">
        <v>173.06</v>
      </c>
      <c r="I365" s="4">
        <f>(G365-H365)/H365</f>
        <v/>
      </c>
    </row>
    <row r="366">
      <c r="A366" s="6" t="n">
        <v>45947</v>
      </c>
      <c r="B366" t="inlineStr">
        <is>
          <t>Nadège Kalala</t>
        </is>
      </c>
      <c r="C366" t="inlineStr">
        <is>
          <t>SUPERETTE NGIRI 18</t>
        </is>
      </c>
      <c r="D366" t="inlineStr">
        <is>
          <t>REF-0361</t>
        </is>
      </c>
      <c r="E366" t="inlineStr">
        <is>
          <t>Huiles</t>
        </is>
      </c>
      <c r="F366" t="n">
        <v>6</v>
      </c>
      <c r="G366" t="n">
        <v>106.75</v>
      </c>
      <c r="H366" t="n">
        <v>92.88</v>
      </c>
      <c r="I366" s="4">
        <f>(G366-H366)/H366</f>
        <v/>
      </c>
    </row>
    <row r="367">
      <c r="A367" s="6" t="n">
        <v>45947</v>
      </c>
      <c r="B367" t="inlineStr">
        <is>
          <t>Nadège Kalala</t>
        </is>
      </c>
      <c r="C367" t="inlineStr">
        <is>
          <t>SUPERETTE NGIRI 18</t>
        </is>
      </c>
      <c r="D367" t="inlineStr">
        <is>
          <t>REF-0799</t>
        </is>
      </c>
      <c r="E367" t="inlineStr">
        <is>
          <t>Savons</t>
        </is>
      </c>
      <c r="F367" t="n">
        <v>22</v>
      </c>
      <c r="G367" t="n">
        <v>217.51</v>
      </c>
      <c r="H367" t="n">
        <v>179.15</v>
      </c>
      <c r="I367" s="4">
        <f>(G367-H367)/H367</f>
        <v/>
      </c>
    </row>
    <row r="368">
      <c r="A368" s="6" t="n">
        <v>45947</v>
      </c>
      <c r="B368" t="inlineStr">
        <is>
          <t>Nadège Kalala</t>
        </is>
      </c>
      <c r="C368" t="inlineStr">
        <is>
          <t>SUPERETTE NGIRI 18</t>
        </is>
      </c>
      <c r="D368" t="inlineStr">
        <is>
          <t>REF-0856</t>
        </is>
      </c>
      <c r="E368" t="inlineStr">
        <is>
          <t>Conserves</t>
        </is>
      </c>
      <c r="F368" t="n">
        <v>17</v>
      </c>
      <c r="G368" t="n">
        <v>444.62</v>
      </c>
      <c r="H368" t="n">
        <v>352.73</v>
      </c>
      <c r="I368" s="4">
        <f>(G368-H368)/H368</f>
        <v/>
      </c>
    </row>
    <row r="369">
      <c r="A369" s="6" t="n">
        <v>45947</v>
      </c>
      <c r="B369" t="inlineStr">
        <is>
          <t>Thomas Obiang</t>
        </is>
      </c>
      <c r="C369" t="inlineStr">
        <is>
          <t>BOUTIQUE LEMBA 05</t>
        </is>
      </c>
      <c r="D369" t="inlineStr">
        <is>
          <t>REF-0115</t>
        </is>
      </c>
      <c r="E369" t="inlineStr">
        <is>
          <t>Riz</t>
        </is>
      </c>
      <c r="F369" t="n">
        <v>3</v>
      </c>
      <c r="G369" t="n">
        <v>83.25</v>
      </c>
      <c r="H369" t="n">
        <v>51.89</v>
      </c>
      <c r="I369" s="4">
        <f>(G369-H369)/H369</f>
        <v/>
      </c>
    </row>
    <row r="370">
      <c r="A370" s="6" t="n">
        <v>45947</v>
      </c>
      <c r="B370" t="inlineStr">
        <is>
          <t>Thomas Obiang</t>
        </is>
      </c>
      <c r="C370" t="inlineStr">
        <is>
          <t>BOUTIQUE LEMBA 05</t>
        </is>
      </c>
      <c r="D370" t="inlineStr">
        <is>
          <t>REF-0341</t>
        </is>
      </c>
      <c r="E370" t="inlineStr">
        <is>
          <t>Boissons</t>
        </is>
      </c>
      <c r="F370" t="n">
        <v>25</v>
      </c>
      <c r="G370" t="n">
        <v>512.8</v>
      </c>
      <c r="H370" t="n">
        <v>364.07</v>
      </c>
      <c r="I370" s="4">
        <f>(G370-H370)/H370</f>
        <v/>
      </c>
    </row>
    <row r="371">
      <c r="A371" s="6" t="n">
        <v>45947</v>
      </c>
      <c r="B371" t="inlineStr">
        <is>
          <t>Grace Kasongo</t>
        </is>
      </c>
      <c r="C371" t="inlineStr">
        <is>
          <t>CANTINE DEIDO 13</t>
        </is>
      </c>
      <c r="D371" t="inlineStr">
        <is>
          <t>REF-0194</t>
        </is>
      </c>
      <c r="E371" t="inlineStr">
        <is>
          <t>Boissons</t>
        </is>
      </c>
      <c r="F371" t="n">
        <v>14</v>
      </c>
      <c r="G371" t="n">
        <v>139.32</v>
      </c>
      <c r="H371" t="n">
        <v>88.18000000000001</v>
      </c>
      <c r="I371" s="4">
        <f>(G371-H371)/H371</f>
        <v/>
      </c>
    </row>
    <row r="372">
      <c r="A372" s="6" t="n">
        <v>45947</v>
      </c>
      <c r="B372" t="inlineStr">
        <is>
          <t>Nadège Kalala</t>
        </is>
      </c>
      <c r="C372" t="inlineStr">
        <is>
          <t>KIOSQUE ABOBO 39</t>
        </is>
      </c>
      <c r="D372" t="inlineStr">
        <is>
          <t>REF-0859</t>
        </is>
      </c>
      <c r="E372" t="inlineStr">
        <is>
          <t>Farine</t>
        </is>
      </c>
      <c r="F372" t="n">
        <v>12</v>
      </c>
      <c r="G372" t="n">
        <v>379.53</v>
      </c>
      <c r="H372" t="n">
        <v>304.49</v>
      </c>
      <c r="I372" s="4">
        <f>(G372-H372)/H372</f>
        <v/>
      </c>
    </row>
    <row r="373">
      <c r="A373" s="6" t="n">
        <v>45947</v>
      </c>
      <c r="B373" t="inlineStr">
        <is>
          <t>Serge Tshibangu</t>
        </is>
      </c>
      <c r="C373" t="inlineStr">
        <is>
          <t>BOULANGERIE AKANDA 03</t>
        </is>
      </c>
      <c r="D373" t="inlineStr">
        <is>
          <t>REF-0446</t>
        </is>
      </c>
      <c r="E373" t="inlineStr">
        <is>
          <t>Boissons</t>
        </is>
      </c>
      <c r="F373" t="n">
        <v>13</v>
      </c>
      <c r="G373" t="n">
        <v>282.67</v>
      </c>
      <c r="H373" t="n">
        <v>220.19</v>
      </c>
      <c r="I373" s="4">
        <f>(G373-H373)/H373</f>
        <v/>
      </c>
    </row>
    <row r="374">
      <c r="A374" s="6" t="n">
        <v>45948</v>
      </c>
      <c r="B374" t="inlineStr">
        <is>
          <t>Nadège Kalala</t>
        </is>
      </c>
      <c r="C374" t="inlineStr">
        <is>
          <t>KIOSQUE LIMETE 06</t>
        </is>
      </c>
      <c r="D374" t="inlineStr">
        <is>
          <t>REF-0137</t>
        </is>
      </c>
      <c r="E374" t="inlineStr">
        <is>
          <t>Farine</t>
        </is>
      </c>
      <c r="F374" t="n">
        <v>5</v>
      </c>
      <c r="G374" t="n">
        <v>202.47</v>
      </c>
      <c r="H374" t="n">
        <v>174.22</v>
      </c>
      <c r="I374" s="4">
        <f>(G374-H374)/H374</f>
        <v/>
      </c>
    </row>
    <row r="375">
      <c r="A375" s="6" t="n">
        <v>45948</v>
      </c>
      <c r="B375" t="inlineStr">
        <is>
          <t>Nadège Kalala</t>
        </is>
      </c>
      <c r="C375" t="inlineStr">
        <is>
          <t>KIOSQUE LIMETE 06</t>
        </is>
      </c>
      <c r="D375" t="inlineStr">
        <is>
          <t>REF-0327</t>
        </is>
      </c>
      <c r="E375" t="inlineStr">
        <is>
          <t>Riz</t>
        </is>
      </c>
      <c r="F375" t="n">
        <v>10</v>
      </c>
      <c r="G375" t="n">
        <v>275.53</v>
      </c>
      <c r="H375" t="n">
        <v>177.62</v>
      </c>
      <c r="I375" s="4">
        <f>(G375-H375)/H375</f>
        <v/>
      </c>
    </row>
    <row r="376">
      <c r="A376" s="6" t="n">
        <v>45948</v>
      </c>
      <c r="B376" t="inlineStr">
        <is>
          <t>Thomas Obiang</t>
        </is>
      </c>
      <c r="C376" t="inlineStr">
        <is>
          <t>CANTINE VICTOIRE 38</t>
        </is>
      </c>
      <c r="D376" t="inlineStr">
        <is>
          <t>REF-0408</t>
        </is>
      </c>
      <c r="E376" t="inlineStr">
        <is>
          <t>Boissons</t>
        </is>
      </c>
      <c r="F376" t="n">
        <v>3</v>
      </c>
      <c r="G376" t="n">
        <v>26.21</v>
      </c>
      <c r="H376" t="n">
        <v>19.81</v>
      </c>
      <c r="I376" s="4">
        <f>(G376-H376)/H376</f>
        <v/>
      </c>
    </row>
    <row r="377">
      <c r="A377" s="6" t="n">
        <v>45948</v>
      </c>
      <c r="B377" t="inlineStr">
        <is>
          <t>Thomas Obiang</t>
        </is>
      </c>
      <c r="C377" t="inlineStr">
        <is>
          <t>CANTINE VICTOIRE 38</t>
        </is>
      </c>
      <c r="D377" t="inlineStr">
        <is>
          <t>REF-0262</t>
        </is>
      </c>
      <c r="E377" t="inlineStr">
        <is>
          <t>Conserves</t>
        </is>
      </c>
      <c r="F377" t="n">
        <v>22</v>
      </c>
      <c r="G377" t="n">
        <v>299.09</v>
      </c>
      <c r="H377" t="n">
        <v>261.46</v>
      </c>
      <c r="I377" s="4">
        <f>(G377-H377)/H377</f>
        <v/>
      </c>
    </row>
    <row r="378">
      <c r="A378" s="6" t="n">
        <v>45948</v>
      </c>
      <c r="B378" t="inlineStr">
        <is>
          <t>Nadège Kalala</t>
        </is>
      </c>
      <c r="C378" t="inlineStr">
        <is>
          <t>RESTAURANT MONT-NGAFULA 21</t>
        </is>
      </c>
      <c r="D378" t="inlineStr">
        <is>
          <t>REF-0661</t>
        </is>
      </c>
      <c r="E378" t="inlineStr">
        <is>
          <t>Farine</t>
        </is>
      </c>
      <c r="F378" t="n">
        <v>15</v>
      </c>
      <c r="G378" t="n">
        <v>718.0599999999999</v>
      </c>
      <c r="H378" t="n">
        <v>606.01</v>
      </c>
      <c r="I378" s="4">
        <f>(G378-H378)/H378</f>
        <v/>
      </c>
    </row>
    <row r="379">
      <c r="A379" s="6" t="n">
        <v>45948</v>
      </c>
      <c r="B379" t="inlineStr">
        <is>
          <t>Nadège Kalala</t>
        </is>
      </c>
      <c r="C379" t="inlineStr">
        <is>
          <t>RESTAURANT MONT-NGAFULA 21</t>
        </is>
      </c>
      <c r="D379" t="inlineStr">
        <is>
          <t>REF-0095</t>
        </is>
      </c>
      <c r="E379" t="inlineStr">
        <is>
          <t>Boissons</t>
        </is>
      </c>
      <c r="F379" t="n">
        <v>9</v>
      </c>
      <c r="G379" t="n">
        <v>109.34</v>
      </c>
      <c r="H379" t="n">
        <v>71.27</v>
      </c>
      <c r="I379" s="4">
        <f>(G379-H379)/H379</f>
        <v/>
      </c>
    </row>
    <row r="380">
      <c r="A380" s="6" t="n">
        <v>45948</v>
      </c>
      <c r="B380" t="inlineStr">
        <is>
          <t>Nadège Kalala</t>
        </is>
      </c>
      <c r="C380" t="inlineStr">
        <is>
          <t>RESTAURANT MONT-NGAFULA 21</t>
        </is>
      </c>
      <c r="D380" t="inlineStr">
        <is>
          <t>REF-0855</t>
        </is>
      </c>
      <c r="E380" t="inlineStr">
        <is>
          <t>Riz</t>
        </is>
      </c>
      <c r="F380" t="n">
        <v>8</v>
      </c>
      <c r="G380" t="n">
        <v>235.76</v>
      </c>
      <c r="H380" t="n">
        <v>170.77</v>
      </c>
      <c r="I380" s="4">
        <f>(G380-H380)/H380</f>
        <v/>
      </c>
    </row>
    <row r="381">
      <c r="A381" s="6" t="n">
        <v>45948</v>
      </c>
      <c r="B381" t="inlineStr">
        <is>
          <t>Nadège Kalala</t>
        </is>
      </c>
      <c r="C381" t="inlineStr">
        <is>
          <t>RESTAURANT MONT-NGAFULA 21</t>
        </is>
      </c>
      <c r="D381" t="inlineStr">
        <is>
          <t>REF-0308</t>
        </is>
      </c>
      <c r="E381" t="inlineStr">
        <is>
          <t>Conserves</t>
        </is>
      </c>
      <c r="F381" t="n">
        <v>28</v>
      </c>
      <c r="G381" t="n">
        <v>335.08</v>
      </c>
      <c r="H381" t="n">
        <v>294.16</v>
      </c>
      <c r="I381" s="4">
        <f>(G381-H381)/H381</f>
        <v/>
      </c>
    </row>
    <row r="382">
      <c r="A382" s="6" t="n">
        <v>45948</v>
      </c>
      <c r="B382" t="inlineStr">
        <is>
          <t>Sylvie Nguema</t>
        </is>
      </c>
      <c r="C382" t="inlineStr">
        <is>
          <t>SUPERMARCHE LEMBA 08</t>
        </is>
      </c>
      <c r="D382" t="inlineStr">
        <is>
          <t>REF-0616</t>
        </is>
      </c>
      <c r="E382" t="inlineStr">
        <is>
          <t>Boissons</t>
        </is>
      </c>
      <c r="F382" t="n">
        <v>7</v>
      </c>
      <c r="G382" t="n">
        <v>63.45</v>
      </c>
      <c r="H382" t="n">
        <v>44.9</v>
      </c>
      <c r="I382" s="4">
        <f>(G382-H382)/H382</f>
        <v/>
      </c>
    </row>
    <row r="383">
      <c r="A383" s="6" t="n">
        <v>45949</v>
      </c>
      <c r="B383" t="inlineStr">
        <is>
          <t>Serge Tshibangu</t>
        </is>
      </c>
      <c r="C383" t="inlineStr">
        <is>
          <t>BOULANGERIE KALAMU 32</t>
        </is>
      </c>
      <c r="D383" t="inlineStr">
        <is>
          <t>REF-0884</t>
        </is>
      </c>
      <c r="E383" t="inlineStr">
        <is>
          <t>Savons</t>
        </is>
      </c>
      <c r="F383" t="n">
        <v>10</v>
      </c>
      <c r="G383" t="n">
        <v>150.8</v>
      </c>
      <c r="H383" t="n">
        <v>114.95</v>
      </c>
      <c r="I383" s="4">
        <f>(G383-H383)/H383</f>
        <v/>
      </c>
    </row>
    <row r="384">
      <c r="A384" s="6" t="n">
        <v>45949</v>
      </c>
      <c r="B384" t="inlineStr">
        <is>
          <t>Serge Tshibangu</t>
        </is>
      </c>
      <c r="C384" t="inlineStr">
        <is>
          <t>GROSSISTE BARUMBU 22</t>
        </is>
      </c>
      <c r="D384" t="inlineStr">
        <is>
          <t>REF-0026</t>
        </is>
      </c>
      <c r="E384" t="inlineStr">
        <is>
          <t>Conserves</t>
        </is>
      </c>
      <c r="F384" t="n">
        <v>26</v>
      </c>
      <c r="G384" t="n">
        <v>756.0599999999999</v>
      </c>
      <c r="H384" t="n">
        <v>492.86</v>
      </c>
      <c r="I384" s="4">
        <f>(G384-H384)/H384</f>
        <v/>
      </c>
    </row>
    <row r="385">
      <c r="A385" s="6" t="n">
        <v>45949</v>
      </c>
      <c r="B385" t="inlineStr">
        <is>
          <t>Thomas Obiang</t>
        </is>
      </c>
      <c r="C385" t="inlineStr">
        <is>
          <t>HOTEL NGIRI 29</t>
        </is>
      </c>
      <c r="D385" t="inlineStr">
        <is>
          <t>REF-0224</t>
        </is>
      </c>
      <c r="E385" t="inlineStr">
        <is>
          <t>Huiles</t>
        </is>
      </c>
      <c r="F385" t="n">
        <v>17</v>
      </c>
      <c r="G385" t="n">
        <v>402.67</v>
      </c>
      <c r="H385" t="n">
        <v>344.61</v>
      </c>
      <c r="I385" s="4">
        <f>(G385-H385)/H385</f>
        <v/>
      </c>
    </row>
    <row r="386">
      <c r="A386" s="6" t="n">
        <v>45949</v>
      </c>
      <c r="B386" t="inlineStr">
        <is>
          <t>Nadège Kalala</t>
        </is>
      </c>
      <c r="C386" t="inlineStr">
        <is>
          <t>MINI-MARCHE PLATEAU 29</t>
        </is>
      </c>
      <c r="D386" t="inlineStr">
        <is>
          <t>REF-0087</t>
        </is>
      </c>
      <c r="E386" t="inlineStr">
        <is>
          <t>Huiles</t>
        </is>
      </c>
      <c r="F386" t="n">
        <v>15</v>
      </c>
      <c r="G386" t="n">
        <v>466.52</v>
      </c>
      <c r="H386" t="n">
        <v>400.85</v>
      </c>
      <c r="I386" s="4">
        <f>(G386-H386)/H386</f>
        <v/>
      </c>
    </row>
    <row r="387">
      <c r="A387" s="6" t="n">
        <v>45949</v>
      </c>
      <c r="B387" t="inlineStr">
        <is>
          <t>Nadège Kalala</t>
        </is>
      </c>
      <c r="C387" t="inlineStr">
        <is>
          <t>MINI-MARCHE PLATEAU 29</t>
        </is>
      </c>
      <c r="D387" t="inlineStr">
        <is>
          <t>REF-0747</t>
        </is>
      </c>
      <c r="E387" t="inlineStr">
        <is>
          <t>Huiles</t>
        </is>
      </c>
      <c r="F387" t="n">
        <v>10</v>
      </c>
      <c r="G387" t="n">
        <v>268.38</v>
      </c>
      <c r="H387" t="n">
        <v>195.75</v>
      </c>
      <c r="I387" s="4">
        <f>(G387-H387)/H387</f>
        <v/>
      </c>
    </row>
    <row r="388">
      <c r="A388" s="6" t="n">
        <v>45949</v>
      </c>
      <c r="B388" t="inlineStr">
        <is>
          <t>Nadège Kalala</t>
        </is>
      </c>
      <c r="C388" t="inlineStr">
        <is>
          <t>MINI-MARCHE PLATEAU 29</t>
        </is>
      </c>
      <c r="D388" t="inlineStr">
        <is>
          <t>REF-0067</t>
        </is>
      </c>
      <c r="E388" t="inlineStr">
        <is>
          <t>Farine</t>
        </is>
      </c>
      <c r="F388" t="n">
        <v>12</v>
      </c>
      <c r="G388" t="n">
        <v>343.75</v>
      </c>
      <c r="H388" t="n">
        <v>222.52</v>
      </c>
      <c r="I388" s="4">
        <f>(G388-H388)/H388</f>
        <v/>
      </c>
    </row>
    <row r="389">
      <c r="A389" s="6" t="n">
        <v>45949</v>
      </c>
      <c r="B389" t="inlineStr">
        <is>
          <t>Nadège Kalala</t>
        </is>
      </c>
      <c r="C389" t="inlineStr">
        <is>
          <t>MINI-MARCHE PLATEAU 29</t>
        </is>
      </c>
      <c r="D389" t="inlineStr">
        <is>
          <t>REF-0910</t>
        </is>
      </c>
      <c r="E389" t="inlineStr">
        <is>
          <t>Conserves</t>
        </is>
      </c>
      <c r="F389" t="n">
        <v>15</v>
      </c>
      <c r="G389" t="n">
        <v>432.95</v>
      </c>
      <c r="H389" t="n">
        <v>308.86</v>
      </c>
      <c r="I389" s="4">
        <f>(G389-H389)/H389</f>
        <v/>
      </c>
    </row>
    <row r="390">
      <c r="A390" s="6" t="n">
        <v>45949</v>
      </c>
      <c r="B390" t="inlineStr">
        <is>
          <t>Nadège Kalala</t>
        </is>
      </c>
      <c r="C390" t="inlineStr">
        <is>
          <t>MINI-MARCHE PLATEAU 29</t>
        </is>
      </c>
      <c r="D390" t="inlineStr">
        <is>
          <t>REF-0733</t>
        </is>
      </c>
      <c r="E390" t="inlineStr">
        <is>
          <t>Farine</t>
        </is>
      </c>
      <c r="F390" t="n">
        <v>16</v>
      </c>
      <c r="G390" t="n">
        <v>767.86</v>
      </c>
      <c r="H390" t="n">
        <v>604.22</v>
      </c>
      <c r="I390" s="4">
        <f>(G390-H390)/H390</f>
        <v/>
      </c>
    </row>
    <row r="391">
      <c r="A391" s="6" t="n">
        <v>45949</v>
      </c>
      <c r="B391" t="inlineStr">
        <is>
          <t>Nadège Kalala</t>
        </is>
      </c>
      <c r="C391" t="inlineStr">
        <is>
          <t>HOTEL YOPOUGON 25</t>
        </is>
      </c>
      <c r="D391" t="inlineStr">
        <is>
          <t>REF-0542</t>
        </is>
      </c>
      <c r="E391" t="inlineStr">
        <is>
          <t>Conserves</t>
        </is>
      </c>
      <c r="F391" t="n">
        <v>41</v>
      </c>
      <c r="G391" t="n">
        <v>958.9400000000001</v>
      </c>
      <c r="H391" t="n">
        <v>822.52</v>
      </c>
      <c r="I391" s="4">
        <f>(G391-H391)/H391</f>
        <v/>
      </c>
    </row>
    <row r="392">
      <c r="A392" s="6" t="n">
        <v>45949</v>
      </c>
      <c r="B392" t="inlineStr">
        <is>
          <t>Nadège Kalala</t>
        </is>
      </c>
      <c r="C392" t="inlineStr">
        <is>
          <t>HOTEL YOPOUGON 25</t>
        </is>
      </c>
      <c r="D392" t="inlineStr">
        <is>
          <t>REF-0869</t>
        </is>
      </c>
      <c r="E392" t="inlineStr">
        <is>
          <t>Conserves</t>
        </is>
      </c>
      <c r="F392" t="n">
        <v>25</v>
      </c>
      <c r="G392" t="n">
        <v>410.61</v>
      </c>
      <c r="H392" t="n">
        <v>308.51</v>
      </c>
      <c r="I392" s="4">
        <f>(G392-H392)/H392</f>
        <v/>
      </c>
    </row>
    <row r="393">
      <c r="A393" s="6" t="n">
        <v>45949</v>
      </c>
      <c r="B393" t="inlineStr">
        <is>
          <t>Nadège Kalala</t>
        </is>
      </c>
      <c r="C393" t="inlineStr">
        <is>
          <t>HOTEL YOPOUGON 25</t>
        </is>
      </c>
      <c r="D393" t="inlineStr">
        <is>
          <t>REF-0018</t>
        </is>
      </c>
      <c r="E393" t="inlineStr">
        <is>
          <t>Farine</t>
        </is>
      </c>
      <c r="F393" t="n">
        <v>23</v>
      </c>
      <c r="G393" t="n">
        <v>698.8</v>
      </c>
      <c r="H393" t="n">
        <v>506.66</v>
      </c>
      <c r="I393" s="4">
        <f>(G393-H393)/H393</f>
        <v/>
      </c>
    </row>
    <row r="394">
      <c r="A394" s="6" t="n">
        <v>45949</v>
      </c>
      <c r="B394" t="inlineStr">
        <is>
          <t>Patrick Ilunga</t>
        </is>
      </c>
      <c r="C394" t="inlineStr">
        <is>
          <t>MINI-MARCHE NGALULA 01</t>
        </is>
      </c>
      <c r="D394" t="inlineStr">
        <is>
          <t>REF-0061</t>
        </is>
      </c>
      <c r="E394" t="inlineStr">
        <is>
          <t>Farine</t>
        </is>
      </c>
      <c r="F394" t="n">
        <v>11</v>
      </c>
      <c r="G394" t="n">
        <v>544.59</v>
      </c>
      <c r="H394" t="n">
        <v>360.71</v>
      </c>
      <c r="I394" s="4">
        <f>(G394-H394)/H394</f>
        <v/>
      </c>
    </row>
    <row r="395">
      <c r="A395" s="6" t="n">
        <v>45949</v>
      </c>
      <c r="B395" t="inlineStr">
        <is>
          <t>Patrick Ilunga</t>
        </is>
      </c>
      <c r="C395" t="inlineStr">
        <is>
          <t>MINI-MARCHE NGALULA 01</t>
        </is>
      </c>
      <c r="D395" t="inlineStr">
        <is>
          <t>REF-0554</t>
        </is>
      </c>
      <c r="E395" t="inlineStr">
        <is>
          <t>Riz</t>
        </is>
      </c>
      <c r="F395" t="n">
        <v>11</v>
      </c>
      <c r="G395" t="n">
        <v>740.74</v>
      </c>
      <c r="H395" t="n">
        <v>523.86</v>
      </c>
      <c r="I395" s="4">
        <f>(G395-H395)/H395</f>
        <v/>
      </c>
    </row>
    <row r="396">
      <c r="A396" s="6" t="n">
        <v>45949</v>
      </c>
      <c r="B396" t="inlineStr">
        <is>
          <t>Patrick Ilunga</t>
        </is>
      </c>
      <c r="C396" t="inlineStr">
        <is>
          <t>MINI-MARCHE NGALULA 01</t>
        </is>
      </c>
      <c r="D396" t="inlineStr">
        <is>
          <t>REF-0745</t>
        </is>
      </c>
      <c r="E396" t="inlineStr">
        <is>
          <t>Boissons</t>
        </is>
      </c>
      <c r="F396" t="n">
        <v>8</v>
      </c>
      <c r="G396" t="n">
        <v>167.91</v>
      </c>
      <c r="H396" t="n">
        <v>118.55</v>
      </c>
      <c r="I396" s="4">
        <f>(G396-H396)/H396</f>
        <v/>
      </c>
    </row>
    <row r="397">
      <c r="A397" s="6" t="n">
        <v>45949</v>
      </c>
      <c r="B397" t="inlineStr">
        <is>
          <t>Patrick Ilunga</t>
        </is>
      </c>
      <c r="C397" t="inlineStr">
        <is>
          <t>MINI-MARCHE NGALULA 01</t>
        </is>
      </c>
      <c r="D397" t="inlineStr">
        <is>
          <t>REF-0370</t>
        </is>
      </c>
      <c r="E397" t="inlineStr">
        <is>
          <t>Riz</t>
        </is>
      </c>
      <c r="F397" t="n">
        <v>7</v>
      </c>
      <c r="G397" t="n">
        <v>457.87</v>
      </c>
      <c r="H397" t="n">
        <v>381.96</v>
      </c>
      <c r="I397" s="4">
        <f>(G397-H397)/H397</f>
        <v/>
      </c>
    </row>
    <row r="398">
      <c r="A398" s="6" t="n">
        <v>45949</v>
      </c>
      <c r="B398" t="inlineStr">
        <is>
          <t>Patrick Ilunga</t>
        </is>
      </c>
      <c r="C398" t="inlineStr">
        <is>
          <t>MINI-MARCHE NGALULA 01</t>
        </is>
      </c>
      <c r="D398" t="inlineStr">
        <is>
          <t>REF-0912</t>
        </is>
      </c>
      <c r="E398" t="inlineStr">
        <is>
          <t>Boissons</t>
        </is>
      </c>
      <c r="F398" t="n">
        <v>11</v>
      </c>
      <c r="G398" t="n">
        <v>107.86</v>
      </c>
      <c r="H398" t="n">
        <v>79.34999999999999</v>
      </c>
      <c r="I398" s="4">
        <f>(G398-H398)/H398</f>
        <v/>
      </c>
    </row>
    <row r="399">
      <c r="A399" s="6" t="n">
        <v>45949</v>
      </c>
      <c r="B399" t="inlineStr">
        <is>
          <t>Grace Kasongo</t>
        </is>
      </c>
      <c r="C399" t="inlineStr">
        <is>
          <t>RESTAURANT COCODY 24</t>
        </is>
      </c>
      <c r="D399" t="inlineStr">
        <is>
          <t>REF-0716</t>
        </is>
      </c>
      <c r="E399" t="inlineStr">
        <is>
          <t>Riz</t>
        </is>
      </c>
      <c r="F399" t="n">
        <v>4</v>
      </c>
      <c r="G399" t="n">
        <v>176.87</v>
      </c>
      <c r="H399" t="n">
        <v>145.27</v>
      </c>
      <c r="I399" s="4">
        <f>(G399-H399)/H399</f>
        <v/>
      </c>
    </row>
    <row r="400">
      <c r="A400" s="6" t="n">
        <v>45949</v>
      </c>
      <c r="B400" t="inlineStr">
        <is>
          <t>Grace Kasongo</t>
        </is>
      </c>
      <c r="C400" t="inlineStr">
        <is>
          <t>RESTAURANT COCODY 24</t>
        </is>
      </c>
      <c r="D400" t="inlineStr">
        <is>
          <t>REF-0416</t>
        </is>
      </c>
      <c r="E400" t="inlineStr">
        <is>
          <t>Savons</t>
        </is>
      </c>
      <c r="F400" t="n">
        <v>14</v>
      </c>
      <c r="G400" t="n">
        <v>148.81</v>
      </c>
      <c r="H400" t="n">
        <v>99.02</v>
      </c>
      <c r="I400" s="4">
        <f>(G400-H400)/H400</f>
        <v/>
      </c>
    </row>
    <row r="401">
      <c r="A401" s="6" t="n">
        <v>45949</v>
      </c>
      <c r="B401" t="inlineStr">
        <is>
          <t>Grace Kasongo</t>
        </is>
      </c>
      <c r="C401" t="inlineStr">
        <is>
          <t>ALIMENTATION YOPOUGON 10</t>
        </is>
      </c>
      <c r="D401" t="inlineStr">
        <is>
          <t>REF-0772</t>
        </is>
      </c>
      <c r="E401" t="inlineStr">
        <is>
          <t>Savons</t>
        </is>
      </c>
      <c r="F401" t="n">
        <v>20</v>
      </c>
      <c r="G401" t="n">
        <v>376.45</v>
      </c>
      <c r="H401" t="n">
        <v>240.12</v>
      </c>
      <c r="I401" s="4">
        <f>(G401-H401)/H401</f>
        <v/>
      </c>
    </row>
    <row r="402">
      <c r="A402" s="6" t="n">
        <v>45949</v>
      </c>
      <c r="B402" t="inlineStr">
        <is>
          <t>Grace Kasongo</t>
        </is>
      </c>
      <c r="C402" t="inlineStr">
        <is>
          <t>ALIMENTATION YOPOUGON 10</t>
        </is>
      </c>
      <c r="D402" t="inlineStr">
        <is>
          <t>REF-0101</t>
        </is>
      </c>
      <c r="E402" t="inlineStr">
        <is>
          <t>Savons</t>
        </is>
      </c>
      <c r="F402" t="n">
        <v>25</v>
      </c>
      <c r="G402" t="n">
        <v>289.61</v>
      </c>
      <c r="H402" t="n">
        <v>191.9</v>
      </c>
      <c r="I402" s="4">
        <f>(G402-H402)/H402</f>
        <v/>
      </c>
    </row>
    <row r="403">
      <c r="A403" s="6" t="n">
        <v>45949</v>
      </c>
      <c r="B403" t="inlineStr">
        <is>
          <t>Nadège Kalala</t>
        </is>
      </c>
      <c r="C403" t="inlineStr">
        <is>
          <t>SUPERMARCHE LEMBA 08</t>
        </is>
      </c>
      <c r="D403" t="inlineStr">
        <is>
          <t>REF-0211</t>
        </is>
      </c>
      <c r="E403" t="inlineStr">
        <is>
          <t>Farine</t>
        </is>
      </c>
      <c r="F403" t="n">
        <v>25</v>
      </c>
      <c r="G403" t="n">
        <v>566.64</v>
      </c>
      <c r="H403" t="n">
        <v>374.13</v>
      </c>
      <c r="I403" s="4">
        <f>(G403-H403)/H403</f>
        <v/>
      </c>
    </row>
    <row r="404">
      <c r="A404" s="6" t="n">
        <v>45949</v>
      </c>
      <c r="B404" t="inlineStr">
        <is>
          <t>Nadège Kalala</t>
        </is>
      </c>
      <c r="C404" t="inlineStr">
        <is>
          <t>SUPERMARCHE LEMBA 08</t>
        </is>
      </c>
      <c r="D404" t="inlineStr">
        <is>
          <t>REF-0180</t>
        </is>
      </c>
      <c r="E404" t="inlineStr">
        <is>
          <t>Huiles</t>
        </is>
      </c>
      <c r="F404" t="n">
        <v>6</v>
      </c>
      <c r="G404" t="n">
        <v>105.27</v>
      </c>
      <c r="H404" t="n">
        <v>91.02</v>
      </c>
      <c r="I404" s="4">
        <f>(G404-H404)/H404</f>
        <v/>
      </c>
    </row>
    <row r="405">
      <c r="A405" s="6" t="n">
        <v>45949</v>
      </c>
      <c r="B405" t="inlineStr">
        <is>
          <t>Serge Tshibangu</t>
        </is>
      </c>
      <c r="C405" t="inlineStr">
        <is>
          <t>HOTEL KINTAMBO 24</t>
        </is>
      </c>
      <c r="D405" t="inlineStr">
        <is>
          <t>REF-0576</t>
        </is>
      </c>
      <c r="E405" t="inlineStr">
        <is>
          <t>Huiles</t>
        </is>
      </c>
      <c r="F405" t="n">
        <v>11</v>
      </c>
      <c r="G405" t="n">
        <v>251.63</v>
      </c>
      <c r="H405" t="n">
        <v>186.79</v>
      </c>
      <c r="I405" s="4">
        <f>(G405-H405)/H405</f>
        <v/>
      </c>
    </row>
    <row r="406">
      <c r="A406" s="6" t="n">
        <v>45949</v>
      </c>
      <c r="B406" t="inlineStr">
        <is>
          <t>Serge Tshibangu</t>
        </is>
      </c>
      <c r="C406" t="inlineStr">
        <is>
          <t>HOTEL KINTAMBO 24</t>
        </is>
      </c>
      <c r="D406" t="inlineStr">
        <is>
          <t>REF-0941</t>
        </is>
      </c>
      <c r="E406" t="inlineStr">
        <is>
          <t>Farine</t>
        </is>
      </c>
      <c r="F406" t="n">
        <v>10</v>
      </c>
      <c r="G406" t="n">
        <v>357.58</v>
      </c>
      <c r="H406" t="n">
        <v>251.51</v>
      </c>
      <c r="I406" s="4">
        <f>(G406-H406)/H406</f>
        <v/>
      </c>
    </row>
    <row r="407">
      <c r="A407" s="6" t="n">
        <v>45949</v>
      </c>
      <c r="B407" t="inlineStr">
        <is>
          <t>Serge Tshibangu</t>
        </is>
      </c>
      <c r="C407" t="inlineStr">
        <is>
          <t>BOUTIQUE LEMBA 35</t>
        </is>
      </c>
      <c r="D407" t="inlineStr">
        <is>
          <t>REF-0786</t>
        </is>
      </c>
      <c r="E407" t="inlineStr">
        <is>
          <t>Boissons</t>
        </is>
      </c>
      <c r="F407" t="n">
        <v>37</v>
      </c>
      <c r="G407" t="n">
        <v>652.8200000000001</v>
      </c>
      <c r="H407" t="n">
        <v>416.17</v>
      </c>
      <c r="I407" s="4">
        <f>(G407-H407)/H407</f>
        <v/>
      </c>
    </row>
    <row r="408">
      <c r="A408" s="6" t="n">
        <v>45949</v>
      </c>
      <c r="B408" t="inlineStr">
        <is>
          <t>Serge Tshibangu</t>
        </is>
      </c>
      <c r="C408" t="inlineStr">
        <is>
          <t>BOUTIQUE LEMBA 35</t>
        </is>
      </c>
      <c r="D408" t="inlineStr">
        <is>
          <t>REF-0187</t>
        </is>
      </c>
      <c r="E408" t="inlineStr">
        <is>
          <t>Boissons</t>
        </is>
      </c>
      <c r="F408" t="n">
        <v>16</v>
      </c>
      <c r="G408" t="n">
        <v>198.23</v>
      </c>
      <c r="H408" t="n">
        <v>135.33</v>
      </c>
      <c r="I408" s="4">
        <f>(G408-H408)/H408</f>
        <v/>
      </c>
    </row>
    <row r="409">
      <c r="A409" s="6" t="n">
        <v>45949</v>
      </c>
      <c r="B409" t="inlineStr">
        <is>
          <t>Serge Tshibangu</t>
        </is>
      </c>
      <c r="C409" t="inlineStr">
        <is>
          <t>BOUTIQUE LEMBA 35</t>
        </is>
      </c>
      <c r="D409" t="inlineStr">
        <is>
          <t>REF-0131</t>
        </is>
      </c>
      <c r="E409" t="inlineStr">
        <is>
          <t>Savons</t>
        </is>
      </c>
      <c r="F409" t="n">
        <v>13</v>
      </c>
      <c r="G409" t="n">
        <v>133.59</v>
      </c>
      <c r="H409" t="n">
        <v>107.18</v>
      </c>
      <c r="I409" s="4">
        <f>(G409-H409)/H409</f>
        <v/>
      </c>
    </row>
    <row r="410">
      <c r="A410" s="6" t="n">
        <v>45949</v>
      </c>
      <c r="B410" t="inlineStr">
        <is>
          <t>Aïcha Bakala</t>
        </is>
      </c>
      <c r="C410" t="inlineStr">
        <is>
          <t>HOTEL PLATEAU 06</t>
        </is>
      </c>
      <c r="D410" t="inlineStr">
        <is>
          <t>REF-0248</t>
        </is>
      </c>
      <c r="E410" t="inlineStr">
        <is>
          <t>Farine</t>
        </is>
      </c>
      <c r="F410" t="n">
        <v>4</v>
      </c>
      <c r="G410" t="n">
        <v>156.34</v>
      </c>
      <c r="H410" t="n">
        <v>125.07</v>
      </c>
      <c r="I410" s="4">
        <f>(G410-H410)/H410</f>
        <v/>
      </c>
    </row>
    <row r="411">
      <c r="A411" s="6" t="n">
        <v>45949</v>
      </c>
      <c r="B411" t="inlineStr">
        <is>
          <t>Aïcha Bakala</t>
        </is>
      </c>
      <c r="C411" t="inlineStr">
        <is>
          <t>HOTEL PLATEAU 06</t>
        </is>
      </c>
      <c r="D411" t="inlineStr">
        <is>
          <t>REF-0886</t>
        </is>
      </c>
      <c r="E411" t="inlineStr">
        <is>
          <t>Huiles</t>
        </is>
      </c>
      <c r="F411" t="n">
        <v>2</v>
      </c>
      <c r="G411" t="n">
        <v>75.73</v>
      </c>
      <c r="H411" t="n">
        <v>57.95</v>
      </c>
      <c r="I411" s="4">
        <f>(G411-H411)/H411</f>
        <v/>
      </c>
    </row>
    <row r="412">
      <c r="A412" s="6" t="n">
        <v>45950</v>
      </c>
      <c r="B412" t="inlineStr">
        <is>
          <t>Grace Kasongo</t>
        </is>
      </c>
      <c r="C412" t="inlineStr">
        <is>
          <t>ALIMENTATION NGALULA 36</t>
        </is>
      </c>
      <c r="D412" t="inlineStr">
        <is>
          <t>REF-0532</t>
        </is>
      </c>
      <c r="E412" t="inlineStr">
        <is>
          <t>Farine</t>
        </is>
      </c>
      <c r="F412" t="n">
        <v>11</v>
      </c>
      <c r="G412" t="n">
        <v>253.46</v>
      </c>
      <c r="H412" t="n">
        <v>177.68</v>
      </c>
      <c r="I412" s="4">
        <f>(G412-H412)/H412</f>
        <v/>
      </c>
    </row>
    <row r="413">
      <c r="A413" s="6" t="n">
        <v>45950</v>
      </c>
      <c r="B413" t="inlineStr">
        <is>
          <t>Grace Kasongo</t>
        </is>
      </c>
      <c r="C413" t="inlineStr">
        <is>
          <t>ALIMENTATION NGALULA 36</t>
        </is>
      </c>
      <c r="D413" t="inlineStr">
        <is>
          <t>REF-0501</t>
        </is>
      </c>
      <c r="E413" t="inlineStr">
        <is>
          <t>Boissons</t>
        </is>
      </c>
      <c r="F413" t="n">
        <v>11</v>
      </c>
      <c r="G413" t="n">
        <v>275.49</v>
      </c>
      <c r="H413" t="n">
        <v>229.92</v>
      </c>
      <c r="I413" s="4">
        <f>(G413-H413)/H413</f>
        <v/>
      </c>
    </row>
    <row r="414">
      <c r="A414" s="6" t="n">
        <v>45950</v>
      </c>
      <c r="B414" t="inlineStr">
        <is>
          <t>Grace Kasongo</t>
        </is>
      </c>
      <c r="C414" t="inlineStr">
        <is>
          <t>ALIMENTATION NGALULA 36</t>
        </is>
      </c>
      <c r="D414" t="inlineStr">
        <is>
          <t>REF-0303</t>
        </is>
      </c>
      <c r="E414" t="inlineStr">
        <is>
          <t>Riz</t>
        </is>
      </c>
      <c r="F414" t="n">
        <v>15</v>
      </c>
      <c r="G414" t="n">
        <v>589.9299999999999</v>
      </c>
      <c r="H414" t="n">
        <v>419.25</v>
      </c>
      <c r="I414" s="4">
        <f>(G414-H414)/H414</f>
        <v/>
      </c>
    </row>
    <row r="415">
      <c r="A415" s="6" t="n">
        <v>45950</v>
      </c>
      <c r="B415" t="inlineStr">
        <is>
          <t>Grace Kasongo</t>
        </is>
      </c>
      <c r="C415" t="inlineStr">
        <is>
          <t>ALIMENTATION NGALULA 36</t>
        </is>
      </c>
      <c r="D415" t="inlineStr">
        <is>
          <t>REF-0685</t>
        </is>
      </c>
      <c r="E415" t="inlineStr">
        <is>
          <t>Huiles</t>
        </is>
      </c>
      <c r="F415" t="n">
        <v>18</v>
      </c>
      <c r="G415" t="n">
        <v>589.87</v>
      </c>
      <c r="H415" t="n">
        <v>490.01</v>
      </c>
      <c r="I415" s="4">
        <f>(G415-H415)/H415</f>
        <v/>
      </c>
    </row>
    <row r="416">
      <c r="A416" s="6" t="n">
        <v>45950</v>
      </c>
      <c r="B416" t="inlineStr">
        <is>
          <t>Grace Kasongo</t>
        </is>
      </c>
      <c r="C416" t="inlineStr">
        <is>
          <t>SUPERMARCHE KINTAMBO 28</t>
        </is>
      </c>
      <c r="D416" t="inlineStr">
        <is>
          <t>REF-0814</t>
        </is>
      </c>
      <c r="E416" t="inlineStr">
        <is>
          <t>Huiles</t>
        </is>
      </c>
      <c r="F416" t="n">
        <v>19</v>
      </c>
      <c r="G416" t="n">
        <v>623.9</v>
      </c>
      <c r="H416" t="n">
        <v>388.42</v>
      </c>
      <c r="I416" s="4">
        <f>(G416-H416)/H416</f>
        <v/>
      </c>
    </row>
    <row r="417">
      <c r="A417" s="6" t="n">
        <v>45950</v>
      </c>
      <c r="B417" t="inlineStr">
        <is>
          <t>Grace Kasongo</t>
        </is>
      </c>
      <c r="C417" t="inlineStr">
        <is>
          <t>SUPERMARCHE KINTAMBO 28</t>
        </is>
      </c>
      <c r="D417" t="inlineStr">
        <is>
          <t>REF-0828</t>
        </is>
      </c>
      <c r="E417" t="inlineStr">
        <is>
          <t>Riz</t>
        </is>
      </c>
      <c r="F417" t="n">
        <v>12</v>
      </c>
      <c r="G417" t="n">
        <v>807.23</v>
      </c>
      <c r="H417" t="n">
        <v>697.34</v>
      </c>
      <c r="I417" s="4">
        <f>(G417-H417)/H417</f>
        <v/>
      </c>
    </row>
    <row r="418">
      <c r="A418" s="6" t="n">
        <v>45950</v>
      </c>
      <c r="B418" t="inlineStr">
        <is>
          <t>Grace Kasongo</t>
        </is>
      </c>
      <c r="C418" t="inlineStr">
        <is>
          <t>SUPERMARCHE KINTAMBO 28</t>
        </is>
      </c>
      <c r="D418" t="inlineStr">
        <is>
          <t>REF-0499</t>
        </is>
      </c>
      <c r="E418" t="inlineStr">
        <is>
          <t>Huiles</t>
        </is>
      </c>
      <c r="F418" t="n">
        <v>8</v>
      </c>
      <c r="G418" t="n">
        <v>273.04</v>
      </c>
      <c r="H418" t="n">
        <v>206.32</v>
      </c>
      <c r="I418" s="4">
        <f>(G418-H418)/H418</f>
        <v/>
      </c>
    </row>
    <row r="419">
      <c r="A419" s="6" t="n">
        <v>45950</v>
      </c>
      <c r="B419" t="inlineStr">
        <is>
          <t>Sylvie Nguema</t>
        </is>
      </c>
      <c r="C419" t="inlineStr">
        <is>
          <t>KIOSQUE MATONGE 05</t>
        </is>
      </c>
      <c r="D419" t="inlineStr">
        <is>
          <t>REF-0406</t>
        </is>
      </c>
      <c r="E419" t="inlineStr">
        <is>
          <t>Riz</t>
        </is>
      </c>
      <c r="F419" t="n">
        <v>25</v>
      </c>
      <c r="G419" t="n">
        <v>1125</v>
      </c>
      <c r="H419" t="n">
        <v>949.21</v>
      </c>
      <c r="I419" s="4">
        <f>(G419-H419)/H419</f>
        <v/>
      </c>
    </row>
    <row r="420">
      <c r="A420" s="6" t="n">
        <v>45950</v>
      </c>
      <c r="B420" t="inlineStr">
        <is>
          <t>Nadège Kalala</t>
        </is>
      </c>
      <c r="C420" t="inlineStr">
        <is>
          <t>KIOSQUE VICTOIRE 02</t>
        </is>
      </c>
      <c r="D420" t="inlineStr">
        <is>
          <t>REF-0132</t>
        </is>
      </c>
      <c r="E420" t="inlineStr">
        <is>
          <t>Riz</t>
        </is>
      </c>
      <c r="F420" t="n">
        <v>43</v>
      </c>
      <c r="G420" t="n">
        <v>1672.3</v>
      </c>
      <c r="H420" t="n">
        <v>1456.88</v>
      </c>
      <c r="I420" s="4">
        <f>(G420-H420)/H420</f>
        <v/>
      </c>
    </row>
    <row r="421">
      <c r="A421" s="6" t="n">
        <v>45950</v>
      </c>
      <c r="B421" t="inlineStr">
        <is>
          <t>Nadège Kalala</t>
        </is>
      </c>
      <c r="C421" t="inlineStr">
        <is>
          <t>KIOSQUE VICTOIRE 02</t>
        </is>
      </c>
      <c r="D421" t="inlineStr">
        <is>
          <t>REF-0491</t>
        </is>
      </c>
      <c r="E421" t="inlineStr">
        <is>
          <t>Savons</t>
        </is>
      </c>
      <c r="F421" t="n">
        <v>6</v>
      </c>
      <c r="G421" t="n">
        <v>78.86</v>
      </c>
      <c r="H421" t="n">
        <v>51.32</v>
      </c>
      <c r="I421" s="4">
        <f>(G421-H421)/H421</f>
        <v/>
      </c>
    </row>
  </sheetData>
  <autoFilter ref="A1:I4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62" customWidth="1" min="3" max="3"/>
  </cols>
  <sheetData>
    <row r="1">
      <c r="A1" s="7" t="inlineStr">
        <is>
          <t>Six façons de faire une somme, et ce que chacune ignore</t>
        </is>
      </c>
    </row>
    <row r="3" ht="22" customHeight="1">
      <c r="A3" s="5" t="inlineStr">
        <is>
          <t>Formule</t>
        </is>
      </c>
      <c r="B3" s="5" t="inlineStr">
        <is>
          <t>Résultat</t>
        </is>
      </c>
      <c r="C3" s="5" t="inlineStr">
        <is>
          <t>Ce qu'elle ignore</t>
        </is>
      </c>
    </row>
    <row r="4">
      <c r="A4" s="8" t="inlineStr">
        <is>
          <t>SOMME — ignore tout le monde</t>
        </is>
      </c>
      <c r="B4" s="9" t="n"/>
      <c r="C4" s="10" t="inlineStr">
        <is>
          <t>compte les lignes masquées et les lignes filtrées</t>
        </is>
      </c>
    </row>
    <row r="5">
      <c r="A5" s="8" t="inlineStr">
        <is>
          <t>SOUS.TOTAL(9) — ignore le filtre</t>
        </is>
      </c>
      <c r="B5" s="9" t="n"/>
      <c r="C5" s="10" t="inlineStr">
        <is>
          <t>suit le filtre, mais compte les lignes masquées à la main</t>
        </is>
      </c>
    </row>
    <row r="6">
      <c r="A6" s="8" t="inlineStr">
        <is>
          <t>SOUS.TOTAL(109) — ignore le filtre ET le masquage</t>
        </is>
      </c>
      <c r="B6" s="9" t="n"/>
      <c r="C6" s="10" t="inlineStr">
        <is>
          <t>c'est le seul qui suit les deux</t>
        </is>
      </c>
    </row>
    <row r="7">
      <c r="A7" s="8" t="inlineStr">
        <is>
          <t>AGREGAT(9;5) — ignore les lignes masquées</t>
        </is>
      </c>
      <c r="B7" s="9" t="n"/>
      <c r="C7" s="10" t="inlineStr">
        <is>
          <t>même résultat que SOUS.TOTAL(109), écrit autrement</t>
        </is>
      </c>
    </row>
    <row r="8">
      <c r="A8" s="8" t="inlineStr">
        <is>
          <t>SOMME sur la colonne Marge_Pct</t>
        </is>
      </c>
      <c r="B8" s="11" t="n"/>
      <c r="C8" s="10" t="inlineStr">
        <is>
          <t>rend #DIV/0! : trois erreurs contaminent toute la somme</t>
        </is>
      </c>
    </row>
    <row r="9">
      <c r="A9" s="8" t="inlineStr">
        <is>
          <t>MOYENNE des marges</t>
        </is>
      </c>
      <c r="B9" s="11" t="n"/>
      <c r="C9" s="10" t="inlineStr">
        <is>
          <t>rend #DIV/0! elle aussi — aucune fonction classique ne s'en sort</t>
        </is>
      </c>
    </row>
    <row r="10">
      <c r="A10" s="8" t="inlineStr">
        <is>
          <t>AGREGAT(1;6) — la moyenne qui survit</t>
        </is>
      </c>
      <c r="B10" s="11" t="n"/>
      <c r="C10" s="10" t="inlineStr">
        <is>
          <t>1 = MOYENNE, 6 = ignorer les erreurs. C'est la seule qui répond.</t>
        </is>
      </c>
    </row>
    <row r="11">
      <c r="A11" s="8" t="inlineStr">
        <is>
          <t>AGREGAT(1;7) — erreurs ET lignes masquées</t>
        </is>
      </c>
      <c r="B11" s="11" t="n"/>
      <c r="C11" s="10" t="inlineStr">
        <is>
          <t>7 = les deux à la fois. C'est celle des tableaux de bord.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2026-09-17T15:16:44Z</dcterms:created>
  <dcterms:modified xmlns:dcterms="http://purl.org/dc/terms/" xmlns:xsi="http://www.w3.org/2001/XMLSchema-instance" xsi:type="dcterms:W3CDTF">2026-09-17T15:16:44Z</dcterms:modified>
</cp:coreProperties>
</file>