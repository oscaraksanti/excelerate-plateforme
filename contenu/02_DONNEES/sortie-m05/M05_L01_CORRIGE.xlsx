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apple/Desktop/excelare ai/excelerate-plateforme/contenu/02_DONNEES/sortie-m05/"/>
    </mc:Choice>
  </mc:AlternateContent>
  <xr:revisionPtr revIDLastSave="0" documentId="11_BA4EC75D1A2BBCEA5146A50E05E67A6740BE0C1B" xr6:coauthVersionLast="47" xr6:coauthVersionMax="47" xr10:uidLastSave="{00000000-0000-0000-0000-000000000000}"/>
  <bookViews>
    <workbookView xWindow="0" yWindow="600" windowWidth="28800" windowHeight="16180" xr2:uid="{00000000-000D-0000-FFFF-FFFF00000000}"/>
  </bookViews>
  <sheets>
    <sheet name="Rapport_recu" sheetId="1" r:id="rId1"/>
    <sheet name="Ventes" sheetId="2" r:id="rId2"/>
    <sheet name="Attendu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B8" i="3"/>
  <c r="B9" i="3" s="1"/>
  <c r="B7" i="3"/>
  <c r="B6" i="3"/>
  <c r="B5" i="3"/>
  <c r="B4" i="3"/>
  <c r="B10" i="3" s="1"/>
</calcChain>
</file>

<file path=xl/sharedStrings.xml><?xml version="1.0" encoding="utf-8"?>
<sst xmlns="http://schemas.openxmlformats.org/spreadsheetml/2006/main" count="8192" uniqueCount="1963">
  <si>
    <t>GROUPE BAOBAB SARL — RAPPORT MENSUEL DES VENTES</t>
  </si>
  <si>
    <t>Agence de Kinshasa — décembre 2025 — montants en CDF</t>
  </si>
  <si>
    <t>Famille</t>
  </si>
  <si>
    <t>Commercial</t>
  </si>
  <si>
    <t>Montant CDF</t>
  </si>
  <si>
    <t>Boissons</t>
  </si>
  <si>
    <t>Aïcha Bakala</t>
  </si>
  <si>
    <t>Grace Kasongo</t>
  </si>
  <si>
    <t>Nadège Kalala</t>
  </si>
  <si>
    <t>Patrick Ilunga</t>
  </si>
  <si>
    <t>Serge Tshibangu</t>
  </si>
  <si>
    <t>Sylvie Nguema</t>
  </si>
  <si>
    <t>Thomas Obiang</t>
  </si>
  <si>
    <t>Sous-total Boissons</t>
  </si>
  <si>
    <t>Conserves</t>
  </si>
  <si>
    <t>Sous-total Conserves</t>
  </si>
  <si>
    <t>Farine</t>
  </si>
  <si>
    <t>Sous-total Farine</t>
  </si>
  <si>
    <t>Huiles</t>
  </si>
  <si>
    <t>Sous-total Huiles</t>
  </si>
  <si>
    <t>Riz</t>
  </si>
  <si>
    <t>Sous-total Riz</t>
  </si>
  <si>
    <t>Savons</t>
  </si>
  <si>
    <t>Sous-total Savons</t>
  </si>
  <si>
    <t>TOTAL GÉNÉRAL</t>
  </si>
  <si>
    <t>Date_Vente</t>
  </si>
  <si>
    <t>Client</t>
  </si>
  <si>
    <t>N_Commande</t>
  </si>
  <si>
    <t>Reference</t>
  </si>
  <si>
    <t>Quantite</t>
  </si>
  <si>
    <t>Montant_CDF</t>
  </si>
  <si>
    <t>Montant_USD</t>
  </si>
  <si>
    <t>HOTEL PLATEAU 39</t>
  </si>
  <si>
    <t>CMD-KIN-007666</t>
  </si>
  <si>
    <t>REF-0696</t>
  </si>
  <si>
    <t>REF-0893</t>
  </si>
  <si>
    <t>REF-0648</t>
  </si>
  <si>
    <t>REF-0187</t>
  </si>
  <si>
    <t>REF-0638</t>
  </si>
  <si>
    <t>ALIMENTATION PIKINE 29</t>
  </si>
  <si>
    <t>CMD-KIN-007694</t>
  </si>
  <si>
    <t>REF-0020</t>
  </si>
  <si>
    <t>REF-0938</t>
  </si>
  <si>
    <t>BOUTIQUE MEDINA 05</t>
  </si>
  <si>
    <t>CMD-KIN-007737</t>
  </si>
  <si>
    <t>REF-0389</t>
  </si>
  <si>
    <t>REF-0819</t>
  </si>
  <si>
    <t>REF-0576</t>
  </si>
  <si>
    <t>CANTINE GOMBE 20</t>
  </si>
  <si>
    <t>CMD-KIN-007776</t>
  </si>
  <si>
    <t>REF-0239</t>
  </si>
  <si>
    <t>REF-0024</t>
  </si>
  <si>
    <t>BOUTIQUE SELEMBAO 33</t>
  </si>
  <si>
    <t>CMD-KIN-007804</t>
  </si>
  <si>
    <t>REF-0443</t>
  </si>
  <si>
    <t>REF-0766</t>
  </si>
  <si>
    <t>REF-0928</t>
  </si>
  <si>
    <t>ALIMENTATION TREICHVILLE 34</t>
  </si>
  <si>
    <t>CMD-KIN-007815</t>
  </si>
  <si>
    <t>REF-0815</t>
  </si>
  <si>
    <t>REF-0608</t>
  </si>
  <si>
    <t>REF-0678</t>
  </si>
  <si>
    <t>BOULANGERIE BONABERI 12</t>
  </si>
  <si>
    <t>CMD-KIN-007843</t>
  </si>
  <si>
    <t>REF-0152</t>
  </si>
  <si>
    <t>REF-0231</t>
  </si>
  <si>
    <t>MINI-MARCHE ABOBO 19</t>
  </si>
  <si>
    <t>CMD-KIN-007864</t>
  </si>
  <si>
    <t>REF-0553</t>
  </si>
  <si>
    <t>RESTAURANT KATUBA 28</t>
  </si>
  <si>
    <t>CMD-KIN-007874</t>
  </si>
  <si>
    <t>REF-0117</t>
  </si>
  <si>
    <t>REF-0583</t>
  </si>
  <si>
    <t>REF-0843</t>
  </si>
  <si>
    <t>GROSSISTE ABOBO 15</t>
  </si>
  <si>
    <t>CMD-KIN-007908</t>
  </si>
  <si>
    <t>REF-0622</t>
  </si>
  <si>
    <t>REF-0530</t>
  </si>
  <si>
    <t>MAGASIN ABOBO 10</t>
  </si>
  <si>
    <t>CMD-KIN-007935</t>
  </si>
  <si>
    <t>REF-0043</t>
  </si>
  <si>
    <t>REF-0905</t>
  </si>
  <si>
    <t>REF-0879</t>
  </si>
  <si>
    <t>REF-0266</t>
  </si>
  <si>
    <t>ALIMENTATION BONABERI 29</t>
  </si>
  <si>
    <t>CMD-KIN-007948</t>
  </si>
  <si>
    <t>REF-0634</t>
  </si>
  <si>
    <t>EPICERIE MONT-NGAFULA 25</t>
  </si>
  <si>
    <t>CMD-KIN-007987</t>
  </si>
  <si>
    <t>REF-0877</t>
  </si>
  <si>
    <t>REF-0120</t>
  </si>
  <si>
    <t>BOUTIQUE COCODY 30</t>
  </si>
  <si>
    <t>CMD-KIN-007988</t>
  </si>
  <si>
    <t>REF-0236</t>
  </si>
  <si>
    <t>REF-0942</t>
  </si>
  <si>
    <t>REF-0749</t>
  </si>
  <si>
    <t>CANTINE SELEMBAO 36</t>
  </si>
  <si>
    <t>CMD-KIN-008061</t>
  </si>
  <si>
    <t>SUPERMARCHE VICTOIRE 30</t>
  </si>
  <si>
    <t>CMD-KIN-008136</t>
  </si>
  <si>
    <t>REF-0472</t>
  </si>
  <si>
    <t>REF-0451</t>
  </si>
  <si>
    <t>REF-0436</t>
  </si>
  <si>
    <t>MAGASIN KINTAMBO 06</t>
  </si>
  <si>
    <t>CMD-KIN-008177</t>
  </si>
  <si>
    <t>REF-0375</t>
  </si>
  <si>
    <t>BOUTIQUE GOMBE 14</t>
  </si>
  <si>
    <t>CMD-KIN-008219</t>
  </si>
  <si>
    <t>REF-0782</t>
  </si>
  <si>
    <t>SUPERMARCHE MAKELEKELE 28</t>
  </si>
  <si>
    <t>CMD-KIN-008236</t>
  </si>
  <si>
    <t>REF-0703</t>
  </si>
  <si>
    <t>REF-0901</t>
  </si>
  <si>
    <t>SUPERETTE DEIDO 05</t>
  </si>
  <si>
    <t>CMD-KIN-008243</t>
  </si>
  <si>
    <t>REF-0438</t>
  </si>
  <si>
    <t>REF-0845</t>
  </si>
  <si>
    <t>ALIMENTATION RUASHI 23</t>
  </si>
  <si>
    <t>CMD-KIN-007685</t>
  </si>
  <si>
    <t>REF-0034</t>
  </si>
  <si>
    <t>CMD-KIN-007738</t>
  </si>
  <si>
    <t>REF-0061</t>
  </si>
  <si>
    <t>REF-0933</t>
  </si>
  <si>
    <t>REF-0166</t>
  </si>
  <si>
    <t>GROSSISTE LEMBA 39</t>
  </si>
  <si>
    <t>CMD-KIN-007754</t>
  </si>
  <si>
    <t>REF-0141</t>
  </si>
  <si>
    <t>REF-0222</t>
  </si>
  <si>
    <t>REF-0384</t>
  </si>
  <si>
    <t>SUPERMARCHE MEDINA 04</t>
  </si>
  <si>
    <t>CMD-KIN-007839</t>
  </si>
  <si>
    <t>REF-0178</t>
  </si>
  <si>
    <t>REF-0770</t>
  </si>
  <si>
    <t>MINI-MARCHE ABOBO 18</t>
  </si>
  <si>
    <t>CMD-KIN-007881</t>
  </si>
  <si>
    <t>REF-0592</t>
  </si>
  <si>
    <t>REF-0745</t>
  </si>
  <si>
    <t>REF-0715</t>
  </si>
  <si>
    <t>SUPERETTE MAKELEKELE 39</t>
  </si>
  <si>
    <t>CMD-KIN-007887</t>
  </si>
  <si>
    <t>REF-0094</t>
  </si>
  <si>
    <t>REF-0170</t>
  </si>
  <si>
    <t>REF-0184</t>
  </si>
  <si>
    <t>CMD-KIN-007926</t>
  </si>
  <si>
    <t>REF-0251</t>
  </si>
  <si>
    <t>REF-0825</t>
  </si>
  <si>
    <t>MINI-MARCHE KATUBA 21</t>
  </si>
  <si>
    <t>CMD-KIN-007963</t>
  </si>
  <si>
    <t>REF-0569</t>
  </si>
  <si>
    <t>REF-0903</t>
  </si>
  <si>
    <t>REF-0502</t>
  </si>
  <si>
    <t>REF-0796</t>
  </si>
  <si>
    <t>DEPOT MEDINA 20</t>
  </si>
  <si>
    <t>CMD-KIN-007978</t>
  </si>
  <si>
    <t>REF-0535</t>
  </si>
  <si>
    <t>REF-0836</t>
  </si>
  <si>
    <t>KIOSQUE BONABERI 32</t>
  </si>
  <si>
    <t>CMD-KIN-008020</t>
  </si>
  <si>
    <t>REF-0385</t>
  </si>
  <si>
    <t>REF-0771</t>
  </si>
  <si>
    <t>GROSSISTE BINZA 31</t>
  </si>
  <si>
    <t>CMD-KIN-008037</t>
  </si>
  <si>
    <t>REF-0265</t>
  </si>
  <si>
    <t>SUPERMARCHE MONT-NGAFULA 16</t>
  </si>
  <si>
    <t>CMD-KIN-008055</t>
  </si>
  <si>
    <t>REF-0688</t>
  </si>
  <si>
    <t>REF-0655</t>
  </si>
  <si>
    <t>DEPOT NGALULA 23</t>
  </si>
  <si>
    <t>CMD-KIN-008103</t>
  </si>
  <si>
    <t>REF-0101</t>
  </si>
  <si>
    <t>REF-0585</t>
  </si>
  <si>
    <t>CANTINE LIMETE 11</t>
  </si>
  <si>
    <t>CMD-KIN-008111</t>
  </si>
  <si>
    <t>REF-0349</t>
  </si>
  <si>
    <t>REF-0892</t>
  </si>
  <si>
    <t>KIOSQUE NGALULA 06</t>
  </si>
  <si>
    <t>CMD-KIN-008141</t>
  </si>
  <si>
    <t>REF-0494</t>
  </si>
  <si>
    <t>REF-0883</t>
  </si>
  <si>
    <t>REF-0058</t>
  </si>
  <si>
    <t>BOUTIQUE PIKINE 20</t>
  </si>
  <si>
    <t>CMD-KIN-008151</t>
  </si>
  <si>
    <t>REF-0549</t>
  </si>
  <si>
    <t>SUPERETTE NDJILI 02</t>
  </si>
  <si>
    <t>CMD-KIN-008156</t>
  </si>
  <si>
    <t>REF-0090</t>
  </si>
  <si>
    <t>REF-0110</t>
  </si>
  <si>
    <t>REF-0366</t>
  </si>
  <si>
    <t>REF-0478</t>
  </si>
  <si>
    <t>REF-0895</t>
  </si>
  <si>
    <t>SUPERMARCHE AKANDA 05</t>
  </si>
  <si>
    <t>CMD-KIN-008167</t>
  </si>
  <si>
    <t>REF-0536</t>
  </si>
  <si>
    <t>REF-0064</t>
  </si>
  <si>
    <t>REF-0856</t>
  </si>
  <si>
    <t>KIOSQUE MONT-NGAFULA 12</t>
  </si>
  <si>
    <t>CMD-KIN-008181</t>
  </si>
  <si>
    <t>REF-0499</t>
  </si>
  <si>
    <t>REF-0839</t>
  </si>
  <si>
    <t>REF-0008</t>
  </si>
  <si>
    <t>SUPERMARCHE NGIRI 14</t>
  </si>
  <si>
    <t>CMD-KIN-008222</t>
  </si>
  <si>
    <t>REF-0163</t>
  </si>
  <si>
    <t>REF-0072</t>
  </si>
  <si>
    <t>DEPOT RUASHI 20</t>
  </si>
  <si>
    <t>CMD-KIN-008233</t>
  </si>
  <si>
    <t>REF-0135</t>
  </si>
  <si>
    <t>REF-0333</t>
  </si>
  <si>
    <t>CMD-KIN-008277</t>
  </si>
  <si>
    <t>REF-0060</t>
  </si>
  <si>
    <t>REF-0619</t>
  </si>
  <si>
    <t>REF-0784</t>
  </si>
  <si>
    <t>MINI-MARCHE AKANDA 29</t>
  </si>
  <si>
    <t>CMD-KIN-008285</t>
  </si>
  <si>
    <t>REF-0079</t>
  </si>
  <si>
    <t>REF-0647</t>
  </si>
  <si>
    <t>REF-0212</t>
  </si>
  <si>
    <t>MAGASIN MASINA 26</t>
  </si>
  <si>
    <t>CMD-KIN-008304</t>
  </si>
  <si>
    <t>REF-0691</t>
  </si>
  <si>
    <t>CANTINE KATUBA 16</t>
  </si>
  <si>
    <t>CMD-KIN-008322</t>
  </si>
  <si>
    <t>REF-0261</t>
  </si>
  <si>
    <t>REF-0495</t>
  </si>
  <si>
    <t>REF-0689</t>
  </si>
  <si>
    <t>REF-0570</t>
  </si>
  <si>
    <t>RESTAURANT BINZA 36</t>
  </si>
  <si>
    <t>CMD-KIN-007721</t>
  </si>
  <si>
    <t>REF-0800</t>
  </si>
  <si>
    <t>REF-0040</t>
  </si>
  <si>
    <t>RESTAURANT KALAMU 06</t>
  </si>
  <si>
    <t>CMD-KIN-007786</t>
  </si>
  <si>
    <t>REF-0859</t>
  </si>
  <si>
    <t>MAGASIN OWENDO 22</t>
  </si>
  <si>
    <t>CMD-KIN-007801</t>
  </si>
  <si>
    <t>REF-0144</t>
  </si>
  <si>
    <t>RESTAURANT ABOBO 40</t>
  </si>
  <si>
    <t>CMD-KIN-007831</t>
  </si>
  <si>
    <t>REF-0297</t>
  </si>
  <si>
    <t>REF-0082</t>
  </si>
  <si>
    <t>REF-0262</t>
  </si>
  <si>
    <t>RESTAURANT GOMBE 23</t>
  </si>
  <si>
    <t>CMD-KIN-007850</t>
  </si>
  <si>
    <t>REF-0126</t>
  </si>
  <si>
    <t>SUPERMARCHE SELEMBAO 39</t>
  </si>
  <si>
    <t>CMD-KIN-007851</t>
  </si>
  <si>
    <t>REF-0602</t>
  </si>
  <si>
    <t>REF-0681</t>
  </si>
  <si>
    <t>EPICERIE BINZA 33</t>
  </si>
  <si>
    <t>CMD-KIN-007855</t>
  </si>
  <si>
    <t>REF-0523</t>
  </si>
  <si>
    <t>SUPERMARCHE BANDAL 32</t>
  </si>
  <si>
    <t>CMD-KIN-007862</t>
  </si>
  <si>
    <t>REF-0001</t>
  </si>
  <si>
    <t>REF-0224</t>
  </si>
  <si>
    <t>RESTAURANT GOMBE 07</t>
  </si>
  <si>
    <t>CMD-KIN-007868</t>
  </si>
  <si>
    <t>REF-0558</t>
  </si>
  <si>
    <t>REF-0572</t>
  </si>
  <si>
    <t>REF-0701</t>
  </si>
  <si>
    <t>SUPERETTE KATUBA 11</t>
  </si>
  <si>
    <t>CMD-KIN-007870</t>
  </si>
  <si>
    <t>REF-0005</t>
  </si>
  <si>
    <t>REF-0293</t>
  </si>
  <si>
    <t>REF-0809</t>
  </si>
  <si>
    <t>ALIMENTATION MASINA 25</t>
  </si>
  <si>
    <t>CMD-KIN-007884</t>
  </si>
  <si>
    <t>REF-0405</t>
  </si>
  <si>
    <t>REF-0810</t>
  </si>
  <si>
    <t>GROSSISTE MATONGE 23</t>
  </si>
  <si>
    <t>CMD-KIN-007885</t>
  </si>
  <si>
    <t>REF-0554</t>
  </si>
  <si>
    <t>DEPOT SANDAGA 30</t>
  </si>
  <si>
    <t>CMD-KIN-007895</t>
  </si>
  <si>
    <t>REF-0104</t>
  </si>
  <si>
    <t>REF-0012</t>
  </si>
  <si>
    <t>MINI-MARCHE SELEMBAO 08</t>
  </si>
  <si>
    <t>CMD-KIN-007898</t>
  </si>
  <si>
    <t>REF-0652</t>
  </si>
  <si>
    <t>RESTAURANT NDJILI 02</t>
  </si>
  <si>
    <t>CMD-KIN-007899</t>
  </si>
  <si>
    <t>REF-0631</t>
  </si>
  <si>
    <t>REF-0253</t>
  </si>
  <si>
    <t>RESTAURANT RUASHI 37</t>
  </si>
  <si>
    <t>CMD-KIN-007932</t>
  </si>
  <si>
    <t>KIOSQUE BONAPRISO 16</t>
  </si>
  <si>
    <t>CMD-KIN-007975</t>
  </si>
  <si>
    <t>REF-0475</t>
  </si>
  <si>
    <t>REF-0708</t>
  </si>
  <si>
    <t>REF-0173</t>
  </si>
  <si>
    <t>REF-0145</t>
  </si>
  <si>
    <t>REF-0277</t>
  </si>
  <si>
    <t>RESTAURANT MONT-NGAFULA 40</t>
  </si>
  <si>
    <t>CMD-KIN-008035</t>
  </si>
  <si>
    <t>REF-0014</t>
  </si>
  <si>
    <t>SUPERMARCHE DEIDO 12</t>
  </si>
  <si>
    <t>CMD-KIN-008095</t>
  </si>
  <si>
    <t>REF-0345</t>
  </si>
  <si>
    <t>REF-0555</t>
  </si>
  <si>
    <t>SUPERMARCHE OWENDO 05</t>
  </si>
  <si>
    <t>CMD-KIN-008096</t>
  </si>
  <si>
    <t>REF-0463</t>
  </si>
  <si>
    <t>REF-0603</t>
  </si>
  <si>
    <t>REF-0500</t>
  </si>
  <si>
    <t>REF-0888</t>
  </si>
  <si>
    <t>HOTEL KINTAMBO 07</t>
  </si>
  <si>
    <t>CMD-KIN-008127</t>
  </si>
  <si>
    <t>REF-0632</t>
  </si>
  <si>
    <t>BOULANGERIE NGIRI 34</t>
  </si>
  <si>
    <t>CMD-KIN-008144</t>
  </si>
  <si>
    <t>REF-0296</t>
  </si>
  <si>
    <t>REF-0596</t>
  </si>
  <si>
    <t>REF-0206</t>
  </si>
  <si>
    <t>REF-0714</t>
  </si>
  <si>
    <t>SUPERMARCHE PLATEAU 15</t>
  </si>
  <si>
    <t>CMD-KIN-008155</t>
  </si>
  <si>
    <t>REF-0119</t>
  </si>
  <si>
    <t>REF-0567</t>
  </si>
  <si>
    <t>DEPOT NGALULA 28</t>
  </si>
  <si>
    <t>CMD-KIN-008161</t>
  </si>
  <si>
    <t>REF-0750</t>
  </si>
  <si>
    <t>REF-0434</t>
  </si>
  <si>
    <t>CMD-KIN-008180</t>
  </si>
  <si>
    <t>REF-0931</t>
  </si>
  <si>
    <t>CMD-KIN-008215</t>
  </si>
  <si>
    <t>REF-0522</t>
  </si>
  <si>
    <t>REF-0914</t>
  </si>
  <si>
    <t>REF-0339</t>
  </si>
  <si>
    <t>REF-0077</t>
  </si>
  <si>
    <t>REF-0189</t>
  </si>
  <si>
    <t>MINI-MARCHE NDJILI 16</t>
  </si>
  <si>
    <t>CMD-KIN-008271</t>
  </si>
  <si>
    <t>REF-0467</t>
  </si>
  <si>
    <t>REF-0054</t>
  </si>
  <si>
    <t>SUPERETTE GOMBE 29</t>
  </si>
  <si>
    <t>CMD-KIN-008282</t>
  </si>
  <si>
    <t>REF-0307</t>
  </si>
  <si>
    <t>REF-0450</t>
  </si>
  <si>
    <t>REF-0273</t>
  </si>
  <si>
    <t>REF-0473</t>
  </si>
  <si>
    <t>REF-0697</t>
  </si>
  <si>
    <t>BOULANGERIE MATONGE 25</t>
  </si>
  <si>
    <t>CMD-KIN-007678</t>
  </si>
  <si>
    <t>GROSSISTE OWENDO 40</t>
  </si>
  <si>
    <t>CMD-KIN-007682</t>
  </si>
  <si>
    <t>REF-0373</t>
  </si>
  <si>
    <t>REF-0798</t>
  </si>
  <si>
    <t>REF-0185</t>
  </si>
  <si>
    <t>CANTINE ABOBO 06</t>
  </si>
  <si>
    <t>CMD-KIN-007718</t>
  </si>
  <si>
    <t>REF-0875</t>
  </si>
  <si>
    <t>SUPERMARCHE AKANDA 30</t>
  </si>
  <si>
    <t>CMD-KIN-007726</t>
  </si>
  <si>
    <t>REF-0085</t>
  </si>
  <si>
    <t>REF-0025</t>
  </si>
  <si>
    <t>REF-0223</t>
  </si>
  <si>
    <t>DEPOT SANDAGA 34</t>
  </si>
  <si>
    <t>CMD-KIN-007731</t>
  </si>
  <si>
    <t>REF-0337</t>
  </si>
  <si>
    <t>MAGASIN BONAPRISO 20</t>
  </si>
  <si>
    <t>CMD-KIN-007734</t>
  </si>
  <si>
    <t>REF-0287</t>
  </si>
  <si>
    <t>KIOSQUE LIMETE 17</t>
  </si>
  <si>
    <t>CMD-KIN-007747</t>
  </si>
  <si>
    <t>REF-0125</t>
  </si>
  <si>
    <t>ALIMENTATION KATUBA 14</t>
  </si>
  <si>
    <t>CMD-KIN-007808</t>
  </si>
  <si>
    <t>REF-0936</t>
  </si>
  <si>
    <t>REF-0760</t>
  </si>
  <si>
    <t>BOULANGERIE LIKASI 21</t>
  </si>
  <si>
    <t>CMD-KIN-007812</t>
  </si>
  <si>
    <t>REF-0939</t>
  </si>
  <si>
    <t>REF-0318</t>
  </si>
  <si>
    <t>MINI-MARCHE MAKELEKELE 22</t>
  </si>
  <si>
    <t>CMD-KIN-007834</t>
  </si>
  <si>
    <t>REF-0516</t>
  </si>
  <si>
    <t>REF-0621</t>
  </si>
  <si>
    <t>REF-0808</t>
  </si>
  <si>
    <t>REF-0617</t>
  </si>
  <si>
    <t>MINI-MARCHE NDJILI 30</t>
  </si>
  <si>
    <t>CMD-KIN-007883</t>
  </si>
  <si>
    <t>REF-0656</t>
  </si>
  <si>
    <t>BOULANGERIE BONABERI 08</t>
  </si>
  <si>
    <t>CMD-KIN-008013</t>
  </si>
  <si>
    <t>REF-0190</t>
  </si>
  <si>
    <t>RESTAURANT DEIDO 14</t>
  </si>
  <si>
    <t>CMD-KIN-008016</t>
  </si>
  <si>
    <t>REF-0511</t>
  </si>
  <si>
    <t>GROSSISTE MEDINA 03</t>
  </si>
  <si>
    <t>CMD-KIN-008032</t>
  </si>
  <si>
    <t>REF-0598</t>
  </si>
  <si>
    <t>MINI-MARCHE LIKASI 33</t>
  </si>
  <si>
    <t>CMD-KIN-008070</t>
  </si>
  <si>
    <t>REF-0563</t>
  </si>
  <si>
    <t>REF-0118</t>
  </si>
  <si>
    <t>REF-0428</t>
  </si>
  <si>
    <t>REF-0004</t>
  </si>
  <si>
    <t>REF-0860</t>
  </si>
  <si>
    <t>KIOSQUE SELEMBAO 30</t>
  </si>
  <si>
    <t>CMD-KIN-008093</t>
  </si>
  <si>
    <t>REF-0198</t>
  </si>
  <si>
    <t>REF-0006</t>
  </si>
  <si>
    <t>REF-0256</t>
  </si>
  <si>
    <t>REF-0298</t>
  </si>
  <si>
    <t>SUPERETTE BINZA 13</t>
  </si>
  <si>
    <t>CMD-KIN-008112</t>
  </si>
  <si>
    <t>REF-0270</t>
  </si>
  <si>
    <t>MINI-MARCHE NDJILI 31</t>
  </si>
  <si>
    <t>CMD-KIN-008125</t>
  </si>
  <si>
    <t>REF-0019</t>
  </si>
  <si>
    <t>MAGASIN BINZA 03</t>
  </si>
  <si>
    <t>CMD-KIN-008139</t>
  </si>
  <si>
    <t>REF-0196</t>
  </si>
  <si>
    <t>REF-0686</t>
  </si>
  <si>
    <t>KIOSQUE NGALULA 28</t>
  </si>
  <si>
    <t>CMD-KIN-008171</t>
  </si>
  <si>
    <t>BOUTIQUE GOMBE 02</t>
  </si>
  <si>
    <t>CMD-KIN-008186</t>
  </si>
  <si>
    <t>REF-0908</t>
  </si>
  <si>
    <t>REF-0481</t>
  </si>
  <si>
    <t>REF-0711</t>
  </si>
  <si>
    <t>SUPERMARCHE ABOBO 13</t>
  </si>
  <si>
    <t>CMD-KIN-008196</t>
  </si>
  <si>
    <t>REF-0527</t>
  </si>
  <si>
    <t>MINI-MARCHE NGALULA 37</t>
  </si>
  <si>
    <t>CMD-KIN-008205</t>
  </si>
  <si>
    <t>REF-0640</t>
  </si>
  <si>
    <t>REF-0007</t>
  </si>
  <si>
    <t>CMD-KIN-008239</t>
  </si>
  <si>
    <t>REF-0396</t>
  </si>
  <si>
    <t>ALIMENTATION KATUBA 15</t>
  </si>
  <si>
    <t>CMD-KIN-008246</t>
  </si>
  <si>
    <t>REF-0643</t>
  </si>
  <si>
    <t>SUPERMARCHE OWENDO 26</t>
  </si>
  <si>
    <t>CMD-KIN-008329</t>
  </si>
  <si>
    <t>REF-0188</t>
  </si>
  <si>
    <t>REF-0268</t>
  </si>
  <si>
    <t>CMD-KIN-007673</t>
  </si>
  <si>
    <t>REF-0063</t>
  </si>
  <si>
    <t>BOUTIQUE NDJILI 12</t>
  </si>
  <si>
    <t>CMD-KIN-007707</t>
  </si>
  <si>
    <t>REF-0245</t>
  </si>
  <si>
    <t>SUPERMARCHE PLATEAU 37</t>
  </si>
  <si>
    <t>CMD-KIN-007742</t>
  </si>
  <si>
    <t>REF-0876</t>
  </si>
  <si>
    <t>MINI-MARCHE AKANDA 03</t>
  </si>
  <si>
    <t>CMD-KIN-007761</t>
  </si>
  <si>
    <t>REF-0392</t>
  </si>
  <si>
    <t>REF-0666</t>
  </si>
  <si>
    <t>REF-0862</t>
  </si>
  <si>
    <t>EPICERIE NDJILI 21</t>
  </si>
  <si>
    <t>CMD-KIN-007779</t>
  </si>
  <si>
    <t>REF-0925</t>
  </si>
  <si>
    <t>SUPERMARCHE NDJILI 02</t>
  </si>
  <si>
    <t>CMD-KIN-007809</t>
  </si>
  <si>
    <t>REF-0625</t>
  </si>
  <si>
    <t>REF-0142</t>
  </si>
  <si>
    <t>CANTINE ABOBO 29</t>
  </si>
  <si>
    <t>CMD-KIN-007814</t>
  </si>
  <si>
    <t>REF-0579</t>
  </si>
  <si>
    <t>REF-0263</t>
  </si>
  <si>
    <t>REF-0194</t>
  </si>
  <si>
    <t>REF-0763</t>
  </si>
  <si>
    <t>MINI-MARCHE BONAPRISO 27</t>
  </si>
  <si>
    <t>CMD-KIN-007897</t>
  </si>
  <si>
    <t>REF-0560</t>
  </si>
  <si>
    <t>REF-0282</t>
  </si>
  <si>
    <t>REF-0712</t>
  </si>
  <si>
    <t>REF-0049</t>
  </si>
  <si>
    <t>REF-0286</t>
  </si>
  <si>
    <t>BOUTIQUE GOMBE 29</t>
  </si>
  <si>
    <t>CMD-KIN-007979</t>
  </si>
  <si>
    <t>REF-0476</t>
  </si>
  <si>
    <t>REF-0343</t>
  </si>
  <si>
    <t>DEPOT NDJILI 29</t>
  </si>
  <si>
    <t>CMD-KIN-007989</t>
  </si>
  <si>
    <t>REF-0675</t>
  </si>
  <si>
    <t>REF-0865</t>
  </si>
  <si>
    <t>GROSSISTE MASINA 39</t>
  </si>
  <si>
    <t>CMD-KIN-007998</t>
  </si>
  <si>
    <t>REF-0783</t>
  </si>
  <si>
    <t>CMD-KIN-008054</t>
  </si>
  <si>
    <t>REF-0299</t>
  </si>
  <si>
    <t>REF-0733</t>
  </si>
  <si>
    <t>REF-0590</t>
  </si>
  <si>
    <t>CMD-KIN-008098</t>
  </si>
  <si>
    <t>REF-0284</t>
  </si>
  <si>
    <t>GROSSISTE PLATEAU 15</t>
  </si>
  <si>
    <t>CMD-KIN-008153</t>
  </si>
  <si>
    <t>REF-0613</t>
  </si>
  <si>
    <t>REF-0584</t>
  </si>
  <si>
    <t>REF-0581</t>
  </si>
  <si>
    <t>REF-0100</t>
  </si>
  <si>
    <t>REF-0781</t>
  </si>
  <si>
    <t>CANTINE MATONGE 09</t>
  </si>
  <si>
    <t>CMD-KIN-008157</t>
  </si>
  <si>
    <t>REF-0068</t>
  </si>
  <si>
    <t>REF-0347</t>
  </si>
  <si>
    <t>REF-0418</t>
  </si>
  <si>
    <t>SUPERMARCHE MONT-NGAFULA 01</t>
  </si>
  <si>
    <t>CMD-KIN-008214</t>
  </si>
  <si>
    <t>REF-0728</t>
  </si>
  <si>
    <t>REF-0615</t>
  </si>
  <si>
    <t>CANTINE SELEMBAO 19</t>
  </si>
  <si>
    <t>CMD-KIN-008220</t>
  </si>
  <si>
    <t>REF-0761</t>
  </si>
  <si>
    <t>GROSSISTE BONABERI 37</t>
  </si>
  <si>
    <t>CMD-KIN-008307</t>
  </si>
  <si>
    <t>REF-0455</t>
  </si>
  <si>
    <t>REF-0543</t>
  </si>
  <si>
    <t>REF-0480</t>
  </si>
  <si>
    <t>MAGASIN YOPOUGON 31</t>
  </si>
  <si>
    <t>CMD-KIN-008315</t>
  </si>
  <si>
    <t>REF-0036</t>
  </si>
  <si>
    <t>REF-0033</t>
  </si>
  <si>
    <t>ALIMENTATION LIMETE 23</t>
  </si>
  <si>
    <t>CMD-KIN-008328</t>
  </si>
  <si>
    <t>REF-0776</t>
  </si>
  <si>
    <t>SUPERETTE NGIRI 24</t>
  </si>
  <si>
    <t>CMD-KIN-007687</t>
  </si>
  <si>
    <t>REF-0232</t>
  </si>
  <si>
    <t>REF-0009</t>
  </si>
  <si>
    <t>REF-0215</t>
  </si>
  <si>
    <t>CMD-KIN-007770</t>
  </si>
  <si>
    <t>REF-0097</t>
  </si>
  <si>
    <t>REF-0368</t>
  </si>
  <si>
    <t>CMD-KIN-007778</t>
  </si>
  <si>
    <t>REF-0661</t>
  </si>
  <si>
    <t>GROSSISTE LEMBA 21</t>
  </si>
  <si>
    <t>CMD-KIN-007807</t>
  </si>
  <si>
    <t>REF-0157</t>
  </si>
  <si>
    <t>KIOSQUE NGALULA 24</t>
  </si>
  <si>
    <t>CMD-KIN-007832</t>
  </si>
  <si>
    <t>REF-0919</t>
  </si>
  <si>
    <t>CMD-KIN-007853</t>
  </si>
  <si>
    <t>REF-0872</t>
  </si>
  <si>
    <t>REF-0677</t>
  </si>
  <si>
    <t>REF-0205</t>
  </si>
  <si>
    <t>KIOSQUE AKANDA 07</t>
  </si>
  <si>
    <t>CMD-KIN-007872</t>
  </si>
  <si>
    <t>REF-0322</t>
  </si>
  <si>
    <t>REF-0304</t>
  </si>
  <si>
    <t>DEPOT NDJILI 14</t>
  </si>
  <si>
    <t>CMD-KIN-007956</t>
  </si>
  <si>
    <t>CANTINE YOPOUGON 20</t>
  </si>
  <si>
    <t>CMD-KIN-007970</t>
  </si>
  <si>
    <t>REF-0564</t>
  </si>
  <si>
    <t>REF-0353</t>
  </si>
  <si>
    <t>REF-0943</t>
  </si>
  <si>
    <t>CANTINE TREICHVILLE 27</t>
  </si>
  <si>
    <t>CMD-KIN-007983</t>
  </si>
  <si>
    <t>REF-0710</t>
  </si>
  <si>
    <t>SUPERMARCHE DEIDO 18</t>
  </si>
  <si>
    <t>CMD-KIN-008018</t>
  </si>
  <si>
    <t>REF-0492</t>
  </si>
  <si>
    <t>REF-0813</t>
  </si>
  <si>
    <t>REF-0593</t>
  </si>
  <si>
    <t>HOTEL KATUBA 17</t>
  </si>
  <si>
    <t>CMD-KIN-008026</t>
  </si>
  <si>
    <t>REF-0045</t>
  </si>
  <si>
    <t>REF-0550</t>
  </si>
  <si>
    <t>REF-0352</t>
  </si>
  <si>
    <t>MAGASIN BONABERI 19</t>
  </si>
  <si>
    <t>CMD-KIN-008046</t>
  </si>
  <si>
    <t>REF-0372</t>
  </si>
  <si>
    <t>REF-0116</t>
  </si>
  <si>
    <t>REF-0010</t>
  </si>
  <si>
    <t>ALIMENTATION MAKELEKELE 29</t>
  </si>
  <si>
    <t>CMD-KIN-008076</t>
  </si>
  <si>
    <t>REF-0378</t>
  </si>
  <si>
    <t>REF-0544</t>
  </si>
  <si>
    <t>DEPOT BARUMBU 24</t>
  </si>
  <si>
    <t>CMD-KIN-008089</t>
  </si>
  <si>
    <t>CMD-KIN-008117</t>
  </si>
  <si>
    <t>REF-0133</t>
  </si>
  <si>
    <t>REF-0310</t>
  </si>
  <si>
    <t>EPICERIE KINTAMBO 34</t>
  </si>
  <si>
    <t>CMD-KIN-008120</t>
  </si>
  <si>
    <t>REF-0359</t>
  </si>
  <si>
    <t>REF-0504</t>
  </si>
  <si>
    <t>BOUTIQUE KALAMU 38</t>
  </si>
  <si>
    <t>CMD-KIN-008142</t>
  </si>
  <si>
    <t>REF-0775</t>
  </si>
  <si>
    <t>REF-0660</t>
  </si>
  <si>
    <t>SUPERMARCHE YOPOUGON 16</t>
  </si>
  <si>
    <t>CMD-KIN-008179</t>
  </si>
  <si>
    <t>REF-0400</t>
  </si>
  <si>
    <t>REF-0801</t>
  </si>
  <si>
    <t>REF-0594</t>
  </si>
  <si>
    <t>GROSSISTE KINTAMBO 39</t>
  </si>
  <si>
    <t>CMD-KIN-008191</t>
  </si>
  <si>
    <t>DEPOT BINZA 33</t>
  </si>
  <si>
    <t>CMD-KIN-008195</t>
  </si>
  <si>
    <t>REF-0723</t>
  </si>
  <si>
    <t>REF-0416</t>
  </si>
  <si>
    <t>DEPOT PIKINE 21</t>
  </si>
  <si>
    <t>CMD-KIN-008223</t>
  </si>
  <si>
    <t>REF-0143</t>
  </si>
  <si>
    <t>REF-0080</t>
  </si>
  <si>
    <t>BOULANGERIE KATUBA 13</t>
  </si>
  <si>
    <t>CMD-KIN-008254</t>
  </si>
  <si>
    <t>REF-0805</t>
  </si>
  <si>
    <t>ALIMENTATION MONT-NGAFULA 14</t>
  </si>
  <si>
    <t>CMD-KIN-007674</t>
  </si>
  <si>
    <t>REF-0306</t>
  </si>
  <si>
    <t>SUPERMARCHE BARUMBU 09</t>
  </si>
  <si>
    <t>CMD-KIN-007710</t>
  </si>
  <si>
    <t>REF-0431</t>
  </si>
  <si>
    <t>SUPERETTE SANDAGA 04</t>
  </si>
  <si>
    <t>CMD-KIN-007736</t>
  </si>
  <si>
    <t>REF-0255</t>
  </si>
  <si>
    <t>CMD-KIN-007749</t>
  </si>
  <si>
    <t>REF-0940</t>
  </si>
  <si>
    <t>REF-0753</t>
  </si>
  <si>
    <t>GROSSISTE VICTOIRE 23</t>
  </si>
  <si>
    <t>CMD-KIN-007767</t>
  </si>
  <si>
    <t>REF-0646</t>
  </si>
  <si>
    <t>BOULANGERIE NGIRI 03</t>
  </si>
  <si>
    <t>CMD-KIN-007772</t>
  </si>
  <si>
    <t>REF-0680</t>
  </si>
  <si>
    <t>REF-0616</t>
  </si>
  <si>
    <t>REF-0429</t>
  </si>
  <si>
    <t>REF-0213</t>
  </si>
  <si>
    <t>BOULANGERIE AKANDA 05</t>
  </si>
  <si>
    <t>CMD-KIN-007783</t>
  </si>
  <si>
    <t>REF-0791</t>
  </si>
  <si>
    <t>REF-0830</t>
  </si>
  <si>
    <t>RESTAURANT BONAPRISO 34</t>
  </si>
  <si>
    <t>CMD-KIN-007943</t>
  </si>
  <si>
    <t>REF-0244</t>
  </si>
  <si>
    <t>REF-0838</t>
  </si>
  <si>
    <t>CMD-KIN-007986</t>
  </si>
  <si>
    <t>REF-0727</t>
  </si>
  <si>
    <t>REF-0382</t>
  </si>
  <si>
    <t>RESTAURANT SELEMBAO 38</t>
  </si>
  <si>
    <t>CMD-KIN-008082</t>
  </si>
  <si>
    <t>REF-0528</t>
  </si>
  <si>
    <t>REF-0002</t>
  </si>
  <si>
    <t>REF-0768</t>
  </si>
  <si>
    <t>CMD-KIN-008173</t>
  </si>
  <si>
    <t>REF-0139</t>
  </si>
  <si>
    <t>REF-0716</t>
  </si>
  <si>
    <t>REF-0165</t>
  </si>
  <si>
    <t>ALIMENTATION KATUBA 05</t>
  </si>
  <si>
    <t>CMD-KIN-008204</t>
  </si>
  <si>
    <t>REF-0099</t>
  </si>
  <si>
    <t>ALIMENTATION MEDINA 40</t>
  </si>
  <si>
    <t>CMD-KIN-008227</t>
  </si>
  <si>
    <t>REF-0740</t>
  </si>
  <si>
    <t>REF-0383</t>
  </si>
  <si>
    <t>REF-0456</t>
  </si>
  <si>
    <t>CANTINE BARUMBU 06</t>
  </si>
  <si>
    <t>CMD-KIN-008237</t>
  </si>
  <si>
    <t>REF-0195</t>
  </si>
  <si>
    <t>RESTAURANT PLATEAU 09</t>
  </si>
  <si>
    <t>CMD-KIN-008247</t>
  </si>
  <si>
    <t>REF-0439</t>
  </si>
  <si>
    <t>REF-0252</t>
  </si>
  <si>
    <t>REF-0657</t>
  </si>
  <si>
    <t>REF-0218</t>
  </si>
  <si>
    <t>REF-0271</t>
  </si>
  <si>
    <t>HOTEL BARUMBU 29</t>
  </si>
  <si>
    <t>CMD-KIN-008288</t>
  </si>
  <si>
    <t>CMD-KIN-008311</t>
  </si>
  <si>
    <t>REF-0340</t>
  </si>
  <si>
    <t>HOTEL BARUMBU 04</t>
  </si>
  <si>
    <t>CMD-KIN-008318</t>
  </si>
  <si>
    <t>DEPOT AKANDA 38</t>
  </si>
  <si>
    <t>CMD-KIN-008331</t>
  </si>
  <si>
    <t>REF-0863</t>
  </si>
  <si>
    <t>REF-0430</t>
  </si>
  <si>
    <t>CMD-KIN-007688</t>
  </si>
  <si>
    <t>REF-0512</t>
  </si>
  <si>
    <t>BOUTIQUE PLATEAU 31</t>
  </si>
  <si>
    <t>CMD-KIN-007724</t>
  </si>
  <si>
    <t>REF-0421</t>
  </si>
  <si>
    <t>BOULANGERIE NDJILI 30</t>
  </si>
  <si>
    <t>CMD-KIN-007766</t>
  </si>
  <si>
    <t>REF-0161</t>
  </si>
  <si>
    <t>REF-0519</t>
  </si>
  <si>
    <t>REF-0595</t>
  </si>
  <si>
    <t>HOTEL MAKELEKELE 24</t>
  </si>
  <si>
    <t>CMD-KIN-007775</t>
  </si>
  <si>
    <t>REF-0645</t>
  </si>
  <si>
    <t>REF-0246</t>
  </si>
  <si>
    <t>DEPOT OWENDO 20</t>
  </si>
  <si>
    <t>CMD-KIN-007782</t>
  </si>
  <si>
    <t>REF-0186</t>
  </si>
  <si>
    <t>REF-0891</t>
  </si>
  <si>
    <t>REF-0035</t>
  </si>
  <si>
    <t>KIOSQUE DEIDO 22</t>
  </si>
  <si>
    <t>CMD-KIN-007800</t>
  </si>
  <si>
    <t>REF-0929</t>
  </si>
  <si>
    <t>REF-0275</t>
  </si>
  <si>
    <t>REF-0531</t>
  </si>
  <si>
    <t>ALIMENTATION MAKELEKELE 17</t>
  </si>
  <si>
    <t>CMD-KIN-007820</t>
  </si>
  <si>
    <t>CMD-KIN-007856</t>
  </si>
  <si>
    <t>CANTINE SANDAGA 14</t>
  </si>
  <si>
    <t>CMD-KIN-007913</t>
  </si>
  <si>
    <t>REF-0534</t>
  </si>
  <si>
    <t>REF-0348</t>
  </si>
  <si>
    <t>REF-0199</t>
  </si>
  <si>
    <t>BOUTIQUE LIKASI 01</t>
  </si>
  <si>
    <t>CMD-KIN-007925</t>
  </si>
  <si>
    <t>HOTEL SELEMBAO 23</t>
  </si>
  <si>
    <t>CMD-KIN-007958</t>
  </si>
  <si>
    <t>REF-0497</t>
  </si>
  <si>
    <t>REF-0724</t>
  </si>
  <si>
    <t>CANTINE BONABERI 31</t>
  </si>
  <si>
    <t>CMD-KIN-008012</t>
  </si>
  <si>
    <t>CMD-KIN-008058</t>
  </si>
  <si>
    <t>REF-0729</t>
  </si>
  <si>
    <t>REF-0818</t>
  </si>
  <si>
    <t>CANTINE PLATEAU 26</t>
  </si>
  <si>
    <t>CMD-KIN-008060</t>
  </si>
  <si>
    <t>REF-0897</t>
  </si>
  <si>
    <t>REF-0074</t>
  </si>
  <si>
    <t>ALIMENTATION KINTAMBO 36</t>
  </si>
  <si>
    <t>CMD-KIN-008067</t>
  </si>
  <si>
    <t>REF-0067</t>
  </si>
  <si>
    <t>GROSSISTE LEMBA 19</t>
  </si>
  <si>
    <t>CMD-KIN-008084</t>
  </si>
  <si>
    <t>HOTEL AKANDA 05</t>
  </si>
  <si>
    <t>CMD-KIN-008126</t>
  </si>
  <si>
    <t>REF-0316</t>
  </si>
  <si>
    <t>EPICERIE MATONGE 22</t>
  </si>
  <si>
    <t>CMD-KIN-008162</t>
  </si>
  <si>
    <t>ALIMENTATION MONT-NGAFULA 29</t>
  </si>
  <si>
    <t>CMD-KIN-008169</t>
  </si>
  <si>
    <t>REF-0867</t>
  </si>
  <si>
    <t>REF-0350</t>
  </si>
  <si>
    <t>HOTEL RUASHI 14</t>
  </si>
  <si>
    <t>CMD-KIN-008182</t>
  </si>
  <si>
    <t>REF-0355</t>
  </si>
  <si>
    <t>REF-0031</t>
  </si>
  <si>
    <t>REF-0578</t>
  </si>
  <si>
    <t>MAGASIN BONAPRISO 35</t>
  </si>
  <si>
    <t>CMD-KIN-008209</t>
  </si>
  <si>
    <t>REF-0399</t>
  </si>
  <si>
    <t>BOULANGERIE BONABERI 37</t>
  </si>
  <si>
    <t>CMD-KIN-008221</t>
  </si>
  <si>
    <t>REF-0057</t>
  </si>
  <si>
    <t>REF-0374</t>
  </si>
  <si>
    <t>CMD-KIN-008228</t>
  </si>
  <si>
    <t>REF-0269</t>
  </si>
  <si>
    <t>REF-0690</t>
  </si>
  <si>
    <t>MAGASIN SELEMBAO 34</t>
  </si>
  <si>
    <t>CMD-KIN-008234</t>
  </si>
  <si>
    <t>REF-0127</t>
  </si>
  <si>
    <t>CMD-KIN-008273</t>
  </si>
  <si>
    <t>REF-0566</t>
  </si>
  <si>
    <t>REF-0757</t>
  </si>
  <si>
    <t>CANTINE LIMETE 10</t>
  </si>
  <si>
    <t>CMD-KIN-007665</t>
  </si>
  <si>
    <t>REF-0665</t>
  </si>
  <si>
    <t>REF-0668</t>
  </si>
  <si>
    <t>CMD-KIN-007781</t>
  </si>
  <si>
    <t>REF-0290</t>
  </si>
  <si>
    <t>REF-0871</t>
  </si>
  <si>
    <t>REF-0160</t>
  </si>
  <si>
    <t>SUPERMARCHE KATUBA 08</t>
  </si>
  <si>
    <t>CMD-KIN-007798</t>
  </si>
  <si>
    <t>REF-0556</t>
  </si>
  <si>
    <t>MINI-MARCHE SANDAGA 19</t>
  </si>
  <si>
    <t>CMD-KIN-007806</t>
  </si>
  <si>
    <t>REF-0425</t>
  </si>
  <si>
    <t>CANTINE BONABERI 13</t>
  </si>
  <si>
    <t>CMD-KIN-007835</t>
  </si>
  <si>
    <t>REF-0235</t>
  </si>
  <si>
    <t>GROSSISTE VICTOIRE 33</t>
  </si>
  <si>
    <t>CMD-KIN-007894</t>
  </si>
  <si>
    <t>REF-0743</t>
  </si>
  <si>
    <t>MINI-MARCHE LIMETE 40</t>
  </si>
  <si>
    <t>CMD-KIN-007964</t>
  </si>
  <si>
    <t>REF-0837</t>
  </si>
  <si>
    <t>REF-0850</t>
  </si>
  <si>
    <t>REF-0107</t>
  </si>
  <si>
    <t>MINI-MARCHE KINTAMBO 05</t>
  </si>
  <si>
    <t>CMD-KIN-007976</t>
  </si>
  <si>
    <t>REF-0835</t>
  </si>
  <si>
    <t>BOULANGERIE BANDAL 34</t>
  </si>
  <si>
    <t>CMD-KIN-008002</t>
  </si>
  <si>
    <t>REF-0725</t>
  </si>
  <si>
    <t>REF-0073</t>
  </si>
  <si>
    <t>REF-0926</t>
  </si>
  <si>
    <t>KIOSQUE LIKASI 32</t>
  </si>
  <si>
    <t>CMD-KIN-008019</t>
  </si>
  <si>
    <t>BOULANGERIE MEDINA 22</t>
  </si>
  <si>
    <t>CMD-KIN-008113</t>
  </si>
  <si>
    <t>REF-0441</t>
  </si>
  <si>
    <t>CANTINE MAKELEKELE 38</t>
  </si>
  <si>
    <t>CMD-KIN-008132</t>
  </si>
  <si>
    <t>REF-0685</t>
  </si>
  <si>
    <t>REF-0759</t>
  </si>
  <si>
    <t>REF-0248</t>
  </si>
  <si>
    <t>CMD-KIN-008168</t>
  </si>
  <si>
    <t>REF-0586</t>
  </si>
  <si>
    <t>REF-0092</t>
  </si>
  <si>
    <t>CMD-KIN-008248</t>
  </si>
  <si>
    <t>GROSSISTE MAKELEKELE 27</t>
  </si>
  <si>
    <t>CMD-KIN-008281</t>
  </si>
  <si>
    <t>REF-0038</t>
  </si>
  <si>
    <t>REF-0571</t>
  </si>
  <si>
    <t>MAGASIN COCODY 17</t>
  </si>
  <si>
    <t>CMD-KIN-008284</t>
  </si>
  <si>
    <t>REF-0746</t>
  </si>
  <si>
    <t>REF-0612</t>
  </si>
  <si>
    <t>RESTAURANT MASINA 09</t>
  </si>
  <si>
    <t>CMD-KIN-008332</t>
  </si>
  <si>
    <t>REF-0854</t>
  </si>
  <si>
    <t>CMD-KIN-007757</t>
  </si>
  <si>
    <t>SUPERETTE TREICHVILLE 23</t>
  </si>
  <si>
    <t>CMD-KIN-007759</t>
  </si>
  <si>
    <t>SUPERMARCHE LIMETE 03</t>
  </si>
  <si>
    <t>CMD-KIN-007773</t>
  </si>
  <si>
    <t>REF-0053</t>
  </si>
  <si>
    <t>REF-0397</t>
  </si>
  <si>
    <t>REF-0041</t>
  </si>
  <si>
    <t>HOTEL RUASHI 15</t>
  </si>
  <si>
    <t>CMD-KIN-007774</t>
  </si>
  <si>
    <t>REF-0684</t>
  </si>
  <si>
    <t>CMD-KIN-007833</t>
  </si>
  <si>
    <t>MAGASIN COCODY 21</t>
  </si>
  <si>
    <t>CMD-KIN-007838</t>
  </si>
  <si>
    <t>REF-0018</t>
  </si>
  <si>
    <t>GROSSISTE MATONGE 32</t>
  </si>
  <si>
    <t>CMD-KIN-007848</t>
  </si>
  <si>
    <t>REF-0754</t>
  </si>
  <si>
    <t>BOULANGERIE BARUMBU 13</t>
  </si>
  <si>
    <t>CMD-KIN-007852</t>
  </si>
  <si>
    <t>REF-0756</t>
  </si>
  <si>
    <t>SUPERMARCHE LEMBA 10</t>
  </si>
  <si>
    <t>CMD-KIN-007906</t>
  </si>
  <si>
    <t>REF-0627</t>
  </si>
  <si>
    <t>REF-0410</t>
  </si>
  <si>
    <t>SUPERMARCHE OWENDO 21</t>
  </si>
  <si>
    <t>CMD-KIN-007944</t>
  </si>
  <si>
    <t>REF-0629</t>
  </si>
  <si>
    <t>REF-0705</t>
  </si>
  <si>
    <t>ALIMENTATION YOPOUGON 04</t>
  </si>
  <si>
    <t>CMD-KIN-007961</t>
  </si>
  <si>
    <t>REF-0324</t>
  </si>
  <si>
    <t>REF-0639</t>
  </si>
  <si>
    <t>DEPOT BONABERI 26</t>
  </si>
  <si>
    <t>CMD-KIN-007980</t>
  </si>
  <si>
    <t>REF-0394</t>
  </si>
  <si>
    <t>REF-0508</t>
  </si>
  <si>
    <t>DEPOT BARUMBU 08</t>
  </si>
  <si>
    <t>CMD-KIN-008006</t>
  </si>
  <si>
    <t>REF-0482</t>
  </si>
  <si>
    <t>CMD-KIN-008023</t>
  </si>
  <si>
    <t>REF-0260</t>
  </si>
  <si>
    <t>BOUTIQUE LEMBA 02</t>
  </si>
  <si>
    <t>CMD-KIN-008118</t>
  </si>
  <si>
    <t>REF-0692</t>
  </si>
  <si>
    <t>REF-0044</t>
  </si>
  <si>
    <t>DEPOT NGIRI 04</t>
  </si>
  <si>
    <t>CMD-KIN-008192</t>
  </si>
  <si>
    <t>REF-0193</t>
  </si>
  <si>
    <t>REF-0047</t>
  </si>
  <si>
    <t>MAGASIN BANDAL 22</t>
  </si>
  <si>
    <t>CMD-KIN-008197</t>
  </si>
  <si>
    <t>REF-0788</t>
  </si>
  <si>
    <t>CMD-KIN-008201</t>
  </si>
  <si>
    <t>REF-0651</t>
  </si>
  <si>
    <t>REF-0545</t>
  </si>
  <si>
    <t>REF-0414</t>
  </si>
  <si>
    <t>MAGASIN MAKELEKELE 38</t>
  </si>
  <si>
    <t>CMD-KIN-008226</t>
  </si>
  <si>
    <t>REF-0503</t>
  </si>
  <si>
    <t>SUPERETTE NGALULA 08</t>
  </si>
  <si>
    <t>CMD-KIN-008240</t>
  </si>
  <si>
    <t>REF-0816</t>
  </si>
  <si>
    <t>BOULANGERIE MASINA 34</t>
  </si>
  <si>
    <t>CMD-KIN-008245</t>
  </si>
  <si>
    <t>DEPOT LIMETE 29</t>
  </si>
  <si>
    <t>CMD-KIN-008256</t>
  </si>
  <si>
    <t>SUPERMARCHE KALAMU 33</t>
  </si>
  <si>
    <t>CMD-KIN-008330</t>
  </si>
  <si>
    <t>REF-0325</t>
  </si>
  <si>
    <t>CMD-KIN-007671</t>
  </si>
  <si>
    <t>REF-0183</t>
  </si>
  <si>
    <t>BOUTIQUE DEIDO 09</t>
  </si>
  <si>
    <t>CMD-KIN-007700</t>
  </si>
  <si>
    <t>REF-0772</t>
  </si>
  <si>
    <t>REF-0471</t>
  </si>
  <si>
    <t>REF-0465</t>
  </si>
  <si>
    <t>HOTEL NGIRI 20</t>
  </si>
  <si>
    <t>CMD-KIN-007727</t>
  </si>
  <si>
    <t>REF-0172</t>
  </si>
  <si>
    <t>ALIMENTATION MASINA 12</t>
  </si>
  <si>
    <t>CMD-KIN-007817</t>
  </si>
  <si>
    <t>REF-0446</t>
  </si>
  <si>
    <t>HOTEL TREICHVILLE 34</t>
  </si>
  <si>
    <t>CMD-KIN-007847</t>
  </si>
  <si>
    <t>REF-0637</t>
  </si>
  <si>
    <t>REF-0219</t>
  </si>
  <si>
    <t>SUPERETTE NGIRI 36</t>
  </si>
  <si>
    <t>CMD-KIN-007960</t>
  </si>
  <si>
    <t>SUPERETTE TREICHVILLE 30</t>
  </si>
  <si>
    <t>CMD-KIN-007981</t>
  </si>
  <si>
    <t>REF-0242</t>
  </si>
  <si>
    <t>DEPOT KATUBA 22</t>
  </si>
  <si>
    <t>CMD-KIN-008059</t>
  </si>
  <si>
    <t>REF-0272</t>
  </si>
  <si>
    <t>REF-0209</t>
  </si>
  <si>
    <t>CANTINE LIMETE 25</t>
  </si>
  <si>
    <t>CMD-KIN-008069</t>
  </si>
  <si>
    <t>CMD-KIN-008105</t>
  </si>
  <si>
    <t>REF-0154</t>
  </si>
  <si>
    <t>BOUTIQUE NDJILI 36</t>
  </si>
  <si>
    <t>CMD-KIN-008114</t>
  </si>
  <si>
    <t>REF-0823</t>
  </si>
  <si>
    <t>CMD-KIN-008129</t>
  </si>
  <si>
    <t>REF-0437</t>
  </si>
  <si>
    <t>BOUTIQUE NDJILI 14</t>
  </si>
  <si>
    <t>CMD-KIN-008172</t>
  </si>
  <si>
    <t>REF-0367</t>
  </si>
  <si>
    <t>REF-0030</t>
  </si>
  <si>
    <t>REF-0742</t>
  </si>
  <si>
    <t>CANTINE COCODY 20</t>
  </si>
  <si>
    <t>CMD-KIN-008230</t>
  </si>
  <si>
    <t>CMD-KIN-008241</t>
  </si>
  <si>
    <t>REF-0294</t>
  </si>
  <si>
    <t>CMD-KIN-008257</t>
  </si>
  <si>
    <t>KIOSQUE NGIRI 29</t>
  </si>
  <si>
    <t>CMD-KIN-008259</t>
  </si>
  <si>
    <t>REF-0896</t>
  </si>
  <si>
    <t>MAGASIN BANDAL 35</t>
  </si>
  <si>
    <t>CMD-KIN-008269</t>
  </si>
  <si>
    <t>REF-0314</t>
  </si>
  <si>
    <t>DEPOT NGIRI 07</t>
  </si>
  <si>
    <t>CMD-KIN-008335</t>
  </si>
  <si>
    <t>REF-0327</t>
  </si>
  <si>
    <t>CMD-KIN-007703</t>
  </si>
  <si>
    <t>REF-0136</t>
  </si>
  <si>
    <t>SUPERMARCHE SANDAGA 25</t>
  </si>
  <si>
    <t>CMD-KIN-007706</t>
  </si>
  <si>
    <t>REF-0803</t>
  </si>
  <si>
    <t>BOULANGERIE DEIDO 05</t>
  </si>
  <si>
    <t>CMD-KIN-007741</t>
  </si>
  <si>
    <t>REF-0358</t>
  </si>
  <si>
    <t>REF-0363</t>
  </si>
  <si>
    <t>RESTAURANT AKANDA 18</t>
  </si>
  <si>
    <t>CMD-KIN-007762</t>
  </si>
  <si>
    <t>RESTAURANT BARUMBU 24</t>
  </si>
  <si>
    <t>CMD-KIN-007837</t>
  </si>
  <si>
    <t>HOTEL MONT-NGAFULA 19</t>
  </si>
  <si>
    <t>CMD-KIN-007875</t>
  </si>
  <si>
    <t>REF-0267</t>
  </si>
  <si>
    <t>BOUTIQUE KINTAMBO 32</t>
  </si>
  <si>
    <t>CMD-KIN-007938</t>
  </si>
  <si>
    <t>REF-0308</t>
  </si>
  <si>
    <t>REF-0720</t>
  </si>
  <si>
    <t>CMD-KIN-007952</t>
  </si>
  <si>
    <t>REF-0440</t>
  </si>
  <si>
    <t>GROSSISTE PLATEAU 34</t>
  </si>
  <si>
    <t>CMD-KIN-007962</t>
  </si>
  <si>
    <t>REF-0722</t>
  </si>
  <si>
    <t>CMD-KIN-007991</t>
  </si>
  <si>
    <t>SUPERETTE MASINA 24</t>
  </si>
  <si>
    <t>CMD-KIN-008078</t>
  </si>
  <si>
    <t>REF-0792</t>
  </si>
  <si>
    <t>BOULANGERIE YOPOUGON 05</t>
  </si>
  <si>
    <t>CMD-KIN-008080</t>
  </si>
  <si>
    <t>REF-0217</t>
  </si>
  <si>
    <t>CMD-KIN-008133</t>
  </si>
  <si>
    <t>REF-0889</t>
  </si>
  <si>
    <t>CMD-KIN-008146</t>
  </si>
  <si>
    <t>REF-0460</t>
  </si>
  <si>
    <t>REF-0858</t>
  </si>
  <si>
    <t>ALIMENTATION LIKASI 03</t>
  </si>
  <si>
    <t>CMD-KIN-008188</t>
  </si>
  <si>
    <t>REF-0093</t>
  </si>
  <si>
    <t>REF-0779</t>
  </si>
  <si>
    <t>CMD-KIN-007680</t>
  </si>
  <si>
    <t>HOTEL MAKELEKELE 34</t>
  </si>
  <si>
    <t>CMD-KIN-007711</t>
  </si>
  <si>
    <t>REF-0790</t>
  </si>
  <si>
    <t>REF-0521</t>
  </si>
  <si>
    <t>CANTINE NGIRI 21</t>
  </si>
  <si>
    <t>CMD-KIN-007730</t>
  </si>
  <si>
    <t>REF-0912</t>
  </si>
  <si>
    <t>REF-0900</t>
  </si>
  <si>
    <t>GROSSISTE PLATEAU 26</t>
  </si>
  <si>
    <t>CMD-KIN-007756</t>
  </si>
  <si>
    <t>REF-0330</t>
  </si>
  <si>
    <t>REF-0201</t>
  </si>
  <si>
    <t>REF-0360</t>
  </si>
  <si>
    <t>CMD-KIN-007810</t>
  </si>
  <si>
    <t>REF-0674</t>
  </si>
  <si>
    <t>CANTINE LEMBA 12</t>
  </si>
  <si>
    <t>CMD-KIN-007811</t>
  </si>
  <si>
    <t>DEPOT YOPOUGON 10</t>
  </si>
  <si>
    <t>CMD-KIN-007813</t>
  </si>
  <si>
    <t>REF-0300</t>
  </si>
  <si>
    <t>REF-0769</t>
  </si>
  <si>
    <t>ALIMENTATION DEIDO 35</t>
  </si>
  <si>
    <t>CMD-KIN-007824</t>
  </si>
  <si>
    <t>BOUTIQUE LEMBA 01</t>
  </si>
  <si>
    <t>CMD-KIN-007825</t>
  </si>
  <si>
    <t>BOULANGERIE LEMBA 37</t>
  </si>
  <si>
    <t>CMD-KIN-007867</t>
  </si>
  <si>
    <t>CANTINE KATUBA 14</t>
  </si>
  <si>
    <t>CMD-KIN-007871</t>
  </si>
  <si>
    <t>REF-0509</t>
  </si>
  <si>
    <t>REF-0642</t>
  </si>
  <si>
    <t>CANTINE MAKELEKELE 22</t>
  </si>
  <si>
    <t>CMD-KIN-007873</t>
  </si>
  <si>
    <t>REF-0881</t>
  </si>
  <si>
    <t>REF-0406</t>
  </si>
  <si>
    <t>KIOSQUE BANDAL 36</t>
  </si>
  <si>
    <t>CMD-KIN-007890</t>
  </si>
  <si>
    <t>REF-0493</t>
  </si>
  <si>
    <t>REF-0065</t>
  </si>
  <si>
    <t>RESTAURANT KINTAMBO 38</t>
  </si>
  <si>
    <t>CMD-KIN-007916</t>
  </si>
  <si>
    <t>REF-0614</t>
  </si>
  <si>
    <t>REF-0309</t>
  </si>
  <si>
    <t>CMD-KIN-007922</t>
  </si>
  <si>
    <t>REF-0433</t>
  </si>
  <si>
    <t>CMD-KIN-007945</t>
  </si>
  <si>
    <t>REF-0411</t>
  </si>
  <si>
    <t>REF-0735</t>
  </si>
  <si>
    <t>REF-0709</t>
  </si>
  <si>
    <t>MAGASIN BONABERI 10</t>
  </si>
  <si>
    <t>CMD-KIN-007971</t>
  </si>
  <si>
    <t>REF-0162</t>
  </si>
  <si>
    <t>EPICERIE MONT-NGAFULA 14</t>
  </si>
  <si>
    <t>CMD-KIN-008040</t>
  </si>
  <si>
    <t>REF-0227</t>
  </si>
  <si>
    <t>SUPERETTE AKANDA 09</t>
  </si>
  <si>
    <t>CMD-KIN-008048</t>
  </si>
  <si>
    <t>EPICERIE MASINA 05</t>
  </si>
  <si>
    <t>CMD-KIN-008068</t>
  </si>
  <si>
    <t>REF-0719</t>
  </si>
  <si>
    <t>REF-0886</t>
  </si>
  <si>
    <t>SUPERETTE LIMETE 09</t>
  </si>
  <si>
    <t>CMD-KIN-008072</t>
  </si>
  <si>
    <t>REF-0717</t>
  </si>
  <si>
    <t>CANTINE KATUBA 21</t>
  </si>
  <si>
    <t>CMD-KIN-008110</t>
  </si>
  <si>
    <t>REF-0076</t>
  </si>
  <si>
    <t>REF-0292</t>
  </si>
  <si>
    <t>GROSSISTE LEMBA 36</t>
  </si>
  <si>
    <t>CMD-KIN-008137</t>
  </si>
  <si>
    <t>REF-0882</t>
  </si>
  <si>
    <t>REF-0108</t>
  </si>
  <si>
    <t>REF-0204</t>
  </si>
  <si>
    <t>SUPERETTE TREICHVILLE 09</t>
  </si>
  <si>
    <t>CMD-KIN-008147</t>
  </si>
  <si>
    <t>ALIMENTATION PIKINE 33</t>
  </si>
  <si>
    <t>CMD-KIN-008148</t>
  </si>
  <si>
    <t>REF-0121</t>
  </si>
  <si>
    <t>RESTAURANT MEDINA 11</t>
  </si>
  <si>
    <t>CMD-KIN-008253</t>
  </si>
  <si>
    <t>REF-0435</t>
  </si>
  <si>
    <t>HOTEL NGALULA 17</t>
  </si>
  <si>
    <t>CMD-KIN-008255</t>
  </si>
  <si>
    <t>REF-0580</t>
  </si>
  <si>
    <t>ALIMENTATION MAKELEKELE 35</t>
  </si>
  <si>
    <t>CMD-KIN-008270</t>
  </si>
  <si>
    <t>REF-0388</t>
  </si>
  <si>
    <t>REF-0718</t>
  </si>
  <si>
    <t>HOTEL BINZA 01</t>
  </si>
  <si>
    <t>CMD-KIN-008275</t>
  </si>
  <si>
    <t>REF-0155</t>
  </si>
  <si>
    <t>REF-0574</t>
  </si>
  <si>
    <t>BOUTIQUE MEDINA 11</t>
  </si>
  <si>
    <t>CMD-KIN-008290</t>
  </si>
  <si>
    <t>HOTEL BONABERI 13</t>
  </si>
  <si>
    <t>CMD-KIN-008321</t>
  </si>
  <si>
    <t>REF-0778</t>
  </si>
  <si>
    <t>KIOSQUE KALAMU 22</t>
  </si>
  <si>
    <t>CMD-KIN-007663</t>
  </si>
  <si>
    <t>REF-0611</t>
  </si>
  <si>
    <t>CMD-KIN-007702</t>
  </si>
  <si>
    <t>REF-0257</t>
  </si>
  <si>
    <t>CMD-KIN-007827</t>
  </si>
  <si>
    <t>SUPERETTE MATONGE 30</t>
  </si>
  <si>
    <t>CMD-KIN-007902</t>
  </si>
  <si>
    <t>CMD-KIN-007954</t>
  </si>
  <si>
    <t>CMD-KIN-007985</t>
  </si>
  <si>
    <t>REF-0464</t>
  </si>
  <si>
    <t>REF-0935</t>
  </si>
  <si>
    <t>BOULANGERIE YOPOUGON 24</t>
  </si>
  <si>
    <t>CMD-KIN-007994</t>
  </si>
  <si>
    <t>HOTEL KATUBA 21</t>
  </si>
  <si>
    <t>CMD-KIN-008086</t>
  </si>
  <si>
    <t>REF-0169</t>
  </si>
  <si>
    <t>REF-0515</t>
  </si>
  <si>
    <t>CMD-KIN-008092</t>
  </si>
  <si>
    <t>SUPERETTE LIMETE 17</t>
  </si>
  <si>
    <t>CMD-KIN-008119</t>
  </si>
  <si>
    <t>REF-0669</t>
  </si>
  <si>
    <t>CMD-KIN-008165</t>
  </si>
  <si>
    <t>CMD-KIN-008198</t>
  </si>
  <si>
    <t>BOUTIQUE RUASHI 33</t>
  </si>
  <si>
    <t>CMD-KIN-008206</t>
  </si>
  <si>
    <t>REF-0752</t>
  </si>
  <si>
    <t>REF-0103</t>
  </si>
  <si>
    <t>DEPOT BONABERI 28</t>
  </si>
  <si>
    <t>CMD-KIN-008231</t>
  </si>
  <si>
    <t>REF-0786</t>
  </si>
  <si>
    <t>SUPERMARCHE LIKASI 21</t>
  </si>
  <si>
    <t>CMD-KIN-008267</t>
  </si>
  <si>
    <t>MINI-MARCHE LIMETE 36</t>
  </si>
  <si>
    <t>CMD-KIN-008279</t>
  </si>
  <si>
    <t>REF-0899</t>
  </si>
  <si>
    <t>KIOSQUE RUASHI 35</t>
  </si>
  <si>
    <t>CMD-KIN-008306</t>
  </si>
  <si>
    <t>MINI-MARCHE BINZA 19</t>
  </si>
  <si>
    <t>CMD-KIN-007713</t>
  </si>
  <si>
    <t>REF-0200</t>
  </si>
  <si>
    <t>REF-0105</t>
  </si>
  <si>
    <t>CANTINE DEIDO 15</t>
  </si>
  <si>
    <t>CMD-KIN-007723</t>
  </si>
  <si>
    <t>MAGASIN BONABERI 07</t>
  </si>
  <si>
    <t>CMD-KIN-007733</t>
  </si>
  <si>
    <t>REF-0276</t>
  </si>
  <si>
    <t>REF-0673</t>
  </si>
  <si>
    <t>REF-0328</t>
  </si>
  <si>
    <t>CMD-KIN-007893</t>
  </si>
  <si>
    <t>CMD-KIN-007939</t>
  </si>
  <si>
    <t>REF-0055</t>
  </si>
  <si>
    <t>BOUTIQUE ABOBO 22</t>
  </si>
  <si>
    <t>CMD-KIN-007940</t>
  </si>
  <si>
    <t>REF-0233</t>
  </si>
  <si>
    <t>CMD-KIN-007997</t>
  </si>
  <si>
    <t>REF-0488</t>
  </si>
  <si>
    <t>HOTEL NGIRI 09</t>
  </si>
  <si>
    <t>CMD-KIN-008025</t>
  </si>
  <si>
    <t>ALIMENTATION SANDAGA 36</t>
  </si>
  <si>
    <t>CMD-KIN-008042</t>
  </si>
  <si>
    <t>SUPERETTE RUASHI 30</t>
  </si>
  <si>
    <t>CMD-KIN-008088</t>
  </si>
  <si>
    <t>KIOSQUE BARUMBU 26</t>
  </si>
  <si>
    <t>CMD-KIN-008100</t>
  </si>
  <si>
    <t>REF-0941</t>
  </si>
  <si>
    <t>CMD-KIN-008174</t>
  </si>
  <si>
    <t>REF-0250</t>
  </si>
  <si>
    <t>CMD-KIN-008216</t>
  </si>
  <si>
    <t>REF-0344</t>
  </si>
  <si>
    <t>MINI-MARCHE BARUMBU 20</t>
  </si>
  <si>
    <t>CMD-KIN-008218</t>
  </si>
  <si>
    <t>ALIMENTATION AKANDA 23</t>
  </si>
  <si>
    <t>CMD-KIN-008225</t>
  </si>
  <si>
    <t>REF-0902</t>
  </si>
  <si>
    <t>ALIMENTATION TREICHVILLE 28</t>
  </si>
  <si>
    <t>CMD-KIN-008316</t>
  </si>
  <si>
    <t>REF-0131</t>
  </si>
  <si>
    <t>REF-0432</t>
  </si>
  <si>
    <t>REF-0887</t>
  </si>
  <si>
    <t>CMD-KIN-007664</t>
  </si>
  <si>
    <t>REF-0927</t>
  </si>
  <si>
    <t>GROSSISTE MATONGE 13</t>
  </si>
  <si>
    <t>CMD-KIN-007684</t>
  </si>
  <si>
    <t>REF-0802</t>
  </si>
  <si>
    <t>DEPOT TREICHVILLE 22</t>
  </si>
  <si>
    <t>CMD-KIN-007689</t>
  </si>
  <si>
    <t>HOTEL NDJILI 03</t>
  </si>
  <si>
    <t>CMD-KIN-007760</t>
  </si>
  <si>
    <t>CMD-KIN-007769</t>
  </si>
  <si>
    <t>EPICERIE OWENDO 17</t>
  </si>
  <si>
    <t>CMD-KIN-007822</t>
  </si>
  <si>
    <t>REF-0156</t>
  </si>
  <si>
    <t>REF-0600</t>
  </si>
  <si>
    <t>KIOSQUE MONT-NGAFULA 17</t>
  </si>
  <si>
    <t>CMD-KIN-007860</t>
  </si>
  <si>
    <t>REF-0164</t>
  </si>
  <si>
    <t>KIOSQUE NDJILI 19</t>
  </si>
  <si>
    <t>CMD-KIN-007866</t>
  </si>
  <si>
    <t>ALIMENTATION COCODY 07</t>
  </si>
  <si>
    <t>CMD-KIN-007876</t>
  </si>
  <si>
    <t>REF-0694</t>
  </si>
  <si>
    <t>REF-0112</t>
  </si>
  <si>
    <t>DEPOT BONABERI 22</t>
  </si>
  <si>
    <t>CMD-KIN-007927</t>
  </si>
  <si>
    <t>REF-0526</t>
  </si>
  <si>
    <t>REF-0111</t>
  </si>
  <si>
    <t>REF-0295</t>
  </si>
  <si>
    <t>GROSSISTE LIMETE 31</t>
  </si>
  <si>
    <t>CMD-KIN-007965</t>
  </si>
  <si>
    <t>CMD-KIN-008001</t>
  </si>
  <si>
    <t>REF-0575</t>
  </si>
  <si>
    <t>MINI-MARCHE MAKELEKELE 33</t>
  </si>
  <si>
    <t>CMD-KIN-008010</t>
  </si>
  <si>
    <t>REF-0737</t>
  </si>
  <si>
    <t>BOUTIQUE MAKELEKELE 23</t>
  </si>
  <si>
    <t>CMD-KIN-008028</t>
  </si>
  <si>
    <t>SUPERETTE MONT-NGAFULA 06</t>
  </si>
  <si>
    <t>CMD-KIN-008029</t>
  </si>
  <si>
    <t>REF-0329</t>
  </si>
  <si>
    <t>ALIMENTATION SELEMBAO 34</t>
  </si>
  <si>
    <t>CMD-KIN-008038</t>
  </si>
  <si>
    <t>REF-0022</t>
  </si>
  <si>
    <t>MAGASIN PIKINE 06</t>
  </si>
  <si>
    <t>CMD-KIN-008049</t>
  </si>
  <si>
    <t>REF-0822</t>
  </si>
  <si>
    <t>REF-0191</t>
  </si>
  <si>
    <t>REF-0890</t>
  </si>
  <si>
    <t>BOULANGERIE KINTAMBO 09</t>
  </si>
  <si>
    <t>CMD-KIN-008074</t>
  </si>
  <si>
    <t>REF-0259</t>
  </si>
  <si>
    <t>BOUTIQUE KALAMU 23</t>
  </si>
  <si>
    <t>CMD-KIN-008075</t>
  </si>
  <si>
    <t>REF-0484</t>
  </si>
  <si>
    <t>REF-0650</t>
  </si>
  <si>
    <t>CANTINE NDJILI 07</t>
  </si>
  <si>
    <t>CMD-KIN-008083</t>
  </si>
  <si>
    <t>REF-0153</t>
  </si>
  <si>
    <t>BOULANGERIE MONT-NGAFULA 18</t>
  </si>
  <si>
    <t>CMD-KIN-008121</t>
  </si>
  <si>
    <t>REF-0517</t>
  </si>
  <si>
    <t>REF-0442</t>
  </si>
  <si>
    <t>BOUTIQUE COCODY 13</t>
  </si>
  <si>
    <t>CMD-KIN-008184</t>
  </si>
  <si>
    <t>REF-0283</t>
  </si>
  <si>
    <t>DEPOT RUASHI 15</t>
  </si>
  <si>
    <t>CMD-KIN-008235</t>
  </si>
  <si>
    <t>REF-0525</t>
  </si>
  <si>
    <t>CMD-KIN-008265</t>
  </si>
  <si>
    <t>SUPERMARCHE KINTAMBO 27</t>
  </si>
  <si>
    <t>CMD-KIN-008283</t>
  </si>
  <si>
    <t>REF-0507</t>
  </si>
  <si>
    <t>REF-0777</t>
  </si>
  <si>
    <t>EPICERIE MEDINA 01</t>
  </si>
  <si>
    <t>CMD-KIN-008302</t>
  </si>
  <si>
    <t>REF-0148</t>
  </si>
  <si>
    <t>EPICERIE KALAMU 16</t>
  </si>
  <si>
    <t>CMD-KIN-008333</t>
  </si>
  <si>
    <t>REF-0765</t>
  </si>
  <si>
    <t>CANTINE KATUBA 40</t>
  </si>
  <si>
    <t>CMD-KIN-007667</t>
  </si>
  <si>
    <t>REF-0220</t>
  </si>
  <si>
    <t>REF-0386</t>
  </si>
  <si>
    <t>REF-0413</t>
  </si>
  <si>
    <t>DEPOT LIMETE 40</t>
  </si>
  <si>
    <t>CMD-KIN-007668</t>
  </si>
  <si>
    <t>REF-0539</t>
  </si>
  <si>
    <t>REF-0548</t>
  </si>
  <si>
    <t>REF-0321</t>
  </si>
  <si>
    <t>BOUTIQUE DEIDO 22</t>
  </si>
  <si>
    <t>CMD-KIN-007697</t>
  </si>
  <si>
    <t>REF-0921</t>
  </si>
  <si>
    <t>REF-0312</t>
  </si>
  <si>
    <t>DEPOT NGALULA 22</t>
  </si>
  <si>
    <t>CMD-KIN-007716</t>
  </si>
  <si>
    <t>SUPERETTE SELEMBAO 35</t>
  </si>
  <si>
    <t>CMD-KIN-007720</t>
  </si>
  <si>
    <t>REF-0795</t>
  </si>
  <si>
    <t>REF-0016</t>
  </si>
  <si>
    <t>CMD-KIN-007879</t>
  </si>
  <si>
    <t>REF-0846</t>
  </si>
  <si>
    <t>CMD-KIN-007889</t>
  </si>
  <si>
    <t>REF-0210</t>
  </si>
  <si>
    <t>CMD-KIN-007914</t>
  </si>
  <si>
    <t>REF-0840</t>
  </si>
  <si>
    <t>GROSSISTE KALAMU 08</t>
  </si>
  <si>
    <t>CMD-KIN-007933</t>
  </si>
  <si>
    <t>ALIMENTATION LIKASI 19</t>
  </si>
  <si>
    <t>CMD-KIN-007941</t>
  </si>
  <si>
    <t>REF-0095</t>
  </si>
  <si>
    <t>CANTINE OWENDO 10</t>
  </si>
  <si>
    <t>CMD-KIN-008107</t>
  </si>
  <si>
    <t>REF-0636</t>
  </si>
  <si>
    <t>GROSSISTE VICTOIRE 16</t>
  </si>
  <si>
    <t>CMD-KIN-008130</t>
  </si>
  <si>
    <t>REF-0659</t>
  </si>
  <si>
    <t>REF-0514</t>
  </si>
  <si>
    <t>KIOSQUE BANDAL 29</t>
  </si>
  <si>
    <t>CMD-KIN-008158</t>
  </si>
  <si>
    <t>REF-0387</t>
  </si>
  <si>
    <t>MINI-MARCHE MAKELEKELE 36</t>
  </si>
  <si>
    <t>CMD-KIN-008276</t>
  </si>
  <si>
    <t>REF-0039</t>
  </si>
  <si>
    <t>SUPERMARCHE BONABERI 18</t>
  </si>
  <si>
    <t>CMD-KIN-008303</t>
  </si>
  <si>
    <t>REF-0707</t>
  </si>
  <si>
    <t>REF-0604</t>
  </si>
  <si>
    <t>HOTEL KALAMU 38</t>
  </si>
  <si>
    <t>CMD-KIN-008319</t>
  </si>
  <si>
    <t>HOTEL LEMBA 18</t>
  </si>
  <si>
    <t>CMD-KIN-007679</t>
  </si>
  <si>
    <t>REF-0844</t>
  </si>
  <si>
    <t>EPICERIE NGIRI 16</t>
  </si>
  <si>
    <t>CMD-KIN-007681</t>
  </si>
  <si>
    <t>EPICERIE GOMBE 09</t>
  </si>
  <si>
    <t>CMD-KIN-007715</t>
  </si>
  <si>
    <t>REF-0767</t>
  </si>
  <si>
    <t>MAGASIN LIKASI 12</t>
  </si>
  <si>
    <t>CMD-KIN-007780</t>
  </si>
  <si>
    <t>REF-0403</t>
  </si>
  <si>
    <t>CMD-KIN-007796</t>
  </si>
  <si>
    <t>REF-0713</t>
  </si>
  <si>
    <t>REF-0122</t>
  </si>
  <si>
    <t>REF-0864</t>
  </si>
  <si>
    <t>GROSSISTE MONT-NGAFULA 23</t>
  </si>
  <si>
    <t>CMD-KIN-007799</t>
  </si>
  <si>
    <t>REF-0128</t>
  </si>
  <si>
    <t>REF-0332</t>
  </si>
  <si>
    <t>CMD-KIN-007829</t>
  </si>
  <si>
    <t>CANTINE MASINA 27</t>
  </si>
  <si>
    <t>CMD-KIN-007863</t>
  </si>
  <si>
    <t>EPICERIE RUASHI 31</t>
  </si>
  <si>
    <t>CMD-KIN-007878</t>
  </si>
  <si>
    <t>GROSSISTE NGALULA 21</t>
  </si>
  <si>
    <t>CMD-KIN-007910</t>
  </si>
  <si>
    <t>REF-0804</t>
  </si>
  <si>
    <t>REF-0026</t>
  </si>
  <si>
    <t>REF-0051</t>
  </si>
  <si>
    <t>REF-0529</t>
  </si>
  <si>
    <t>BOULANGERIE MEDINA 33</t>
  </si>
  <si>
    <t>CMD-KIN-007953</t>
  </si>
  <si>
    <t>REF-0313</t>
  </si>
  <si>
    <t>REF-0911</t>
  </si>
  <si>
    <t>HOTEL LIKASI 06</t>
  </si>
  <si>
    <t>CMD-KIN-007993</t>
  </si>
  <si>
    <t>REF-0140</t>
  </si>
  <si>
    <t>CMD-KIN-008015</t>
  </si>
  <si>
    <t>REF-0037</t>
  </si>
  <si>
    <t>REF-0071</t>
  </si>
  <si>
    <t>CMD-KIN-008108</t>
  </si>
  <si>
    <t>REF-0336</t>
  </si>
  <si>
    <t>REF-0828</t>
  </si>
  <si>
    <t>CMD-KIN-008116</t>
  </si>
  <si>
    <t>REF-0821</t>
  </si>
  <si>
    <t>CMD-KIN-008138</t>
  </si>
  <si>
    <t>REF-0762</t>
  </si>
  <si>
    <t>REF-0415</t>
  </si>
  <si>
    <t>ALIMENTATION VICTOIRE 28</t>
  </si>
  <si>
    <t>CMD-KIN-008143</t>
  </si>
  <si>
    <t>REF-0518</t>
  </si>
  <si>
    <t>RESTAURANT NGALULA 35</t>
  </si>
  <si>
    <t>CMD-KIN-008207</t>
  </si>
  <si>
    <t>REF-0056</t>
  </si>
  <si>
    <t>CMD-KIN-008251</t>
  </si>
  <si>
    <t>REF-0365</t>
  </si>
  <si>
    <t>REF-0380</t>
  </si>
  <si>
    <t>CMD-KIN-008274</t>
  </si>
  <si>
    <t>REF-0820</t>
  </si>
  <si>
    <t>REF-0124</t>
  </si>
  <si>
    <t>HOTEL KALAMU 40</t>
  </si>
  <si>
    <t>CMD-KIN-008312</t>
  </si>
  <si>
    <t>CMD-KIN-007669</t>
  </si>
  <si>
    <t>REF-0807</t>
  </si>
  <si>
    <t>MAGASIN BARUMBU 27</t>
  </si>
  <si>
    <t>CMD-KIN-007676</t>
  </si>
  <si>
    <t>REF-0281</t>
  </si>
  <si>
    <t>CANTINE TREICHVILLE 33</t>
  </si>
  <si>
    <t>CMD-KIN-007714</t>
  </si>
  <si>
    <t>CMD-KIN-007739</t>
  </si>
  <si>
    <t>REF-0726</t>
  </si>
  <si>
    <t>REF-0454</t>
  </si>
  <si>
    <t>CMD-KIN-007745</t>
  </si>
  <si>
    <t>EPICERIE AKANDA 07</t>
  </si>
  <si>
    <t>CMD-KIN-007768</t>
  </si>
  <si>
    <t>CMD-KIN-007805</t>
  </si>
  <si>
    <t>CANTINE KATUBA 29</t>
  </si>
  <si>
    <t>CMD-KIN-007854</t>
  </si>
  <si>
    <t>SUPERMARCHE KINTAMBO 15</t>
  </si>
  <si>
    <t>CMD-KIN-007905</t>
  </si>
  <si>
    <t>REF-0524</t>
  </si>
  <si>
    <t>CMD-KIN-007907</t>
  </si>
  <si>
    <t>REF-0834</t>
  </si>
  <si>
    <t>REF-0878</t>
  </si>
  <si>
    <t>REF-0444</t>
  </si>
  <si>
    <t>EPICERIE DEIDO 15</t>
  </si>
  <si>
    <t>CMD-KIN-007942</t>
  </si>
  <si>
    <t>CMD-KIN-007972</t>
  </si>
  <si>
    <t>REF-0751</t>
  </si>
  <si>
    <t>GROSSISTE MONT-NGAFULA 19</t>
  </si>
  <si>
    <t>CMD-KIN-008024</t>
  </si>
  <si>
    <t>REF-0221</t>
  </si>
  <si>
    <t>CMD-KIN-008039</t>
  </si>
  <si>
    <t>REF-0177</t>
  </si>
  <si>
    <t>REF-0747</t>
  </si>
  <si>
    <t>CMD-KIN-008071</t>
  </si>
  <si>
    <t>CMD-KIN-008094</t>
  </si>
  <si>
    <t>REF-0654</t>
  </si>
  <si>
    <t>SUPERMARCHE MONT-NGAFULA 36</t>
  </si>
  <si>
    <t>CMD-KIN-008242</t>
  </si>
  <si>
    <t>CMD-KIN-008262</t>
  </si>
  <si>
    <t>SUPERETTE MAKELEKELE 05</t>
  </si>
  <si>
    <t>CMD-KIN-008263</t>
  </si>
  <si>
    <t>REF-0884</t>
  </si>
  <si>
    <t>REF-0870</t>
  </si>
  <si>
    <t>MAGASIN COCODY 13</t>
  </si>
  <si>
    <t>CMD-KIN-008298</t>
  </si>
  <si>
    <t>REF-0842</t>
  </si>
  <si>
    <t>CMD-KIN-008308</t>
  </si>
  <si>
    <t>REF-0228</t>
  </si>
  <si>
    <t>CMD-KIN-007683</t>
  </si>
  <si>
    <t>REF-0565</t>
  </si>
  <si>
    <t>BOUTIQUE MONT-NGAFULA 12</t>
  </si>
  <si>
    <t>CMD-KIN-007690</t>
  </si>
  <si>
    <t>REF-0559</t>
  </si>
  <si>
    <t>REF-0468</t>
  </si>
  <si>
    <t>GROSSISTE NGALULA 39</t>
  </si>
  <si>
    <t>CMD-KIN-007693</t>
  </si>
  <si>
    <t>REF-0278</t>
  </si>
  <si>
    <t>SUPERMARCHE OWENDO 32</t>
  </si>
  <si>
    <t>CMD-KIN-007709</t>
  </si>
  <si>
    <t>SUPERETTE AKANDA 02</t>
  </si>
  <si>
    <t>CMD-KIN-007819</t>
  </si>
  <si>
    <t>REF-0663</t>
  </si>
  <si>
    <t>REF-0851</t>
  </si>
  <si>
    <t>CMD-KIN-007842</t>
  </si>
  <si>
    <t>REF-0280</t>
  </si>
  <si>
    <t>GROSSISTE NGIRI 40</t>
  </si>
  <si>
    <t>CMD-KIN-007857</t>
  </si>
  <si>
    <t>REF-0422</t>
  </si>
  <si>
    <t>DEPOT MONT-NGAFULA 09</t>
  </si>
  <si>
    <t>CMD-KIN-007869</t>
  </si>
  <si>
    <t>EPICERIE MATONGE 08</t>
  </si>
  <si>
    <t>CMD-KIN-007912</t>
  </si>
  <si>
    <t>REF-0533</t>
  </si>
  <si>
    <t>CMD-KIN-007955</t>
  </si>
  <si>
    <t>REF-0326</t>
  </si>
  <si>
    <t>REF-0458</t>
  </si>
  <si>
    <t>SUPERETTE DEIDO 28</t>
  </si>
  <si>
    <t>CMD-KIN-007982</t>
  </si>
  <si>
    <t>GROSSISTE KATUBA 06</t>
  </si>
  <si>
    <t>CMD-KIN-008017</t>
  </si>
  <si>
    <t>REF-0377</t>
  </si>
  <si>
    <t>REF-0331</t>
  </si>
  <si>
    <t>KIOSQUE MAKELEKELE 06</t>
  </si>
  <si>
    <t>CMD-KIN-008050</t>
  </si>
  <si>
    <t>CMD-KIN-008073</t>
  </si>
  <si>
    <t>ALIMENTATION ABOBO 04</t>
  </si>
  <si>
    <t>CMD-KIN-008090</t>
  </si>
  <si>
    <t>REF-0857</t>
  </si>
  <si>
    <t>BOULANGERIE PIKINE 21</t>
  </si>
  <si>
    <t>CMD-KIN-008131</t>
  </si>
  <si>
    <t>BOUTIQUE LEMBA 09</t>
  </si>
  <si>
    <t>CMD-KIN-008149</t>
  </si>
  <si>
    <t>ALIMENTATION BINZA 18</t>
  </si>
  <si>
    <t>CMD-KIN-008164</t>
  </si>
  <si>
    <t>REF-0404</t>
  </si>
  <si>
    <t>CMD-KIN-008183</t>
  </si>
  <si>
    <t>REF-0447</t>
  </si>
  <si>
    <t>REF-0799</t>
  </si>
  <si>
    <t>CANTINE GOMBE 25</t>
  </si>
  <si>
    <t>CMD-KIN-008194</t>
  </si>
  <si>
    <t>REF-0626</t>
  </si>
  <si>
    <t>CMD-KIN-008286</t>
  </si>
  <si>
    <t>REF-0137</t>
  </si>
  <si>
    <t>MINI-MARCHE MONT-NGAFULA 17</t>
  </si>
  <si>
    <t>CMD-KIN-008299</t>
  </si>
  <si>
    <t>REF-0341</t>
  </si>
  <si>
    <t>REF-0445</t>
  </si>
  <si>
    <t>CANTINE VICTOIRE 04</t>
  </si>
  <si>
    <t>CMD-KIN-008305</t>
  </si>
  <si>
    <t>MINI-MARCHE BINZA 03</t>
  </si>
  <si>
    <t>CMD-KIN-007691</t>
  </si>
  <si>
    <t>CMD-KIN-007698</t>
  </si>
  <si>
    <t>REF-0605</t>
  </si>
  <si>
    <t>RESTAURANT PIKINE 06</t>
  </si>
  <si>
    <t>CMD-KIN-007764</t>
  </si>
  <si>
    <t>REF-0240</t>
  </si>
  <si>
    <t>CMD-KIN-007795</t>
  </si>
  <si>
    <t>REF-0052</t>
  </si>
  <si>
    <t>ALIMENTATION LIKASI 36</t>
  </si>
  <si>
    <t>CMD-KIN-007845</t>
  </si>
  <si>
    <t>REF-0532</t>
  </si>
  <si>
    <t>REF-0448</t>
  </si>
  <si>
    <t>MAGASIN TREICHVILLE 25</t>
  </si>
  <si>
    <t>CMD-KIN-007858</t>
  </si>
  <si>
    <t>DEPOT DEIDO 03</t>
  </si>
  <si>
    <t>CMD-KIN-007859</t>
  </si>
  <si>
    <t>BOULANGERIE MASINA 14</t>
  </si>
  <si>
    <t>CMD-KIN-007900</t>
  </si>
  <si>
    <t>REF-0793</t>
  </si>
  <si>
    <t>REF-0409</t>
  </si>
  <si>
    <t>CMD-KIN-007918</t>
  </si>
  <si>
    <t>SUPERMARCHE TREICHVILLE 25</t>
  </si>
  <si>
    <t>CMD-KIN-007937</t>
  </si>
  <si>
    <t>CMD-KIN-007999</t>
  </si>
  <si>
    <t>CMD-KIN-008034</t>
  </si>
  <si>
    <t>REF-0207</t>
  </si>
  <si>
    <t>REF-0180</t>
  </si>
  <si>
    <t>ALIMENTATION GOMBE 02</t>
  </si>
  <si>
    <t>CMD-KIN-008064</t>
  </si>
  <si>
    <t>SUPERETTE COCODY 26</t>
  </si>
  <si>
    <t>CMD-KIN-008097</t>
  </si>
  <si>
    <t>KIOSQUE NDJILI 15</t>
  </si>
  <si>
    <t>CMD-KIN-008104</t>
  </si>
  <si>
    <t>MAGASIN ABOBO 34</t>
  </si>
  <si>
    <t>CMD-KIN-008163</t>
  </si>
  <si>
    <t>REF-0050</t>
  </si>
  <si>
    <t>REF-0573</t>
  </si>
  <si>
    <t>KIOSQUE MONT-NGAFULA 04</t>
  </si>
  <si>
    <t>CMD-KIN-008176</t>
  </si>
  <si>
    <t>CMD-KIN-008189</t>
  </si>
  <si>
    <t>KIOSQUE VICTOIRE 31</t>
  </si>
  <si>
    <t>CMD-KIN-008202</t>
  </si>
  <si>
    <t>ALIMENTATION SANDAGA 02</t>
  </si>
  <si>
    <t>CMD-KIN-008260</t>
  </si>
  <si>
    <t>DEPOT ABOBO 29</t>
  </si>
  <si>
    <t>CMD-KIN-008268</t>
  </si>
  <si>
    <t>EPICERIE OWENDO 08</t>
  </si>
  <si>
    <t>CMD-KIN-008310</t>
  </si>
  <si>
    <t>REF-0311</t>
  </si>
  <si>
    <t>CMD-KIN-007717</t>
  </si>
  <si>
    <t>CMD-KIN-007732</t>
  </si>
  <si>
    <t>REF-0904</t>
  </si>
  <si>
    <t>GROSSISTE KINTAMBO 10</t>
  </si>
  <si>
    <t>CMD-KIN-007743</t>
  </si>
  <si>
    <t>CMD-KIN-007752</t>
  </si>
  <si>
    <t>GROSSISTE MASINA 25</t>
  </si>
  <si>
    <t>CMD-KIN-007828</t>
  </si>
  <si>
    <t>REF-0249</t>
  </si>
  <si>
    <t>SUPERETTE MEDINA 19</t>
  </si>
  <si>
    <t>CMD-KIN-007882</t>
  </si>
  <si>
    <t>SUPERETTE LIKASI 20</t>
  </si>
  <si>
    <t>CMD-KIN-007904</t>
  </si>
  <si>
    <t>EPICERIE LIMETE 27</t>
  </si>
  <si>
    <t>CMD-KIN-007951</t>
  </si>
  <si>
    <t>REF-0398</t>
  </si>
  <si>
    <t>MINI-MARCHE YOPOUGON 06</t>
  </si>
  <si>
    <t>CMD-KIN-007977</t>
  </si>
  <si>
    <t>REF-0606</t>
  </si>
  <si>
    <t>SUPERETTE MEDINA 14</t>
  </si>
  <si>
    <t>CMD-KIN-008030</t>
  </si>
  <si>
    <t>ALIMENTATION BARUMBU 33</t>
  </si>
  <si>
    <t>CMD-KIN-008052</t>
  </si>
  <si>
    <t>DEPOT NGALULA 36</t>
  </si>
  <si>
    <t>CMD-KIN-008056</t>
  </si>
  <si>
    <t>BOULANGERIE LIKASI 40</t>
  </si>
  <si>
    <t>CMD-KIN-008079</t>
  </si>
  <si>
    <t>REF-0505</t>
  </si>
  <si>
    <t>CMD-KIN-008115</t>
  </si>
  <si>
    <t>REF-0542</t>
  </si>
  <si>
    <t>CMD-KIN-008150</t>
  </si>
  <si>
    <t>REF-0537</t>
  </si>
  <si>
    <t>CMD-KIN-008199</t>
  </si>
  <si>
    <t>CMD-KIN-007704</t>
  </si>
  <si>
    <t>RESTAURANT KALAMU 19</t>
  </si>
  <si>
    <t>CMD-KIN-007719</t>
  </si>
  <si>
    <t>CMD-KIN-007735</t>
  </si>
  <si>
    <t>REF-0706</t>
  </si>
  <si>
    <t>HOTEL BINZA 30</t>
  </si>
  <si>
    <t>CMD-KIN-007755</t>
  </si>
  <si>
    <t>REF-0748</t>
  </si>
  <si>
    <t>REF-0658</t>
  </si>
  <si>
    <t>REF-0357</t>
  </si>
  <si>
    <t>CMD-KIN-007758</t>
  </si>
  <si>
    <t>REF-0874</t>
  </si>
  <si>
    <t>REF-0234</t>
  </si>
  <si>
    <t>CMD-KIN-007771</t>
  </si>
  <si>
    <t>EPICERIE SELEMBAO 11</t>
  </si>
  <si>
    <t>CMD-KIN-007790</t>
  </si>
  <si>
    <t>REF-0168</t>
  </si>
  <si>
    <t>SUPERMARCHE BONABERI 27</t>
  </si>
  <si>
    <t>CMD-KIN-007797</t>
  </si>
  <si>
    <t>REF-0683</t>
  </si>
  <si>
    <t>CANTINE MEDINA 32</t>
  </si>
  <si>
    <t>CMD-KIN-007930</t>
  </si>
  <si>
    <t>REF-0662</t>
  </si>
  <si>
    <t>MAGASIN COCODY 18</t>
  </si>
  <si>
    <t>CMD-KIN-007946</t>
  </si>
  <si>
    <t>MINI-MARCHE PIKINE 12</t>
  </si>
  <si>
    <t>CMD-KIN-008044</t>
  </si>
  <si>
    <t>REF-0362</t>
  </si>
  <si>
    <t>REF-0419</t>
  </si>
  <si>
    <t>CMD-KIN-008109</t>
  </si>
  <si>
    <t>CMD-KIN-008124</t>
  </si>
  <si>
    <t>REF-0391</t>
  </si>
  <si>
    <t>RESTAURANT KINTAMBO 04</t>
  </si>
  <si>
    <t>CMD-KIN-008166</t>
  </si>
  <si>
    <t>CMD-KIN-008187</t>
  </si>
  <si>
    <t>REF-0369</t>
  </si>
  <si>
    <t>REF-0423</t>
  </si>
  <si>
    <t>BOUTIQUE PIKINE 17</t>
  </si>
  <si>
    <t>CMD-KIN-008203</t>
  </si>
  <si>
    <t>EPICERIE LIMETE 32</t>
  </si>
  <si>
    <t>CMD-KIN-008272</t>
  </si>
  <si>
    <t>REF-0011</t>
  </si>
  <si>
    <t>REF-0496</t>
  </si>
  <si>
    <t>SUPERETTE SELEMBAO 23</t>
  </si>
  <si>
    <t>CMD-KIN-008301</t>
  </si>
  <si>
    <t>BOUTIQUE BANDAL 17</t>
  </si>
  <si>
    <t>CMD-KIN-008325</t>
  </si>
  <si>
    <t>EPICERIE RUASHI 10</t>
  </si>
  <si>
    <t>CMD-KIN-007765</t>
  </si>
  <si>
    <t>REF-0918</t>
  </si>
  <si>
    <t>CMD-KIN-007791</t>
  </si>
  <si>
    <t>REF-0916</t>
  </si>
  <si>
    <t>KIOSQUE GOMBE 01</t>
  </si>
  <si>
    <t>CMD-KIN-007830</t>
  </si>
  <si>
    <t>MINI-MARCHE BARUMBU 12</t>
  </si>
  <si>
    <t>CMD-KIN-007844</t>
  </si>
  <si>
    <t>GROSSISTE MATONGE 14</t>
  </si>
  <si>
    <t>CMD-KIN-007903</t>
  </si>
  <si>
    <t>REF-0610</t>
  </si>
  <si>
    <t>CMD-KIN-007911</t>
  </si>
  <si>
    <t>REF-0258</t>
  </si>
  <si>
    <t>ALIMENTATION KALAMU 20</t>
  </si>
  <si>
    <t>CMD-KIN-007915</t>
  </si>
  <si>
    <t>REF-0848</t>
  </si>
  <si>
    <t>CMD-KIN-007924</t>
  </si>
  <si>
    <t>REF-0238</t>
  </si>
  <si>
    <t>GROSSISTE MAKELEKELE 18</t>
  </si>
  <si>
    <t>CMD-KIN-007928</t>
  </si>
  <si>
    <t>REF-0562</t>
  </si>
  <si>
    <t>CMD-KIN-008008</t>
  </si>
  <si>
    <t>ALIMENTATION BARUMBU 08</t>
  </si>
  <si>
    <t>CMD-KIN-008031</t>
  </si>
  <si>
    <t>BOUTIQUE OWENDO 30</t>
  </si>
  <si>
    <t>CMD-KIN-008033</t>
  </si>
  <si>
    <t>REF-0930</t>
  </si>
  <si>
    <t>CMD-KIN-008041</t>
  </si>
  <si>
    <t>REF-0420</t>
  </si>
  <si>
    <t>REF-0151</t>
  </si>
  <si>
    <t>MINI-MARCHE AKANDA 34</t>
  </si>
  <si>
    <t>CMD-KIN-008065</t>
  </si>
  <si>
    <t>CMD-KIN-008077</t>
  </si>
  <si>
    <t>REF-0243</t>
  </si>
  <si>
    <t>CMD-KIN-008152</t>
  </si>
  <si>
    <t>MINI-MARCHE MONT-NGAFULA 16</t>
  </si>
  <si>
    <t>CMD-KIN-008170</t>
  </si>
  <si>
    <t>CMD-KIN-008213</t>
  </si>
  <si>
    <t>REF-0833</t>
  </si>
  <si>
    <t>EPICERIE COCODY 27</t>
  </si>
  <si>
    <t>CMD-KIN-008238</t>
  </si>
  <si>
    <t>REF-0541</t>
  </si>
  <si>
    <t>REF-0091</t>
  </si>
  <si>
    <t>CMD-KIN-008258</t>
  </si>
  <si>
    <t>BOULANGERIE MASINA 02</t>
  </si>
  <si>
    <t>CMD-KIN-008296</t>
  </si>
  <si>
    <t>REF-0078</t>
  </si>
  <si>
    <t>REF-0490</t>
  </si>
  <si>
    <t>MINI-MARCHE BONABERI 31</t>
  </si>
  <si>
    <t>CMD-KIN-008297</t>
  </si>
  <si>
    <t>REF-0789</t>
  </si>
  <si>
    <t>REF-0832</t>
  </si>
  <si>
    <t>BOUTIQUE COCODY 01</t>
  </si>
  <si>
    <t>CMD-KIN-008326</t>
  </si>
  <si>
    <t>BOULANGERIE OWENDO 17</t>
  </si>
  <si>
    <t>CMD-KIN-007670</t>
  </si>
  <si>
    <t>REF-0069</t>
  </si>
  <si>
    <t>REF-0873</t>
  </si>
  <si>
    <t>CMD-KIN-007701</t>
  </si>
  <si>
    <t>REF-0773</t>
  </si>
  <si>
    <t>MINI-MARCHE COCODY 22</t>
  </si>
  <si>
    <t>CMD-KIN-007746</t>
  </si>
  <si>
    <t>CMD-KIN-007792</t>
  </si>
  <si>
    <t>REF-0225</t>
  </si>
  <si>
    <t>REF-0424</t>
  </si>
  <si>
    <t>GROSSISTE RUASHI 30</t>
  </si>
  <si>
    <t>CMD-KIN-007803</t>
  </si>
  <si>
    <t>CMD-KIN-007818</t>
  </si>
  <si>
    <t>MINI-MARCHE NDJILI 35</t>
  </si>
  <si>
    <t>CMD-KIN-007849</t>
  </si>
  <si>
    <t>REF-0317</t>
  </si>
  <si>
    <t>CMD-KIN-007891</t>
  </si>
  <si>
    <t>REF-0254</t>
  </si>
  <si>
    <t>REF-0557</t>
  </si>
  <si>
    <t>CMD-KIN-007896</t>
  </si>
  <si>
    <t>EPICERIE KALAMU 27</t>
  </si>
  <si>
    <t>CMD-KIN-007909</t>
  </si>
  <si>
    <t>CMD-KIN-007923</t>
  </si>
  <si>
    <t>CMD-KIN-007934</t>
  </si>
  <si>
    <t>MINI-MARCHE KALAMU 35</t>
  </si>
  <si>
    <t>CMD-KIN-007947</t>
  </si>
  <si>
    <t>REF-0285</t>
  </si>
  <si>
    <t>RESTAURANT BINZA 04</t>
  </si>
  <si>
    <t>CMD-KIN-007957</t>
  </si>
  <si>
    <t>CMD-KIN-007973</t>
  </si>
  <si>
    <t>CMD-KIN-008003</t>
  </si>
  <si>
    <t>REF-0653</t>
  </si>
  <si>
    <t>REF-0628</t>
  </si>
  <si>
    <t>REF-0393</t>
  </si>
  <si>
    <t>DEPOT BANDAL 22</t>
  </si>
  <si>
    <t>CMD-KIN-008004</t>
  </si>
  <si>
    <t>CMD-KIN-008009</t>
  </si>
  <si>
    <t>CANTINE LIKASI 39</t>
  </si>
  <si>
    <t>CMD-KIN-008178</t>
  </si>
  <si>
    <t>REF-0159</t>
  </si>
  <si>
    <t>CMD-KIN-008208</t>
  </si>
  <si>
    <t>REF-0923</t>
  </si>
  <si>
    <t>REF-0852</t>
  </si>
  <si>
    <t>KIOSQUE PIKINE 12</t>
  </si>
  <si>
    <t>CMD-KIN-008212</t>
  </si>
  <si>
    <t>REF-0909</t>
  </si>
  <si>
    <t>REF-0087</t>
  </si>
  <si>
    <t>MAGASIN NDJILI 38</t>
  </si>
  <si>
    <t>CMD-KIN-008229</t>
  </si>
  <si>
    <t>REF-0630</t>
  </si>
  <si>
    <t>CMD-KIN-008244</t>
  </si>
  <si>
    <t>REF-0371</t>
  </si>
  <si>
    <t>CMD-KIN-008327</t>
  </si>
  <si>
    <t>BOULANGERIE BARUMBU 40</t>
  </si>
  <si>
    <t>CMD-KIN-007686</t>
  </si>
  <si>
    <t>REF-0351</t>
  </si>
  <si>
    <t>CMD-KIN-007708</t>
  </si>
  <si>
    <t>CMD-KIN-007712</t>
  </si>
  <si>
    <t>REF-0538</t>
  </si>
  <si>
    <t>CMD-KIN-007729</t>
  </si>
  <si>
    <t>CMD-KIN-007785</t>
  </si>
  <si>
    <t>REF-0546</t>
  </si>
  <si>
    <t>CMD-KIN-007787</t>
  </si>
  <si>
    <t>CMD-KIN-007788</t>
  </si>
  <si>
    <t>CMD-KIN-007794</t>
  </si>
  <si>
    <t>CANTINE MEDINA 04</t>
  </si>
  <si>
    <t>CMD-KIN-007816</t>
  </si>
  <si>
    <t>BOUTIQUE PLATEAU 23</t>
  </si>
  <si>
    <t>CMD-KIN-007880</t>
  </si>
  <si>
    <t>REF-0452</t>
  </si>
  <si>
    <t>MAGASIN PIKINE 10</t>
  </si>
  <si>
    <t>CMD-KIN-007967</t>
  </si>
  <si>
    <t>REF-0937</t>
  </si>
  <si>
    <t>CMD-KIN-007984</t>
  </si>
  <si>
    <t>CMD-KIN-008062</t>
  </si>
  <si>
    <t>REF-0561</t>
  </si>
  <si>
    <t>CANTINE TREICHVILLE 37</t>
  </si>
  <si>
    <t>CMD-KIN-008123</t>
  </si>
  <si>
    <t>REF-0106</t>
  </si>
  <si>
    <t>REF-0915</t>
  </si>
  <si>
    <t>CMD-KIN-008280</t>
  </si>
  <si>
    <t>EPICERIE MONT-NGAFULA 28</t>
  </si>
  <si>
    <t>CMD-KIN-008292</t>
  </si>
  <si>
    <t>HOTEL MASINA 15</t>
  </si>
  <si>
    <t>CMD-KIN-008313</t>
  </si>
  <si>
    <t>REF-0150</t>
  </si>
  <si>
    <t>CMD-KIN-008317</t>
  </si>
  <si>
    <t>REF-0913</t>
  </si>
  <si>
    <t>REF-0794</t>
  </si>
  <si>
    <t>BOULANGERIE TREICHVILLE 29</t>
  </si>
  <si>
    <t>CMD-KIN-008323</t>
  </si>
  <si>
    <t>REF-0474</t>
  </si>
  <si>
    <t>REF-0672</t>
  </si>
  <si>
    <t>CMD-KIN-007677</t>
  </si>
  <si>
    <t>MINI-MARCHE BANDAL 20</t>
  </si>
  <si>
    <t>CMD-KIN-007705</t>
  </si>
  <si>
    <t>REF-0407</t>
  </si>
  <si>
    <t>CMD-KIN-007740</t>
  </si>
  <si>
    <t>SUPERETTE KATUBA 38</t>
  </si>
  <si>
    <t>CMD-KIN-007750</t>
  </si>
  <si>
    <t>CMD-KIN-007802</t>
  </si>
  <si>
    <t>CMD-KIN-007836</t>
  </si>
  <si>
    <t>CMD-KIN-007888</t>
  </si>
  <si>
    <t>MAGASIN NGALULA 12</t>
  </si>
  <si>
    <t>CMD-KIN-007920</t>
  </si>
  <si>
    <t>REF-0601</t>
  </si>
  <si>
    <t>BOUTIQUE BARUMBU 21</t>
  </si>
  <si>
    <t>CMD-KIN-007921</t>
  </si>
  <si>
    <t>CMD-KIN-007992</t>
  </si>
  <si>
    <t>REF-0520</t>
  </si>
  <si>
    <t>KIOSQUE PIKINE 01</t>
  </si>
  <si>
    <t>CMD-KIN-008021</t>
  </si>
  <si>
    <t>REF-0203</t>
  </si>
  <si>
    <t>CMD-KIN-008022</t>
  </si>
  <si>
    <t>REF-0597</t>
  </si>
  <si>
    <t>CMD-KIN-008027</t>
  </si>
  <si>
    <t>ALIMENTATION AKANDA 06</t>
  </si>
  <si>
    <t>CMD-KIN-008045</t>
  </si>
  <si>
    <t>CMD-KIN-008085</t>
  </si>
  <si>
    <t>REF-0426</t>
  </si>
  <si>
    <t>ALIMENTATION DEIDO 01</t>
  </si>
  <si>
    <t>CMD-KIN-008134</t>
  </si>
  <si>
    <t>CMD-KIN-008190</t>
  </si>
  <si>
    <t>REF-0920</t>
  </si>
  <si>
    <t>BOULANGERIE MATONGE 39</t>
  </si>
  <si>
    <t>CMD-KIN-008217</t>
  </si>
  <si>
    <t>CANTINE KALAMU 16</t>
  </si>
  <si>
    <t>CMD-KIN-008289</t>
  </si>
  <si>
    <t>MINI-MARCHE KALAMU 22</t>
  </si>
  <si>
    <t>CMD-KIN-008294</t>
  </si>
  <si>
    <t>BOULANGERIE DEIDO 07</t>
  </si>
  <si>
    <t>CMD-KIN-008334</t>
  </si>
  <si>
    <t>REF-0732</t>
  </si>
  <si>
    <t>REF-0417</t>
  </si>
  <si>
    <t>BOULANGERIE VICTOIRE 38</t>
  </si>
  <si>
    <t>CMD-KIN-007672</t>
  </si>
  <si>
    <t>REF-0202</t>
  </si>
  <si>
    <t>SUPERETTE RUASHI 32</t>
  </si>
  <si>
    <t>CMD-KIN-007675</t>
  </si>
  <si>
    <t>REF-0587</t>
  </si>
  <si>
    <t>HOTEL SANDAGA 06</t>
  </si>
  <si>
    <t>CMD-KIN-007692</t>
  </si>
  <si>
    <t>CMD-KIN-007725</t>
  </si>
  <si>
    <t>KIOSQUE LEMBA 36</t>
  </si>
  <si>
    <t>CMD-KIN-007728</t>
  </si>
  <si>
    <t>CMD-KIN-007751</t>
  </si>
  <si>
    <t>SUPERMARCHE NGIRI 40</t>
  </si>
  <si>
    <t>CMD-KIN-007763</t>
  </si>
  <si>
    <t>CMD-KIN-007821</t>
  </si>
  <si>
    <t>HOTEL KATUBA 19</t>
  </si>
  <si>
    <t>CMD-KIN-007823</t>
  </si>
  <si>
    <t>REF-0457</t>
  </si>
  <si>
    <t>REF-0216</t>
  </si>
  <si>
    <t>RESTAURANT DEIDO 33</t>
  </si>
  <si>
    <t>CMD-KIN-007841</t>
  </si>
  <si>
    <t>RESTAURANT SELEMBAO 02</t>
  </si>
  <si>
    <t>CMD-KIN-007865</t>
  </si>
  <si>
    <t>CMD-KIN-007936</t>
  </si>
  <si>
    <t>SUPERETTE KATUBA 32</t>
  </si>
  <si>
    <t>CMD-KIN-007959</t>
  </si>
  <si>
    <t>REF-0247</t>
  </si>
  <si>
    <t>REF-0741</t>
  </si>
  <si>
    <t>MINI-MARCHE RUASHI 28</t>
  </si>
  <si>
    <t>CMD-KIN-007995</t>
  </si>
  <si>
    <t>BOUTIQUE COCODY 39</t>
  </si>
  <si>
    <t>CMD-KIN-008000</t>
  </si>
  <si>
    <t>CMD-KIN-008007</t>
  </si>
  <si>
    <t>CMD-KIN-008011</t>
  </si>
  <si>
    <t>REF-0021</t>
  </si>
  <si>
    <t>REF-0591</t>
  </si>
  <si>
    <t>MINI-MARCHE BANDAL 15</t>
  </si>
  <si>
    <t>CMD-KIN-008051</t>
  </si>
  <si>
    <t>BOUTIQUE KALAMU 10</t>
  </si>
  <si>
    <t>CMD-KIN-008087</t>
  </si>
  <si>
    <t>REF-0182</t>
  </si>
  <si>
    <t>CMD-KIN-008099</t>
  </si>
  <si>
    <t>REF-0096</t>
  </si>
  <si>
    <t>BOUTIQUE OWENDO 01</t>
  </si>
  <si>
    <t>CMD-KIN-008102</t>
  </si>
  <si>
    <t>REF-0826</t>
  </si>
  <si>
    <t>CMD-KIN-008135</t>
  </si>
  <si>
    <t>CMD-KIN-008224</t>
  </si>
  <si>
    <t>REF-0695</t>
  </si>
  <si>
    <t>BOUTIQUE GOMBE 39</t>
  </si>
  <si>
    <t>CMD-KIN-008232</t>
  </si>
  <si>
    <t>CANTINE NGIRI 03</t>
  </si>
  <si>
    <t>CMD-KIN-008266</t>
  </si>
  <si>
    <t>MAGASIN NGALULA 35</t>
  </si>
  <si>
    <t>CMD-KIN-008320</t>
  </si>
  <si>
    <t>CANTINE OWENDO 16</t>
  </si>
  <si>
    <t>CMD-KIN-008324</t>
  </si>
  <si>
    <t>CMD-KIN-007722</t>
  </si>
  <si>
    <t>BOUTIQUE SANDAGA 11</t>
  </si>
  <si>
    <t>CMD-KIN-007744</t>
  </si>
  <si>
    <t>CMD-KIN-007753</t>
  </si>
  <si>
    <t>HOTEL YOPOUGON 36</t>
  </si>
  <si>
    <t>CMD-KIN-007789</t>
  </si>
  <si>
    <t>ALIMENTATION COCODY 27</t>
  </si>
  <si>
    <t>CMD-KIN-007826</t>
  </si>
  <si>
    <t>SUPERETTE VICTOIRE 29</t>
  </si>
  <si>
    <t>CMD-KIN-007840</t>
  </si>
  <si>
    <t>CMD-KIN-007846</t>
  </si>
  <si>
    <t>CMD-KIN-007861</t>
  </si>
  <si>
    <t>CMD-KIN-007877</t>
  </si>
  <si>
    <t>CMD-KIN-007886</t>
  </si>
  <si>
    <t>REF-0687</t>
  </si>
  <si>
    <t>CMD-KIN-007892</t>
  </si>
  <si>
    <t>CMD-KIN-007931</t>
  </si>
  <si>
    <t>CMD-KIN-007949</t>
  </si>
  <si>
    <t>GROSSISTE BINZA 39</t>
  </si>
  <si>
    <t>CMD-KIN-007990</t>
  </si>
  <si>
    <t>REF-0003</t>
  </si>
  <si>
    <t>CMD-KIN-007996</t>
  </si>
  <si>
    <t>REF-0764</t>
  </si>
  <si>
    <t>DEPOT SANDAGA 05</t>
  </si>
  <si>
    <t>CMD-KIN-008014</t>
  </si>
  <si>
    <t>CMD-KIN-008036</t>
  </si>
  <si>
    <t>REF-0568</t>
  </si>
  <si>
    <t>MINI-MARCHE NDJILI 11</t>
  </si>
  <si>
    <t>CMD-KIN-008047</t>
  </si>
  <si>
    <t>CMD-KIN-008081</t>
  </si>
  <si>
    <t>MINI-MARCHE MASINA 28</t>
  </si>
  <si>
    <t>CMD-KIN-008091</t>
  </si>
  <si>
    <t>CMD-KIN-008101</t>
  </si>
  <si>
    <t>CMD-KIN-008106</t>
  </si>
  <si>
    <t>REF-0046</t>
  </si>
  <si>
    <t>GROSSISTE KINTAMBO 26</t>
  </si>
  <si>
    <t>CMD-KIN-008122</t>
  </si>
  <si>
    <t>KIOSQUE LIMETE 16</t>
  </si>
  <si>
    <t>CMD-KIN-008154</t>
  </si>
  <si>
    <t>REF-0319</t>
  </si>
  <si>
    <t>CMD-KIN-008160</t>
  </si>
  <si>
    <t>REF-0029</t>
  </si>
  <si>
    <t>CMD-KIN-008185</t>
  </si>
  <si>
    <t>REF-0644</t>
  </si>
  <si>
    <t>EPICERIE SELEMBAO 08</t>
  </si>
  <si>
    <t>CMD-KIN-008200</t>
  </si>
  <si>
    <t>CMD-KIN-008295</t>
  </si>
  <si>
    <t>CMD-KIN-008300</t>
  </si>
  <si>
    <t>CMD-KIN-007695</t>
  </si>
  <si>
    <t>CMD-KIN-007777</t>
  </si>
  <si>
    <t>ALIMENTATION KALAMU 08</t>
  </si>
  <si>
    <t>CMD-KIN-007793</t>
  </si>
  <si>
    <t>MAGASIN COCODY 38</t>
  </si>
  <si>
    <t>CMD-KIN-007901</t>
  </si>
  <si>
    <t>REF-0028</t>
  </si>
  <si>
    <t>CMD-KIN-007917</t>
  </si>
  <si>
    <t>BOUTIQUE AKANDA 35</t>
  </si>
  <si>
    <t>CMD-KIN-007929</t>
  </si>
  <si>
    <t>MINI-MARCHE BONABERI 36</t>
  </si>
  <si>
    <t>CMD-KIN-007966</t>
  </si>
  <si>
    <t>HOTEL LIMETE 32</t>
  </si>
  <si>
    <t>CMD-KIN-007969</t>
  </si>
  <si>
    <t>CMD-KIN-007974</t>
  </si>
  <si>
    <t>REF-0130</t>
  </si>
  <si>
    <t>CMD-KIN-008005</t>
  </si>
  <si>
    <t>MINI-MARCHE KINTAMBO 11</t>
  </si>
  <si>
    <t>CMD-KIN-008043</t>
  </si>
  <si>
    <t>BOUTIQUE PIKINE 40</t>
  </si>
  <si>
    <t>CMD-KIN-008053</t>
  </si>
  <si>
    <t>REF-0607</t>
  </si>
  <si>
    <t>DEPOT LIMETE 26</t>
  </si>
  <si>
    <t>CMD-KIN-008063</t>
  </si>
  <si>
    <t>CMD-KIN-008066</t>
  </si>
  <si>
    <t>MINI-MARCHE RUASHI 24</t>
  </si>
  <si>
    <t>CMD-KIN-008140</t>
  </si>
  <si>
    <t>CMD-KIN-008193</t>
  </si>
  <si>
    <t>REF-0059</t>
  </si>
  <si>
    <t>CMD-KIN-008211</t>
  </si>
  <si>
    <t>REF-0114</t>
  </si>
  <si>
    <t>CMD-KIN-008249</t>
  </si>
  <si>
    <t>CMD-KIN-008252</t>
  </si>
  <si>
    <t>REF-0214</t>
  </si>
  <si>
    <t>MINI-MARCHE BANDAL 11</t>
  </si>
  <si>
    <t>CMD-KIN-008264</t>
  </si>
  <si>
    <t>CMD-KIN-008278</t>
  </si>
  <si>
    <t>REF-0670</t>
  </si>
  <si>
    <t>CMD-KIN-008293</t>
  </si>
  <si>
    <t>REF-0113</t>
  </si>
  <si>
    <t>CMD-KIN-008309</t>
  </si>
  <si>
    <t>CMD-KIN-007696</t>
  </si>
  <si>
    <t>SUPERETTE SANDAGA 36</t>
  </si>
  <si>
    <t>CMD-KIN-007699</t>
  </si>
  <si>
    <t>CMD-KIN-007748</t>
  </si>
  <si>
    <t>DEPOT MASINA 01</t>
  </si>
  <si>
    <t>CMD-KIN-007784</t>
  </si>
  <si>
    <t>CMD-KIN-007919</t>
  </si>
  <si>
    <t>REF-0866</t>
  </si>
  <si>
    <t>CMD-KIN-007950</t>
  </si>
  <si>
    <t>CMD-KIN-007968</t>
  </si>
  <si>
    <t>CMD-KIN-008057</t>
  </si>
  <si>
    <t>REF-0679</t>
  </si>
  <si>
    <t>REF-0855</t>
  </si>
  <si>
    <t>CMD-KIN-008128</t>
  </si>
  <si>
    <t>REF-0785</t>
  </si>
  <si>
    <t>REF-0147</t>
  </si>
  <si>
    <t>CMD-KIN-008145</t>
  </si>
  <si>
    <t>BOULANGERIE KINTAMBO 40</t>
  </si>
  <si>
    <t>CMD-KIN-008159</t>
  </si>
  <si>
    <t>REF-0084</t>
  </si>
  <si>
    <t>CMD-KIN-008175</t>
  </si>
  <si>
    <t>CMD-KIN-008210</t>
  </si>
  <si>
    <t>REF-0291</t>
  </si>
  <si>
    <t>CMD-KIN-008250</t>
  </si>
  <si>
    <t>REF-0264</t>
  </si>
  <si>
    <t>RESTAURANT AKANDA 20</t>
  </si>
  <si>
    <t>CMD-KIN-008261</t>
  </si>
  <si>
    <t>REF-0774</t>
  </si>
  <si>
    <t>ALIMENTATION YOPOUGON 10</t>
  </si>
  <si>
    <t>CMD-KIN-008287</t>
  </si>
  <si>
    <t>CMD-KIN-008291</t>
  </si>
  <si>
    <t>BOUTIQUE BINZA 30</t>
  </si>
  <si>
    <t>CMD-KIN-008314</t>
  </si>
  <si>
    <t>Ce que le tableau croisé doit produire</t>
  </si>
  <si>
    <t>Le TCD se construit à l'écran. Ces formules disent ce qu'il doit afficher — si les deux divergent, c'est le TCD qui a tort.</t>
  </si>
  <si>
    <t>Chiffre d'affaires total (CDF)</t>
  </si>
  <si>
    <t>Nombre de lignes de vente</t>
  </si>
  <si>
    <t>Nombre de commandes distinctes</t>
  </si>
  <si>
    <t>Nombre de clients distincts</t>
  </si>
  <si>
    <t>CA de la famille Riz (CDF)</t>
  </si>
  <si>
    <t>Part du Riz dans le total</t>
  </si>
  <si>
    <t>Panier moyen par commande (CDF)</t>
  </si>
  <si>
    <t>Quantité totale vendue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</si>
</sst>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USD&quot;"/>
    <numFmt numFmtId="165" formatCode="yyyy\-mm\-dd"/>
  </numFmts>
  <fonts count="5" x14ac:knownFonts="1">
    <font>
      <sz val="11"/>
      <color theme="1"/>
      <name val="Calibri"/>
      <family val="2"/>
      <scheme val="minor"/>
    </font>
    <font>
      <b/>
      <sz val="14"/>
      <color rgb="FF101418"/>
      <name val="Calibri"/>
      <family val="2"/>
    </font>
    <font>
      <i/>
      <sz val="10"/>
      <color rgb="FF6B728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4304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DB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0" xfId="0" applyFont="1" applyFill="1"/>
    <xf numFmtId="0" fontId="4" fillId="0" borderId="0" xfId="0" applyFont="1"/>
    <xf numFmtId="4" fontId="0" fillId="0" borderId="0" xfId="0" applyNumberFormat="1"/>
    <xf numFmtId="4" fontId="4" fillId="0" borderId="0" xfId="0" applyNumberFormat="1" applyFont="1"/>
    <xf numFmtId="0" fontId="1" fillId="0" borderId="0" xfId="0" applyFont="1"/>
    <xf numFmtId="4" fontId="1" fillId="0" borderId="0" xfId="0" applyNumberFormat="1" applyFont="1"/>
    <xf numFmtId="14" fontId="0" fillId="0" borderId="0" xfId="0" applyNumberFormat="1"/>
    <xf numFmtId="3" fontId="0" fillId="0" borderId="0" xfId="0" applyNumberForma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165" fontId="0" fillId="0" borderId="0" xfId="0" applyNumberFormat="1"/>
    <xf numFmtId="0" fontId="2" fillId="0" borderId="0" xfId="0" applyFont="1"/>
    <xf numFmtId="0" fontId="0" fillId="0" borderId="1" xfId="0" applyBorder="1"/>
    <xf numFmtId="4" fontId="0" fillId="0" borderId="1" xfId="0" applyNumberFormat="1" applyBorder="1"/>
    <xf numFmtId="3" fontId="0" fillId="0" borderId="1" xfId="0" applyNumberFormat="1" applyBorder="1"/>
    <xf numFmtId="10" fontId="0" fillId="0" borderId="1" xfId="0" applyNumberFormat="1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Kin" displayName="t_Kin" ref="A1:I1623">
  <tableColumns count="9">
    <tableColumn id="1" xr3:uid="{00000000-0010-0000-0000-000001000000}" name="Date_Vente"/>
    <tableColumn id="2" xr3:uid="{00000000-0010-0000-0000-000002000000}" name="Commercial"/>
    <tableColumn id="3" xr3:uid="{00000000-0010-0000-0000-000003000000}" name="Client"/>
    <tableColumn id="4" xr3:uid="{00000000-0010-0000-0000-000004000000}" name="N_Commande"/>
    <tableColumn id="5" xr3:uid="{00000000-0010-0000-0000-000005000000}" name="Reference"/>
    <tableColumn id="6" xr3:uid="{00000000-0010-0000-0000-000006000000}" name="Famille"/>
    <tableColumn id="7" xr3:uid="{00000000-0010-0000-0000-000007000000}" name="Quantite"/>
    <tableColumn id="8" xr3:uid="{00000000-0010-0000-0000-000008000000}" name="Montant_CDF"/>
    <tableColumn id="9" xr3:uid="{00000000-0010-0000-0000-000009000000}" name="Montant_US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tabSelected="1" workbookViewId="0">
      <selection sqref="A1:F1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</cols>
  <sheetData>
    <row r="1" spans="1:6" ht="19" x14ac:dyDescent="0.25">
      <c r="A1" s="19" t="s">
        <v>0</v>
      </c>
      <c r="B1" s="18"/>
      <c r="C1" s="18"/>
      <c r="D1" s="18"/>
      <c r="E1" s="18"/>
      <c r="F1" s="18"/>
    </row>
    <row r="2" spans="1:6" x14ac:dyDescent="0.2">
      <c r="A2" s="17" t="s">
        <v>1</v>
      </c>
      <c r="B2" s="18"/>
      <c r="C2" s="18"/>
      <c r="D2" s="18"/>
      <c r="E2" s="18"/>
      <c r="F2" s="18"/>
    </row>
    <row r="4" spans="1:6" x14ac:dyDescent="0.2">
      <c r="A4" s="1" t="s">
        <v>2</v>
      </c>
      <c r="B4" s="1" t="s">
        <v>3</v>
      </c>
      <c r="C4" s="1" t="s">
        <v>4</v>
      </c>
    </row>
    <row r="5" spans="1:6" x14ac:dyDescent="0.2">
      <c r="A5" s="2" t="s">
        <v>5</v>
      </c>
    </row>
    <row r="6" spans="1:6" x14ac:dyDescent="0.2">
      <c r="B6" t="s">
        <v>6</v>
      </c>
      <c r="C6" s="3">
        <v>42702253.689999998</v>
      </c>
    </row>
    <row r="7" spans="1:6" x14ac:dyDescent="0.2">
      <c r="B7" t="s">
        <v>7</v>
      </c>
      <c r="C7" s="3">
        <v>42111433.380000003</v>
      </c>
    </row>
    <row r="8" spans="1:6" x14ac:dyDescent="0.2">
      <c r="B8" t="s">
        <v>8</v>
      </c>
      <c r="C8" s="3">
        <v>31670335.350000001</v>
      </c>
    </row>
    <row r="9" spans="1:6" x14ac:dyDescent="0.2">
      <c r="B9" t="s">
        <v>9</v>
      </c>
      <c r="C9" s="3">
        <v>33283715.399999999</v>
      </c>
    </row>
    <row r="10" spans="1:6" x14ac:dyDescent="0.2">
      <c r="B10" t="s">
        <v>10</v>
      </c>
      <c r="C10" s="3">
        <v>55054221.770000003</v>
      </c>
    </row>
    <row r="11" spans="1:6" x14ac:dyDescent="0.2">
      <c r="B11" t="s">
        <v>11</v>
      </c>
      <c r="C11" s="3">
        <v>24787084.960000001</v>
      </c>
    </row>
    <row r="12" spans="1:6" x14ac:dyDescent="0.2">
      <c r="B12" t="s">
        <v>12</v>
      </c>
      <c r="C12" s="3">
        <v>39824231.829999998</v>
      </c>
    </row>
    <row r="13" spans="1:6" x14ac:dyDescent="0.2">
      <c r="B13" s="2" t="s">
        <v>13</v>
      </c>
      <c r="C13" s="4">
        <v>269433276.38</v>
      </c>
    </row>
    <row r="15" spans="1:6" x14ac:dyDescent="0.2">
      <c r="A15" s="2" t="s">
        <v>14</v>
      </c>
    </row>
    <row r="16" spans="1:6" x14ac:dyDescent="0.2">
      <c r="B16" t="s">
        <v>6</v>
      </c>
      <c r="C16" s="3">
        <v>58678861.189999998</v>
      </c>
    </row>
    <row r="17" spans="1:3" x14ac:dyDescent="0.2">
      <c r="B17" t="s">
        <v>7</v>
      </c>
      <c r="C17" s="3">
        <v>57995939.329999998</v>
      </c>
    </row>
    <row r="18" spans="1:3" x14ac:dyDescent="0.2">
      <c r="B18" t="s">
        <v>8</v>
      </c>
      <c r="C18" s="3">
        <v>30031081.079999998</v>
      </c>
    </row>
    <row r="19" spans="1:3" x14ac:dyDescent="0.2">
      <c r="B19" t="s">
        <v>9</v>
      </c>
      <c r="C19" s="3">
        <v>49547463.170000002</v>
      </c>
    </row>
    <row r="20" spans="1:3" x14ac:dyDescent="0.2">
      <c r="B20" t="s">
        <v>10</v>
      </c>
      <c r="C20" s="3">
        <v>46014460.710000001</v>
      </c>
    </row>
    <row r="21" spans="1:3" x14ac:dyDescent="0.2">
      <c r="B21" t="s">
        <v>11</v>
      </c>
      <c r="C21" s="3">
        <v>26310203.82</v>
      </c>
    </row>
    <row r="22" spans="1:3" x14ac:dyDescent="0.2">
      <c r="B22" t="s">
        <v>12</v>
      </c>
      <c r="C22" s="3">
        <v>28705991.579999998</v>
      </c>
    </row>
    <row r="23" spans="1:3" x14ac:dyDescent="0.2">
      <c r="B23" s="2" t="s">
        <v>15</v>
      </c>
      <c r="C23" s="4">
        <v>297284000.88</v>
      </c>
    </row>
    <row r="25" spans="1:3" x14ac:dyDescent="0.2">
      <c r="A25" s="2" t="s">
        <v>16</v>
      </c>
    </row>
    <row r="26" spans="1:3" x14ac:dyDescent="0.2">
      <c r="B26" t="s">
        <v>6</v>
      </c>
      <c r="C26" s="3">
        <v>94105994.430000007</v>
      </c>
    </row>
    <row r="27" spans="1:3" x14ac:dyDescent="0.2">
      <c r="B27" t="s">
        <v>7</v>
      </c>
      <c r="C27" s="3">
        <v>51221601.850000001</v>
      </c>
    </row>
    <row r="28" spans="1:3" x14ac:dyDescent="0.2">
      <c r="B28" t="s">
        <v>8</v>
      </c>
      <c r="C28" s="3">
        <v>68698450.739999995</v>
      </c>
    </row>
    <row r="29" spans="1:3" x14ac:dyDescent="0.2">
      <c r="B29" t="s">
        <v>9</v>
      </c>
      <c r="C29" s="3">
        <v>32925451.940000001</v>
      </c>
    </row>
    <row r="30" spans="1:3" x14ac:dyDescent="0.2">
      <c r="B30" t="s">
        <v>10</v>
      </c>
      <c r="C30" s="3">
        <v>76812741.810000002</v>
      </c>
    </row>
    <row r="31" spans="1:3" x14ac:dyDescent="0.2">
      <c r="B31" t="s">
        <v>11</v>
      </c>
      <c r="C31" s="3">
        <v>69909336.989999995</v>
      </c>
    </row>
    <row r="32" spans="1:3" x14ac:dyDescent="0.2">
      <c r="B32" t="s">
        <v>12</v>
      </c>
      <c r="C32" s="3">
        <v>66081079.75</v>
      </c>
    </row>
    <row r="33" spans="1:3" x14ac:dyDescent="0.2">
      <c r="B33" s="2" t="s">
        <v>17</v>
      </c>
      <c r="C33" s="4">
        <v>459754657.50999999</v>
      </c>
    </row>
    <row r="35" spans="1:3" x14ac:dyDescent="0.2">
      <c r="A35" s="1" t="s">
        <v>2</v>
      </c>
      <c r="B35" s="1" t="s">
        <v>3</v>
      </c>
      <c r="C35" s="1" t="s">
        <v>4</v>
      </c>
    </row>
    <row r="36" spans="1:3" x14ac:dyDescent="0.2">
      <c r="A36" s="2" t="s">
        <v>18</v>
      </c>
    </row>
    <row r="37" spans="1:3" x14ac:dyDescent="0.2">
      <c r="B37" t="s">
        <v>6</v>
      </c>
      <c r="C37" s="3">
        <v>73260194.379999995</v>
      </c>
    </row>
    <row r="38" spans="1:3" x14ac:dyDescent="0.2">
      <c r="B38" t="s">
        <v>7</v>
      </c>
      <c r="C38" s="3">
        <v>93335659.349999994</v>
      </c>
    </row>
    <row r="39" spans="1:3" x14ac:dyDescent="0.2">
      <c r="B39" t="s">
        <v>8</v>
      </c>
      <c r="C39" s="3">
        <v>78745460.260000005</v>
      </c>
    </row>
    <row r="40" spans="1:3" x14ac:dyDescent="0.2">
      <c r="B40" t="s">
        <v>9</v>
      </c>
      <c r="C40" s="3">
        <v>113652308.09</v>
      </c>
    </row>
    <row r="41" spans="1:3" x14ac:dyDescent="0.2">
      <c r="B41" t="s">
        <v>10</v>
      </c>
      <c r="C41" s="3">
        <v>58490039.039999999</v>
      </c>
    </row>
    <row r="42" spans="1:3" x14ac:dyDescent="0.2">
      <c r="B42" t="s">
        <v>11</v>
      </c>
      <c r="C42" s="3">
        <v>71889181.549999997</v>
      </c>
    </row>
    <row r="43" spans="1:3" x14ac:dyDescent="0.2">
      <c r="B43" t="s">
        <v>12</v>
      </c>
      <c r="C43" s="3">
        <v>60765271.960000001</v>
      </c>
    </row>
    <row r="44" spans="1:3" x14ac:dyDescent="0.2">
      <c r="B44" s="2" t="s">
        <v>19</v>
      </c>
      <c r="C44" s="4">
        <v>550138114.63</v>
      </c>
    </row>
    <row r="46" spans="1:3" x14ac:dyDescent="0.2">
      <c r="A46" s="2" t="s">
        <v>20</v>
      </c>
    </row>
    <row r="47" spans="1:3" x14ac:dyDescent="0.2">
      <c r="B47" t="s">
        <v>6</v>
      </c>
      <c r="C47" s="3">
        <v>77672231.189999998</v>
      </c>
    </row>
    <row r="48" spans="1:3" x14ac:dyDescent="0.2">
      <c r="B48" t="s">
        <v>7</v>
      </c>
      <c r="C48" s="3">
        <v>61496920.880000003</v>
      </c>
    </row>
    <row r="49" spans="1:3" x14ac:dyDescent="0.2">
      <c r="B49" t="s">
        <v>8</v>
      </c>
      <c r="C49" s="3">
        <v>82755458.090000004</v>
      </c>
    </row>
    <row r="50" spans="1:3" x14ac:dyDescent="0.2">
      <c r="B50" t="s">
        <v>9</v>
      </c>
      <c r="C50" s="3">
        <v>105252432.23999999</v>
      </c>
    </row>
    <row r="51" spans="1:3" x14ac:dyDescent="0.2">
      <c r="B51" t="s">
        <v>10</v>
      </c>
      <c r="C51" s="3">
        <v>65336244.170000002</v>
      </c>
    </row>
    <row r="52" spans="1:3" x14ac:dyDescent="0.2">
      <c r="B52" t="s">
        <v>11</v>
      </c>
      <c r="C52" s="3">
        <v>77440945.760000005</v>
      </c>
    </row>
    <row r="53" spans="1:3" x14ac:dyDescent="0.2">
      <c r="B53" t="s">
        <v>12</v>
      </c>
      <c r="C53" s="3">
        <v>73964611.170000002</v>
      </c>
    </row>
    <row r="54" spans="1:3" x14ac:dyDescent="0.2">
      <c r="B54" s="2" t="s">
        <v>21</v>
      </c>
      <c r="C54" s="4">
        <v>543918843.5</v>
      </c>
    </row>
    <row r="56" spans="1:3" x14ac:dyDescent="0.2">
      <c r="A56" s="2" t="s">
        <v>22</v>
      </c>
    </row>
    <row r="57" spans="1:3" x14ac:dyDescent="0.2">
      <c r="B57" t="s">
        <v>6</v>
      </c>
      <c r="C57" s="3">
        <v>37507443.439999998</v>
      </c>
    </row>
    <row r="58" spans="1:3" x14ac:dyDescent="0.2">
      <c r="B58" t="s">
        <v>7</v>
      </c>
      <c r="C58" s="3">
        <v>46455563.219999999</v>
      </c>
    </row>
    <row r="59" spans="1:3" x14ac:dyDescent="0.2">
      <c r="B59" t="s">
        <v>8</v>
      </c>
      <c r="C59" s="3">
        <v>30759211.559999999</v>
      </c>
    </row>
    <row r="60" spans="1:3" x14ac:dyDescent="0.2">
      <c r="B60" t="s">
        <v>9</v>
      </c>
      <c r="C60" s="3">
        <v>42596867.119999997</v>
      </c>
    </row>
    <row r="61" spans="1:3" x14ac:dyDescent="0.2">
      <c r="B61" t="s">
        <v>10</v>
      </c>
      <c r="C61" s="3">
        <v>35599899.740000002</v>
      </c>
    </row>
    <row r="62" spans="1:3" x14ac:dyDescent="0.2">
      <c r="B62" t="s">
        <v>11</v>
      </c>
      <c r="C62" s="3">
        <v>32434212.75</v>
      </c>
    </row>
    <row r="63" spans="1:3" x14ac:dyDescent="0.2">
      <c r="B63" t="s">
        <v>12</v>
      </c>
      <c r="C63" s="3">
        <v>24216395.010000002</v>
      </c>
    </row>
    <row r="64" spans="1:3" x14ac:dyDescent="0.2">
      <c r="B64" s="2" t="s">
        <v>23</v>
      </c>
      <c r="C64" s="4">
        <v>249569592.84</v>
      </c>
    </row>
    <row r="66" spans="2:3" ht="19" x14ac:dyDescent="0.25">
      <c r="B66" s="5" t="s">
        <v>24</v>
      </c>
      <c r="C66" s="6">
        <v>2370098485.7399998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2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style="7" customWidth="1"/>
    <col min="2" max="2" width="19" customWidth="1"/>
    <col min="3" max="3" width="26" customWidth="1"/>
    <col min="4" max="4" width="18" customWidth="1"/>
    <col min="5" max="5" width="11" customWidth="1"/>
    <col min="6" max="6" width="13" customWidth="1"/>
    <col min="7" max="7" width="10" style="8" customWidth="1"/>
    <col min="8" max="8" width="16" style="3" customWidth="1"/>
    <col min="9" max="9" width="14" style="9" customWidth="1"/>
  </cols>
  <sheetData>
    <row r="1" spans="1:9" ht="22" customHeight="1" x14ac:dyDescent="0.2">
      <c r="A1" s="10" t="s">
        <v>25</v>
      </c>
      <c r="B1" s="10" t="s">
        <v>3</v>
      </c>
      <c r="C1" s="10" t="s">
        <v>26</v>
      </c>
      <c r="D1" s="10" t="s">
        <v>27</v>
      </c>
      <c r="E1" s="10" t="s">
        <v>28</v>
      </c>
      <c r="F1" s="10" t="s">
        <v>2</v>
      </c>
      <c r="G1" s="10" t="s">
        <v>29</v>
      </c>
      <c r="H1" s="10" t="s">
        <v>30</v>
      </c>
      <c r="I1" s="10" t="s">
        <v>31</v>
      </c>
    </row>
    <row r="2" spans="1:9" x14ac:dyDescent="0.2">
      <c r="A2" s="11">
        <v>45992</v>
      </c>
      <c r="B2" t="s">
        <v>12</v>
      </c>
      <c r="C2" t="s">
        <v>32</v>
      </c>
      <c r="D2" t="s">
        <v>33</v>
      </c>
      <c r="E2" t="s">
        <v>34</v>
      </c>
      <c r="F2" t="s">
        <v>14</v>
      </c>
      <c r="G2">
        <v>13</v>
      </c>
      <c r="H2">
        <v>934786.19</v>
      </c>
      <c r="I2">
        <v>293.37</v>
      </c>
    </row>
    <row r="3" spans="1:9" x14ac:dyDescent="0.2">
      <c r="A3" s="11">
        <v>45992</v>
      </c>
      <c r="B3" t="s">
        <v>12</v>
      </c>
      <c r="C3" t="s">
        <v>32</v>
      </c>
      <c r="D3" t="s">
        <v>33</v>
      </c>
      <c r="E3" t="s">
        <v>35</v>
      </c>
      <c r="F3" t="s">
        <v>22</v>
      </c>
      <c r="G3">
        <v>36</v>
      </c>
      <c r="H3">
        <v>1517101.56</v>
      </c>
      <c r="I3">
        <v>476.12</v>
      </c>
    </row>
    <row r="4" spans="1:9" x14ac:dyDescent="0.2">
      <c r="A4" s="11">
        <v>45992</v>
      </c>
      <c r="B4" t="s">
        <v>12</v>
      </c>
      <c r="C4" t="s">
        <v>32</v>
      </c>
      <c r="D4" t="s">
        <v>33</v>
      </c>
      <c r="E4" t="s">
        <v>36</v>
      </c>
      <c r="F4" t="s">
        <v>5</v>
      </c>
      <c r="G4">
        <v>3</v>
      </c>
      <c r="H4">
        <v>104831.61</v>
      </c>
      <c r="I4">
        <v>32.9</v>
      </c>
    </row>
    <row r="5" spans="1:9" x14ac:dyDescent="0.2">
      <c r="A5" s="11">
        <v>45992</v>
      </c>
      <c r="B5" t="s">
        <v>12</v>
      </c>
      <c r="C5" t="s">
        <v>32</v>
      </c>
      <c r="D5" t="s">
        <v>33</v>
      </c>
      <c r="E5" t="s">
        <v>37</v>
      </c>
      <c r="F5" t="s">
        <v>5</v>
      </c>
      <c r="G5">
        <v>5</v>
      </c>
      <c r="H5">
        <v>208231.8</v>
      </c>
      <c r="I5">
        <v>65.349999999999994</v>
      </c>
    </row>
    <row r="6" spans="1:9" x14ac:dyDescent="0.2">
      <c r="A6" s="11">
        <v>45992</v>
      </c>
      <c r="B6" t="s">
        <v>12</v>
      </c>
      <c r="C6" t="s">
        <v>32</v>
      </c>
      <c r="D6" t="s">
        <v>33</v>
      </c>
      <c r="E6" t="s">
        <v>38</v>
      </c>
      <c r="F6" t="s">
        <v>18</v>
      </c>
      <c r="G6">
        <v>9</v>
      </c>
      <c r="H6">
        <v>1047560.67</v>
      </c>
      <c r="I6">
        <v>328.76</v>
      </c>
    </row>
    <row r="7" spans="1:9" x14ac:dyDescent="0.2">
      <c r="A7" s="11">
        <v>45992</v>
      </c>
      <c r="B7" t="s">
        <v>12</v>
      </c>
      <c r="C7" t="s">
        <v>39</v>
      </c>
      <c r="D7" t="s">
        <v>40</v>
      </c>
      <c r="E7" t="s">
        <v>41</v>
      </c>
      <c r="F7" t="s">
        <v>16</v>
      </c>
      <c r="G7">
        <v>11</v>
      </c>
      <c r="H7">
        <v>600684.37</v>
      </c>
      <c r="I7">
        <v>188.52</v>
      </c>
    </row>
    <row r="8" spans="1:9" x14ac:dyDescent="0.2">
      <c r="A8" s="11">
        <v>45992</v>
      </c>
      <c r="B8" t="s">
        <v>12</v>
      </c>
      <c r="C8" t="s">
        <v>39</v>
      </c>
      <c r="D8" t="s">
        <v>40</v>
      </c>
      <c r="E8" t="s">
        <v>42</v>
      </c>
      <c r="F8" t="s">
        <v>22</v>
      </c>
      <c r="G8">
        <v>7</v>
      </c>
      <c r="H8">
        <v>333777.71000000002</v>
      </c>
      <c r="I8">
        <v>104.75</v>
      </c>
    </row>
    <row r="9" spans="1:9" x14ac:dyDescent="0.2">
      <c r="A9" s="11">
        <v>45992</v>
      </c>
      <c r="B9" t="s">
        <v>9</v>
      </c>
      <c r="C9" t="s">
        <v>43</v>
      </c>
      <c r="D9" t="s">
        <v>44</v>
      </c>
      <c r="E9" t="s">
        <v>45</v>
      </c>
      <c r="F9" t="s">
        <v>14</v>
      </c>
      <c r="G9">
        <v>23</v>
      </c>
      <c r="H9">
        <v>1438677.83</v>
      </c>
      <c r="I9">
        <v>451.51</v>
      </c>
    </row>
    <row r="10" spans="1:9" x14ac:dyDescent="0.2">
      <c r="A10" s="11">
        <v>45992</v>
      </c>
      <c r="B10" t="s">
        <v>9</v>
      </c>
      <c r="C10" t="s">
        <v>43</v>
      </c>
      <c r="D10" t="s">
        <v>44</v>
      </c>
      <c r="E10" t="s">
        <v>46</v>
      </c>
      <c r="F10" t="s">
        <v>14</v>
      </c>
      <c r="G10">
        <v>30</v>
      </c>
      <c r="H10">
        <v>3146022.9</v>
      </c>
      <c r="I10">
        <v>987.33</v>
      </c>
    </row>
    <row r="11" spans="1:9" x14ac:dyDescent="0.2">
      <c r="A11" s="11">
        <v>45992</v>
      </c>
      <c r="B11" t="s">
        <v>9</v>
      </c>
      <c r="C11" t="s">
        <v>43</v>
      </c>
      <c r="D11" t="s">
        <v>44</v>
      </c>
      <c r="E11" t="s">
        <v>47</v>
      </c>
      <c r="F11" t="s">
        <v>18</v>
      </c>
      <c r="G11">
        <v>14</v>
      </c>
      <c r="H11">
        <v>993229.16</v>
      </c>
      <c r="I11">
        <v>311.70999999999998</v>
      </c>
    </row>
    <row r="12" spans="1:9" x14ac:dyDescent="0.2">
      <c r="A12" s="11">
        <v>45992</v>
      </c>
      <c r="B12" t="s">
        <v>10</v>
      </c>
      <c r="C12" t="s">
        <v>48</v>
      </c>
      <c r="D12" t="s">
        <v>49</v>
      </c>
      <c r="E12" t="s">
        <v>50</v>
      </c>
      <c r="F12" t="s">
        <v>5</v>
      </c>
      <c r="G12">
        <v>3</v>
      </c>
      <c r="H12">
        <v>204746.4</v>
      </c>
      <c r="I12">
        <v>64.260000000000005</v>
      </c>
    </row>
    <row r="13" spans="1:9" x14ac:dyDescent="0.2">
      <c r="A13" s="11">
        <v>45992</v>
      </c>
      <c r="B13" t="s">
        <v>10</v>
      </c>
      <c r="C13" t="s">
        <v>48</v>
      </c>
      <c r="D13" t="s">
        <v>49</v>
      </c>
      <c r="E13" t="s">
        <v>51</v>
      </c>
      <c r="F13" t="s">
        <v>20</v>
      </c>
      <c r="G13">
        <v>2</v>
      </c>
      <c r="H13">
        <v>167880.3</v>
      </c>
      <c r="I13">
        <v>52.69</v>
      </c>
    </row>
    <row r="14" spans="1:9" x14ac:dyDescent="0.2">
      <c r="A14" s="11">
        <v>45992</v>
      </c>
      <c r="B14" t="s">
        <v>6</v>
      </c>
      <c r="C14" t="s">
        <v>52</v>
      </c>
      <c r="D14" t="s">
        <v>53</v>
      </c>
      <c r="E14" t="s">
        <v>54</v>
      </c>
      <c r="F14" t="s">
        <v>5</v>
      </c>
      <c r="G14">
        <v>15</v>
      </c>
      <c r="H14">
        <v>528922.05000000005</v>
      </c>
      <c r="I14">
        <v>165.99</v>
      </c>
    </row>
    <row r="15" spans="1:9" x14ac:dyDescent="0.2">
      <c r="A15" s="11">
        <v>45992</v>
      </c>
      <c r="B15" t="s">
        <v>6</v>
      </c>
      <c r="C15" t="s">
        <v>52</v>
      </c>
      <c r="D15" t="s">
        <v>53</v>
      </c>
      <c r="E15" t="s">
        <v>55</v>
      </c>
      <c r="F15" t="s">
        <v>14</v>
      </c>
      <c r="G15">
        <v>10</v>
      </c>
      <c r="H15">
        <v>887830.7</v>
      </c>
      <c r="I15">
        <v>278.63</v>
      </c>
    </row>
    <row r="16" spans="1:9" x14ac:dyDescent="0.2">
      <c r="A16" s="11">
        <v>45992</v>
      </c>
      <c r="B16" t="s">
        <v>6</v>
      </c>
      <c r="C16" t="s">
        <v>52</v>
      </c>
      <c r="D16" t="s">
        <v>53</v>
      </c>
      <c r="E16" t="s">
        <v>56</v>
      </c>
      <c r="F16" t="s">
        <v>5</v>
      </c>
      <c r="G16">
        <v>1</v>
      </c>
      <c r="H16">
        <v>35397.230000000003</v>
      </c>
      <c r="I16">
        <v>11.11</v>
      </c>
    </row>
    <row r="17" spans="1:9" x14ac:dyDescent="0.2">
      <c r="A17" s="11">
        <v>45992</v>
      </c>
      <c r="B17" t="s">
        <v>12</v>
      </c>
      <c r="C17" t="s">
        <v>57</v>
      </c>
      <c r="D17" t="s">
        <v>58</v>
      </c>
      <c r="E17" t="s">
        <v>59</v>
      </c>
      <c r="F17" t="s">
        <v>22</v>
      </c>
      <c r="G17">
        <v>14</v>
      </c>
      <c r="H17">
        <v>384443.22</v>
      </c>
      <c r="I17">
        <v>120.65</v>
      </c>
    </row>
    <row r="18" spans="1:9" x14ac:dyDescent="0.2">
      <c r="A18" s="11">
        <v>45992</v>
      </c>
      <c r="B18" t="s">
        <v>12</v>
      </c>
      <c r="C18" t="s">
        <v>57</v>
      </c>
      <c r="D18" t="s">
        <v>58</v>
      </c>
      <c r="E18" t="s">
        <v>60</v>
      </c>
      <c r="F18" t="s">
        <v>22</v>
      </c>
      <c r="G18">
        <v>29</v>
      </c>
      <c r="H18">
        <v>640999.76</v>
      </c>
      <c r="I18">
        <v>201.17</v>
      </c>
    </row>
    <row r="19" spans="1:9" x14ac:dyDescent="0.2">
      <c r="A19" s="11">
        <v>45992</v>
      </c>
      <c r="B19" t="s">
        <v>12</v>
      </c>
      <c r="C19" t="s">
        <v>57</v>
      </c>
      <c r="D19" t="s">
        <v>58</v>
      </c>
      <c r="E19" t="s">
        <v>61</v>
      </c>
      <c r="F19" t="s">
        <v>20</v>
      </c>
      <c r="G19">
        <v>7</v>
      </c>
      <c r="H19">
        <v>1001420.91</v>
      </c>
      <c r="I19">
        <v>314.27999999999997</v>
      </c>
    </row>
    <row r="20" spans="1:9" x14ac:dyDescent="0.2">
      <c r="A20" s="11">
        <v>45992</v>
      </c>
      <c r="B20" t="s">
        <v>7</v>
      </c>
      <c r="C20" t="s">
        <v>62</v>
      </c>
      <c r="D20" t="s">
        <v>63</v>
      </c>
      <c r="E20" t="s">
        <v>64</v>
      </c>
      <c r="F20" t="s">
        <v>18</v>
      </c>
      <c r="G20">
        <v>26</v>
      </c>
      <c r="H20">
        <v>1935717.16</v>
      </c>
      <c r="I20">
        <v>607.5</v>
      </c>
    </row>
    <row r="21" spans="1:9" x14ac:dyDescent="0.2">
      <c r="A21" s="11">
        <v>45992</v>
      </c>
      <c r="B21" t="s">
        <v>7</v>
      </c>
      <c r="C21" t="s">
        <v>62</v>
      </c>
      <c r="D21" t="s">
        <v>63</v>
      </c>
      <c r="E21" t="s">
        <v>65</v>
      </c>
      <c r="F21" t="s">
        <v>18</v>
      </c>
      <c r="G21">
        <v>3</v>
      </c>
      <c r="H21">
        <v>222119.52</v>
      </c>
      <c r="I21">
        <v>69.709999999999994</v>
      </c>
    </row>
    <row r="22" spans="1:9" x14ac:dyDescent="0.2">
      <c r="A22" s="11">
        <v>45992</v>
      </c>
      <c r="B22" t="s">
        <v>7</v>
      </c>
      <c r="C22" t="s">
        <v>66</v>
      </c>
      <c r="D22" t="s">
        <v>67</v>
      </c>
      <c r="E22" t="s">
        <v>68</v>
      </c>
      <c r="F22" t="s">
        <v>5</v>
      </c>
      <c r="G22">
        <v>21</v>
      </c>
      <c r="H22">
        <v>1026332.58</v>
      </c>
      <c r="I22">
        <v>322.10000000000002</v>
      </c>
    </row>
    <row r="23" spans="1:9" x14ac:dyDescent="0.2">
      <c r="A23" s="11">
        <v>45992</v>
      </c>
      <c r="B23" t="s">
        <v>12</v>
      </c>
      <c r="C23" t="s">
        <v>69</v>
      </c>
      <c r="D23" t="s">
        <v>70</v>
      </c>
      <c r="E23" t="s">
        <v>71</v>
      </c>
      <c r="F23" t="s">
        <v>20</v>
      </c>
      <c r="G23">
        <v>9</v>
      </c>
      <c r="H23">
        <v>1250671.95</v>
      </c>
      <c r="I23">
        <v>392.5</v>
      </c>
    </row>
    <row r="24" spans="1:9" x14ac:dyDescent="0.2">
      <c r="A24" s="11">
        <v>45992</v>
      </c>
      <c r="B24" t="s">
        <v>12</v>
      </c>
      <c r="C24" t="s">
        <v>69</v>
      </c>
      <c r="D24" t="s">
        <v>70</v>
      </c>
      <c r="E24" t="s">
        <v>72</v>
      </c>
      <c r="F24" t="s">
        <v>5</v>
      </c>
      <c r="G24">
        <v>14</v>
      </c>
      <c r="H24">
        <v>862546.02</v>
      </c>
      <c r="I24">
        <v>270.7</v>
      </c>
    </row>
    <row r="25" spans="1:9" x14ac:dyDescent="0.2">
      <c r="A25" s="11">
        <v>45992</v>
      </c>
      <c r="B25" t="s">
        <v>12</v>
      </c>
      <c r="C25" t="s">
        <v>69</v>
      </c>
      <c r="D25" t="s">
        <v>70</v>
      </c>
      <c r="E25" t="s">
        <v>73</v>
      </c>
      <c r="F25" t="s">
        <v>14</v>
      </c>
      <c r="G25">
        <v>29</v>
      </c>
      <c r="H25">
        <v>3045405.13</v>
      </c>
      <c r="I25">
        <v>955.75</v>
      </c>
    </row>
    <row r="26" spans="1:9" x14ac:dyDescent="0.2">
      <c r="A26" s="11">
        <v>45992</v>
      </c>
      <c r="B26" t="s">
        <v>7</v>
      </c>
      <c r="C26" t="s">
        <v>74</v>
      </c>
      <c r="D26" t="s">
        <v>75</v>
      </c>
      <c r="E26" t="s">
        <v>76</v>
      </c>
      <c r="F26" t="s">
        <v>18</v>
      </c>
      <c r="G26">
        <v>3</v>
      </c>
      <c r="H26">
        <v>171043.05</v>
      </c>
      <c r="I26">
        <v>53.68</v>
      </c>
    </row>
    <row r="27" spans="1:9" x14ac:dyDescent="0.2">
      <c r="A27" s="11">
        <v>45992</v>
      </c>
      <c r="B27" t="s">
        <v>7</v>
      </c>
      <c r="C27" t="s">
        <v>74</v>
      </c>
      <c r="D27" t="s">
        <v>75</v>
      </c>
      <c r="E27" t="s">
        <v>77</v>
      </c>
      <c r="F27" t="s">
        <v>14</v>
      </c>
      <c r="G27">
        <v>8</v>
      </c>
      <c r="H27">
        <v>300189.52</v>
      </c>
      <c r="I27">
        <v>94.21</v>
      </c>
    </row>
    <row r="28" spans="1:9" x14ac:dyDescent="0.2">
      <c r="A28" s="11">
        <v>45992</v>
      </c>
      <c r="B28" t="s">
        <v>12</v>
      </c>
      <c r="C28" t="s">
        <v>78</v>
      </c>
      <c r="D28" t="s">
        <v>79</v>
      </c>
      <c r="E28" t="s">
        <v>80</v>
      </c>
      <c r="F28" t="s">
        <v>18</v>
      </c>
      <c r="G28">
        <v>26</v>
      </c>
      <c r="H28">
        <v>1518964.72</v>
      </c>
      <c r="I28">
        <v>476.7</v>
      </c>
    </row>
    <row r="29" spans="1:9" x14ac:dyDescent="0.2">
      <c r="A29" s="11">
        <v>45992</v>
      </c>
      <c r="B29" t="s">
        <v>12</v>
      </c>
      <c r="C29" t="s">
        <v>78</v>
      </c>
      <c r="D29" t="s">
        <v>79</v>
      </c>
      <c r="E29" t="s">
        <v>81</v>
      </c>
      <c r="F29" t="s">
        <v>14</v>
      </c>
      <c r="G29">
        <v>6</v>
      </c>
      <c r="H29">
        <v>450762.12</v>
      </c>
      <c r="I29">
        <v>141.46</v>
      </c>
    </row>
    <row r="30" spans="1:9" x14ac:dyDescent="0.2">
      <c r="A30" s="11">
        <v>45992</v>
      </c>
      <c r="B30" t="s">
        <v>12</v>
      </c>
      <c r="C30" t="s">
        <v>78</v>
      </c>
      <c r="D30" t="s">
        <v>79</v>
      </c>
      <c r="E30" t="s">
        <v>82</v>
      </c>
      <c r="F30" t="s">
        <v>18</v>
      </c>
      <c r="G30">
        <v>6</v>
      </c>
      <c r="H30">
        <v>605786.93999999994</v>
      </c>
      <c r="I30">
        <v>190.12</v>
      </c>
    </row>
    <row r="31" spans="1:9" x14ac:dyDescent="0.2">
      <c r="A31" s="11">
        <v>45992</v>
      </c>
      <c r="B31" t="s">
        <v>12</v>
      </c>
      <c r="C31" t="s">
        <v>78</v>
      </c>
      <c r="D31" t="s">
        <v>79</v>
      </c>
      <c r="E31" t="s">
        <v>83</v>
      </c>
      <c r="F31" t="s">
        <v>14</v>
      </c>
      <c r="G31">
        <v>3</v>
      </c>
      <c r="H31">
        <v>244100.7</v>
      </c>
      <c r="I31">
        <v>76.61</v>
      </c>
    </row>
    <row r="32" spans="1:9" x14ac:dyDescent="0.2">
      <c r="A32" s="11">
        <v>45992</v>
      </c>
      <c r="B32" t="s">
        <v>10</v>
      </c>
      <c r="C32" t="s">
        <v>84</v>
      </c>
      <c r="D32" t="s">
        <v>85</v>
      </c>
      <c r="E32" t="s">
        <v>86</v>
      </c>
      <c r="F32" t="s">
        <v>18</v>
      </c>
      <c r="G32">
        <v>9</v>
      </c>
      <c r="H32">
        <v>524176.47</v>
      </c>
      <c r="I32">
        <v>164.5</v>
      </c>
    </row>
    <row r="33" spans="1:9" x14ac:dyDescent="0.2">
      <c r="A33" s="11">
        <v>45992</v>
      </c>
      <c r="B33" t="s">
        <v>11</v>
      </c>
      <c r="C33" t="s">
        <v>87</v>
      </c>
      <c r="D33" t="s">
        <v>88</v>
      </c>
      <c r="E33" t="s">
        <v>89</v>
      </c>
      <c r="F33" t="s">
        <v>22</v>
      </c>
      <c r="G33">
        <v>5</v>
      </c>
      <c r="H33">
        <v>256486.35</v>
      </c>
      <c r="I33">
        <v>80.489999999999995</v>
      </c>
    </row>
    <row r="34" spans="1:9" x14ac:dyDescent="0.2">
      <c r="A34" s="11">
        <v>45992</v>
      </c>
      <c r="B34" t="s">
        <v>11</v>
      </c>
      <c r="C34" t="s">
        <v>87</v>
      </c>
      <c r="D34" t="s">
        <v>88</v>
      </c>
      <c r="E34" t="s">
        <v>90</v>
      </c>
      <c r="F34" t="s">
        <v>5</v>
      </c>
      <c r="G34">
        <v>20</v>
      </c>
      <c r="H34">
        <v>1142444</v>
      </c>
      <c r="I34">
        <v>358.54</v>
      </c>
    </row>
    <row r="35" spans="1:9" x14ac:dyDescent="0.2">
      <c r="A35" s="11">
        <v>45992</v>
      </c>
      <c r="B35" t="s">
        <v>6</v>
      </c>
      <c r="C35" t="s">
        <v>91</v>
      </c>
      <c r="D35" t="s">
        <v>92</v>
      </c>
      <c r="E35" t="s">
        <v>93</v>
      </c>
      <c r="F35" t="s">
        <v>18</v>
      </c>
      <c r="G35">
        <v>12</v>
      </c>
      <c r="H35">
        <v>724985.4</v>
      </c>
      <c r="I35">
        <v>227.53</v>
      </c>
    </row>
    <row r="36" spans="1:9" x14ac:dyDescent="0.2">
      <c r="A36" s="11">
        <v>45992</v>
      </c>
      <c r="B36" t="s">
        <v>6</v>
      </c>
      <c r="C36" t="s">
        <v>91</v>
      </c>
      <c r="D36" t="s">
        <v>92</v>
      </c>
      <c r="E36" t="s">
        <v>94</v>
      </c>
      <c r="F36" t="s">
        <v>18</v>
      </c>
      <c r="G36">
        <v>7</v>
      </c>
      <c r="H36">
        <v>303469.88</v>
      </c>
      <c r="I36">
        <v>95.24</v>
      </c>
    </row>
    <row r="37" spans="1:9" x14ac:dyDescent="0.2">
      <c r="A37" s="11">
        <v>45992</v>
      </c>
      <c r="B37" t="s">
        <v>6</v>
      </c>
      <c r="C37" t="s">
        <v>91</v>
      </c>
      <c r="D37" t="s">
        <v>92</v>
      </c>
      <c r="E37" t="s">
        <v>95</v>
      </c>
      <c r="F37" t="s">
        <v>22</v>
      </c>
      <c r="G37">
        <v>5</v>
      </c>
      <c r="H37">
        <v>125454.2</v>
      </c>
      <c r="I37">
        <v>39.369999999999997</v>
      </c>
    </row>
    <row r="38" spans="1:9" x14ac:dyDescent="0.2">
      <c r="A38" s="11">
        <v>45992</v>
      </c>
      <c r="B38" t="s">
        <v>7</v>
      </c>
      <c r="C38" t="s">
        <v>96</v>
      </c>
      <c r="D38" t="s">
        <v>97</v>
      </c>
      <c r="E38" t="s">
        <v>64</v>
      </c>
      <c r="F38" t="s">
        <v>18</v>
      </c>
      <c r="G38">
        <v>4</v>
      </c>
      <c r="H38">
        <v>301779.03999999998</v>
      </c>
      <c r="I38">
        <v>94.71</v>
      </c>
    </row>
    <row r="39" spans="1:9" x14ac:dyDescent="0.2">
      <c r="A39" s="11">
        <v>45992</v>
      </c>
      <c r="B39" t="s">
        <v>7</v>
      </c>
      <c r="C39" t="s">
        <v>96</v>
      </c>
      <c r="D39" t="s">
        <v>97</v>
      </c>
      <c r="E39" t="s">
        <v>38</v>
      </c>
      <c r="F39" t="s">
        <v>18</v>
      </c>
      <c r="G39">
        <v>181</v>
      </c>
      <c r="H39">
        <v>21212633.469999999</v>
      </c>
      <c r="I39">
        <v>6657.26</v>
      </c>
    </row>
    <row r="40" spans="1:9" x14ac:dyDescent="0.2">
      <c r="A40" s="11">
        <v>45992</v>
      </c>
      <c r="B40" t="s">
        <v>8</v>
      </c>
      <c r="C40" t="s">
        <v>98</v>
      </c>
      <c r="D40" t="s">
        <v>99</v>
      </c>
      <c r="E40" t="s">
        <v>100</v>
      </c>
      <c r="F40" t="s">
        <v>16</v>
      </c>
      <c r="G40">
        <v>4</v>
      </c>
      <c r="H40">
        <v>508996.48</v>
      </c>
      <c r="I40">
        <v>159.74</v>
      </c>
    </row>
    <row r="41" spans="1:9" x14ac:dyDescent="0.2">
      <c r="A41" s="11">
        <v>45992</v>
      </c>
      <c r="B41" t="s">
        <v>8</v>
      </c>
      <c r="C41" t="s">
        <v>98</v>
      </c>
      <c r="D41" t="s">
        <v>99</v>
      </c>
      <c r="E41" t="s">
        <v>101</v>
      </c>
      <c r="F41" t="s">
        <v>16</v>
      </c>
      <c r="G41">
        <v>17</v>
      </c>
      <c r="H41">
        <v>2253108.94</v>
      </c>
      <c r="I41">
        <v>707.1</v>
      </c>
    </row>
    <row r="42" spans="1:9" x14ac:dyDescent="0.2">
      <c r="A42" s="11">
        <v>45992</v>
      </c>
      <c r="B42" t="s">
        <v>8</v>
      </c>
      <c r="C42" t="s">
        <v>98</v>
      </c>
      <c r="D42" t="s">
        <v>99</v>
      </c>
      <c r="E42" t="s">
        <v>102</v>
      </c>
      <c r="F42" t="s">
        <v>20</v>
      </c>
      <c r="G42">
        <v>18</v>
      </c>
      <c r="H42">
        <v>2681794.44</v>
      </c>
      <c r="I42">
        <v>841.64</v>
      </c>
    </row>
    <row r="43" spans="1:9" x14ac:dyDescent="0.2">
      <c r="A43" s="11">
        <v>45992</v>
      </c>
      <c r="B43" t="s">
        <v>6</v>
      </c>
      <c r="C43" t="s">
        <v>103</v>
      </c>
      <c r="D43" t="s">
        <v>104</v>
      </c>
      <c r="E43" t="s">
        <v>105</v>
      </c>
      <c r="F43" t="s">
        <v>14</v>
      </c>
      <c r="G43">
        <v>13</v>
      </c>
      <c r="H43">
        <v>1331099.51</v>
      </c>
      <c r="I43">
        <v>417.75</v>
      </c>
    </row>
    <row r="44" spans="1:9" x14ac:dyDescent="0.2">
      <c r="A44" s="11">
        <v>45992</v>
      </c>
      <c r="B44" t="s">
        <v>8</v>
      </c>
      <c r="C44" t="s">
        <v>106</v>
      </c>
      <c r="D44" t="s">
        <v>107</v>
      </c>
      <c r="E44" t="s">
        <v>108</v>
      </c>
      <c r="F44" t="s">
        <v>14</v>
      </c>
      <c r="G44">
        <v>24</v>
      </c>
      <c r="H44">
        <v>2417772.7200000002</v>
      </c>
      <c r="I44">
        <v>758.78</v>
      </c>
    </row>
    <row r="45" spans="1:9" x14ac:dyDescent="0.2">
      <c r="A45" s="11">
        <v>45992</v>
      </c>
      <c r="B45" t="s">
        <v>6</v>
      </c>
      <c r="C45" t="s">
        <v>109</v>
      </c>
      <c r="D45" t="s">
        <v>110</v>
      </c>
      <c r="E45" t="s">
        <v>111</v>
      </c>
      <c r="F45" t="s">
        <v>18</v>
      </c>
      <c r="G45">
        <v>18</v>
      </c>
      <c r="H45">
        <v>1827946.62</v>
      </c>
      <c r="I45">
        <v>573.66999999999996</v>
      </c>
    </row>
    <row r="46" spans="1:9" x14ac:dyDescent="0.2">
      <c r="A46" s="11">
        <v>45992</v>
      </c>
      <c r="B46" t="s">
        <v>6</v>
      </c>
      <c r="C46" t="s">
        <v>109</v>
      </c>
      <c r="D46" t="s">
        <v>110</v>
      </c>
      <c r="E46" t="s">
        <v>112</v>
      </c>
      <c r="F46" t="s">
        <v>20</v>
      </c>
      <c r="G46">
        <v>15</v>
      </c>
      <c r="H46">
        <v>1693681.8</v>
      </c>
      <c r="I46">
        <v>531.54</v>
      </c>
    </row>
    <row r="47" spans="1:9" x14ac:dyDescent="0.2">
      <c r="A47" s="11">
        <v>45992</v>
      </c>
      <c r="B47" t="s">
        <v>7</v>
      </c>
      <c r="C47" t="s">
        <v>113</v>
      </c>
      <c r="D47" t="s">
        <v>114</v>
      </c>
      <c r="E47" t="s">
        <v>115</v>
      </c>
      <c r="F47" t="s">
        <v>14</v>
      </c>
      <c r="G47">
        <v>9</v>
      </c>
      <c r="H47">
        <v>478721.7</v>
      </c>
      <c r="I47">
        <v>150.24</v>
      </c>
    </row>
    <row r="48" spans="1:9" x14ac:dyDescent="0.2">
      <c r="A48" s="11">
        <v>45992</v>
      </c>
      <c r="B48" t="s">
        <v>7</v>
      </c>
      <c r="C48" t="s">
        <v>113</v>
      </c>
      <c r="D48" t="s">
        <v>114</v>
      </c>
      <c r="E48" t="s">
        <v>116</v>
      </c>
      <c r="F48" t="s">
        <v>18</v>
      </c>
      <c r="G48">
        <v>10</v>
      </c>
      <c r="H48">
        <v>489224.3</v>
      </c>
      <c r="I48">
        <v>153.54</v>
      </c>
    </row>
    <row r="49" spans="1:9" x14ac:dyDescent="0.2">
      <c r="A49" s="11">
        <v>45992</v>
      </c>
      <c r="B49" t="s">
        <v>7</v>
      </c>
      <c r="C49" t="s">
        <v>113</v>
      </c>
      <c r="D49" t="s">
        <v>114</v>
      </c>
      <c r="E49" t="s">
        <v>41</v>
      </c>
      <c r="F49" t="s">
        <v>16</v>
      </c>
      <c r="G49">
        <v>6</v>
      </c>
      <c r="H49">
        <v>317104.5</v>
      </c>
      <c r="I49">
        <v>99.52</v>
      </c>
    </row>
    <row r="50" spans="1:9" x14ac:dyDescent="0.2">
      <c r="A50" s="11">
        <v>45993</v>
      </c>
      <c r="B50" t="s">
        <v>9</v>
      </c>
      <c r="C50" t="s">
        <v>117</v>
      </c>
      <c r="D50" t="s">
        <v>118</v>
      </c>
      <c r="E50" t="s">
        <v>119</v>
      </c>
      <c r="F50" t="s">
        <v>5</v>
      </c>
      <c r="G50">
        <v>13</v>
      </c>
      <c r="H50">
        <v>926646.11</v>
      </c>
      <c r="I50">
        <v>290.81</v>
      </c>
    </row>
    <row r="51" spans="1:9" x14ac:dyDescent="0.2">
      <c r="A51" s="11">
        <v>45993</v>
      </c>
      <c r="B51" t="s">
        <v>6</v>
      </c>
      <c r="C51" t="s">
        <v>96</v>
      </c>
      <c r="D51" t="s">
        <v>120</v>
      </c>
      <c r="E51" t="s">
        <v>121</v>
      </c>
      <c r="F51" t="s">
        <v>16</v>
      </c>
      <c r="G51">
        <v>15</v>
      </c>
      <c r="H51">
        <v>2445176.5499999998</v>
      </c>
      <c r="I51">
        <v>767.38</v>
      </c>
    </row>
    <row r="52" spans="1:9" x14ac:dyDescent="0.2">
      <c r="A52" s="11">
        <v>45993</v>
      </c>
      <c r="B52" t="s">
        <v>6</v>
      </c>
      <c r="C52" t="s">
        <v>96</v>
      </c>
      <c r="D52" t="s">
        <v>120</v>
      </c>
      <c r="E52" t="s">
        <v>122</v>
      </c>
      <c r="F52" t="s">
        <v>14</v>
      </c>
      <c r="G52">
        <v>44</v>
      </c>
      <c r="H52">
        <v>4296205.76</v>
      </c>
      <c r="I52">
        <v>1348.3</v>
      </c>
    </row>
    <row r="53" spans="1:9" x14ac:dyDescent="0.2">
      <c r="A53" s="11">
        <v>45993</v>
      </c>
      <c r="B53" t="s">
        <v>6</v>
      </c>
      <c r="C53" t="s">
        <v>96</v>
      </c>
      <c r="D53" t="s">
        <v>120</v>
      </c>
      <c r="E53" t="s">
        <v>123</v>
      </c>
      <c r="F53" t="s">
        <v>18</v>
      </c>
      <c r="G53">
        <v>6</v>
      </c>
      <c r="H53">
        <v>468215.34</v>
      </c>
      <c r="I53">
        <v>146.94</v>
      </c>
    </row>
    <row r="54" spans="1:9" x14ac:dyDescent="0.2">
      <c r="A54" s="11">
        <v>45993</v>
      </c>
      <c r="B54" t="s">
        <v>6</v>
      </c>
      <c r="C54" t="s">
        <v>124</v>
      </c>
      <c r="D54" t="s">
        <v>125</v>
      </c>
      <c r="E54" t="s">
        <v>126</v>
      </c>
      <c r="F54" t="s">
        <v>16</v>
      </c>
      <c r="G54">
        <v>7</v>
      </c>
      <c r="H54">
        <v>547576.96</v>
      </c>
      <c r="I54">
        <v>171.85</v>
      </c>
    </row>
    <row r="55" spans="1:9" x14ac:dyDescent="0.2">
      <c r="A55" s="11">
        <v>45993</v>
      </c>
      <c r="B55" t="s">
        <v>6</v>
      </c>
      <c r="C55" t="s">
        <v>124</v>
      </c>
      <c r="D55" t="s">
        <v>125</v>
      </c>
      <c r="E55" t="s">
        <v>127</v>
      </c>
      <c r="F55" t="s">
        <v>18</v>
      </c>
      <c r="G55">
        <v>6</v>
      </c>
      <c r="H55">
        <v>241705.38</v>
      </c>
      <c r="I55">
        <v>75.86</v>
      </c>
    </row>
    <row r="56" spans="1:9" x14ac:dyDescent="0.2">
      <c r="A56" s="11">
        <v>45993</v>
      </c>
      <c r="B56" t="s">
        <v>6</v>
      </c>
      <c r="C56" t="s">
        <v>124</v>
      </c>
      <c r="D56" t="s">
        <v>125</v>
      </c>
      <c r="E56" t="s">
        <v>128</v>
      </c>
      <c r="F56" t="s">
        <v>14</v>
      </c>
      <c r="G56">
        <v>11</v>
      </c>
      <c r="H56">
        <v>833804.29</v>
      </c>
      <c r="I56">
        <v>261.68</v>
      </c>
    </row>
    <row r="57" spans="1:9" x14ac:dyDescent="0.2">
      <c r="A57" s="11">
        <v>45993</v>
      </c>
      <c r="B57" t="s">
        <v>10</v>
      </c>
      <c r="C57" t="s">
        <v>129</v>
      </c>
      <c r="D57" t="s">
        <v>130</v>
      </c>
      <c r="E57" t="s">
        <v>131</v>
      </c>
      <c r="F57" t="s">
        <v>18</v>
      </c>
      <c r="G57">
        <v>8</v>
      </c>
      <c r="H57">
        <v>970443.76</v>
      </c>
      <c r="I57">
        <v>304.56</v>
      </c>
    </row>
    <row r="58" spans="1:9" x14ac:dyDescent="0.2">
      <c r="A58" s="11">
        <v>45993</v>
      </c>
      <c r="B58" t="s">
        <v>10</v>
      </c>
      <c r="C58" t="s">
        <v>129</v>
      </c>
      <c r="D58" t="s">
        <v>130</v>
      </c>
      <c r="E58" t="s">
        <v>132</v>
      </c>
      <c r="F58" t="s">
        <v>5</v>
      </c>
      <c r="G58">
        <v>100</v>
      </c>
      <c r="H58">
        <v>7518927</v>
      </c>
      <c r="I58">
        <v>2359.6999999999998</v>
      </c>
    </row>
    <row r="59" spans="1:9" x14ac:dyDescent="0.2">
      <c r="A59" s="11">
        <v>45993</v>
      </c>
      <c r="B59" t="s">
        <v>10</v>
      </c>
      <c r="C59" t="s">
        <v>133</v>
      </c>
      <c r="D59" t="s">
        <v>134</v>
      </c>
      <c r="E59" t="s">
        <v>135</v>
      </c>
      <c r="F59" t="s">
        <v>22</v>
      </c>
      <c r="G59">
        <v>8</v>
      </c>
      <c r="H59">
        <v>371177.6</v>
      </c>
      <c r="I59">
        <v>116.49</v>
      </c>
    </row>
    <row r="60" spans="1:9" x14ac:dyDescent="0.2">
      <c r="A60" s="11">
        <v>45993</v>
      </c>
      <c r="B60" t="s">
        <v>10</v>
      </c>
      <c r="C60" t="s">
        <v>133</v>
      </c>
      <c r="D60" t="s">
        <v>134</v>
      </c>
      <c r="E60" t="s">
        <v>136</v>
      </c>
      <c r="F60" t="s">
        <v>5</v>
      </c>
      <c r="G60">
        <v>13</v>
      </c>
      <c r="H60">
        <v>850702.32</v>
      </c>
      <c r="I60">
        <v>266.98</v>
      </c>
    </row>
    <row r="61" spans="1:9" x14ac:dyDescent="0.2">
      <c r="A61" s="11">
        <v>45993</v>
      </c>
      <c r="B61" t="s">
        <v>10</v>
      </c>
      <c r="C61" t="s">
        <v>133</v>
      </c>
      <c r="D61" t="s">
        <v>134</v>
      </c>
      <c r="E61" t="s">
        <v>137</v>
      </c>
      <c r="F61" t="s">
        <v>16</v>
      </c>
      <c r="G61">
        <v>14</v>
      </c>
      <c r="H61">
        <v>796363.68</v>
      </c>
      <c r="I61">
        <v>249.93</v>
      </c>
    </row>
    <row r="62" spans="1:9" x14ac:dyDescent="0.2">
      <c r="A62" s="11">
        <v>45993</v>
      </c>
      <c r="B62" t="s">
        <v>9</v>
      </c>
      <c r="C62" t="s">
        <v>138</v>
      </c>
      <c r="D62" t="s">
        <v>139</v>
      </c>
      <c r="E62" t="s">
        <v>140</v>
      </c>
      <c r="F62" t="s">
        <v>5</v>
      </c>
      <c r="G62">
        <v>6</v>
      </c>
      <c r="H62">
        <v>280927.14</v>
      </c>
      <c r="I62">
        <v>88.16</v>
      </c>
    </row>
    <row r="63" spans="1:9" x14ac:dyDescent="0.2">
      <c r="A63" s="11">
        <v>45993</v>
      </c>
      <c r="B63" t="s">
        <v>9</v>
      </c>
      <c r="C63" t="s">
        <v>138</v>
      </c>
      <c r="D63" t="s">
        <v>139</v>
      </c>
      <c r="E63" t="s">
        <v>141</v>
      </c>
      <c r="F63" t="s">
        <v>5</v>
      </c>
      <c r="G63">
        <v>3</v>
      </c>
      <c r="H63">
        <v>221906.64</v>
      </c>
      <c r="I63">
        <v>69.64</v>
      </c>
    </row>
    <row r="64" spans="1:9" x14ac:dyDescent="0.2">
      <c r="A64" s="11">
        <v>45993</v>
      </c>
      <c r="B64" t="s">
        <v>9</v>
      </c>
      <c r="C64" t="s">
        <v>138</v>
      </c>
      <c r="D64" t="s">
        <v>139</v>
      </c>
      <c r="E64" t="s">
        <v>142</v>
      </c>
      <c r="F64" t="s">
        <v>16</v>
      </c>
      <c r="G64">
        <v>14</v>
      </c>
      <c r="H64">
        <v>738597.44</v>
      </c>
      <c r="I64">
        <v>231.8</v>
      </c>
    </row>
    <row r="65" spans="1:9" x14ac:dyDescent="0.2">
      <c r="A65" s="11">
        <v>45993</v>
      </c>
      <c r="B65" t="s">
        <v>11</v>
      </c>
      <c r="C65" t="s">
        <v>69</v>
      </c>
      <c r="D65" t="s">
        <v>143</v>
      </c>
      <c r="E65" t="s">
        <v>144</v>
      </c>
      <c r="F65" t="s">
        <v>22</v>
      </c>
      <c r="G65">
        <v>23</v>
      </c>
      <c r="H65">
        <v>1227667.0900000001</v>
      </c>
      <c r="I65">
        <v>385.28</v>
      </c>
    </row>
    <row r="66" spans="1:9" x14ac:dyDescent="0.2">
      <c r="A66" s="11">
        <v>45993</v>
      </c>
      <c r="B66" t="s">
        <v>11</v>
      </c>
      <c r="C66" t="s">
        <v>69</v>
      </c>
      <c r="D66" t="s">
        <v>143</v>
      </c>
      <c r="E66" t="s">
        <v>145</v>
      </c>
      <c r="F66" t="s">
        <v>22</v>
      </c>
      <c r="G66">
        <v>12</v>
      </c>
      <c r="H66">
        <v>679574.16</v>
      </c>
      <c r="I66">
        <v>213.27</v>
      </c>
    </row>
    <row r="67" spans="1:9" x14ac:dyDescent="0.2">
      <c r="A67" s="11">
        <v>45993</v>
      </c>
      <c r="B67" t="s">
        <v>12</v>
      </c>
      <c r="C67" t="s">
        <v>146</v>
      </c>
      <c r="D67" t="s">
        <v>147</v>
      </c>
      <c r="E67" t="s">
        <v>148</v>
      </c>
      <c r="F67" t="s">
        <v>20</v>
      </c>
      <c r="G67">
        <v>8</v>
      </c>
      <c r="H67">
        <v>1274376.8799999999</v>
      </c>
      <c r="I67">
        <v>399.94</v>
      </c>
    </row>
    <row r="68" spans="1:9" x14ac:dyDescent="0.2">
      <c r="A68" s="11">
        <v>45993</v>
      </c>
      <c r="B68" t="s">
        <v>12</v>
      </c>
      <c r="C68" t="s">
        <v>146</v>
      </c>
      <c r="D68" t="s">
        <v>147</v>
      </c>
      <c r="E68" t="s">
        <v>149</v>
      </c>
      <c r="F68" t="s">
        <v>14</v>
      </c>
      <c r="G68">
        <v>19</v>
      </c>
      <c r="H68">
        <v>1037779.05</v>
      </c>
      <c r="I68">
        <v>325.69</v>
      </c>
    </row>
    <row r="69" spans="1:9" x14ac:dyDescent="0.2">
      <c r="A69" s="11">
        <v>45993</v>
      </c>
      <c r="B69" t="s">
        <v>12</v>
      </c>
      <c r="C69" t="s">
        <v>146</v>
      </c>
      <c r="D69" t="s">
        <v>147</v>
      </c>
      <c r="E69" t="s">
        <v>150</v>
      </c>
      <c r="F69" t="s">
        <v>14</v>
      </c>
      <c r="G69">
        <v>5</v>
      </c>
      <c r="H69">
        <v>447316.75</v>
      </c>
      <c r="I69">
        <v>140.38</v>
      </c>
    </row>
    <row r="70" spans="1:9" x14ac:dyDescent="0.2">
      <c r="A70" s="11">
        <v>45993</v>
      </c>
      <c r="B70" t="s">
        <v>12</v>
      </c>
      <c r="C70" t="s">
        <v>146</v>
      </c>
      <c r="D70" t="s">
        <v>147</v>
      </c>
      <c r="E70" t="s">
        <v>151</v>
      </c>
      <c r="F70" t="s">
        <v>18</v>
      </c>
      <c r="G70">
        <v>15</v>
      </c>
      <c r="H70">
        <v>1204017.3</v>
      </c>
      <c r="I70">
        <v>377.86</v>
      </c>
    </row>
    <row r="71" spans="1:9" x14ac:dyDescent="0.2">
      <c r="A71" s="11">
        <v>45993</v>
      </c>
      <c r="B71" t="s">
        <v>11</v>
      </c>
      <c r="C71" t="s">
        <v>152</v>
      </c>
      <c r="D71" t="s">
        <v>153</v>
      </c>
      <c r="E71" t="s">
        <v>154</v>
      </c>
      <c r="F71" t="s">
        <v>22</v>
      </c>
      <c r="G71">
        <v>12</v>
      </c>
      <c r="H71">
        <v>350247.6</v>
      </c>
      <c r="I71">
        <v>109.92</v>
      </c>
    </row>
    <row r="72" spans="1:9" x14ac:dyDescent="0.2">
      <c r="A72" s="11">
        <v>45993</v>
      </c>
      <c r="B72" t="s">
        <v>11</v>
      </c>
      <c r="C72" t="s">
        <v>152</v>
      </c>
      <c r="D72" t="s">
        <v>153</v>
      </c>
      <c r="E72" t="s">
        <v>155</v>
      </c>
      <c r="F72" t="s">
        <v>5</v>
      </c>
      <c r="G72">
        <v>4</v>
      </c>
      <c r="H72">
        <v>181060.4</v>
      </c>
      <c r="I72">
        <v>56.82</v>
      </c>
    </row>
    <row r="73" spans="1:9" x14ac:dyDescent="0.2">
      <c r="A73" s="11">
        <v>45993</v>
      </c>
      <c r="B73" t="s">
        <v>8</v>
      </c>
      <c r="C73" t="s">
        <v>156</v>
      </c>
      <c r="D73" t="s">
        <v>157</v>
      </c>
      <c r="E73" t="s">
        <v>158</v>
      </c>
      <c r="F73" t="s">
        <v>14</v>
      </c>
      <c r="G73">
        <v>37</v>
      </c>
      <c r="H73">
        <v>3959482.48</v>
      </c>
      <c r="I73">
        <v>1242.6199999999999</v>
      </c>
    </row>
    <row r="74" spans="1:9" x14ac:dyDescent="0.2">
      <c r="A74" s="11">
        <v>45993</v>
      </c>
      <c r="B74" t="s">
        <v>8</v>
      </c>
      <c r="C74" t="s">
        <v>156</v>
      </c>
      <c r="D74" t="s">
        <v>157</v>
      </c>
      <c r="E74" t="s">
        <v>159</v>
      </c>
      <c r="F74" t="s">
        <v>5</v>
      </c>
      <c r="G74">
        <v>7</v>
      </c>
      <c r="H74">
        <v>378180.88</v>
      </c>
      <c r="I74">
        <v>118.69</v>
      </c>
    </row>
    <row r="75" spans="1:9" x14ac:dyDescent="0.2">
      <c r="A75" s="11">
        <v>45993</v>
      </c>
      <c r="B75" t="s">
        <v>11</v>
      </c>
      <c r="C75" t="s">
        <v>160</v>
      </c>
      <c r="D75" t="s">
        <v>161</v>
      </c>
      <c r="E75" t="s">
        <v>162</v>
      </c>
      <c r="F75" t="s">
        <v>16</v>
      </c>
      <c r="G75">
        <v>25</v>
      </c>
      <c r="H75">
        <v>3233659.75</v>
      </c>
      <c r="I75">
        <v>1014.83</v>
      </c>
    </row>
    <row r="76" spans="1:9" x14ac:dyDescent="0.2">
      <c r="A76" s="11">
        <v>45993</v>
      </c>
      <c r="B76" t="s">
        <v>12</v>
      </c>
      <c r="C76" t="s">
        <v>163</v>
      </c>
      <c r="D76" t="s">
        <v>164</v>
      </c>
      <c r="E76" t="s">
        <v>165</v>
      </c>
      <c r="F76" t="s">
        <v>18</v>
      </c>
      <c r="G76">
        <v>4</v>
      </c>
      <c r="H76">
        <v>371164.56</v>
      </c>
      <c r="I76">
        <v>116.48</v>
      </c>
    </row>
    <row r="77" spans="1:9" x14ac:dyDescent="0.2">
      <c r="A77" s="11">
        <v>45993</v>
      </c>
      <c r="B77" t="s">
        <v>12</v>
      </c>
      <c r="C77" t="s">
        <v>163</v>
      </c>
      <c r="D77" t="s">
        <v>164</v>
      </c>
      <c r="E77" t="s">
        <v>166</v>
      </c>
      <c r="F77" t="s">
        <v>5</v>
      </c>
      <c r="G77">
        <v>24</v>
      </c>
      <c r="H77">
        <v>692331.6</v>
      </c>
      <c r="I77">
        <v>217.28</v>
      </c>
    </row>
    <row r="78" spans="1:9" x14ac:dyDescent="0.2">
      <c r="A78" s="11">
        <v>45993</v>
      </c>
      <c r="B78" t="s">
        <v>10</v>
      </c>
      <c r="C78" t="s">
        <v>167</v>
      </c>
      <c r="D78" t="s">
        <v>168</v>
      </c>
      <c r="E78" t="s">
        <v>169</v>
      </c>
      <c r="F78" t="s">
        <v>22</v>
      </c>
      <c r="G78">
        <v>15</v>
      </c>
      <c r="H78">
        <v>571433.69999999995</v>
      </c>
      <c r="I78">
        <v>179.34</v>
      </c>
    </row>
    <row r="79" spans="1:9" x14ac:dyDescent="0.2">
      <c r="A79" s="11">
        <v>45993</v>
      </c>
      <c r="B79" t="s">
        <v>10</v>
      </c>
      <c r="C79" t="s">
        <v>167</v>
      </c>
      <c r="D79" t="s">
        <v>168</v>
      </c>
      <c r="E79" t="s">
        <v>170</v>
      </c>
      <c r="F79" t="s">
        <v>22</v>
      </c>
      <c r="G79">
        <v>15</v>
      </c>
      <c r="H79">
        <v>786187.05</v>
      </c>
      <c r="I79">
        <v>246.73</v>
      </c>
    </row>
    <row r="80" spans="1:9" x14ac:dyDescent="0.2">
      <c r="A80" s="11">
        <v>45993</v>
      </c>
      <c r="B80" t="s">
        <v>7</v>
      </c>
      <c r="C80" t="s">
        <v>171</v>
      </c>
      <c r="D80" t="s">
        <v>172</v>
      </c>
      <c r="E80" t="s">
        <v>173</v>
      </c>
      <c r="F80" t="s">
        <v>5</v>
      </c>
      <c r="G80">
        <v>9</v>
      </c>
      <c r="H80">
        <v>505644.93</v>
      </c>
      <c r="I80">
        <v>158.69</v>
      </c>
    </row>
    <row r="81" spans="1:9" x14ac:dyDescent="0.2">
      <c r="A81" s="11">
        <v>45993</v>
      </c>
      <c r="B81" t="s">
        <v>7</v>
      </c>
      <c r="C81" t="s">
        <v>171</v>
      </c>
      <c r="D81" t="s">
        <v>172</v>
      </c>
      <c r="E81" t="s">
        <v>174</v>
      </c>
      <c r="F81" t="s">
        <v>5</v>
      </c>
      <c r="G81">
        <v>32</v>
      </c>
      <c r="H81">
        <v>2202576.3199999998</v>
      </c>
      <c r="I81">
        <v>691.25</v>
      </c>
    </row>
    <row r="82" spans="1:9" x14ac:dyDescent="0.2">
      <c r="A82" s="11">
        <v>45993</v>
      </c>
      <c r="B82" t="s">
        <v>11</v>
      </c>
      <c r="C82" t="s">
        <v>175</v>
      </c>
      <c r="D82" t="s">
        <v>176</v>
      </c>
      <c r="E82" t="s">
        <v>177</v>
      </c>
      <c r="F82" t="s">
        <v>14</v>
      </c>
      <c r="G82">
        <v>19</v>
      </c>
      <c r="H82">
        <v>1325147.97</v>
      </c>
      <c r="I82">
        <v>415.88</v>
      </c>
    </row>
    <row r="83" spans="1:9" x14ac:dyDescent="0.2">
      <c r="A83" s="11">
        <v>45993</v>
      </c>
      <c r="B83" t="s">
        <v>11</v>
      </c>
      <c r="C83" t="s">
        <v>175</v>
      </c>
      <c r="D83" t="s">
        <v>176</v>
      </c>
      <c r="E83" t="s">
        <v>178</v>
      </c>
      <c r="F83" t="s">
        <v>20</v>
      </c>
      <c r="G83">
        <v>19</v>
      </c>
      <c r="H83">
        <v>4500123.21</v>
      </c>
      <c r="I83">
        <v>1412.3</v>
      </c>
    </row>
    <row r="84" spans="1:9" x14ac:dyDescent="0.2">
      <c r="A84" s="11">
        <v>45993</v>
      </c>
      <c r="B84" t="s">
        <v>11</v>
      </c>
      <c r="C84" t="s">
        <v>175</v>
      </c>
      <c r="D84" t="s">
        <v>176</v>
      </c>
      <c r="E84" t="s">
        <v>179</v>
      </c>
      <c r="F84" t="s">
        <v>22</v>
      </c>
      <c r="G84">
        <v>7</v>
      </c>
      <c r="H84">
        <v>194085.64</v>
      </c>
      <c r="I84">
        <v>60.91</v>
      </c>
    </row>
    <row r="85" spans="1:9" x14ac:dyDescent="0.2">
      <c r="A85" s="11">
        <v>45993</v>
      </c>
      <c r="B85" t="s">
        <v>6</v>
      </c>
      <c r="C85" t="s">
        <v>180</v>
      </c>
      <c r="D85" t="s">
        <v>181</v>
      </c>
      <c r="E85" t="s">
        <v>182</v>
      </c>
      <c r="F85" t="s">
        <v>18</v>
      </c>
      <c r="G85">
        <v>7</v>
      </c>
      <c r="H85">
        <v>527300.48</v>
      </c>
      <c r="I85">
        <v>165.49</v>
      </c>
    </row>
    <row r="86" spans="1:9" x14ac:dyDescent="0.2">
      <c r="A86" s="11">
        <v>45993</v>
      </c>
      <c r="B86" t="s">
        <v>6</v>
      </c>
      <c r="C86" t="s">
        <v>183</v>
      </c>
      <c r="D86" t="s">
        <v>184</v>
      </c>
      <c r="E86" t="s">
        <v>185</v>
      </c>
      <c r="F86" t="s">
        <v>22</v>
      </c>
      <c r="G86">
        <v>4</v>
      </c>
      <c r="H86">
        <v>153593.48000000001</v>
      </c>
      <c r="I86">
        <v>48.2</v>
      </c>
    </row>
    <row r="87" spans="1:9" x14ac:dyDescent="0.2">
      <c r="A87" s="11">
        <v>45993</v>
      </c>
      <c r="B87" t="s">
        <v>6</v>
      </c>
      <c r="C87" t="s">
        <v>183</v>
      </c>
      <c r="D87" t="s">
        <v>184</v>
      </c>
      <c r="E87" t="s">
        <v>186</v>
      </c>
      <c r="F87" t="s">
        <v>22</v>
      </c>
      <c r="G87">
        <v>7</v>
      </c>
      <c r="H87">
        <v>306515.02</v>
      </c>
      <c r="I87">
        <v>96.2</v>
      </c>
    </row>
    <row r="88" spans="1:9" x14ac:dyDescent="0.2">
      <c r="A88" s="11">
        <v>45993</v>
      </c>
      <c r="B88" t="s">
        <v>6</v>
      </c>
      <c r="C88" t="s">
        <v>183</v>
      </c>
      <c r="D88" t="s">
        <v>184</v>
      </c>
      <c r="E88" t="s">
        <v>187</v>
      </c>
      <c r="F88" t="s">
        <v>5</v>
      </c>
      <c r="G88">
        <v>17</v>
      </c>
      <c r="H88">
        <v>510089.42</v>
      </c>
      <c r="I88">
        <v>160.08000000000001</v>
      </c>
    </row>
    <row r="89" spans="1:9" x14ac:dyDescent="0.2">
      <c r="A89" s="11">
        <v>45993</v>
      </c>
      <c r="B89" t="s">
        <v>6</v>
      </c>
      <c r="C89" t="s">
        <v>183</v>
      </c>
      <c r="D89" t="s">
        <v>184</v>
      </c>
      <c r="E89" t="s">
        <v>188</v>
      </c>
      <c r="F89" t="s">
        <v>22</v>
      </c>
      <c r="G89">
        <v>3</v>
      </c>
      <c r="H89">
        <v>150799.82999999999</v>
      </c>
      <c r="I89">
        <v>47.33</v>
      </c>
    </row>
    <row r="90" spans="1:9" x14ac:dyDescent="0.2">
      <c r="A90" s="11">
        <v>45993</v>
      </c>
      <c r="B90" t="s">
        <v>6</v>
      </c>
      <c r="C90" t="s">
        <v>183</v>
      </c>
      <c r="D90" t="s">
        <v>184</v>
      </c>
      <c r="E90" t="s">
        <v>189</v>
      </c>
      <c r="F90" t="s">
        <v>5</v>
      </c>
      <c r="G90">
        <v>6</v>
      </c>
      <c r="H90">
        <v>234651.6</v>
      </c>
      <c r="I90">
        <v>73.64</v>
      </c>
    </row>
    <row r="91" spans="1:9" x14ac:dyDescent="0.2">
      <c r="A91" s="11">
        <v>45993</v>
      </c>
      <c r="B91" t="s">
        <v>7</v>
      </c>
      <c r="C91" t="s">
        <v>190</v>
      </c>
      <c r="D91" t="s">
        <v>191</v>
      </c>
      <c r="E91" t="s">
        <v>192</v>
      </c>
      <c r="F91" t="s">
        <v>22</v>
      </c>
      <c r="G91">
        <v>41</v>
      </c>
      <c r="H91">
        <v>2258487.46</v>
      </c>
      <c r="I91">
        <v>708.79</v>
      </c>
    </row>
    <row r="92" spans="1:9" x14ac:dyDescent="0.2">
      <c r="A92" s="11">
        <v>45993</v>
      </c>
      <c r="B92" t="s">
        <v>7</v>
      </c>
      <c r="C92" t="s">
        <v>190</v>
      </c>
      <c r="D92" t="s">
        <v>191</v>
      </c>
      <c r="E92" t="s">
        <v>193</v>
      </c>
      <c r="F92" t="s">
        <v>22</v>
      </c>
      <c r="G92">
        <v>5</v>
      </c>
      <c r="H92">
        <v>236741.85</v>
      </c>
      <c r="I92">
        <v>74.3</v>
      </c>
    </row>
    <row r="93" spans="1:9" x14ac:dyDescent="0.2">
      <c r="A93" s="11">
        <v>45993</v>
      </c>
      <c r="B93" t="s">
        <v>7</v>
      </c>
      <c r="C93" t="s">
        <v>190</v>
      </c>
      <c r="D93" t="s">
        <v>191</v>
      </c>
      <c r="E93" t="s">
        <v>194</v>
      </c>
      <c r="F93" t="s">
        <v>14</v>
      </c>
      <c r="G93">
        <v>15</v>
      </c>
      <c r="H93">
        <v>1165635.45</v>
      </c>
      <c r="I93">
        <v>365.82</v>
      </c>
    </row>
    <row r="94" spans="1:9" x14ac:dyDescent="0.2">
      <c r="A94" s="11">
        <v>45993</v>
      </c>
      <c r="B94" t="s">
        <v>10</v>
      </c>
      <c r="C94" t="s">
        <v>195</v>
      </c>
      <c r="D94" t="s">
        <v>196</v>
      </c>
      <c r="E94" t="s">
        <v>197</v>
      </c>
      <c r="F94" t="s">
        <v>18</v>
      </c>
      <c r="G94">
        <v>27</v>
      </c>
      <c r="H94">
        <v>2921808.51</v>
      </c>
      <c r="I94">
        <v>916.97</v>
      </c>
    </row>
    <row r="95" spans="1:9" x14ac:dyDescent="0.2">
      <c r="A95" s="11">
        <v>45993</v>
      </c>
      <c r="B95" t="s">
        <v>10</v>
      </c>
      <c r="C95" t="s">
        <v>195</v>
      </c>
      <c r="D95" t="s">
        <v>196</v>
      </c>
      <c r="E95" t="s">
        <v>198</v>
      </c>
      <c r="F95" t="s">
        <v>5</v>
      </c>
      <c r="G95">
        <v>11</v>
      </c>
      <c r="H95">
        <v>312219.93</v>
      </c>
      <c r="I95">
        <v>97.99</v>
      </c>
    </row>
    <row r="96" spans="1:9" x14ac:dyDescent="0.2">
      <c r="A96" s="11">
        <v>45993</v>
      </c>
      <c r="B96" t="s">
        <v>10</v>
      </c>
      <c r="C96" t="s">
        <v>195</v>
      </c>
      <c r="D96" t="s">
        <v>196</v>
      </c>
      <c r="E96" t="s">
        <v>199</v>
      </c>
      <c r="F96" t="s">
        <v>22</v>
      </c>
      <c r="G96">
        <v>23</v>
      </c>
      <c r="H96">
        <v>1415467.38</v>
      </c>
      <c r="I96">
        <v>444.22</v>
      </c>
    </row>
    <row r="97" spans="1:9" x14ac:dyDescent="0.2">
      <c r="A97" s="11">
        <v>45993</v>
      </c>
      <c r="B97" t="s">
        <v>12</v>
      </c>
      <c r="C97" t="s">
        <v>200</v>
      </c>
      <c r="D97" t="s">
        <v>201</v>
      </c>
      <c r="E97" t="s">
        <v>202</v>
      </c>
      <c r="F97" t="s">
        <v>5</v>
      </c>
      <c r="G97">
        <v>44</v>
      </c>
      <c r="H97">
        <v>2631026.64</v>
      </c>
      <c r="I97">
        <v>825.71</v>
      </c>
    </row>
    <row r="98" spans="1:9" x14ac:dyDescent="0.2">
      <c r="A98" s="11">
        <v>45993</v>
      </c>
      <c r="B98" t="s">
        <v>12</v>
      </c>
      <c r="C98" t="s">
        <v>200</v>
      </c>
      <c r="D98" t="s">
        <v>201</v>
      </c>
      <c r="E98" t="s">
        <v>203</v>
      </c>
      <c r="F98" t="s">
        <v>18</v>
      </c>
      <c r="G98">
        <v>6</v>
      </c>
      <c r="H98">
        <v>300102.78000000003</v>
      </c>
      <c r="I98">
        <v>94.18</v>
      </c>
    </row>
    <row r="99" spans="1:9" x14ac:dyDescent="0.2">
      <c r="A99" s="11">
        <v>45993</v>
      </c>
      <c r="B99" t="s">
        <v>12</v>
      </c>
      <c r="C99" t="s">
        <v>204</v>
      </c>
      <c r="D99" t="s">
        <v>205</v>
      </c>
      <c r="E99" t="s">
        <v>206</v>
      </c>
      <c r="F99" t="s">
        <v>16</v>
      </c>
      <c r="G99">
        <v>7</v>
      </c>
      <c r="H99">
        <v>624291.36</v>
      </c>
      <c r="I99">
        <v>195.92</v>
      </c>
    </row>
    <row r="100" spans="1:9" x14ac:dyDescent="0.2">
      <c r="A100" s="11">
        <v>45993</v>
      </c>
      <c r="B100" t="s">
        <v>12</v>
      </c>
      <c r="C100" t="s">
        <v>204</v>
      </c>
      <c r="D100" t="s">
        <v>205</v>
      </c>
      <c r="E100" t="s">
        <v>207</v>
      </c>
      <c r="F100" t="s">
        <v>20</v>
      </c>
      <c r="G100">
        <v>6</v>
      </c>
      <c r="H100">
        <v>1450210.2</v>
      </c>
      <c r="I100">
        <v>455.13</v>
      </c>
    </row>
    <row r="101" spans="1:9" x14ac:dyDescent="0.2">
      <c r="A101" s="11">
        <v>45993</v>
      </c>
      <c r="B101" t="s">
        <v>6</v>
      </c>
      <c r="C101" t="s">
        <v>129</v>
      </c>
      <c r="D101" t="s">
        <v>208</v>
      </c>
      <c r="E101" t="s">
        <v>209</v>
      </c>
      <c r="F101" t="s">
        <v>20</v>
      </c>
      <c r="G101">
        <v>10</v>
      </c>
      <c r="H101">
        <v>1784380.1</v>
      </c>
      <c r="I101">
        <v>560</v>
      </c>
    </row>
    <row r="102" spans="1:9" x14ac:dyDescent="0.2">
      <c r="A102" s="11">
        <v>45993</v>
      </c>
      <c r="B102" t="s">
        <v>6</v>
      </c>
      <c r="C102" t="s">
        <v>129</v>
      </c>
      <c r="D102" t="s">
        <v>208</v>
      </c>
      <c r="E102" t="s">
        <v>210</v>
      </c>
      <c r="F102" t="s">
        <v>22</v>
      </c>
      <c r="G102">
        <v>8</v>
      </c>
      <c r="H102">
        <v>303477.52</v>
      </c>
      <c r="I102">
        <v>95.24</v>
      </c>
    </row>
    <row r="103" spans="1:9" x14ac:dyDescent="0.2">
      <c r="A103" s="11">
        <v>45993</v>
      </c>
      <c r="B103" t="s">
        <v>6</v>
      </c>
      <c r="C103" t="s">
        <v>129</v>
      </c>
      <c r="D103" t="s">
        <v>208</v>
      </c>
      <c r="E103" t="s">
        <v>211</v>
      </c>
      <c r="F103" t="s">
        <v>16</v>
      </c>
      <c r="G103">
        <v>26</v>
      </c>
      <c r="H103">
        <v>1972030.32</v>
      </c>
      <c r="I103">
        <v>618.89</v>
      </c>
    </row>
    <row r="104" spans="1:9" x14ac:dyDescent="0.2">
      <c r="A104" s="11">
        <v>45993</v>
      </c>
      <c r="B104" t="s">
        <v>6</v>
      </c>
      <c r="C104" t="s">
        <v>212</v>
      </c>
      <c r="D104" t="s">
        <v>213</v>
      </c>
      <c r="E104" t="s">
        <v>214</v>
      </c>
      <c r="F104" t="s">
        <v>16</v>
      </c>
      <c r="G104">
        <v>14</v>
      </c>
      <c r="H104">
        <v>2248501.08</v>
      </c>
      <c r="I104">
        <v>705.66</v>
      </c>
    </row>
    <row r="105" spans="1:9" x14ac:dyDescent="0.2">
      <c r="A105" s="11">
        <v>45993</v>
      </c>
      <c r="B105" t="s">
        <v>6</v>
      </c>
      <c r="C105" t="s">
        <v>212</v>
      </c>
      <c r="D105" t="s">
        <v>213</v>
      </c>
      <c r="E105" t="s">
        <v>215</v>
      </c>
      <c r="F105" t="s">
        <v>18</v>
      </c>
      <c r="G105">
        <v>9</v>
      </c>
      <c r="H105">
        <v>831960</v>
      </c>
      <c r="I105">
        <v>261.10000000000002</v>
      </c>
    </row>
    <row r="106" spans="1:9" x14ac:dyDescent="0.2">
      <c r="A106" s="11">
        <v>45993</v>
      </c>
      <c r="B106" t="s">
        <v>6</v>
      </c>
      <c r="C106" t="s">
        <v>212</v>
      </c>
      <c r="D106" t="s">
        <v>213</v>
      </c>
      <c r="E106" t="s">
        <v>216</v>
      </c>
      <c r="F106" t="s">
        <v>20</v>
      </c>
      <c r="G106">
        <v>34</v>
      </c>
      <c r="H106">
        <v>3677413.82</v>
      </c>
      <c r="I106">
        <v>1154.0999999999999</v>
      </c>
    </row>
    <row r="107" spans="1:9" x14ac:dyDescent="0.2">
      <c r="A107" s="11">
        <v>45993</v>
      </c>
      <c r="B107" t="s">
        <v>6</v>
      </c>
      <c r="C107" t="s">
        <v>212</v>
      </c>
      <c r="D107" t="s">
        <v>213</v>
      </c>
      <c r="E107" t="s">
        <v>145</v>
      </c>
      <c r="F107" t="s">
        <v>22</v>
      </c>
      <c r="G107">
        <v>20</v>
      </c>
      <c r="H107">
        <v>1128181.2</v>
      </c>
      <c r="I107">
        <v>354.06</v>
      </c>
    </row>
    <row r="108" spans="1:9" x14ac:dyDescent="0.2">
      <c r="A108" s="11">
        <v>45993</v>
      </c>
      <c r="B108" t="s">
        <v>8</v>
      </c>
      <c r="C108" t="s">
        <v>217</v>
      </c>
      <c r="D108" t="s">
        <v>218</v>
      </c>
      <c r="E108" t="s">
        <v>219</v>
      </c>
      <c r="F108" t="s">
        <v>5</v>
      </c>
      <c r="G108">
        <v>24</v>
      </c>
      <c r="H108">
        <v>1854791.04</v>
      </c>
      <c r="I108">
        <v>582.1</v>
      </c>
    </row>
    <row r="109" spans="1:9" x14ac:dyDescent="0.2">
      <c r="A109" s="11">
        <v>45993</v>
      </c>
      <c r="B109" t="s">
        <v>8</v>
      </c>
      <c r="C109" t="s">
        <v>220</v>
      </c>
      <c r="D109" t="s">
        <v>221</v>
      </c>
      <c r="E109" t="s">
        <v>222</v>
      </c>
      <c r="F109" t="s">
        <v>18</v>
      </c>
      <c r="G109">
        <v>14</v>
      </c>
      <c r="H109">
        <v>1704118.92</v>
      </c>
      <c r="I109">
        <v>534.80999999999995</v>
      </c>
    </row>
    <row r="110" spans="1:9" x14ac:dyDescent="0.2">
      <c r="A110" s="11">
        <v>45993</v>
      </c>
      <c r="B110" t="s">
        <v>8</v>
      </c>
      <c r="C110" t="s">
        <v>220</v>
      </c>
      <c r="D110" t="s">
        <v>221</v>
      </c>
      <c r="E110" t="s">
        <v>223</v>
      </c>
      <c r="F110" t="s">
        <v>20</v>
      </c>
      <c r="G110">
        <v>9</v>
      </c>
      <c r="H110">
        <v>1681534.71</v>
      </c>
      <c r="I110">
        <v>527.72</v>
      </c>
    </row>
    <row r="111" spans="1:9" x14ac:dyDescent="0.2">
      <c r="A111" s="11">
        <v>45993</v>
      </c>
      <c r="B111" t="s">
        <v>8</v>
      </c>
      <c r="C111" t="s">
        <v>220</v>
      </c>
      <c r="D111" t="s">
        <v>221</v>
      </c>
      <c r="E111" t="s">
        <v>224</v>
      </c>
      <c r="F111" t="s">
        <v>22</v>
      </c>
      <c r="G111">
        <v>4</v>
      </c>
      <c r="H111">
        <v>211203.32</v>
      </c>
      <c r="I111">
        <v>66.28</v>
      </c>
    </row>
    <row r="112" spans="1:9" x14ac:dyDescent="0.2">
      <c r="A112" s="11">
        <v>45993</v>
      </c>
      <c r="B112" t="s">
        <v>8</v>
      </c>
      <c r="C112" t="s">
        <v>220</v>
      </c>
      <c r="D112" t="s">
        <v>221</v>
      </c>
      <c r="E112" t="s">
        <v>225</v>
      </c>
      <c r="F112" t="s">
        <v>16</v>
      </c>
      <c r="G112">
        <v>13</v>
      </c>
      <c r="H112">
        <v>951791.75</v>
      </c>
      <c r="I112">
        <v>298.70999999999998</v>
      </c>
    </row>
    <row r="113" spans="1:9" x14ac:dyDescent="0.2">
      <c r="A113" s="11">
        <v>45994</v>
      </c>
      <c r="B113" t="s">
        <v>8</v>
      </c>
      <c r="C113" t="s">
        <v>226</v>
      </c>
      <c r="D113" t="s">
        <v>227</v>
      </c>
      <c r="E113" t="s">
        <v>228</v>
      </c>
      <c r="F113" t="s">
        <v>5</v>
      </c>
      <c r="G113">
        <v>14</v>
      </c>
      <c r="H113">
        <v>775580.82</v>
      </c>
      <c r="I113">
        <v>243.4</v>
      </c>
    </row>
    <row r="114" spans="1:9" x14ac:dyDescent="0.2">
      <c r="A114" s="11">
        <v>45994</v>
      </c>
      <c r="B114" t="s">
        <v>8</v>
      </c>
      <c r="C114" t="s">
        <v>226</v>
      </c>
      <c r="D114" t="s">
        <v>227</v>
      </c>
      <c r="E114" t="s">
        <v>229</v>
      </c>
      <c r="F114" t="s">
        <v>18</v>
      </c>
      <c r="G114">
        <v>2</v>
      </c>
      <c r="H114">
        <v>96750.54</v>
      </c>
      <c r="I114">
        <v>30.36</v>
      </c>
    </row>
    <row r="115" spans="1:9" x14ac:dyDescent="0.2">
      <c r="A115" s="11">
        <v>45994</v>
      </c>
      <c r="B115" t="s">
        <v>7</v>
      </c>
      <c r="C115" t="s">
        <v>230</v>
      </c>
      <c r="D115" t="s">
        <v>231</v>
      </c>
      <c r="E115" t="s">
        <v>232</v>
      </c>
      <c r="F115" t="s">
        <v>16</v>
      </c>
      <c r="G115">
        <v>28</v>
      </c>
      <c r="H115">
        <v>2974382.32</v>
      </c>
      <c r="I115">
        <v>933.46</v>
      </c>
    </row>
    <row r="116" spans="1:9" x14ac:dyDescent="0.2">
      <c r="A116" s="11">
        <v>45994</v>
      </c>
      <c r="B116" t="s">
        <v>10</v>
      </c>
      <c r="C116" t="s">
        <v>233</v>
      </c>
      <c r="D116" t="s">
        <v>234</v>
      </c>
      <c r="E116" t="s">
        <v>235</v>
      </c>
      <c r="F116" t="s">
        <v>16</v>
      </c>
      <c r="G116">
        <v>7</v>
      </c>
      <c r="H116">
        <v>828772.21</v>
      </c>
      <c r="I116">
        <v>260.10000000000002</v>
      </c>
    </row>
    <row r="117" spans="1:9" x14ac:dyDescent="0.2">
      <c r="A117" s="11">
        <v>45994</v>
      </c>
      <c r="B117" t="s">
        <v>8</v>
      </c>
      <c r="C117" t="s">
        <v>236</v>
      </c>
      <c r="D117" t="s">
        <v>237</v>
      </c>
      <c r="E117" t="s">
        <v>238</v>
      </c>
      <c r="F117" t="s">
        <v>22</v>
      </c>
      <c r="G117">
        <v>14</v>
      </c>
      <c r="H117">
        <v>695493.26</v>
      </c>
      <c r="I117">
        <v>218.27</v>
      </c>
    </row>
    <row r="118" spans="1:9" x14ac:dyDescent="0.2">
      <c r="A118" s="11">
        <v>45994</v>
      </c>
      <c r="B118" t="s">
        <v>8</v>
      </c>
      <c r="C118" t="s">
        <v>236</v>
      </c>
      <c r="D118" t="s">
        <v>237</v>
      </c>
      <c r="E118" t="s">
        <v>239</v>
      </c>
      <c r="F118" t="s">
        <v>5</v>
      </c>
      <c r="G118">
        <v>46</v>
      </c>
      <c r="H118">
        <v>1327531.48</v>
      </c>
      <c r="I118">
        <v>416.63</v>
      </c>
    </row>
    <row r="119" spans="1:9" x14ac:dyDescent="0.2">
      <c r="A119" s="11">
        <v>45994</v>
      </c>
      <c r="B119" t="s">
        <v>8</v>
      </c>
      <c r="C119" t="s">
        <v>236</v>
      </c>
      <c r="D119" t="s">
        <v>237</v>
      </c>
      <c r="E119" t="s">
        <v>47</v>
      </c>
      <c r="F119" t="s">
        <v>18</v>
      </c>
      <c r="G119">
        <v>40</v>
      </c>
      <c r="H119">
        <v>3021932.4</v>
      </c>
      <c r="I119">
        <v>948.39</v>
      </c>
    </row>
    <row r="120" spans="1:9" x14ac:dyDescent="0.2">
      <c r="A120" s="11">
        <v>45994</v>
      </c>
      <c r="B120" t="s">
        <v>8</v>
      </c>
      <c r="C120" t="s">
        <v>236</v>
      </c>
      <c r="D120" t="s">
        <v>237</v>
      </c>
      <c r="E120" t="s">
        <v>240</v>
      </c>
      <c r="F120" t="s">
        <v>14</v>
      </c>
      <c r="G120">
        <v>10</v>
      </c>
      <c r="H120">
        <v>421389.5</v>
      </c>
      <c r="I120">
        <v>132.25</v>
      </c>
    </row>
    <row r="121" spans="1:9" x14ac:dyDescent="0.2">
      <c r="A121" s="11">
        <v>45994</v>
      </c>
      <c r="B121" t="s">
        <v>12</v>
      </c>
      <c r="C121" t="s">
        <v>241</v>
      </c>
      <c r="D121" t="s">
        <v>242</v>
      </c>
      <c r="E121" t="s">
        <v>243</v>
      </c>
      <c r="F121" t="s">
        <v>16</v>
      </c>
      <c r="G121">
        <v>8</v>
      </c>
      <c r="H121">
        <v>1119849.76</v>
      </c>
      <c r="I121">
        <v>351.45</v>
      </c>
    </row>
    <row r="122" spans="1:9" x14ac:dyDescent="0.2">
      <c r="A122" s="11">
        <v>45994</v>
      </c>
      <c r="B122" t="s">
        <v>11</v>
      </c>
      <c r="C122" t="s">
        <v>244</v>
      </c>
      <c r="D122" t="s">
        <v>245</v>
      </c>
      <c r="E122" t="s">
        <v>246</v>
      </c>
      <c r="F122" t="s">
        <v>14</v>
      </c>
      <c r="G122">
        <v>10</v>
      </c>
      <c r="H122">
        <v>351748.1</v>
      </c>
      <c r="I122">
        <v>110.39</v>
      </c>
    </row>
    <row r="123" spans="1:9" x14ac:dyDescent="0.2">
      <c r="A123" s="11">
        <v>45994</v>
      </c>
      <c r="B123" t="s">
        <v>11</v>
      </c>
      <c r="C123" t="s">
        <v>244</v>
      </c>
      <c r="D123" t="s">
        <v>245</v>
      </c>
      <c r="E123" t="s">
        <v>247</v>
      </c>
      <c r="F123" t="s">
        <v>18</v>
      </c>
      <c r="G123">
        <v>17</v>
      </c>
      <c r="H123">
        <v>1607040.94</v>
      </c>
      <c r="I123">
        <v>504.35</v>
      </c>
    </row>
    <row r="124" spans="1:9" x14ac:dyDescent="0.2">
      <c r="A124" s="11">
        <v>45994</v>
      </c>
      <c r="B124" t="s">
        <v>9</v>
      </c>
      <c r="C124" t="s">
        <v>248</v>
      </c>
      <c r="D124" t="s">
        <v>249</v>
      </c>
      <c r="E124" t="s">
        <v>122</v>
      </c>
      <c r="F124" t="s">
        <v>14</v>
      </c>
      <c r="G124">
        <v>3</v>
      </c>
      <c r="H124">
        <v>295830.96000000002</v>
      </c>
      <c r="I124">
        <v>92.84</v>
      </c>
    </row>
    <row r="125" spans="1:9" x14ac:dyDescent="0.2">
      <c r="A125" s="11">
        <v>45994</v>
      </c>
      <c r="B125" t="s">
        <v>9</v>
      </c>
      <c r="C125" t="s">
        <v>248</v>
      </c>
      <c r="D125" t="s">
        <v>249</v>
      </c>
      <c r="E125" t="s">
        <v>250</v>
      </c>
      <c r="F125" t="s">
        <v>16</v>
      </c>
      <c r="G125">
        <v>12</v>
      </c>
      <c r="H125">
        <v>1703581.56</v>
      </c>
      <c r="I125">
        <v>534.64</v>
      </c>
    </row>
    <row r="126" spans="1:9" x14ac:dyDescent="0.2">
      <c r="A126" s="11">
        <v>45994</v>
      </c>
      <c r="B126" t="s">
        <v>9</v>
      </c>
      <c r="C126" t="s">
        <v>248</v>
      </c>
      <c r="D126" t="s">
        <v>249</v>
      </c>
      <c r="E126" t="s">
        <v>224</v>
      </c>
      <c r="F126" t="s">
        <v>22</v>
      </c>
      <c r="G126">
        <v>16</v>
      </c>
      <c r="H126">
        <v>831567.84</v>
      </c>
      <c r="I126">
        <v>260.97000000000003</v>
      </c>
    </row>
    <row r="127" spans="1:9" x14ac:dyDescent="0.2">
      <c r="A127" s="11">
        <v>45994</v>
      </c>
      <c r="B127" t="s">
        <v>11</v>
      </c>
      <c r="C127" t="s">
        <v>251</v>
      </c>
      <c r="D127" t="s">
        <v>252</v>
      </c>
      <c r="E127" t="s">
        <v>253</v>
      </c>
      <c r="F127" t="s">
        <v>5</v>
      </c>
      <c r="G127">
        <v>7</v>
      </c>
      <c r="H127">
        <v>376928.09</v>
      </c>
      <c r="I127">
        <v>118.29</v>
      </c>
    </row>
    <row r="128" spans="1:9" x14ac:dyDescent="0.2">
      <c r="A128" s="11">
        <v>45994</v>
      </c>
      <c r="B128" t="s">
        <v>11</v>
      </c>
      <c r="C128" t="s">
        <v>251</v>
      </c>
      <c r="D128" t="s">
        <v>252</v>
      </c>
      <c r="E128" t="s">
        <v>254</v>
      </c>
      <c r="F128" t="s">
        <v>18</v>
      </c>
      <c r="G128">
        <v>6</v>
      </c>
      <c r="H128">
        <v>422970.72</v>
      </c>
      <c r="I128">
        <v>132.74</v>
      </c>
    </row>
    <row r="129" spans="1:9" x14ac:dyDescent="0.2">
      <c r="A129" s="11">
        <v>45994</v>
      </c>
      <c r="B129" t="s">
        <v>12</v>
      </c>
      <c r="C129" t="s">
        <v>255</v>
      </c>
      <c r="D129" t="s">
        <v>256</v>
      </c>
      <c r="E129" t="s">
        <v>257</v>
      </c>
      <c r="F129" t="s">
        <v>18</v>
      </c>
      <c r="G129">
        <v>4</v>
      </c>
      <c r="H129">
        <v>274071.8</v>
      </c>
      <c r="I129">
        <v>86.01</v>
      </c>
    </row>
    <row r="130" spans="1:9" x14ac:dyDescent="0.2">
      <c r="A130" s="11">
        <v>45994</v>
      </c>
      <c r="B130" t="s">
        <v>12</v>
      </c>
      <c r="C130" t="s">
        <v>255</v>
      </c>
      <c r="D130" t="s">
        <v>256</v>
      </c>
      <c r="E130" t="s">
        <v>50</v>
      </c>
      <c r="F130" t="s">
        <v>5</v>
      </c>
      <c r="G130">
        <v>23</v>
      </c>
      <c r="H130">
        <v>1634790.55</v>
      </c>
      <c r="I130">
        <v>513.04999999999995</v>
      </c>
    </row>
    <row r="131" spans="1:9" x14ac:dyDescent="0.2">
      <c r="A131" s="11">
        <v>45994</v>
      </c>
      <c r="B131" t="s">
        <v>12</v>
      </c>
      <c r="C131" t="s">
        <v>255</v>
      </c>
      <c r="D131" t="s">
        <v>256</v>
      </c>
      <c r="E131" t="s">
        <v>258</v>
      </c>
      <c r="F131" t="s">
        <v>14</v>
      </c>
      <c r="G131">
        <v>8</v>
      </c>
      <c r="H131">
        <v>289186.08</v>
      </c>
      <c r="I131">
        <v>90.76</v>
      </c>
    </row>
    <row r="132" spans="1:9" x14ac:dyDescent="0.2">
      <c r="A132" s="11">
        <v>45994</v>
      </c>
      <c r="B132" t="s">
        <v>12</v>
      </c>
      <c r="C132" t="s">
        <v>255</v>
      </c>
      <c r="D132" t="s">
        <v>256</v>
      </c>
      <c r="E132" t="s">
        <v>259</v>
      </c>
      <c r="F132" t="s">
        <v>5</v>
      </c>
      <c r="G132">
        <v>26</v>
      </c>
      <c r="H132">
        <v>707814.64</v>
      </c>
      <c r="I132">
        <v>222.14</v>
      </c>
    </row>
    <row r="133" spans="1:9" x14ac:dyDescent="0.2">
      <c r="A133" s="11">
        <v>45994</v>
      </c>
      <c r="B133" t="s">
        <v>8</v>
      </c>
      <c r="C133" t="s">
        <v>260</v>
      </c>
      <c r="D133" t="s">
        <v>261</v>
      </c>
      <c r="E133" t="s">
        <v>262</v>
      </c>
      <c r="F133" t="s">
        <v>18</v>
      </c>
      <c r="G133">
        <v>20</v>
      </c>
      <c r="H133">
        <v>1576988.4</v>
      </c>
      <c r="I133">
        <v>494.91</v>
      </c>
    </row>
    <row r="134" spans="1:9" x14ac:dyDescent="0.2">
      <c r="A134" s="11">
        <v>45994</v>
      </c>
      <c r="B134" t="s">
        <v>8</v>
      </c>
      <c r="C134" t="s">
        <v>260</v>
      </c>
      <c r="D134" t="s">
        <v>261</v>
      </c>
      <c r="E134" t="s">
        <v>263</v>
      </c>
      <c r="F134" t="s">
        <v>18</v>
      </c>
      <c r="G134">
        <v>17</v>
      </c>
      <c r="H134">
        <v>953857.93</v>
      </c>
      <c r="I134">
        <v>299.35000000000002</v>
      </c>
    </row>
    <row r="135" spans="1:9" x14ac:dyDescent="0.2">
      <c r="A135" s="11">
        <v>45994</v>
      </c>
      <c r="B135" t="s">
        <v>8</v>
      </c>
      <c r="C135" t="s">
        <v>260</v>
      </c>
      <c r="D135" t="s">
        <v>261</v>
      </c>
      <c r="E135" t="s">
        <v>264</v>
      </c>
      <c r="F135" t="s">
        <v>16</v>
      </c>
      <c r="G135">
        <v>5</v>
      </c>
      <c r="H135">
        <v>630290.35</v>
      </c>
      <c r="I135">
        <v>197.81</v>
      </c>
    </row>
    <row r="136" spans="1:9" x14ac:dyDescent="0.2">
      <c r="A136" s="11">
        <v>45994</v>
      </c>
      <c r="B136" t="s">
        <v>12</v>
      </c>
      <c r="C136" t="s">
        <v>265</v>
      </c>
      <c r="D136" t="s">
        <v>266</v>
      </c>
      <c r="E136" t="s">
        <v>267</v>
      </c>
      <c r="F136" t="s">
        <v>16</v>
      </c>
      <c r="G136">
        <v>51</v>
      </c>
      <c r="H136">
        <v>5263302.51</v>
      </c>
      <c r="I136">
        <v>1651.81</v>
      </c>
    </row>
    <row r="137" spans="1:9" x14ac:dyDescent="0.2">
      <c r="A137" s="11">
        <v>45994</v>
      </c>
      <c r="B137" t="s">
        <v>12</v>
      </c>
      <c r="C137" t="s">
        <v>265</v>
      </c>
      <c r="D137" t="s">
        <v>266</v>
      </c>
      <c r="E137" t="s">
        <v>268</v>
      </c>
      <c r="F137" t="s">
        <v>16</v>
      </c>
      <c r="G137">
        <v>34</v>
      </c>
      <c r="H137">
        <v>3653944.98</v>
      </c>
      <c r="I137">
        <v>1146.74</v>
      </c>
    </row>
    <row r="138" spans="1:9" x14ac:dyDescent="0.2">
      <c r="A138" s="11">
        <v>45994</v>
      </c>
      <c r="B138" t="s">
        <v>11</v>
      </c>
      <c r="C138" t="s">
        <v>269</v>
      </c>
      <c r="D138" t="s">
        <v>270</v>
      </c>
      <c r="E138" t="s">
        <v>271</v>
      </c>
      <c r="F138" t="s">
        <v>20</v>
      </c>
      <c r="G138">
        <v>3</v>
      </c>
      <c r="H138">
        <v>687096.21</v>
      </c>
      <c r="I138">
        <v>215.63</v>
      </c>
    </row>
    <row r="139" spans="1:9" x14ac:dyDescent="0.2">
      <c r="A139" s="11">
        <v>45994</v>
      </c>
      <c r="B139" t="s">
        <v>10</v>
      </c>
      <c r="C139" t="s">
        <v>272</v>
      </c>
      <c r="D139" t="s">
        <v>273</v>
      </c>
      <c r="E139" t="s">
        <v>274</v>
      </c>
      <c r="F139" t="s">
        <v>5</v>
      </c>
      <c r="G139">
        <v>10</v>
      </c>
      <c r="H139">
        <v>739626.8</v>
      </c>
      <c r="I139">
        <v>232.12</v>
      </c>
    </row>
    <row r="140" spans="1:9" x14ac:dyDescent="0.2">
      <c r="A140" s="11">
        <v>45994</v>
      </c>
      <c r="B140" t="s">
        <v>10</v>
      </c>
      <c r="C140" t="s">
        <v>272</v>
      </c>
      <c r="D140" t="s">
        <v>273</v>
      </c>
      <c r="E140" t="s">
        <v>275</v>
      </c>
      <c r="F140" t="s">
        <v>18</v>
      </c>
      <c r="G140">
        <v>13</v>
      </c>
      <c r="H140">
        <v>1124189.95</v>
      </c>
      <c r="I140">
        <v>352.81</v>
      </c>
    </row>
    <row r="141" spans="1:9" x14ac:dyDescent="0.2">
      <c r="A141" s="11">
        <v>45994</v>
      </c>
      <c r="B141" t="s">
        <v>7</v>
      </c>
      <c r="C141" t="s">
        <v>276</v>
      </c>
      <c r="D141" t="s">
        <v>277</v>
      </c>
      <c r="E141" t="s">
        <v>278</v>
      </c>
      <c r="F141" t="s">
        <v>22</v>
      </c>
      <c r="G141">
        <v>3</v>
      </c>
      <c r="H141">
        <v>147689.43</v>
      </c>
      <c r="I141">
        <v>46.35</v>
      </c>
    </row>
    <row r="142" spans="1:9" x14ac:dyDescent="0.2">
      <c r="A142" s="11">
        <v>45994</v>
      </c>
      <c r="B142" t="s">
        <v>7</v>
      </c>
      <c r="C142" t="s">
        <v>276</v>
      </c>
      <c r="D142" t="s">
        <v>277</v>
      </c>
      <c r="E142" t="s">
        <v>199</v>
      </c>
      <c r="F142" t="s">
        <v>22</v>
      </c>
      <c r="G142">
        <v>20</v>
      </c>
      <c r="H142">
        <v>1217782.6000000001</v>
      </c>
      <c r="I142">
        <v>382.18</v>
      </c>
    </row>
    <row r="143" spans="1:9" x14ac:dyDescent="0.2">
      <c r="A143" s="11">
        <v>45994</v>
      </c>
      <c r="B143" t="s">
        <v>8</v>
      </c>
      <c r="C143" t="s">
        <v>279</v>
      </c>
      <c r="D143" t="s">
        <v>280</v>
      </c>
      <c r="E143" t="s">
        <v>72</v>
      </c>
      <c r="F143" t="s">
        <v>5</v>
      </c>
      <c r="G143">
        <v>13</v>
      </c>
      <c r="H143">
        <v>782457.26</v>
      </c>
      <c r="I143">
        <v>245.56</v>
      </c>
    </row>
    <row r="144" spans="1:9" x14ac:dyDescent="0.2">
      <c r="A144" s="11">
        <v>45994</v>
      </c>
      <c r="B144" t="s">
        <v>8</v>
      </c>
      <c r="C144" t="s">
        <v>279</v>
      </c>
      <c r="D144" t="s">
        <v>280</v>
      </c>
      <c r="E144" t="s">
        <v>281</v>
      </c>
      <c r="F144" t="s">
        <v>14</v>
      </c>
      <c r="G144">
        <v>20</v>
      </c>
      <c r="H144">
        <v>895602.4</v>
      </c>
      <c r="I144">
        <v>281.07</v>
      </c>
    </row>
    <row r="145" spans="1:9" x14ac:dyDescent="0.2">
      <c r="A145" s="11">
        <v>45994</v>
      </c>
      <c r="B145" t="s">
        <v>8</v>
      </c>
      <c r="C145" t="s">
        <v>279</v>
      </c>
      <c r="D145" t="s">
        <v>280</v>
      </c>
      <c r="E145" t="s">
        <v>282</v>
      </c>
      <c r="F145" t="s">
        <v>18</v>
      </c>
      <c r="G145">
        <v>9</v>
      </c>
      <c r="H145">
        <v>782467.02</v>
      </c>
      <c r="I145">
        <v>245.57</v>
      </c>
    </row>
    <row r="146" spans="1:9" x14ac:dyDescent="0.2">
      <c r="A146" s="11">
        <v>45994</v>
      </c>
      <c r="B146" t="s">
        <v>11</v>
      </c>
      <c r="C146" t="s">
        <v>283</v>
      </c>
      <c r="D146" t="s">
        <v>284</v>
      </c>
      <c r="E146" t="s">
        <v>225</v>
      </c>
      <c r="F146" t="s">
        <v>16</v>
      </c>
      <c r="G146">
        <v>9</v>
      </c>
      <c r="H146">
        <v>659338.56000000006</v>
      </c>
      <c r="I146">
        <v>206.92</v>
      </c>
    </row>
    <row r="147" spans="1:9" x14ac:dyDescent="0.2">
      <c r="A147" s="11">
        <v>45994</v>
      </c>
      <c r="B147" t="s">
        <v>8</v>
      </c>
      <c r="C147" t="s">
        <v>285</v>
      </c>
      <c r="D147" t="s">
        <v>286</v>
      </c>
      <c r="E147" t="s">
        <v>287</v>
      </c>
      <c r="F147" t="s">
        <v>22</v>
      </c>
      <c r="G147">
        <v>4</v>
      </c>
      <c r="H147">
        <v>83009.08</v>
      </c>
      <c r="I147">
        <v>26.05</v>
      </c>
    </row>
    <row r="148" spans="1:9" x14ac:dyDescent="0.2">
      <c r="A148" s="11">
        <v>45994</v>
      </c>
      <c r="B148" t="s">
        <v>8</v>
      </c>
      <c r="C148" t="s">
        <v>285</v>
      </c>
      <c r="D148" t="s">
        <v>286</v>
      </c>
      <c r="E148" t="s">
        <v>288</v>
      </c>
      <c r="F148" t="s">
        <v>16</v>
      </c>
      <c r="G148">
        <v>39</v>
      </c>
      <c r="H148">
        <v>5803866.5099999998</v>
      </c>
      <c r="I148">
        <v>1821.46</v>
      </c>
    </row>
    <row r="149" spans="1:9" x14ac:dyDescent="0.2">
      <c r="A149" s="11">
        <v>45994</v>
      </c>
      <c r="B149" t="s">
        <v>8</v>
      </c>
      <c r="C149" t="s">
        <v>285</v>
      </c>
      <c r="D149" t="s">
        <v>286</v>
      </c>
      <c r="E149" t="s">
        <v>289</v>
      </c>
      <c r="F149" t="s">
        <v>22</v>
      </c>
      <c r="G149">
        <v>38</v>
      </c>
      <c r="H149">
        <v>2356688.1800000002</v>
      </c>
      <c r="I149">
        <v>739.61</v>
      </c>
    </row>
    <row r="150" spans="1:9" x14ac:dyDescent="0.2">
      <c r="A150" s="11">
        <v>45994</v>
      </c>
      <c r="B150" t="s">
        <v>8</v>
      </c>
      <c r="C150" t="s">
        <v>285</v>
      </c>
      <c r="D150" t="s">
        <v>286</v>
      </c>
      <c r="E150" t="s">
        <v>290</v>
      </c>
      <c r="F150" t="s">
        <v>16</v>
      </c>
      <c r="G150">
        <v>10</v>
      </c>
      <c r="H150">
        <v>1492475.3</v>
      </c>
      <c r="I150">
        <v>468.39</v>
      </c>
    </row>
    <row r="151" spans="1:9" x14ac:dyDescent="0.2">
      <c r="A151" s="11">
        <v>45994</v>
      </c>
      <c r="B151" t="s">
        <v>8</v>
      </c>
      <c r="C151" t="s">
        <v>285</v>
      </c>
      <c r="D151" t="s">
        <v>286</v>
      </c>
      <c r="E151" t="s">
        <v>291</v>
      </c>
      <c r="F151" t="s">
        <v>18</v>
      </c>
      <c r="G151">
        <v>16</v>
      </c>
      <c r="H151">
        <v>1119601.28</v>
      </c>
      <c r="I151">
        <v>351.37</v>
      </c>
    </row>
    <row r="152" spans="1:9" x14ac:dyDescent="0.2">
      <c r="A152" s="11">
        <v>45994</v>
      </c>
      <c r="B152" t="s">
        <v>7</v>
      </c>
      <c r="C152" t="s">
        <v>292</v>
      </c>
      <c r="D152" t="s">
        <v>293</v>
      </c>
      <c r="E152" t="s">
        <v>294</v>
      </c>
      <c r="F152" t="s">
        <v>5</v>
      </c>
      <c r="G152">
        <v>13</v>
      </c>
      <c r="H152">
        <v>415620.79</v>
      </c>
      <c r="I152">
        <v>130.44</v>
      </c>
    </row>
    <row r="153" spans="1:9" x14ac:dyDescent="0.2">
      <c r="A153" s="11">
        <v>45994</v>
      </c>
      <c r="B153" t="s">
        <v>8</v>
      </c>
      <c r="C153" t="s">
        <v>295</v>
      </c>
      <c r="D153" t="s">
        <v>296</v>
      </c>
      <c r="E153" t="s">
        <v>297</v>
      </c>
      <c r="F153" t="s">
        <v>14</v>
      </c>
      <c r="G153">
        <v>8</v>
      </c>
      <c r="H153">
        <v>823483.36</v>
      </c>
      <c r="I153">
        <v>258.44</v>
      </c>
    </row>
    <row r="154" spans="1:9" x14ac:dyDescent="0.2">
      <c r="A154" s="11">
        <v>45994</v>
      </c>
      <c r="B154" t="s">
        <v>8</v>
      </c>
      <c r="C154" t="s">
        <v>295</v>
      </c>
      <c r="D154" t="s">
        <v>296</v>
      </c>
      <c r="E154" t="s">
        <v>298</v>
      </c>
      <c r="F154" t="s">
        <v>20</v>
      </c>
      <c r="G154">
        <v>38</v>
      </c>
      <c r="H154">
        <v>9366107.7599999998</v>
      </c>
      <c r="I154">
        <v>2939.41</v>
      </c>
    </row>
    <row r="155" spans="1:9" x14ac:dyDescent="0.2">
      <c r="A155" s="11">
        <v>45994</v>
      </c>
      <c r="B155" t="s">
        <v>8</v>
      </c>
      <c r="C155" t="s">
        <v>299</v>
      </c>
      <c r="D155" t="s">
        <v>300</v>
      </c>
      <c r="E155" t="s">
        <v>301</v>
      </c>
      <c r="F155" t="s">
        <v>22</v>
      </c>
      <c r="G155">
        <v>5</v>
      </c>
      <c r="H155">
        <v>207875.65</v>
      </c>
      <c r="I155">
        <v>65.239999999999995</v>
      </c>
    </row>
    <row r="156" spans="1:9" x14ac:dyDescent="0.2">
      <c r="A156" s="11">
        <v>45994</v>
      </c>
      <c r="B156" t="s">
        <v>8</v>
      </c>
      <c r="C156" t="s">
        <v>299</v>
      </c>
      <c r="D156" t="s">
        <v>300</v>
      </c>
      <c r="E156" t="s">
        <v>302</v>
      </c>
      <c r="F156" t="s">
        <v>18</v>
      </c>
      <c r="G156">
        <v>8</v>
      </c>
      <c r="H156">
        <v>679826.48</v>
      </c>
      <c r="I156">
        <v>213.35</v>
      </c>
    </row>
    <row r="157" spans="1:9" x14ac:dyDescent="0.2">
      <c r="A157" s="11">
        <v>45994</v>
      </c>
      <c r="B157" t="s">
        <v>8</v>
      </c>
      <c r="C157" t="s">
        <v>299</v>
      </c>
      <c r="D157" t="s">
        <v>300</v>
      </c>
      <c r="E157" t="s">
        <v>303</v>
      </c>
      <c r="F157" t="s">
        <v>16</v>
      </c>
      <c r="G157">
        <v>5</v>
      </c>
      <c r="H157">
        <v>452733.9</v>
      </c>
      <c r="I157">
        <v>142.08000000000001</v>
      </c>
    </row>
    <row r="158" spans="1:9" x14ac:dyDescent="0.2">
      <c r="A158" s="11">
        <v>45994</v>
      </c>
      <c r="B158" t="s">
        <v>8</v>
      </c>
      <c r="C158" t="s">
        <v>299</v>
      </c>
      <c r="D158" t="s">
        <v>300</v>
      </c>
      <c r="E158" t="s">
        <v>304</v>
      </c>
      <c r="F158" t="s">
        <v>5</v>
      </c>
      <c r="G158">
        <v>11</v>
      </c>
      <c r="H158">
        <v>797452.37</v>
      </c>
      <c r="I158">
        <v>250.27</v>
      </c>
    </row>
    <row r="159" spans="1:9" x14ac:dyDescent="0.2">
      <c r="A159" s="11">
        <v>45994</v>
      </c>
      <c r="B159" t="s">
        <v>8</v>
      </c>
      <c r="C159" t="s">
        <v>299</v>
      </c>
      <c r="D159" t="s">
        <v>300</v>
      </c>
      <c r="E159" t="s">
        <v>50</v>
      </c>
      <c r="F159" t="s">
        <v>5</v>
      </c>
      <c r="G159">
        <v>6</v>
      </c>
      <c r="H159">
        <v>441112.86</v>
      </c>
      <c r="I159">
        <v>138.44</v>
      </c>
    </row>
    <row r="160" spans="1:9" x14ac:dyDescent="0.2">
      <c r="A160" s="11">
        <v>45994</v>
      </c>
      <c r="B160" t="s">
        <v>6</v>
      </c>
      <c r="C160" t="s">
        <v>305</v>
      </c>
      <c r="D160" t="s">
        <v>306</v>
      </c>
      <c r="E160" t="s">
        <v>294</v>
      </c>
      <c r="F160" t="s">
        <v>5</v>
      </c>
      <c r="G160">
        <v>13</v>
      </c>
      <c r="H160">
        <v>426266.23</v>
      </c>
      <c r="I160">
        <v>133.78</v>
      </c>
    </row>
    <row r="161" spans="1:9" x14ac:dyDescent="0.2">
      <c r="A161" s="11">
        <v>45994</v>
      </c>
      <c r="B161" t="s">
        <v>6</v>
      </c>
      <c r="C161" t="s">
        <v>305</v>
      </c>
      <c r="D161" t="s">
        <v>306</v>
      </c>
      <c r="E161" t="s">
        <v>83</v>
      </c>
      <c r="F161" t="s">
        <v>14</v>
      </c>
      <c r="G161">
        <v>16</v>
      </c>
      <c r="H161">
        <v>1395459.36</v>
      </c>
      <c r="I161">
        <v>437.94</v>
      </c>
    </row>
    <row r="162" spans="1:9" x14ac:dyDescent="0.2">
      <c r="A162" s="11">
        <v>45994</v>
      </c>
      <c r="B162" t="s">
        <v>6</v>
      </c>
      <c r="C162" t="s">
        <v>305</v>
      </c>
      <c r="D162" t="s">
        <v>306</v>
      </c>
      <c r="E162" t="s">
        <v>307</v>
      </c>
      <c r="F162" t="s">
        <v>22</v>
      </c>
      <c r="G162">
        <v>34</v>
      </c>
      <c r="H162">
        <v>693760.82</v>
      </c>
      <c r="I162">
        <v>217.73</v>
      </c>
    </row>
    <row r="163" spans="1:9" x14ac:dyDescent="0.2">
      <c r="A163" s="11">
        <v>45994</v>
      </c>
      <c r="B163" t="s">
        <v>12</v>
      </c>
      <c r="C163" t="s">
        <v>308</v>
      </c>
      <c r="D163" t="s">
        <v>309</v>
      </c>
      <c r="E163" t="s">
        <v>310</v>
      </c>
      <c r="F163" t="s">
        <v>22</v>
      </c>
      <c r="G163">
        <v>19</v>
      </c>
      <c r="H163">
        <v>488722.18</v>
      </c>
      <c r="I163">
        <v>153.38</v>
      </c>
    </row>
    <row r="164" spans="1:9" x14ac:dyDescent="0.2">
      <c r="A164" s="11">
        <v>45994</v>
      </c>
      <c r="B164" t="s">
        <v>12</v>
      </c>
      <c r="C164" t="s">
        <v>308</v>
      </c>
      <c r="D164" t="s">
        <v>309</v>
      </c>
      <c r="E164" t="s">
        <v>311</v>
      </c>
      <c r="F164" t="s">
        <v>14</v>
      </c>
      <c r="G164">
        <v>3</v>
      </c>
      <c r="H164">
        <v>160687.01999999999</v>
      </c>
      <c r="I164">
        <v>50.43</v>
      </c>
    </row>
    <row r="165" spans="1:9" x14ac:dyDescent="0.2">
      <c r="A165" s="11">
        <v>45994</v>
      </c>
      <c r="B165" t="s">
        <v>12</v>
      </c>
      <c r="C165" t="s">
        <v>308</v>
      </c>
      <c r="D165" t="s">
        <v>309</v>
      </c>
      <c r="E165" t="s">
        <v>312</v>
      </c>
      <c r="F165" t="s">
        <v>22</v>
      </c>
      <c r="G165">
        <v>5</v>
      </c>
      <c r="H165">
        <v>138144.75</v>
      </c>
      <c r="I165">
        <v>43.35</v>
      </c>
    </row>
    <row r="166" spans="1:9" x14ac:dyDescent="0.2">
      <c r="A166" s="11">
        <v>45994</v>
      </c>
      <c r="B166" t="s">
        <v>12</v>
      </c>
      <c r="C166" t="s">
        <v>308</v>
      </c>
      <c r="D166" t="s">
        <v>309</v>
      </c>
      <c r="E166" t="s">
        <v>313</v>
      </c>
      <c r="F166" t="s">
        <v>22</v>
      </c>
      <c r="G166">
        <v>9</v>
      </c>
      <c r="H166">
        <v>471225.59999999998</v>
      </c>
      <c r="I166">
        <v>147.88999999999999</v>
      </c>
    </row>
    <row r="167" spans="1:9" x14ac:dyDescent="0.2">
      <c r="A167" s="11">
        <v>45994</v>
      </c>
      <c r="B167" t="s">
        <v>6</v>
      </c>
      <c r="C167" t="s">
        <v>314</v>
      </c>
      <c r="D167" t="s">
        <v>315</v>
      </c>
      <c r="E167" t="s">
        <v>316</v>
      </c>
      <c r="F167" t="s">
        <v>18</v>
      </c>
      <c r="G167">
        <v>19</v>
      </c>
      <c r="H167">
        <v>1853537.59</v>
      </c>
      <c r="I167">
        <v>581.70000000000005</v>
      </c>
    </row>
    <row r="168" spans="1:9" x14ac:dyDescent="0.2">
      <c r="A168" s="11">
        <v>45994</v>
      </c>
      <c r="B168" t="s">
        <v>6</v>
      </c>
      <c r="C168" t="s">
        <v>314</v>
      </c>
      <c r="D168" t="s">
        <v>315</v>
      </c>
      <c r="E168" t="s">
        <v>317</v>
      </c>
      <c r="F168" t="s">
        <v>5</v>
      </c>
      <c r="G168">
        <v>35</v>
      </c>
      <c r="H168">
        <v>1429089.9</v>
      </c>
      <c r="I168">
        <v>448.5</v>
      </c>
    </row>
    <row r="169" spans="1:9" x14ac:dyDescent="0.2">
      <c r="A169" s="11">
        <v>45994</v>
      </c>
      <c r="B169" t="s">
        <v>6</v>
      </c>
      <c r="C169" t="s">
        <v>314</v>
      </c>
      <c r="D169" t="s">
        <v>315</v>
      </c>
      <c r="E169" t="s">
        <v>186</v>
      </c>
      <c r="F169" t="s">
        <v>22</v>
      </c>
      <c r="G169">
        <v>5</v>
      </c>
      <c r="H169">
        <v>229695.35</v>
      </c>
      <c r="I169">
        <v>72.09</v>
      </c>
    </row>
    <row r="170" spans="1:9" x14ac:dyDescent="0.2">
      <c r="A170" s="11">
        <v>45994</v>
      </c>
      <c r="B170" t="s">
        <v>12</v>
      </c>
      <c r="C170" t="s">
        <v>318</v>
      </c>
      <c r="D170" t="s">
        <v>319</v>
      </c>
      <c r="E170" t="s">
        <v>320</v>
      </c>
      <c r="F170" t="s">
        <v>14</v>
      </c>
      <c r="G170">
        <v>7</v>
      </c>
      <c r="H170">
        <v>533497.79</v>
      </c>
      <c r="I170">
        <v>167.43</v>
      </c>
    </row>
    <row r="171" spans="1:9" x14ac:dyDescent="0.2">
      <c r="A171" s="11">
        <v>45994</v>
      </c>
      <c r="B171" t="s">
        <v>12</v>
      </c>
      <c r="C171" t="s">
        <v>318</v>
      </c>
      <c r="D171" t="s">
        <v>319</v>
      </c>
      <c r="E171" t="s">
        <v>321</v>
      </c>
      <c r="F171" t="s">
        <v>16</v>
      </c>
      <c r="G171">
        <v>14</v>
      </c>
      <c r="H171">
        <v>1626532.46</v>
      </c>
      <c r="I171">
        <v>510.46</v>
      </c>
    </row>
    <row r="172" spans="1:9" x14ac:dyDescent="0.2">
      <c r="A172" s="11">
        <v>45994</v>
      </c>
      <c r="B172" t="s">
        <v>6</v>
      </c>
      <c r="C172" t="s">
        <v>84</v>
      </c>
      <c r="D172" t="s">
        <v>322</v>
      </c>
      <c r="E172" t="s">
        <v>323</v>
      </c>
      <c r="F172" t="s">
        <v>22</v>
      </c>
      <c r="G172">
        <v>22</v>
      </c>
      <c r="H172">
        <v>978257.28</v>
      </c>
      <c r="I172">
        <v>307.01</v>
      </c>
    </row>
    <row r="173" spans="1:9" x14ac:dyDescent="0.2">
      <c r="A173" s="11">
        <v>45994</v>
      </c>
      <c r="B173" t="s">
        <v>10</v>
      </c>
      <c r="C173" t="s">
        <v>78</v>
      </c>
      <c r="D173" t="s">
        <v>324</v>
      </c>
      <c r="E173" t="s">
        <v>325</v>
      </c>
      <c r="F173" t="s">
        <v>14</v>
      </c>
      <c r="G173">
        <v>25</v>
      </c>
      <c r="H173">
        <v>1985045.5</v>
      </c>
      <c r="I173">
        <v>622.98</v>
      </c>
    </row>
    <row r="174" spans="1:9" x14ac:dyDescent="0.2">
      <c r="A174" s="11">
        <v>45994</v>
      </c>
      <c r="B174" t="s">
        <v>10</v>
      </c>
      <c r="C174" t="s">
        <v>78</v>
      </c>
      <c r="D174" t="s">
        <v>324</v>
      </c>
      <c r="E174" t="s">
        <v>326</v>
      </c>
      <c r="F174" t="s">
        <v>5</v>
      </c>
      <c r="G174">
        <v>13</v>
      </c>
      <c r="H174">
        <v>560206.14</v>
      </c>
      <c r="I174">
        <v>175.81</v>
      </c>
    </row>
    <row r="175" spans="1:9" x14ac:dyDescent="0.2">
      <c r="A175" s="11">
        <v>45994</v>
      </c>
      <c r="B175" t="s">
        <v>10</v>
      </c>
      <c r="C175" t="s">
        <v>78</v>
      </c>
      <c r="D175" t="s">
        <v>324</v>
      </c>
      <c r="E175" t="s">
        <v>327</v>
      </c>
      <c r="F175" t="s">
        <v>14</v>
      </c>
      <c r="G175">
        <v>22</v>
      </c>
      <c r="H175">
        <v>728165.46</v>
      </c>
      <c r="I175">
        <v>228.52</v>
      </c>
    </row>
    <row r="176" spans="1:9" x14ac:dyDescent="0.2">
      <c r="A176" s="11">
        <v>45994</v>
      </c>
      <c r="B176" t="s">
        <v>10</v>
      </c>
      <c r="C176" t="s">
        <v>78</v>
      </c>
      <c r="D176" t="s">
        <v>324</v>
      </c>
      <c r="E176" t="s">
        <v>328</v>
      </c>
      <c r="F176" t="s">
        <v>22</v>
      </c>
      <c r="G176">
        <v>22</v>
      </c>
      <c r="H176">
        <v>1298433.8400000001</v>
      </c>
      <c r="I176">
        <v>407.49</v>
      </c>
    </row>
    <row r="177" spans="1:9" x14ac:dyDescent="0.2">
      <c r="A177" s="11">
        <v>45994</v>
      </c>
      <c r="B177" t="s">
        <v>10</v>
      </c>
      <c r="C177" t="s">
        <v>78</v>
      </c>
      <c r="D177" t="s">
        <v>324</v>
      </c>
      <c r="E177" t="s">
        <v>329</v>
      </c>
      <c r="F177" t="s">
        <v>16</v>
      </c>
      <c r="G177">
        <v>36</v>
      </c>
      <c r="H177">
        <v>5214175.2</v>
      </c>
      <c r="I177">
        <v>1636.39</v>
      </c>
    </row>
    <row r="178" spans="1:9" x14ac:dyDescent="0.2">
      <c r="A178" s="11">
        <v>45994</v>
      </c>
      <c r="B178" t="s">
        <v>11</v>
      </c>
      <c r="C178" t="s">
        <v>330</v>
      </c>
      <c r="D178" t="s">
        <v>331</v>
      </c>
      <c r="E178" t="s">
        <v>332</v>
      </c>
      <c r="F178" t="s">
        <v>5</v>
      </c>
      <c r="G178">
        <v>16</v>
      </c>
      <c r="H178">
        <v>760711.52</v>
      </c>
      <c r="I178">
        <v>238.74</v>
      </c>
    </row>
    <row r="179" spans="1:9" x14ac:dyDescent="0.2">
      <c r="A179" s="11">
        <v>45994</v>
      </c>
      <c r="B179" t="s">
        <v>11</v>
      </c>
      <c r="C179" t="s">
        <v>330</v>
      </c>
      <c r="D179" t="s">
        <v>331</v>
      </c>
      <c r="E179" t="s">
        <v>333</v>
      </c>
      <c r="F179" t="s">
        <v>18</v>
      </c>
      <c r="G179">
        <v>11</v>
      </c>
      <c r="H179">
        <v>982421.55</v>
      </c>
      <c r="I179">
        <v>308.32</v>
      </c>
    </row>
    <row r="180" spans="1:9" x14ac:dyDescent="0.2">
      <c r="A180" s="11">
        <v>45994</v>
      </c>
      <c r="B180" t="s">
        <v>11</v>
      </c>
      <c r="C180" t="s">
        <v>334</v>
      </c>
      <c r="D180" t="s">
        <v>335</v>
      </c>
      <c r="E180" t="s">
        <v>336</v>
      </c>
      <c r="F180" t="s">
        <v>14</v>
      </c>
      <c r="G180">
        <v>9</v>
      </c>
      <c r="H180">
        <v>668215.62</v>
      </c>
      <c r="I180">
        <v>209.71</v>
      </c>
    </row>
    <row r="181" spans="1:9" x14ac:dyDescent="0.2">
      <c r="A181" s="11">
        <v>45994</v>
      </c>
      <c r="B181" t="s">
        <v>11</v>
      </c>
      <c r="C181" t="s">
        <v>334</v>
      </c>
      <c r="D181" t="s">
        <v>335</v>
      </c>
      <c r="E181" t="s">
        <v>337</v>
      </c>
      <c r="F181" t="s">
        <v>20</v>
      </c>
      <c r="G181">
        <v>15</v>
      </c>
      <c r="H181">
        <v>1441261.2</v>
      </c>
      <c r="I181">
        <v>452.32</v>
      </c>
    </row>
    <row r="182" spans="1:9" x14ac:dyDescent="0.2">
      <c r="A182" s="11">
        <v>45994</v>
      </c>
      <c r="B182" t="s">
        <v>11</v>
      </c>
      <c r="C182" t="s">
        <v>334</v>
      </c>
      <c r="D182" t="s">
        <v>335</v>
      </c>
      <c r="E182" t="s">
        <v>338</v>
      </c>
      <c r="F182" t="s">
        <v>14</v>
      </c>
      <c r="G182">
        <v>12</v>
      </c>
      <c r="H182">
        <v>922535.76</v>
      </c>
      <c r="I182">
        <v>289.52</v>
      </c>
    </row>
    <row r="183" spans="1:9" x14ac:dyDescent="0.2">
      <c r="A183" s="11">
        <v>45994</v>
      </c>
      <c r="B183" t="s">
        <v>11</v>
      </c>
      <c r="C183" t="s">
        <v>334</v>
      </c>
      <c r="D183" t="s">
        <v>335</v>
      </c>
      <c r="E183" t="s">
        <v>339</v>
      </c>
      <c r="F183" t="s">
        <v>22</v>
      </c>
      <c r="G183">
        <v>26</v>
      </c>
      <c r="H183">
        <v>1088490</v>
      </c>
      <c r="I183">
        <v>341.61</v>
      </c>
    </row>
    <row r="184" spans="1:9" x14ac:dyDescent="0.2">
      <c r="A184" s="11">
        <v>45994</v>
      </c>
      <c r="B184" t="s">
        <v>11</v>
      </c>
      <c r="C184" t="s">
        <v>334</v>
      </c>
      <c r="D184" t="s">
        <v>335</v>
      </c>
      <c r="E184" t="s">
        <v>340</v>
      </c>
      <c r="F184" t="s">
        <v>16</v>
      </c>
      <c r="G184">
        <v>13</v>
      </c>
      <c r="H184">
        <v>1904726.98</v>
      </c>
      <c r="I184">
        <v>597.77</v>
      </c>
    </row>
    <row r="185" spans="1:9" x14ac:dyDescent="0.2">
      <c r="A185" s="11">
        <v>45995</v>
      </c>
      <c r="B185" t="s">
        <v>10</v>
      </c>
      <c r="C185" t="s">
        <v>341</v>
      </c>
      <c r="D185" t="s">
        <v>342</v>
      </c>
      <c r="E185" t="s">
        <v>326</v>
      </c>
      <c r="F185" t="s">
        <v>5</v>
      </c>
      <c r="G185">
        <v>8</v>
      </c>
      <c r="H185">
        <v>332350.56</v>
      </c>
      <c r="I185">
        <v>104.3</v>
      </c>
    </row>
    <row r="186" spans="1:9" x14ac:dyDescent="0.2">
      <c r="A186" s="11">
        <v>45995</v>
      </c>
      <c r="B186" t="s">
        <v>11</v>
      </c>
      <c r="C186" t="s">
        <v>343</v>
      </c>
      <c r="D186" t="s">
        <v>344</v>
      </c>
      <c r="E186" t="s">
        <v>345</v>
      </c>
      <c r="F186" t="s">
        <v>22</v>
      </c>
      <c r="G186">
        <v>54</v>
      </c>
      <c r="H186">
        <v>1460989.98</v>
      </c>
      <c r="I186">
        <v>458.51</v>
      </c>
    </row>
    <row r="187" spans="1:9" x14ac:dyDescent="0.2">
      <c r="A187" s="11">
        <v>45995</v>
      </c>
      <c r="B187" t="s">
        <v>11</v>
      </c>
      <c r="C187" t="s">
        <v>343</v>
      </c>
      <c r="D187" t="s">
        <v>344</v>
      </c>
      <c r="E187" t="s">
        <v>346</v>
      </c>
      <c r="F187" t="s">
        <v>14</v>
      </c>
      <c r="G187">
        <v>9</v>
      </c>
      <c r="H187">
        <v>678791.79</v>
      </c>
      <c r="I187">
        <v>213.03</v>
      </c>
    </row>
    <row r="188" spans="1:9" x14ac:dyDescent="0.2">
      <c r="A188" s="11">
        <v>45995</v>
      </c>
      <c r="B188" t="s">
        <v>11</v>
      </c>
      <c r="C188" t="s">
        <v>343</v>
      </c>
      <c r="D188" t="s">
        <v>344</v>
      </c>
      <c r="E188" t="s">
        <v>347</v>
      </c>
      <c r="F188" t="s">
        <v>16</v>
      </c>
      <c r="G188">
        <v>7</v>
      </c>
      <c r="H188">
        <v>938049.49</v>
      </c>
      <c r="I188">
        <v>294.39</v>
      </c>
    </row>
    <row r="189" spans="1:9" x14ac:dyDescent="0.2">
      <c r="A189" s="11">
        <v>45995</v>
      </c>
      <c r="B189" t="s">
        <v>7</v>
      </c>
      <c r="C189" t="s">
        <v>348</v>
      </c>
      <c r="D189" t="s">
        <v>349</v>
      </c>
      <c r="E189" t="s">
        <v>350</v>
      </c>
      <c r="F189" t="s">
        <v>18</v>
      </c>
      <c r="G189">
        <v>3</v>
      </c>
      <c r="H189">
        <v>356751.27</v>
      </c>
      <c r="I189">
        <v>111.96</v>
      </c>
    </row>
    <row r="190" spans="1:9" x14ac:dyDescent="0.2">
      <c r="A190" s="11">
        <v>45995</v>
      </c>
      <c r="B190" t="s">
        <v>9</v>
      </c>
      <c r="C190" t="s">
        <v>351</v>
      </c>
      <c r="D190" t="s">
        <v>352</v>
      </c>
      <c r="E190" t="s">
        <v>353</v>
      </c>
      <c r="F190" t="s">
        <v>22</v>
      </c>
      <c r="G190">
        <v>8</v>
      </c>
      <c r="H190">
        <v>359915.52000000002</v>
      </c>
      <c r="I190">
        <v>112.95</v>
      </c>
    </row>
    <row r="191" spans="1:9" x14ac:dyDescent="0.2">
      <c r="A191" s="11">
        <v>45995</v>
      </c>
      <c r="B191" t="s">
        <v>9</v>
      </c>
      <c r="C191" t="s">
        <v>351</v>
      </c>
      <c r="D191" t="s">
        <v>352</v>
      </c>
      <c r="E191" t="s">
        <v>354</v>
      </c>
      <c r="F191" t="s">
        <v>5</v>
      </c>
      <c r="G191">
        <v>8</v>
      </c>
      <c r="H191">
        <v>489225.04</v>
      </c>
      <c r="I191">
        <v>153.54</v>
      </c>
    </row>
    <row r="192" spans="1:9" x14ac:dyDescent="0.2">
      <c r="A192" s="11">
        <v>45995</v>
      </c>
      <c r="B192" t="s">
        <v>9</v>
      </c>
      <c r="C192" t="s">
        <v>351</v>
      </c>
      <c r="D192" t="s">
        <v>352</v>
      </c>
      <c r="E192" t="s">
        <v>355</v>
      </c>
      <c r="F192" t="s">
        <v>18</v>
      </c>
      <c r="G192">
        <v>33</v>
      </c>
      <c r="H192">
        <v>1793454.3</v>
      </c>
      <c r="I192">
        <v>562.85</v>
      </c>
    </row>
    <row r="193" spans="1:9" x14ac:dyDescent="0.2">
      <c r="A193" s="11">
        <v>45995</v>
      </c>
      <c r="B193" t="s">
        <v>6</v>
      </c>
      <c r="C193" t="s">
        <v>356</v>
      </c>
      <c r="D193" t="s">
        <v>357</v>
      </c>
      <c r="E193" t="s">
        <v>358</v>
      </c>
      <c r="F193" t="s">
        <v>18</v>
      </c>
      <c r="G193">
        <v>30</v>
      </c>
      <c r="H193">
        <v>2205777.9</v>
      </c>
      <c r="I193">
        <v>692.25</v>
      </c>
    </row>
    <row r="194" spans="1:9" x14ac:dyDescent="0.2">
      <c r="A194" s="11">
        <v>45995</v>
      </c>
      <c r="B194" t="s">
        <v>9</v>
      </c>
      <c r="C194" t="s">
        <v>359</v>
      </c>
      <c r="D194" t="s">
        <v>360</v>
      </c>
      <c r="E194" t="s">
        <v>47</v>
      </c>
      <c r="F194" t="s">
        <v>18</v>
      </c>
      <c r="G194">
        <v>8</v>
      </c>
      <c r="H194">
        <v>565159.36</v>
      </c>
      <c r="I194">
        <v>177.37</v>
      </c>
    </row>
    <row r="195" spans="1:9" x14ac:dyDescent="0.2">
      <c r="A195" s="11">
        <v>45995</v>
      </c>
      <c r="B195" t="s">
        <v>9</v>
      </c>
      <c r="C195" t="s">
        <v>359</v>
      </c>
      <c r="D195" t="s">
        <v>360</v>
      </c>
      <c r="E195" t="s">
        <v>361</v>
      </c>
      <c r="F195" t="s">
        <v>20</v>
      </c>
      <c r="G195">
        <v>18</v>
      </c>
      <c r="H195">
        <v>4268733.66</v>
      </c>
      <c r="I195">
        <v>1339.68</v>
      </c>
    </row>
    <row r="196" spans="1:9" x14ac:dyDescent="0.2">
      <c r="A196" s="11">
        <v>45995</v>
      </c>
      <c r="B196" t="s">
        <v>10</v>
      </c>
      <c r="C196" t="s">
        <v>362</v>
      </c>
      <c r="D196" t="s">
        <v>363</v>
      </c>
      <c r="E196" t="s">
        <v>364</v>
      </c>
      <c r="F196" t="s">
        <v>14</v>
      </c>
      <c r="G196">
        <v>29</v>
      </c>
      <c r="H196">
        <v>1432323.92</v>
      </c>
      <c r="I196">
        <v>449.51</v>
      </c>
    </row>
    <row r="197" spans="1:9" x14ac:dyDescent="0.2">
      <c r="A197" s="11">
        <v>45995</v>
      </c>
      <c r="B197" t="s">
        <v>12</v>
      </c>
      <c r="C197" t="s">
        <v>365</v>
      </c>
      <c r="D197" t="s">
        <v>366</v>
      </c>
      <c r="E197" t="s">
        <v>367</v>
      </c>
      <c r="F197" t="s">
        <v>22</v>
      </c>
      <c r="G197">
        <v>27</v>
      </c>
      <c r="H197">
        <v>1417013.46</v>
      </c>
      <c r="I197">
        <v>444.71</v>
      </c>
    </row>
    <row r="198" spans="1:9" x14ac:dyDescent="0.2">
      <c r="A198" s="11">
        <v>45995</v>
      </c>
      <c r="B198" t="s">
        <v>12</v>
      </c>
      <c r="C198" t="s">
        <v>365</v>
      </c>
      <c r="D198" t="s">
        <v>366</v>
      </c>
      <c r="E198" t="s">
        <v>312</v>
      </c>
      <c r="F198" t="s">
        <v>22</v>
      </c>
      <c r="G198">
        <v>10</v>
      </c>
      <c r="H198">
        <v>287034.3</v>
      </c>
      <c r="I198">
        <v>90.08</v>
      </c>
    </row>
    <row r="199" spans="1:9" x14ac:dyDescent="0.2">
      <c r="A199" s="11">
        <v>45995</v>
      </c>
      <c r="B199" t="s">
        <v>12</v>
      </c>
      <c r="C199" t="s">
        <v>365</v>
      </c>
      <c r="D199" t="s">
        <v>366</v>
      </c>
      <c r="E199" t="s">
        <v>89</v>
      </c>
      <c r="F199" t="s">
        <v>22</v>
      </c>
      <c r="G199">
        <v>13</v>
      </c>
      <c r="H199">
        <v>685262.63</v>
      </c>
      <c r="I199">
        <v>215.06</v>
      </c>
    </row>
    <row r="200" spans="1:9" x14ac:dyDescent="0.2">
      <c r="A200" s="11">
        <v>45995</v>
      </c>
      <c r="B200" t="s">
        <v>12</v>
      </c>
      <c r="C200" t="s">
        <v>365</v>
      </c>
      <c r="D200" t="s">
        <v>366</v>
      </c>
      <c r="E200" t="s">
        <v>368</v>
      </c>
      <c r="F200" t="s">
        <v>20</v>
      </c>
      <c r="G200">
        <v>16</v>
      </c>
      <c r="H200">
        <v>1947624.32</v>
      </c>
      <c r="I200">
        <v>611.23</v>
      </c>
    </row>
    <row r="201" spans="1:9" x14ac:dyDescent="0.2">
      <c r="A201" s="11">
        <v>45995</v>
      </c>
      <c r="B201" t="s">
        <v>10</v>
      </c>
      <c r="C201" t="s">
        <v>369</v>
      </c>
      <c r="D201" t="s">
        <v>370</v>
      </c>
      <c r="E201" t="s">
        <v>371</v>
      </c>
      <c r="F201" t="s">
        <v>5</v>
      </c>
      <c r="G201">
        <v>20</v>
      </c>
      <c r="H201">
        <v>1500746.2</v>
      </c>
      <c r="I201">
        <v>470.99</v>
      </c>
    </row>
    <row r="202" spans="1:9" x14ac:dyDescent="0.2">
      <c r="A202" s="11">
        <v>45995</v>
      </c>
      <c r="B202" t="s">
        <v>10</v>
      </c>
      <c r="C202" t="s">
        <v>369</v>
      </c>
      <c r="D202" t="s">
        <v>370</v>
      </c>
      <c r="E202" t="s">
        <v>372</v>
      </c>
      <c r="F202" t="s">
        <v>5</v>
      </c>
      <c r="G202">
        <v>8</v>
      </c>
      <c r="H202">
        <v>313452.71999999997</v>
      </c>
      <c r="I202">
        <v>98.37</v>
      </c>
    </row>
    <row r="203" spans="1:9" x14ac:dyDescent="0.2">
      <c r="A203" s="11">
        <v>45995</v>
      </c>
      <c r="B203" t="s">
        <v>7</v>
      </c>
      <c r="C203" t="s">
        <v>373</v>
      </c>
      <c r="D203" t="s">
        <v>374</v>
      </c>
      <c r="E203" t="s">
        <v>375</v>
      </c>
      <c r="F203" t="s">
        <v>22</v>
      </c>
      <c r="G203">
        <v>15</v>
      </c>
      <c r="H203">
        <v>692837.25</v>
      </c>
      <c r="I203">
        <v>217.44</v>
      </c>
    </row>
    <row r="204" spans="1:9" x14ac:dyDescent="0.2">
      <c r="A204" s="11">
        <v>45995</v>
      </c>
      <c r="B204" t="s">
        <v>7</v>
      </c>
      <c r="C204" t="s">
        <v>373</v>
      </c>
      <c r="D204" t="s">
        <v>374</v>
      </c>
      <c r="E204" t="s">
        <v>376</v>
      </c>
      <c r="F204" t="s">
        <v>14</v>
      </c>
      <c r="G204">
        <v>20</v>
      </c>
      <c r="H204">
        <v>802851</v>
      </c>
      <c r="I204">
        <v>251.96</v>
      </c>
    </row>
    <row r="205" spans="1:9" x14ac:dyDescent="0.2">
      <c r="A205" s="11">
        <v>45995</v>
      </c>
      <c r="B205" t="s">
        <v>7</v>
      </c>
      <c r="C205" t="s">
        <v>373</v>
      </c>
      <c r="D205" t="s">
        <v>374</v>
      </c>
      <c r="E205" t="s">
        <v>377</v>
      </c>
      <c r="F205" t="s">
        <v>22</v>
      </c>
      <c r="G205">
        <v>5</v>
      </c>
      <c r="H205">
        <v>181810</v>
      </c>
      <c r="I205">
        <v>57.06</v>
      </c>
    </row>
    <row r="206" spans="1:9" x14ac:dyDescent="0.2">
      <c r="A206" s="11">
        <v>45995</v>
      </c>
      <c r="B206" t="s">
        <v>7</v>
      </c>
      <c r="C206" t="s">
        <v>373</v>
      </c>
      <c r="D206" t="s">
        <v>374</v>
      </c>
      <c r="E206" t="s">
        <v>378</v>
      </c>
      <c r="F206" t="s">
        <v>14</v>
      </c>
      <c r="G206">
        <v>28</v>
      </c>
      <c r="H206">
        <v>2541078.12</v>
      </c>
      <c r="I206">
        <v>797.48</v>
      </c>
    </row>
    <row r="207" spans="1:9" x14ac:dyDescent="0.2">
      <c r="A207" s="11">
        <v>45995</v>
      </c>
      <c r="B207" t="s">
        <v>8</v>
      </c>
      <c r="C207" t="s">
        <v>379</v>
      </c>
      <c r="D207" t="s">
        <v>380</v>
      </c>
      <c r="E207" t="s">
        <v>381</v>
      </c>
      <c r="F207" t="s">
        <v>14</v>
      </c>
      <c r="G207">
        <v>47</v>
      </c>
      <c r="H207">
        <v>5097675.93</v>
      </c>
      <c r="I207">
        <v>1599.83</v>
      </c>
    </row>
    <row r="208" spans="1:9" x14ac:dyDescent="0.2">
      <c r="A208" s="11">
        <v>45995</v>
      </c>
      <c r="B208" t="s">
        <v>6</v>
      </c>
      <c r="C208" t="s">
        <v>382</v>
      </c>
      <c r="D208" t="s">
        <v>383</v>
      </c>
      <c r="E208" t="s">
        <v>384</v>
      </c>
      <c r="F208" t="s">
        <v>5</v>
      </c>
      <c r="G208">
        <v>11</v>
      </c>
      <c r="H208">
        <v>363831.49</v>
      </c>
      <c r="I208">
        <v>114.18</v>
      </c>
    </row>
    <row r="209" spans="1:9" x14ac:dyDescent="0.2">
      <c r="A209" s="11">
        <v>45995</v>
      </c>
      <c r="B209" t="s">
        <v>12</v>
      </c>
      <c r="C209" t="s">
        <v>385</v>
      </c>
      <c r="D209" t="s">
        <v>386</v>
      </c>
      <c r="E209" t="s">
        <v>387</v>
      </c>
      <c r="F209" t="s">
        <v>14</v>
      </c>
      <c r="G209">
        <v>22</v>
      </c>
      <c r="H209">
        <v>875199.6</v>
      </c>
      <c r="I209">
        <v>274.67</v>
      </c>
    </row>
    <row r="210" spans="1:9" x14ac:dyDescent="0.2">
      <c r="A210" s="11">
        <v>45995</v>
      </c>
      <c r="B210" t="s">
        <v>6</v>
      </c>
      <c r="C210" t="s">
        <v>388</v>
      </c>
      <c r="D210" t="s">
        <v>389</v>
      </c>
      <c r="E210" t="s">
        <v>390</v>
      </c>
      <c r="F210" t="s">
        <v>22</v>
      </c>
      <c r="G210">
        <v>47</v>
      </c>
      <c r="H210">
        <v>1393532.61</v>
      </c>
      <c r="I210">
        <v>437.34</v>
      </c>
    </row>
    <row r="211" spans="1:9" x14ac:dyDescent="0.2">
      <c r="A211" s="11">
        <v>45995</v>
      </c>
      <c r="B211" t="s">
        <v>7</v>
      </c>
      <c r="C211" t="s">
        <v>391</v>
      </c>
      <c r="D211" t="s">
        <v>392</v>
      </c>
      <c r="E211" t="s">
        <v>393</v>
      </c>
      <c r="F211" t="s">
        <v>5</v>
      </c>
      <c r="G211">
        <v>14</v>
      </c>
      <c r="H211">
        <v>977263.28</v>
      </c>
      <c r="I211">
        <v>306.7</v>
      </c>
    </row>
    <row r="212" spans="1:9" x14ac:dyDescent="0.2">
      <c r="A212" s="11">
        <v>45995</v>
      </c>
      <c r="B212" t="s">
        <v>7</v>
      </c>
      <c r="C212" t="s">
        <v>391</v>
      </c>
      <c r="D212" t="s">
        <v>392</v>
      </c>
      <c r="E212" t="s">
        <v>394</v>
      </c>
      <c r="F212" t="s">
        <v>5</v>
      </c>
      <c r="G212">
        <v>24</v>
      </c>
      <c r="H212">
        <v>859688.88</v>
      </c>
      <c r="I212">
        <v>269.8</v>
      </c>
    </row>
    <row r="213" spans="1:9" x14ac:dyDescent="0.2">
      <c r="A213" s="11">
        <v>45995</v>
      </c>
      <c r="B213" t="s">
        <v>7</v>
      </c>
      <c r="C213" t="s">
        <v>391</v>
      </c>
      <c r="D213" t="s">
        <v>392</v>
      </c>
      <c r="E213" t="s">
        <v>395</v>
      </c>
      <c r="F213" t="s">
        <v>18</v>
      </c>
      <c r="G213">
        <v>30</v>
      </c>
      <c r="H213">
        <v>2417343.6</v>
      </c>
      <c r="I213">
        <v>758.65</v>
      </c>
    </row>
    <row r="214" spans="1:9" x14ac:dyDescent="0.2">
      <c r="A214" s="11">
        <v>45995</v>
      </c>
      <c r="B214" t="s">
        <v>7</v>
      </c>
      <c r="C214" t="s">
        <v>391</v>
      </c>
      <c r="D214" t="s">
        <v>392</v>
      </c>
      <c r="E214" t="s">
        <v>396</v>
      </c>
      <c r="F214" t="s">
        <v>22</v>
      </c>
      <c r="G214">
        <v>17</v>
      </c>
      <c r="H214">
        <v>599350.64</v>
      </c>
      <c r="I214">
        <v>188.1</v>
      </c>
    </row>
    <row r="215" spans="1:9" x14ac:dyDescent="0.2">
      <c r="A215" s="11">
        <v>45995</v>
      </c>
      <c r="B215" t="s">
        <v>7</v>
      </c>
      <c r="C215" t="s">
        <v>391</v>
      </c>
      <c r="D215" t="s">
        <v>392</v>
      </c>
      <c r="E215" t="s">
        <v>397</v>
      </c>
      <c r="F215" t="s">
        <v>16</v>
      </c>
      <c r="G215">
        <v>20</v>
      </c>
      <c r="H215">
        <v>3163932.2</v>
      </c>
      <c r="I215">
        <v>992.95</v>
      </c>
    </row>
    <row r="216" spans="1:9" x14ac:dyDescent="0.2">
      <c r="A216" s="11">
        <v>45995</v>
      </c>
      <c r="B216" t="s">
        <v>7</v>
      </c>
      <c r="C216" t="s">
        <v>398</v>
      </c>
      <c r="D216" t="s">
        <v>399</v>
      </c>
      <c r="E216" t="s">
        <v>400</v>
      </c>
      <c r="F216" t="s">
        <v>5</v>
      </c>
      <c r="G216">
        <v>26</v>
      </c>
      <c r="H216">
        <v>785556.2</v>
      </c>
      <c r="I216">
        <v>246.53</v>
      </c>
    </row>
    <row r="217" spans="1:9" x14ac:dyDescent="0.2">
      <c r="A217" s="11">
        <v>45995</v>
      </c>
      <c r="B217" t="s">
        <v>7</v>
      </c>
      <c r="C217" t="s">
        <v>398</v>
      </c>
      <c r="D217" t="s">
        <v>399</v>
      </c>
      <c r="E217" t="s">
        <v>401</v>
      </c>
      <c r="F217" t="s">
        <v>22</v>
      </c>
      <c r="G217">
        <v>11</v>
      </c>
      <c r="H217">
        <v>598194.74</v>
      </c>
      <c r="I217">
        <v>187.73</v>
      </c>
    </row>
    <row r="218" spans="1:9" x14ac:dyDescent="0.2">
      <c r="A218" s="11">
        <v>45995</v>
      </c>
      <c r="B218" t="s">
        <v>7</v>
      </c>
      <c r="C218" t="s">
        <v>398</v>
      </c>
      <c r="D218" t="s">
        <v>399</v>
      </c>
      <c r="E218" t="s">
        <v>402</v>
      </c>
      <c r="F218" t="s">
        <v>14</v>
      </c>
      <c r="G218">
        <v>14</v>
      </c>
      <c r="H218">
        <v>677289.48</v>
      </c>
      <c r="I218">
        <v>212.56</v>
      </c>
    </row>
    <row r="219" spans="1:9" x14ac:dyDescent="0.2">
      <c r="A219" s="11">
        <v>45995</v>
      </c>
      <c r="B219" t="s">
        <v>7</v>
      </c>
      <c r="C219" t="s">
        <v>398</v>
      </c>
      <c r="D219" t="s">
        <v>399</v>
      </c>
      <c r="E219" t="s">
        <v>403</v>
      </c>
      <c r="F219" t="s">
        <v>5</v>
      </c>
      <c r="G219">
        <v>12</v>
      </c>
      <c r="H219">
        <v>474810.6</v>
      </c>
      <c r="I219">
        <v>149.01</v>
      </c>
    </row>
    <row r="220" spans="1:9" x14ac:dyDescent="0.2">
      <c r="A220" s="11">
        <v>45995</v>
      </c>
      <c r="B220" t="s">
        <v>6</v>
      </c>
      <c r="C220" t="s">
        <v>404</v>
      </c>
      <c r="D220" t="s">
        <v>405</v>
      </c>
      <c r="E220" t="s">
        <v>406</v>
      </c>
      <c r="F220" t="s">
        <v>14</v>
      </c>
      <c r="G220">
        <v>7</v>
      </c>
      <c r="H220">
        <v>333364.99</v>
      </c>
      <c r="I220">
        <v>104.62</v>
      </c>
    </row>
    <row r="221" spans="1:9" x14ac:dyDescent="0.2">
      <c r="A221" s="11">
        <v>45995</v>
      </c>
      <c r="B221" t="s">
        <v>6</v>
      </c>
      <c r="C221" t="s">
        <v>407</v>
      </c>
      <c r="D221" t="s">
        <v>408</v>
      </c>
      <c r="E221" t="s">
        <v>409</v>
      </c>
      <c r="F221" t="s">
        <v>14</v>
      </c>
      <c r="G221">
        <v>7</v>
      </c>
      <c r="H221">
        <v>246880.55</v>
      </c>
      <c r="I221">
        <v>77.48</v>
      </c>
    </row>
    <row r="222" spans="1:9" x14ac:dyDescent="0.2">
      <c r="A222" s="11">
        <v>45995</v>
      </c>
      <c r="B222" t="s">
        <v>6</v>
      </c>
      <c r="C222" t="s">
        <v>410</v>
      </c>
      <c r="D222" t="s">
        <v>411</v>
      </c>
      <c r="E222" t="s">
        <v>412</v>
      </c>
      <c r="F222" t="s">
        <v>5</v>
      </c>
      <c r="G222">
        <v>29</v>
      </c>
      <c r="H222">
        <v>2237843.87</v>
      </c>
      <c r="I222">
        <v>702.31</v>
      </c>
    </row>
    <row r="223" spans="1:9" x14ac:dyDescent="0.2">
      <c r="A223" s="11">
        <v>45995</v>
      </c>
      <c r="B223" t="s">
        <v>6</v>
      </c>
      <c r="C223" t="s">
        <v>410</v>
      </c>
      <c r="D223" t="s">
        <v>411</v>
      </c>
      <c r="E223" t="s">
        <v>413</v>
      </c>
      <c r="F223" t="s">
        <v>22</v>
      </c>
      <c r="G223">
        <v>8</v>
      </c>
      <c r="H223">
        <v>255637.6</v>
      </c>
      <c r="I223">
        <v>80.23</v>
      </c>
    </row>
    <row r="224" spans="1:9" x14ac:dyDescent="0.2">
      <c r="A224" s="11">
        <v>45995</v>
      </c>
      <c r="B224" t="s">
        <v>6</v>
      </c>
      <c r="C224" t="s">
        <v>410</v>
      </c>
      <c r="D224" t="s">
        <v>411</v>
      </c>
      <c r="E224" t="s">
        <v>364</v>
      </c>
      <c r="F224" t="s">
        <v>14</v>
      </c>
      <c r="G224">
        <v>17</v>
      </c>
      <c r="H224">
        <v>892444.24</v>
      </c>
      <c r="I224">
        <v>280.08</v>
      </c>
    </row>
    <row r="225" spans="1:9" x14ac:dyDescent="0.2">
      <c r="A225" s="11">
        <v>45995</v>
      </c>
      <c r="B225" t="s">
        <v>9</v>
      </c>
      <c r="C225" t="s">
        <v>414</v>
      </c>
      <c r="D225" t="s">
        <v>415</v>
      </c>
      <c r="E225" t="s">
        <v>41</v>
      </c>
      <c r="F225" t="s">
        <v>16</v>
      </c>
      <c r="G225">
        <v>8</v>
      </c>
      <c r="H225">
        <v>438692.96</v>
      </c>
      <c r="I225">
        <v>137.68</v>
      </c>
    </row>
    <row r="226" spans="1:9" x14ac:dyDescent="0.2">
      <c r="A226" s="11">
        <v>45995</v>
      </c>
      <c r="B226" t="s">
        <v>6</v>
      </c>
      <c r="C226" t="s">
        <v>416</v>
      </c>
      <c r="D226" t="s">
        <v>417</v>
      </c>
      <c r="E226" t="s">
        <v>418</v>
      </c>
      <c r="F226" t="s">
        <v>20</v>
      </c>
      <c r="G226">
        <v>11</v>
      </c>
      <c r="H226">
        <v>2319476.39</v>
      </c>
      <c r="I226">
        <v>727.93</v>
      </c>
    </row>
    <row r="227" spans="1:9" x14ac:dyDescent="0.2">
      <c r="A227" s="11">
        <v>45995</v>
      </c>
      <c r="B227" t="s">
        <v>6</v>
      </c>
      <c r="C227" t="s">
        <v>416</v>
      </c>
      <c r="D227" t="s">
        <v>417</v>
      </c>
      <c r="E227" t="s">
        <v>419</v>
      </c>
      <c r="F227" t="s">
        <v>18</v>
      </c>
      <c r="G227">
        <v>7</v>
      </c>
      <c r="H227">
        <v>847582.82</v>
      </c>
      <c r="I227">
        <v>266</v>
      </c>
    </row>
    <row r="228" spans="1:9" x14ac:dyDescent="0.2">
      <c r="A228" s="11">
        <v>45995</v>
      </c>
      <c r="B228" t="s">
        <v>6</v>
      </c>
      <c r="C228" t="s">
        <v>416</v>
      </c>
      <c r="D228" t="s">
        <v>417</v>
      </c>
      <c r="E228" t="s">
        <v>420</v>
      </c>
      <c r="F228" t="s">
        <v>22</v>
      </c>
      <c r="G228">
        <v>18</v>
      </c>
      <c r="H228">
        <v>449175.06</v>
      </c>
      <c r="I228">
        <v>140.97</v>
      </c>
    </row>
    <row r="229" spans="1:9" x14ac:dyDescent="0.2">
      <c r="A229" s="11">
        <v>45995</v>
      </c>
      <c r="B229" t="s">
        <v>6</v>
      </c>
      <c r="C229" t="s">
        <v>421</v>
      </c>
      <c r="D229" t="s">
        <v>422</v>
      </c>
      <c r="E229" t="s">
        <v>423</v>
      </c>
      <c r="F229" t="s">
        <v>18</v>
      </c>
      <c r="G229">
        <v>27</v>
      </c>
      <c r="H229">
        <v>2354223.42</v>
      </c>
      <c r="I229">
        <v>738.84</v>
      </c>
    </row>
    <row r="230" spans="1:9" x14ac:dyDescent="0.2">
      <c r="A230" s="11">
        <v>45995</v>
      </c>
      <c r="B230" t="s">
        <v>10</v>
      </c>
      <c r="C230" t="s">
        <v>424</v>
      </c>
      <c r="D230" t="s">
        <v>425</v>
      </c>
      <c r="E230" t="s">
        <v>426</v>
      </c>
      <c r="F230" t="s">
        <v>14</v>
      </c>
      <c r="G230">
        <v>2</v>
      </c>
      <c r="H230">
        <v>151121.46</v>
      </c>
      <c r="I230">
        <v>47.43</v>
      </c>
    </row>
    <row r="231" spans="1:9" x14ac:dyDescent="0.2">
      <c r="A231" s="11">
        <v>45995</v>
      </c>
      <c r="B231" t="s">
        <v>10</v>
      </c>
      <c r="C231" t="s">
        <v>424</v>
      </c>
      <c r="D231" t="s">
        <v>425</v>
      </c>
      <c r="E231" t="s">
        <v>427</v>
      </c>
      <c r="F231" t="s">
        <v>20</v>
      </c>
      <c r="G231">
        <v>10</v>
      </c>
      <c r="H231">
        <v>1896899.1</v>
      </c>
      <c r="I231">
        <v>595.30999999999995</v>
      </c>
    </row>
    <row r="232" spans="1:9" x14ac:dyDescent="0.2">
      <c r="A232" s="11">
        <v>45995</v>
      </c>
      <c r="B232" t="s">
        <v>11</v>
      </c>
      <c r="C232" t="s">
        <v>341</v>
      </c>
      <c r="D232" t="s">
        <v>428</v>
      </c>
      <c r="E232" t="s">
        <v>429</v>
      </c>
      <c r="F232" t="s">
        <v>22</v>
      </c>
      <c r="G232">
        <v>29</v>
      </c>
      <c r="H232">
        <v>867625.19</v>
      </c>
      <c r="I232">
        <v>272.29000000000002</v>
      </c>
    </row>
    <row r="233" spans="1:9" x14ac:dyDescent="0.2">
      <c r="A233" s="11">
        <v>45995</v>
      </c>
      <c r="B233" t="s">
        <v>8</v>
      </c>
      <c r="C233" t="s">
        <v>430</v>
      </c>
      <c r="D233" t="s">
        <v>431</v>
      </c>
      <c r="E233" t="s">
        <v>432</v>
      </c>
      <c r="F233" t="s">
        <v>16</v>
      </c>
      <c r="G233">
        <v>23</v>
      </c>
      <c r="H233">
        <v>3800310.01</v>
      </c>
      <c r="I233">
        <v>1192.67</v>
      </c>
    </row>
    <row r="234" spans="1:9" x14ac:dyDescent="0.2">
      <c r="A234" s="11">
        <v>45995</v>
      </c>
      <c r="B234" t="s">
        <v>8</v>
      </c>
      <c r="C234" t="s">
        <v>433</v>
      </c>
      <c r="D234" t="s">
        <v>434</v>
      </c>
      <c r="E234" t="s">
        <v>435</v>
      </c>
      <c r="F234" t="s">
        <v>5</v>
      </c>
      <c r="G234">
        <v>12</v>
      </c>
      <c r="H234">
        <v>370441.2</v>
      </c>
      <c r="I234">
        <v>116.26</v>
      </c>
    </row>
    <row r="235" spans="1:9" x14ac:dyDescent="0.2">
      <c r="A235" s="11">
        <v>45995</v>
      </c>
      <c r="B235" t="s">
        <v>8</v>
      </c>
      <c r="C235" t="s">
        <v>433</v>
      </c>
      <c r="D235" t="s">
        <v>434</v>
      </c>
      <c r="E235" t="s">
        <v>436</v>
      </c>
      <c r="F235" t="s">
        <v>5</v>
      </c>
      <c r="G235">
        <v>10</v>
      </c>
      <c r="H235">
        <v>689664.7</v>
      </c>
      <c r="I235">
        <v>216.44</v>
      </c>
    </row>
    <row r="236" spans="1:9" x14ac:dyDescent="0.2">
      <c r="A236" s="11">
        <v>45996</v>
      </c>
      <c r="B236" t="s">
        <v>6</v>
      </c>
      <c r="C236" t="s">
        <v>255</v>
      </c>
      <c r="D236" t="s">
        <v>437</v>
      </c>
      <c r="E236" t="s">
        <v>438</v>
      </c>
      <c r="F236" t="s">
        <v>14</v>
      </c>
      <c r="G236">
        <v>17</v>
      </c>
      <c r="H236">
        <v>1293624.69</v>
      </c>
      <c r="I236">
        <v>405.98</v>
      </c>
    </row>
    <row r="237" spans="1:9" x14ac:dyDescent="0.2">
      <c r="A237" s="11">
        <v>45996</v>
      </c>
      <c r="B237" t="s">
        <v>10</v>
      </c>
      <c r="C237" t="s">
        <v>439</v>
      </c>
      <c r="D237" t="s">
        <v>440</v>
      </c>
      <c r="E237" t="s">
        <v>378</v>
      </c>
      <c r="F237" t="s">
        <v>14</v>
      </c>
      <c r="G237">
        <v>32</v>
      </c>
      <c r="H237">
        <v>3066007.04</v>
      </c>
      <c r="I237">
        <v>962.22</v>
      </c>
    </row>
    <row r="238" spans="1:9" x14ac:dyDescent="0.2">
      <c r="A238" s="11">
        <v>45996</v>
      </c>
      <c r="B238" t="s">
        <v>10</v>
      </c>
      <c r="C238" t="s">
        <v>439</v>
      </c>
      <c r="D238" t="s">
        <v>440</v>
      </c>
      <c r="E238" t="s">
        <v>441</v>
      </c>
      <c r="F238" t="s">
        <v>5</v>
      </c>
      <c r="G238">
        <v>11</v>
      </c>
      <c r="H238">
        <v>350478.04</v>
      </c>
      <c r="I238">
        <v>109.99</v>
      </c>
    </row>
    <row r="239" spans="1:9" x14ac:dyDescent="0.2">
      <c r="A239" s="11">
        <v>45996</v>
      </c>
      <c r="B239" t="s">
        <v>8</v>
      </c>
      <c r="C239" t="s">
        <v>442</v>
      </c>
      <c r="D239" t="s">
        <v>443</v>
      </c>
      <c r="E239" t="s">
        <v>444</v>
      </c>
      <c r="F239" t="s">
        <v>18</v>
      </c>
      <c r="G239">
        <v>35</v>
      </c>
      <c r="H239">
        <v>3524447.85</v>
      </c>
      <c r="I239">
        <v>1106.0899999999999</v>
      </c>
    </row>
    <row r="240" spans="1:9" x14ac:dyDescent="0.2">
      <c r="A240" s="11">
        <v>45996</v>
      </c>
      <c r="B240" t="s">
        <v>8</v>
      </c>
      <c r="C240" t="s">
        <v>442</v>
      </c>
      <c r="D240" t="s">
        <v>443</v>
      </c>
      <c r="E240" t="s">
        <v>294</v>
      </c>
      <c r="F240" t="s">
        <v>5</v>
      </c>
      <c r="G240">
        <v>31</v>
      </c>
      <c r="H240">
        <v>1070951.42</v>
      </c>
      <c r="I240">
        <v>336.1</v>
      </c>
    </row>
    <row r="241" spans="1:9" x14ac:dyDescent="0.2">
      <c r="A241" s="11">
        <v>45996</v>
      </c>
      <c r="B241" t="s">
        <v>7</v>
      </c>
      <c r="C241" t="s">
        <v>445</v>
      </c>
      <c r="D241" t="s">
        <v>446</v>
      </c>
      <c r="E241" t="s">
        <v>447</v>
      </c>
      <c r="F241" t="s">
        <v>18</v>
      </c>
      <c r="G241">
        <v>8</v>
      </c>
      <c r="H241">
        <v>584069.19999999995</v>
      </c>
      <c r="I241">
        <v>183.3</v>
      </c>
    </row>
    <row r="242" spans="1:9" x14ac:dyDescent="0.2">
      <c r="A242" s="11">
        <v>45996</v>
      </c>
      <c r="B242" t="s">
        <v>7</v>
      </c>
      <c r="C242" t="s">
        <v>445</v>
      </c>
      <c r="D242" t="s">
        <v>446</v>
      </c>
      <c r="E242" t="s">
        <v>448</v>
      </c>
      <c r="F242" t="s">
        <v>5</v>
      </c>
      <c r="G242">
        <v>23</v>
      </c>
      <c r="H242">
        <v>1402753.44</v>
      </c>
      <c r="I242">
        <v>440.23</v>
      </c>
    </row>
    <row r="243" spans="1:9" x14ac:dyDescent="0.2">
      <c r="A243" s="11">
        <v>45996</v>
      </c>
      <c r="B243" t="s">
        <v>7</v>
      </c>
      <c r="C243" t="s">
        <v>445</v>
      </c>
      <c r="D243" t="s">
        <v>446</v>
      </c>
      <c r="E243" t="s">
        <v>449</v>
      </c>
      <c r="F243" t="s">
        <v>14</v>
      </c>
      <c r="G243">
        <v>20</v>
      </c>
      <c r="H243">
        <v>1663864.4</v>
      </c>
      <c r="I243">
        <v>522.17999999999995</v>
      </c>
    </row>
    <row r="244" spans="1:9" x14ac:dyDescent="0.2">
      <c r="A244" s="11">
        <v>45996</v>
      </c>
      <c r="B244" t="s">
        <v>9</v>
      </c>
      <c r="C244" t="s">
        <v>450</v>
      </c>
      <c r="D244" t="s">
        <v>451</v>
      </c>
      <c r="E244" t="s">
        <v>321</v>
      </c>
      <c r="F244" t="s">
        <v>16</v>
      </c>
      <c r="G244">
        <v>16</v>
      </c>
      <c r="H244">
        <v>1836733.6</v>
      </c>
      <c r="I244">
        <v>576.42999999999995</v>
      </c>
    </row>
    <row r="245" spans="1:9" x14ac:dyDescent="0.2">
      <c r="A245" s="11">
        <v>45996</v>
      </c>
      <c r="B245" t="s">
        <v>9</v>
      </c>
      <c r="C245" t="s">
        <v>450</v>
      </c>
      <c r="D245" t="s">
        <v>451</v>
      </c>
      <c r="E245" t="s">
        <v>452</v>
      </c>
      <c r="F245" t="s">
        <v>18</v>
      </c>
      <c r="G245">
        <v>10</v>
      </c>
      <c r="H245">
        <v>991222.9</v>
      </c>
      <c r="I245">
        <v>311.08</v>
      </c>
    </row>
    <row r="246" spans="1:9" x14ac:dyDescent="0.2">
      <c r="A246" s="11">
        <v>45996</v>
      </c>
      <c r="B246" t="s">
        <v>8</v>
      </c>
      <c r="C246" t="s">
        <v>453</v>
      </c>
      <c r="D246" t="s">
        <v>454</v>
      </c>
      <c r="E246" t="s">
        <v>455</v>
      </c>
      <c r="F246" t="s">
        <v>18</v>
      </c>
      <c r="G246">
        <v>17</v>
      </c>
      <c r="H246">
        <v>1902007.94</v>
      </c>
      <c r="I246">
        <v>596.91999999999996</v>
      </c>
    </row>
    <row r="247" spans="1:9" x14ac:dyDescent="0.2">
      <c r="A247" s="11">
        <v>45996</v>
      </c>
      <c r="B247" t="s">
        <v>8</v>
      </c>
      <c r="C247" t="s">
        <v>453</v>
      </c>
      <c r="D247" t="s">
        <v>454</v>
      </c>
      <c r="E247" t="s">
        <v>456</v>
      </c>
      <c r="F247" t="s">
        <v>14</v>
      </c>
      <c r="G247">
        <v>16</v>
      </c>
      <c r="H247">
        <v>687648</v>
      </c>
      <c r="I247">
        <v>215.81</v>
      </c>
    </row>
    <row r="248" spans="1:9" x14ac:dyDescent="0.2">
      <c r="A248" s="11">
        <v>45996</v>
      </c>
      <c r="B248" t="s">
        <v>12</v>
      </c>
      <c r="C248" t="s">
        <v>457</v>
      </c>
      <c r="D248" t="s">
        <v>458</v>
      </c>
      <c r="E248" t="s">
        <v>459</v>
      </c>
      <c r="F248" t="s">
        <v>14</v>
      </c>
      <c r="G248">
        <v>3</v>
      </c>
      <c r="H248">
        <v>147647.01</v>
      </c>
      <c r="I248">
        <v>46.34</v>
      </c>
    </row>
    <row r="249" spans="1:9" x14ac:dyDescent="0.2">
      <c r="A249" s="11">
        <v>45996</v>
      </c>
      <c r="B249" t="s">
        <v>12</v>
      </c>
      <c r="C249" t="s">
        <v>457</v>
      </c>
      <c r="D249" t="s">
        <v>458</v>
      </c>
      <c r="E249" t="s">
        <v>460</v>
      </c>
      <c r="F249" t="s">
        <v>14</v>
      </c>
      <c r="G249">
        <v>13</v>
      </c>
      <c r="H249">
        <v>787411.56</v>
      </c>
      <c r="I249">
        <v>247.12</v>
      </c>
    </row>
    <row r="250" spans="1:9" x14ac:dyDescent="0.2">
      <c r="A250" s="11">
        <v>45996</v>
      </c>
      <c r="B250" t="s">
        <v>12</v>
      </c>
      <c r="C250" t="s">
        <v>457</v>
      </c>
      <c r="D250" t="s">
        <v>458</v>
      </c>
      <c r="E250" t="s">
        <v>461</v>
      </c>
      <c r="F250" t="s">
        <v>5</v>
      </c>
      <c r="G250">
        <v>9</v>
      </c>
      <c r="H250">
        <v>270863.28000000003</v>
      </c>
      <c r="I250">
        <v>85.01</v>
      </c>
    </row>
    <row r="251" spans="1:9" x14ac:dyDescent="0.2">
      <c r="A251" s="11">
        <v>45996</v>
      </c>
      <c r="B251" t="s">
        <v>12</v>
      </c>
      <c r="C251" t="s">
        <v>457</v>
      </c>
      <c r="D251" t="s">
        <v>458</v>
      </c>
      <c r="E251" t="s">
        <v>462</v>
      </c>
      <c r="F251" t="s">
        <v>5</v>
      </c>
      <c r="G251">
        <v>13</v>
      </c>
      <c r="H251">
        <v>578763.51</v>
      </c>
      <c r="I251">
        <v>181.64</v>
      </c>
    </row>
    <row r="252" spans="1:9" x14ac:dyDescent="0.2">
      <c r="A252" s="11">
        <v>45996</v>
      </c>
      <c r="B252" t="s">
        <v>12</v>
      </c>
      <c r="C252" t="s">
        <v>457</v>
      </c>
      <c r="D252" t="s">
        <v>458</v>
      </c>
      <c r="E252" t="s">
        <v>115</v>
      </c>
      <c r="F252" t="s">
        <v>14</v>
      </c>
      <c r="G252">
        <v>25</v>
      </c>
      <c r="H252">
        <v>1357561</v>
      </c>
      <c r="I252">
        <v>426.05</v>
      </c>
    </row>
    <row r="253" spans="1:9" x14ac:dyDescent="0.2">
      <c r="A253" s="11">
        <v>45996</v>
      </c>
      <c r="B253" t="s">
        <v>10</v>
      </c>
      <c r="C253" t="s">
        <v>463</v>
      </c>
      <c r="D253" t="s">
        <v>464</v>
      </c>
      <c r="E253" t="s">
        <v>465</v>
      </c>
      <c r="F253" t="s">
        <v>16</v>
      </c>
      <c r="G253">
        <v>16</v>
      </c>
      <c r="H253">
        <v>1594864.48</v>
      </c>
      <c r="I253">
        <v>500.52</v>
      </c>
    </row>
    <row r="254" spans="1:9" x14ac:dyDescent="0.2">
      <c r="A254" s="11">
        <v>45996</v>
      </c>
      <c r="B254" t="s">
        <v>10</v>
      </c>
      <c r="C254" t="s">
        <v>463</v>
      </c>
      <c r="D254" t="s">
        <v>464</v>
      </c>
      <c r="E254" t="s">
        <v>466</v>
      </c>
      <c r="F254" t="s">
        <v>20</v>
      </c>
      <c r="G254">
        <v>11</v>
      </c>
      <c r="H254">
        <v>2051355.13</v>
      </c>
      <c r="I254">
        <v>643.79</v>
      </c>
    </row>
    <row r="255" spans="1:9" x14ac:dyDescent="0.2">
      <c r="A255" s="11">
        <v>45996</v>
      </c>
      <c r="B255" t="s">
        <v>10</v>
      </c>
      <c r="C255" t="s">
        <v>463</v>
      </c>
      <c r="D255" t="s">
        <v>464</v>
      </c>
      <c r="E255" t="s">
        <v>467</v>
      </c>
      <c r="F255" t="s">
        <v>18</v>
      </c>
      <c r="G255">
        <v>22</v>
      </c>
      <c r="H255">
        <v>2348590.86</v>
      </c>
      <c r="I255">
        <v>737.07</v>
      </c>
    </row>
    <row r="256" spans="1:9" x14ac:dyDescent="0.2">
      <c r="A256" s="11">
        <v>45996</v>
      </c>
      <c r="B256" t="s">
        <v>10</v>
      </c>
      <c r="C256" t="s">
        <v>463</v>
      </c>
      <c r="D256" t="s">
        <v>464</v>
      </c>
      <c r="E256" t="s">
        <v>468</v>
      </c>
      <c r="F256" t="s">
        <v>14</v>
      </c>
      <c r="G256">
        <v>18</v>
      </c>
      <c r="H256">
        <v>1110291.48</v>
      </c>
      <c r="I256">
        <v>348.45</v>
      </c>
    </row>
    <row r="257" spans="1:9" x14ac:dyDescent="0.2">
      <c r="A257" s="11">
        <v>45996</v>
      </c>
      <c r="B257" t="s">
        <v>10</v>
      </c>
      <c r="C257" t="s">
        <v>463</v>
      </c>
      <c r="D257" t="s">
        <v>464</v>
      </c>
      <c r="E257" t="s">
        <v>469</v>
      </c>
      <c r="F257" t="s">
        <v>20</v>
      </c>
      <c r="G257">
        <v>37</v>
      </c>
      <c r="H257">
        <v>8751623.6899999995</v>
      </c>
      <c r="I257">
        <v>2746.56</v>
      </c>
    </row>
    <row r="258" spans="1:9" x14ac:dyDescent="0.2">
      <c r="A258" s="11">
        <v>45996</v>
      </c>
      <c r="B258" t="s">
        <v>11</v>
      </c>
      <c r="C258" t="s">
        <v>470</v>
      </c>
      <c r="D258" t="s">
        <v>471</v>
      </c>
      <c r="E258" t="s">
        <v>304</v>
      </c>
      <c r="F258" t="s">
        <v>5</v>
      </c>
      <c r="G258">
        <v>25</v>
      </c>
      <c r="H258">
        <v>1917708.75</v>
      </c>
      <c r="I258">
        <v>601.84</v>
      </c>
    </row>
    <row r="259" spans="1:9" x14ac:dyDescent="0.2">
      <c r="A259" s="11">
        <v>45996</v>
      </c>
      <c r="B259" t="s">
        <v>11</v>
      </c>
      <c r="C259" t="s">
        <v>470</v>
      </c>
      <c r="D259" t="s">
        <v>471</v>
      </c>
      <c r="E259" t="s">
        <v>258</v>
      </c>
      <c r="F259" t="s">
        <v>14</v>
      </c>
      <c r="G259">
        <v>21</v>
      </c>
      <c r="H259">
        <v>771294.51</v>
      </c>
      <c r="I259">
        <v>242.06</v>
      </c>
    </row>
    <row r="260" spans="1:9" x14ac:dyDescent="0.2">
      <c r="A260" s="11">
        <v>45996</v>
      </c>
      <c r="B260" t="s">
        <v>11</v>
      </c>
      <c r="C260" t="s">
        <v>470</v>
      </c>
      <c r="D260" t="s">
        <v>471</v>
      </c>
      <c r="E260" t="s">
        <v>229</v>
      </c>
      <c r="F260" t="s">
        <v>18</v>
      </c>
      <c r="G260">
        <v>13</v>
      </c>
      <c r="H260">
        <v>641489.81000000006</v>
      </c>
      <c r="I260">
        <v>201.32</v>
      </c>
    </row>
    <row r="261" spans="1:9" x14ac:dyDescent="0.2">
      <c r="A261" s="11">
        <v>45996</v>
      </c>
      <c r="B261" t="s">
        <v>11</v>
      </c>
      <c r="C261" t="s">
        <v>470</v>
      </c>
      <c r="D261" t="s">
        <v>471</v>
      </c>
      <c r="E261" t="s">
        <v>472</v>
      </c>
      <c r="F261" t="s">
        <v>14</v>
      </c>
      <c r="G261">
        <v>6</v>
      </c>
      <c r="H261">
        <v>381599.58</v>
      </c>
      <c r="I261">
        <v>119.76</v>
      </c>
    </row>
    <row r="262" spans="1:9" x14ac:dyDescent="0.2">
      <c r="A262" s="11">
        <v>45996</v>
      </c>
      <c r="B262" t="s">
        <v>11</v>
      </c>
      <c r="C262" t="s">
        <v>470</v>
      </c>
      <c r="D262" t="s">
        <v>471</v>
      </c>
      <c r="E262" t="s">
        <v>473</v>
      </c>
      <c r="F262" t="s">
        <v>18</v>
      </c>
      <c r="G262">
        <v>24</v>
      </c>
      <c r="H262">
        <v>2012378.64</v>
      </c>
      <c r="I262">
        <v>631.54999999999995</v>
      </c>
    </row>
    <row r="263" spans="1:9" x14ac:dyDescent="0.2">
      <c r="A263" s="11">
        <v>45996</v>
      </c>
      <c r="B263" t="s">
        <v>6</v>
      </c>
      <c r="C263" t="s">
        <v>474</v>
      </c>
      <c r="D263" t="s">
        <v>475</v>
      </c>
      <c r="E263" t="s">
        <v>476</v>
      </c>
      <c r="F263" t="s">
        <v>18</v>
      </c>
      <c r="G263">
        <v>15</v>
      </c>
      <c r="H263">
        <v>626471.1</v>
      </c>
      <c r="I263">
        <v>196.61</v>
      </c>
    </row>
    <row r="264" spans="1:9" x14ac:dyDescent="0.2">
      <c r="A264" s="11">
        <v>45996</v>
      </c>
      <c r="B264" t="s">
        <v>6</v>
      </c>
      <c r="C264" t="s">
        <v>474</v>
      </c>
      <c r="D264" t="s">
        <v>475</v>
      </c>
      <c r="E264" t="s">
        <v>477</v>
      </c>
      <c r="F264" t="s">
        <v>16</v>
      </c>
      <c r="G264">
        <v>7</v>
      </c>
      <c r="H264">
        <v>638206.03</v>
      </c>
      <c r="I264">
        <v>200.29</v>
      </c>
    </row>
    <row r="265" spans="1:9" x14ac:dyDescent="0.2">
      <c r="A265" s="11">
        <v>45996</v>
      </c>
      <c r="B265" t="s">
        <v>7</v>
      </c>
      <c r="C265" t="s">
        <v>478</v>
      </c>
      <c r="D265" t="s">
        <v>479</v>
      </c>
      <c r="E265" t="s">
        <v>145</v>
      </c>
      <c r="F265" t="s">
        <v>22</v>
      </c>
      <c r="G265">
        <v>13</v>
      </c>
      <c r="H265">
        <v>722401.03</v>
      </c>
      <c r="I265">
        <v>226.71</v>
      </c>
    </row>
    <row r="266" spans="1:9" x14ac:dyDescent="0.2">
      <c r="A266" s="11">
        <v>45996</v>
      </c>
      <c r="B266" t="s">
        <v>7</v>
      </c>
      <c r="C266" t="s">
        <v>478</v>
      </c>
      <c r="D266" t="s">
        <v>479</v>
      </c>
      <c r="E266" t="s">
        <v>480</v>
      </c>
      <c r="F266" t="s">
        <v>18</v>
      </c>
      <c r="G266">
        <v>7</v>
      </c>
      <c r="H266">
        <v>744290.26</v>
      </c>
      <c r="I266">
        <v>233.58</v>
      </c>
    </row>
    <row r="267" spans="1:9" x14ac:dyDescent="0.2">
      <c r="A267" s="11">
        <v>45996</v>
      </c>
      <c r="B267" t="s">
        <v>11</v>
      </c>
      <c r="C267" t="s">
        <v>190</v>
      </c>
      <c r="D267" t="s">
        <v>481</v>
      </c>
      <c r="E267" t="s">
        <v>482</v>
      </c>
      <c r="F267" t="s">
        <v>20</v>
      </c>
      <c r="G267">
        <v>9</v>
      </c>
      <c r="H267">
        <v>1127847.6000000001</v>
      </c>
      <c r="I267">
        <v>353.96</v>
      </c>
    </row>
    <row r="268" spans="1:9" x14ac:dyDescent="0.2">
      <c r="A268" s="11">
        <v>45996</v>
      </c>
      <c r="B268" t="s">
        <v>11</v>
      </c>
      <c r="C268" t="s">
        <v>190</v>
      </c>
      <c r="D268" t="s">
        <v>481</v>
      </c>
      <c r="E268" t="s">
        <v>483</v>
      </c>
      <c r="F268" t="s">
        <v>16</v>
      </c>
      <c r="G268">
        <v>4</v>
      </c>
      <c r="H268">
        <v>645504.76</v>
      </c>
      <c r="I268">
        <v>202.58</v>
      </c>
    </row>
    <row r="269" spans="1:9" x14ac:dyDescent="0.2">
      <c r="A269" s="11">
        <v>45996</v>
      </c>
      <c r="B269" t="s">
        <v>11</v>
      </c>
      <c r="C269" t="s">
        <v>190</v>
      </c>
      <c r="D269" t="s">
        <v>481</v>
      </c>
      <c r="E269" t="s">
        <v>419</v>
      </c>
      <c r="F269" t="s">
        <v>18</v>
      </c>
      <c r="G269">
        <v>13</v>
      </c>
      <c r="H269">
        <v>1490782.41</v>
      </c>
      <c r="I269">
        <v>467.86</v>
      </c>
    </row>
    <row r="270" spans="1:9" x14ac:dyDescent="0.2">
      <c r="A270" s="11">
        <v>45996</v>
      </c>
      <c r="B270" t="s">
        <v>11</v>
      </c>
      <c r="C270" t="s">
        <v>190</v>
      </c>
      <c r="D270" t="s">
        <v>481</v>
      </c>
      <c r="E270" t="s">
        <v>452</v>
      </c>
      <c r="F270" t="s">
        <v>18</v>
      </c>
      <c r="G270">
        <v>9</v>
      </c>
      <c r="H270">
        <v>880563.24</v>
      </c>
      <c r="I270">
        <v>276.35000000000002</v>
      </c>
    </row>
    <row r="271" spans="1:9" x14ac:dyDescent="0.2">
      <c r="A271" s="11">
        <v>45996</v>
      </c>
      <c r="B271" t="s">
        <v>11</v>
      </c>
      <c r="C271" t="s">
        <v>190</v>
      </c>
      <c r="D271" t="s">
        <v>481</v>
      </c>
      <c r="E271" t="s">
        <v>484</v>
      </c>
      <c r="F271" t="s">
        <v>22</v>
      </c>
      <c r="G271">
        <v>14</v>
      </c>
      <c r="H271">
        <v>504972.44</v>
      </c>
      <c r="I271">
        <v>158.47999999999999</v>
      </c>
    </row>
    <row r="272" spans="1:9" x14ac:dyDescent="0.2">
      <c r="A272" s="11">
        <v>45996</v>
      </c>
      <c r="B272" t="s">
        <v>9</v>
      </c>
      <c r="C272" t="s">
        <v>470</v>
      </c>
      <c r="D272" t="s">
        <v>485</v>
      </c>
      <c r="E272" t="s">
        <v>486</v>
      </c>
      <c r="F272" t="s">
        <v>16</v>
      </c>
      <c r="G272">
        <v>20</v>
      </c>
      <c r="H272">
        <v>1749246.4</v>
      </c>
      <c r="I272">
        <v>548.97</v>
      </c>
    </row>
    <row r="273" spans="1:9" x14ac:dyDescent="0.2">
      <c r="A273" s="11">
        <v>45996</v>
      </c>
      <c r="B273" t="s">
        <v>9</v>
      </c>
      <c r="C273" t="s">
        <v>487</v>
      </c>
      <c r="D273" t="s">
        <v>488</v>
      </c>
      <c r="E273" t="s">
        <v>489</v>
      </c>
      <c r="F273" t="s">
        <v>5</v>
      </c>
      <c r="G273">
        <v>33</v>
      </c>
      <c r="H273">
        <v>1387922.91</v>
      </c>
      <c r="I273">
        <v>435.58</v>
      </c>
    </row>
    <row r="274" spans="1:9" x14ac:dyDescent="0.2">
      <c r="A274" s="11">
        <v>45996</v>
      </c>
      <c r="B274" t="s">
        <v>9</v>
      </c>
      <c r="C274" t="s">
        <v>487</v>
      </c>
      <c r="D274" t="s">
        <v>488</v>
      </c>
      <c r="E274" t="s">
        <v>490</v>
      </c>
      <c r="F274" t="s">
        <v>22</v>
      </c>
      <c r="G274">
        <v>13</v>
      </c>
      <c r="H274">
        <v>388719.5</v>
      </c>
      <c r="I274">
        <v>121.99</v>
      </c>
    </row>
    <row r="275" spans="1:9" x14ac:dyDescent="0.2">
      <c r="A275" s="11">
        <v>45996</v>
      </c>
      <c r="B275" t="s">
        <v>9</v>
      </c>
      <c r="C275" t="s">
        <v>487</v>
      </c>
      <c r="D275" t="s">
        <v>488</v>
      </c>
      <c r="E275" t="s">
        <v>491</v>
      </c>
      <c r="F275" t="s">
        <v>18</v>
      </c>
      <c r="G275">
        <v>16</v>
      </c>
      <c r="H275">
        <v>1139712.6399999999</v>
      </c>
      <c r="I275">
        <v>357.68</v>
      </c>
    </row>
    <row r="276" spans="1:9" x14ac:dyDescent="0.2">
      <c r="A276" s="11">
        <v>45996</v>
      </c>
      <c r="B276" t="s">
        <v>9</v>
      </c>
      <c r="C276" t="s">
        <v>487</v>
      </c>
      <c r="D276" t="s">
        <v>488</v>
      </c>
      <c r="E276" t="s">
        <v>492</v>
      </c>
      <c r="F276" t="s">
        <v>22</v>
      </c>
      <c r="G276">
        <v>12</v>
      </c>
      <c r="H276">
        <v>280592.76</v>
      </c>
      <c r="I276">
        <v>88.06</v>
      </c>
    </row>
    <row r="277" spans="1:9" x14ac:dyDescent="0.2">
      <c r="A277" s="11">
        <v>45996</v>
      </c>
      <c r="B277" t="s">
        <v>9</v>
      </c>
      <c r="C277" t="s">
        <v>487</v>
      </c>
      <c r="D277" t="s">
        <v>488</v>
      </c>
      <c r="E277" t="s">
        <v>493</v>
      </c>
      <c r="F277" t="s">
        <v>22</v>
      </c>
      <c r="G277">
        <v>8</v>
      </c>
      <c r="H277">
        <v>450505.36</v>
      </c>
      <c r="I277">
        <v>141.38</v>
      </c>
    </row>
    <row r="278" spans="1:9" x14ac:dyDescent="0.2">
      <c r="A278" s="11">
        <v>45996</v>
      </c>
      <c r="B278" t="s">
        <v>11</v>
      </c>
      <c r="C278" t="s">
        <v>494</v>
      </c>
      <c r="D278" t="s">
        <v>495</v>
      </c>
      <c r="E278" t="s">
        <v>235</v>
      </c>
      <c r="F278" t="s">
        <v>16</v>
      </c>
      <c r="G278">
        <v>142</v>
      </c>
      <c r="H278">
        <v>17911185.620000001</v>
      </c>
      <c r="I278">
        <v>5621.15</v>
      </c>
    </row>
    <row r="279" spans="1:9" x14ac:dyDescent="0.2">
      <c r="A279" s="11">
        <v>45996</v>
      </c>
      <c r="B279" t="s">
        <v>11</v>
      </c>
      <c r="C279" t="s">
        <v>494</v>
      </c>
      <c r="D279" t="s">
        <v>495</v>
      </c>
      <c r="E279" t="s">
        <v>496</v>
      </c>
      <c r="F279" t="s">
        <v>18</v>
      </c>
      <c r="G279">
        <v>22</v>
      </c>
      <c r="H279">
        <v>1983275.36</v>
      </c>
      <c r="I279">
        <v>622.41999999999996</v>
      </c>
    </row>
    <row r="280" spans="1:9" x14ac:dyDescent="0.2">
      <c r="A280" s="11">
        <v>45996</v>
      </c>
      <c r="B280" t="s">
        <v>11</v>
      </c>
      <c r="C280" t="s">
        <v>494</v>
      </c>
      <c r="D280" t="s">
        <v>495</v>
      </c>
      <c r="E280" t="s">
        <v>497</v>
      </c>
      <c r="F280" t="s">
        <v>20</v>
      </c>
      <c r="G280">
        <v>11</v>
      </c>
      <c r="H280">
        <v>1733499.57</v>
      </c>
      <c r="I280">
        <v>544.03</v>
      </c>
    </row>
    <row r="281" spans="1:9" x14ac:dyDescent="0.2">
      <c r="A281" s="11">
        <v>45996</v>
      </c>
      <c r="B281" t="s">
        <v>11</v>
      </c>
      <c r="C281" t="s">
        <v>494</v>
      </c>
      <c r="D281" t="s">
        <v>495</v>
      </c>
      <c r="E281" t="s">
        <v>498</v>
      </c>
      <c r="F281" t="s">
        <v>22</v>
      </c>
      <c r="G281">
        <v>12</v>
      </c>
      <c r="H281">
        <v>696216</v>
      </c>
      <c r="I281">
        <v>218.5</v>
      </c>
    </row>
    <row r="282" spans="1:9" x14ac:dyDescent="0.2">
      <c r="A282" s="11">
        <v>45996</v>
      </c>
      <c r="B282" t="s">
        <v>6</v>
      </c>
      <c r="C282" t="s">
        <v>499</v>
      </c>
      <c r="D282" t="s">
        <v>500</v>
      </c>
      <c r="E282" t="s">
        <v>501</v>
      </c>
      <c r="F282" t="s">
        <v>20</v>
      </c>
      <c r="G282">
        <v>21</v>
      </c>
      <c r="H282">
        <v>3752825.16</v>
      </c>
      <c r="I282">
        <v>1177.77</v>
      </c>
    </row>
    <row r="283" spans="1:9" x14ac:dyDescent="0.2">
      <c r="A283" s="11">
        <v>45996</v>
      </c>
      <c r="B283" t="s">
        <v>6</v>
      </c>
      <c r="C283" t="s">
        <v>499</v>
      </c>
      <c r="D283" t="s">
        <v>500</v>
      </c>
      <c r="E283" t="s">
        <v>502</v>
      </c>
      <c r="F283" t="s">
        <v>18</v>
      </c>
      <c r="G283">
        <v>5</v>
      </c>
      <c r="H283">
        <v>602971.55000000005</v>
      </c>
      <c r="I283">
        <v>189.23</v>
      </c>
    </row>
    <row r="284" spans="1:9" x14ac:dyDescent="0.2">
      <c r="A284" s="11">
        <v>45996</v>
      </c>
      <c r="B284" t="s">
        <v>9</v>
      </c>
      <c r="C284" t="s">
        <v>503</v>
      </c>
      <c r="D284" t="s">
        <v>504</v>
      </c>
      <c r="E284" t="s">
        <v>505</v>
      </c>
      <c r="F284" t="s">
        <v>20</v>
      </c>
      <c r="G284">
        <v>12</v>
      </c>
      <c r="H284">
        <v>1697913.72</v>
      </c>
      <c r="I284">
        <v>532.86</v>
      </c>
    </row>
    <row r="285" spans="1:9" x14ac:dyDescent="0.2">
      <c r="A285" s="11">
        <v>45996</v>
      </c>
      <c r="B285" t="s">
        <v>8</v>
      </c>
      <c r="C285" t="s">
        <v>506</v>
      </c>
      <c r="D285" t="s">
        <v>507</v>
      </c>
      <c r="E285" t="s">
        <v>508</v>
      </c>
      <c r="F285" t="s">
        <v>5</v>
      </c>
      <c r="G285">
        <v>69</v>
      </c>
      <c r="H285">
        <v>4065580.74</v>
      </c>
      <c r="I285">
        <v>1275.92</v>
      </c>
    </row>
    <row r="286" spans="1:9" x14ac:dyDescent="0.2">
      <c r="A286" s="11">
        <v>45996</v>
      </c>
      <c r="B286" t="s">
        <v>8</v>
      </c>
      <c r="C286" t="s">
        <v>506</v>
      </c>
      <c r="D286" t="s">
        <v>507</v>
      </c>
      <c r="E286" t="s">
        <v>509</v>
      </c>
      <c r="F286" t="s">
        <v>18</v>
      </c>
      <c r="G286">
        <v>21</v>
      </c>
      <c r="H286">
        <v>1560053.46</v>
      </c>
      <c r="I286">
        <v>489.6</v>
      </c>
    </row>
    <row r="287" spans="1:9" x14ac:dyDescent="0.2">
      <c r="A287" s="11">
        <v>45996</v>
      </c>
      <c r="B287" t="s">
        <v>8</v>
      </c>
      <c r="C287" t="s">
        <v>506</v>
      </c>
      <c r="D287" t="s">
        <v>507</v>
      </c>
      <c r="E287" t="s">
        <v>510</v>
      </c>
      <c r="F287" t="s">
        <v>14</v>
      </c>
      <c r="G287">
        <v>4</v>
      </c>
      <c r="H287">
        <v>262839.36</v>
      </c>
      <c r="I287">
        <v>82.49</v>
      </c>
    </row>
    <row r="288" spans="1:9" x14ac:dyDescent="0.2">
      <c r="A288" s="11">
        <v>45996</v>
      </c>
      <c r="B288" t="s">
        <v>6</v>
      </c>
      <c r="C288" t="s">
        <v>511</v>
      </c>
      <c r="D288" t="s">
        <v>512</v>
      </c>
      <c r="E288" t="s">
        <v>513</v>
      </c>
      <c r="F288" t="s">
        <v>16</v>
      </c>
      <c r="G288">
        <v>6</v>
      </c>
      <c r="H288">
        <v>541585.92000000004</v>
      </c>
      <c r="I288">
        <v>169.97</v>
      </c>
    </row>
    <row r="289" spans="1:9" x14ac:dyDescent="0.2">
      <c r="A289" s="11">
        <v>45996</v>
      </c>
      <c r="B289" t="s">
        <v>6</v>
      </c>
      <c r="C289" t="s">
        <v>511</v>
      </c>
      <c r="D289" t="s">
        <v>512</v>
      </c>
      <c r="E289" t="s">
        <v>317</v>
      </c>
      <c r="F289" t="s">
        <v>5</v>
      </c>
      <c r="G289">
        <v>7</v>
      </c>
      <c r="H289">
        <v>277263.84000000003</v>
      </c>
      <c r="I289">
        <v>87.02</v>
      </c>
    </row>
    <row r="290" spans="1:9" x14ac:dyDescent="0.2">
      <c r="A290" s="11">
        <v>45996</v>
      </c>
      <c r="B290" t="s">
        <v>6</v>
      </c>
      <c r="C290" t="s">
        <v>511</v>
      </c>
      <c r="D290" t="s">
        <v>512</v>
      </c>
      <c r="E290" t="s">
        <v>514</v>
      </c>
      <c r="F290" t="s">
        <v>5</v>
      </c>
      <c r="G290">
        <v>41</v>
      </c>
      <c r="H290">
        <v>2095939.68</v>
      </c>
      <c r="I290">
        <v>657.78</v>
      </c>
    </row>
    <row r="291" spans="1:9" x14ac:dyDescent="0.2">
      <c r="A291" s="11">
        <v>45996</v>
      </c>
      <c r="B291" t="s">
        <v>9</v>
      </c>
      <c r="C291" t="s">
        <v>515</v>
      </c>
      <c r="D291" t="s">
        <v>516</v>
      </c>
      <c r="E291" t="s">
        <v>378</v>
      </c>
      <c r="F291" t="s">
        <v>14</v>
      </c>
      <c r="G291">
        <v>21</v>
      </c>
      <c r="H291">
        <v>1982602.23</v>
      </c>
      <c r="I291">
        <v>622.21</v>
      </c>
    </row>
    <row r="292" spans="1:9" x14ac:dyDescent="0.2">
      <c r="A292" s="11">
        <v>45996</v>
      </c>
      <c r="B292" t="s">
        <v>9</v>
      </c>
      <c r="C292" t="s">
        <v>515</v>
      </c>
      <c r="D292" t="s">
        <v>516</v>
      </c>
      <c r="E292" t="s">
        <v>517</v>
      </c>
      <c r="F292" t="s">
        <v>20</v>
      </c>
      <c r="G292">
        <v>9</v>
      </c>
      <c r="H292">
        <v>1528332.03</v>
      </c>
      <c r="I292">
        <v>479.64</v>
      </c>
    </row>
    <row r="293" spans="1:9" x14ac:dyDescent="0.2">
      <c r="A293" s="11">
        <v>45996</v>
      </c>
      <c r="B293" t="s">
        <v>9</v>
      </c>
      <c r="C293" t="s">
        <v>515</v>
      </c>
      <c r="D293" t="s">
        <v>516</v>
      </c>
      <c r="E293" t="s">
        <v>186</v>
      </c>
      <c r="F293" t="s">
        <v>22</v>
      </c>
      <c r="G293">
        <v>6</v>
      </c>
      <c r="H293">
        <v>258342.78</v>
      </c>
      <c r="I293">
        <v>81.08</v>
      </c>
    </row>
    <row r="294" spans="1:9" x14ac:dyDescent="0.2">
      <c r="A294" s="11">
        <v>45997</v>
      </c>
      <c r="B294" t="s">
        <v>6</v>
      </c>
      <c r="C294" t="s">
        <v>518</v>
      </c>
      <c r="D294" t="s">
        <v>519</v>
      </c>
      <c r="E294" t="s">
        <v>520</v>
      </c>
      <c r="F294" t="s">
        <v>14</v>
      </c>
      <c r="G294">
        <v>223</v>
      </c>
      <c r="H294">
        <v>8271402.2699999996</v>
      </c>
      <c r="I294">
        <v>2595.85</v>
      </c>
    </row>
    <row r="295" spans="1:9" x14ac:dyDescent="0.2">
      <c r="A295" s="11">
        <v>45997</v>
      </c>
      <c r="B295" t="s">
        <v>6</v>
      </c>
      <c r="C295" t="s">
        <v>518</v>
      </c>
      <c r="D295" t="s">
        <v>519</v>
      </c>
      <c r="E295" t="s">
        <v>521</v>
      </c>
      <c r="F295" t="s">
        <v>18</v>
      </c>
      <c r="G295">
        <v>10</v>
      </c>
      <c r="H295">
        <v>1143845.8999999999</v>
      </c>
      <c r="I295">
        <v>358.98</v>
      </c>
    </row>
    <row r="296" spans="1:9" x14ac:dyDescent="0.2">
      <c r="A296" s="11">
        <v>45997</v>
      </c>
      <c r="B296" t="s">
        <v>6</v>
      </c>
      <c r="C296" t="s">
        <v>518</v>
      </c>
      <c r="D296" t="s">
        <v>519</v>
      </c>
      <c r="E296" t="s">
        <v>522</v>
      </c>
      <c r="F296" t="s">
        <v>22</v>
      </c>
      <c r="G296">
        <v>24</v>
      </c>
      <c r="H296">
        <v>1364912.16</v>
      </c>
      <c r="I296">
        <v>428.36</v>
      </c>
    </row>
    <row r="297" spans="1:9" x14ac:dyDescent="0.2">
      <c r="A297" s="11">
        <v>45997</v>
      </c>
      <c r="B297" t="s">
        <v>6</v>
      </c>
      <c r="C297" t="s">
        <v>518</v>
      </c>
      <c r="D297" t="s">
        <v>519</v>
      </c>
      <c r="E297" t="s">
        <v>136</v>
      </c>
      <c r="F297" t="s">
        <v>5</v>
      </c>
      <c r="G297">
        <v>12</v>
      </c>
      <c r="H297">
        <v>804970.2</v>
      </c>
      <c r="I297">
        <v>252.63</v>
      </c>
    </row>
    <row r="298" spans="1:9" x14ac:dyDescent="0.2">
      <c r="A298" s="11">
        <v>45997</v>
      </c>
      <c r="B298" t="s">
        <v>8</v>
      </c>
      <c r="C298" t="s">
        <v>470</v>
      </c>
      <c r="D298" t="s">
        <v>523</v>
      </c>
      <c r="E298" t="s">
        <v>524</v>
      </c>
      <c r="F298" t="s">
        <v>16</v>
      </c>
      <c r="G298">
        <v>19</v>
      </c>
      <c r="H298">
        <v>1534592.95</v>
      </c>
      <c r="I298">
        <v>481.61</v>
      </c>
    </row>
    <row r="299" spans="1:9" x14ac:dyDescent="0.2">
      <c r="A299" s="11">
        <v>45997</v>
      </c>
      <c r="B299" t="s">
        <v>8</v>
      </c>
      <c r="C299" t="s">
        <v>470</v>
      </c>
      <c r="D299" t="s">
        <v>523</v>
      </c>
      <c r="E299" t="s">
        <v>525</v>
      </c>
      <c r="F299" t="s">
        <v>18</v>
      </c>
      <c r="G299">
        <v>9</v>
      </c>
      <c r="H299">
        <v>505242.18</v>
      </c>
      <c r="I299">
        <v>158.56</v>
      </c>
    </row>
    <row r="300" spans="1:9" x14ac:dyDescent="0.2">
      <c r="A300" s="11">
        <v>45997</v>
      </c>
      <c r="B300" t="s">
        <v>8</v>
      </c>
      <c r="C300" t="s">
        <v>470</v>
      </c>
      <c r="D300" t="s">
        <v>523</v>
      </c>
      <c r="E300" t="s">
        <v>275</v>
      </c>
      <c r="F300" t="s">
        <v>18</v>
      </c>
      <c r="G300">
        <v>53</v>
      </c>
      <c r="H300">
        <v>4444794.12</v>
      </c>
      <c r="I300">
        <v>1394.93</v>
      </c>
    </row>
    <row r="301" spans="1:9" x14ac:dyDescent="0.2">
      <c r="A301" s="11">
        <v>45997</v>
      </c>
      <c r="B301" t="s">
        <v>7</v>
      </c>
      <c r="C301" t="s">
        <v>217</v>
      </c>
      <c r="D301" t="s">
        <v>526</v>
      </c>
      <c r="E301" t="s">
        <v>527</v>
      </c>
      <c r="F301" t="s">
        <v>16</v>
      </c>
      <c r="G301">
        <v>4</v>
      </c>
      <c r="H301">
        <v>587136.31999999995</v>
      </c>
      <c r="I301">
        <v>184.26</v>
      </c>
    </row>
    <row r="302" spans="1:9" x14ac:dyDescent="0.2">
      <c r="A302" s="11">
        <v>45997</v>
      </c>
      <c r="B302" t="s">
        <v>10</v>
      </c>
      <c r="C302" t="s">
        <v>528</v>
      </c>
      <c r="D302" t="s">
        <v>529</v>
      </c>
      <c r="E302" t="s">
        <v>530</v>
      </c>
      <c r="F302" t="s">
        <v>16</v>
      </c>
      <c r="G302">
        <v>16</v>
      </c>
      <c r="H302">
        <v>2343506.7200000002</v>
      </c>
      <c r="I302">
        <v>735.47</v>
      </c>
    </row>
    <row r="303" spans="1:9" x14ac:dyDescent="0.2">
      <c r="A303" s="11">
        <v>45997</v>
      </c>
      <c r="B303" t="s">
        <v>6</v>
      </c>
      <c r="C303" t="s">
        <v>531</v>
      </c>
      <c r="D303" t="s">
        <v>532</v>
      </c>
      <c r="E303" t="s">
        <v>533</v>
      </c>
      <c r="F303" t="s">
        <v>22</v>
      </c>
      <c r="G303">
        <v>19</v>
      </c>
      <c r="H303">
        <v>899692.18</v>
      </c>
      <c r="I303">
        <v>282.35000000000002</v>
      </c>
    </row>
    <row r="304" spans="1:9" x14ac:dyDescent="0.2">
      <c r="A304" s="11">
        <v>45997</v>
      </c>
      <c r="B304" t="s">
        <v>6</v>
      </c>
      <c r="C304" t="s">
        <v>531</v>
      </c>
      <c r="D304" t="s">
        <v>532</v>
      </c>
      <c r="E304" t="s">
        <v>486</v>
      </c>
      <c r="F304" t="s">
        <v>16</v>
      </c>
      <c r="G304">
        <v>55</v>
      </c>
      <c r="H304">
        <v>4656628.3499999996</v>
      </c>
      <c r="I304">
        <v>1461.41</v>
      </c>
    </row>
    <row r="305" spans="1:9" x14ac:dyDescent="0.2">
      <c r="A305" s="11">
        <v>45997</v>
      </c>
      <c r="B305" t="s">
        <v>6</v>
      </c>
      <c r="C305" t="s">
        <v>531</v>
      </c>
      <c r="D305" t="s">
        <v>532</v>
      </c>
      <c r="E305" t="s">
        <v>60</v>
      </c>
      <c r="F305" t="s">
        <v>22</v>
      </c>
      <c r="G305">
        <v>25</v>
      </c>
      <c r="H305">
        <v>519609.5</v>
      </c>
      <c r="I305">
        <v>163.07</v>
      </c>
    </row>
    <row r="306" spans="1:9" x14ac:dyDescent="0.2">
      <c r="A306" s="11">
        <v>45997</v>
      </c>
      <c r="B306" t="s">
        <v>9</v>
      </c>
      <c r="C306" t="s">
        <v>152</v>
      </c>
      <c r="D306" t="s">
        <v>534</v>
      </c>
      <c r="E306" t="s">
        <v>535</v>
      </c>
      <c r="F306" t="s">
        <v>20</v>
      </c>
      <c r="G306">
        <v>21</v>
      </c>
      <c r="H306">
        <v>4709945.5199999996</v>
      </c>
      <c r="I306">
        <v>1478.14</v>
      </c>
    </row>
    <row r="307" spans="1:9" x14ac:dyDescent="0.2">
      <c r="A307" s="11">
        <v>45997</v>
      </c>
      <c r="B307" t="s">
        <v>9</v>
      </c>
      <c r="C307" t="s">
        <v>152</v>
      </c>
      <c r="D307" t="s">
        <v>534</v>
      </c>
      <c r="E307" t="s">
        <v>536</v>
      </c>
      <c r="F307" t="s">
        <v>20</v>
      </c>
      <c r="G307">
        <v>7</v>
      </c>
      <c r="H307">
        <v>583038.05000000005</v>
      </c>
      <c r="I307">
        <v>182.98</v>
      </c>
    </row>
    <row r="308" spans="1:9" x14ac:dyDescent="0.2">
      <c r="A308" s="11">
        <v>45997</v>
      </c>
      <c r="B308" t="s">
        <v>9</v>
      </c>
      <c r="C308" t="s">
        <v>152</v>
      </c>
      <c r="D308" t="s">
        <v>534</v>
      </c>
      <c r="E308" t="s">
        <v>537</v>
      </c>
      <c r="F308" t="s">
        <v>5</v>
      </c>
      <c r="G308">
        <v>9</v>
      </c>
      <c r="H308">
        <v>620538.39</v>
      </c>
      <c r="I308">
        <v>194.75</v>
      </c>
    </row>
    <row r="309" spans="1:9" x14ac:dyDescent="0.2">
      <c r="A309" s="11">
        <v>45997</v>
      </c>
      <c r="B309" t="s">
        <v>7</v>
      </c>
      <c r="C309" t="s">
        <v>538</v>
      </c>
      <c r="D309" t="s">
        <v>539</v>
      </c>
      <c r="E309" t="s">
        <v>540</v>
      </c>
      <c r="F309" t="s">
        <v>22</v>
      </c>
      <c r="G309">
        <v>13</v>
      </c>
      <c r="H309">
        <v>297057.93</v>
      </c>
      <c r="I309">
        <v>93.23</v>
      </c>
    </row>
    <row r="310" spans="1:9" x14ac:dyDescent="0.2">
      <c r="A310" s="11">
        <v>45997</v>
      </c>
      <c r="B310" t="s">
        <v>7</v>
      </c>
      <c r="C310" t="s">
        <v>538</v>
      </c>
      <c r="D310" t="s">
        <v>539</v>
      </c>
      <c r="E310" t="s">
        <v>541</v>
      </c>
      <c r="F310" t="s">
        <v>22</v>
      </c>
      <c r="G310">
        <v>18</v>
      </c>
      <c r="H310">
        <v>439729.74</v>
      </c>
      <c r="I310">
        <v>138</v>
      </c>
    </row>
    <row r="311" spans="1:9" x14ac:dyDescent="0.2">
      <c r="A311" s="11">
        <v>45997</v>
      </c>
      <c r="B311" t="s">
        <v>6</v>
      </c>
      <c r="C311" t="s">
        <v>542</v>
      </c>
      <c r="D311" t="s">
        <v>543</v>
      </c>
      <c r="E311" t="s">
        <v>339</v>
      </c>
      <c r="F311" t="s">
        <v>22</v>
      </c>
      <c r="G311">
        <v>5</v>
      </c>
      <c r="H311">
        <v>207575.5</v>
      </c>
      <c r="I311">
        <v>65.14</v>
      </c>
    </row>
    <row r="312" spans="1:9" x14ac:dyDescent="0.2">
      <c r="A312" s="11">
        <v>45997</v>
      </c>
      <c r="B312" t="s">
        <v>7</v>
      </c>
      <c r="C312" t="s">
        <v>544</v>
      </c>
      <c r="D312" t="s">
        <v>545</v>
      </c>
      <c r="E312" t="s">
        <v>546</v>
      </c>
      <c r="F312" t="s">
        <v>5</v>
      </c>
      <c r="G312">
        <v>8</v>
      </c>
      <c r="H312">
        <v>404490.4</v>
      </c>
      <c r="I312">
        <v>126.94</v>
      </c>
    </row>
    <row r="313" spans="1:9" x14ac:dyDescent="0.2">
      <c r="A313" s="11">
        <v>45997</v>
      </c>
      <c r="B313" t="s">
        <v>7</v>
      </c>
      <c r="C313" t="s">
        <v>544</v>
      </c>
      <c r="D313" t="s">
        <v>545</v>
      </c>
      <c r="E313" t="s">
        <v>547</v>
      </c>
      <c r="F313" t="s">
        <v>5</v>
      </c>
      <c r="G313">
        <v>16</v>
      </c>
      <c r="H313">
        <v>1305261.44</v>
      </c>
      <c r="I313">
        <v>409.64</v>
      </c>
    </row>
    <row r="314" spans="1:9" x14ac:dyDescent="0.2">
      <c r="A314" s="11">
        <v>45997</v>
      </c>
      <c r="B314" t="s">
        <v>7</v>
      </c>
      <c r="C314" t="s">
        <v>544</v>
      </c>
      <c r="D314" t="s">
        <v>545</v>
      </c>
      <c r="E314" t="s">
        <v>483</v>
      </c>
      <c r="F314" t="s">
        <v>16</v>
      </c>
      <c r="G314">
        <v>8</v>
      </c>
      <c r="H314">
        <v>1244500.8</v>
      </c>
      <c r="I314">
        <v>390.57</v>
      </c>
    </row>
    <row r="315" spans="1:9" x14ac:dyDescent="0.2">
      <c r="A315" s="11">
        <v>45997</v>
      </c>
      <c r="B315" t="s">
        <v>7</v>
      </c>
      <c r="C315" t="s">
        <v>544</v>
      </c>
      <c r="D315" t="s">
        <v>545</v>
      </c>
      <c r="E315" t="s">
        <v>548</v>
      </c>
      <c r="F315" t="s">
        <v>20</v>
      </c>
      <c r="G315">
        <v>21</v>
      </c>
      <c r="H315">
        <v>4689154.47</v>
      </c>
      <c r="I315">
        <v>1471.62</v>
      </c>
    </row>
    <row r="316" spans="1:9" x14ac:dyDescent="0.2">
      <c r="A316" s="11">
        <v>45997</v>
      </c>
      <c r="B316" t="s">
        <v>8</v>
      </c>
      <c r="C316" t="s">
        <v>549</v>
      </c>
      <c r="D316" t="s">
        <v>550</v>
      </c>
      <c r="E316" t="s">
        <v>551</v>
      </c>
      <c r="F316" t="s">
        <v>22</v>
      </c>
      <c r="G316">
        <v>33</v>
      </c>
      <c r="H316">
        <v>1760008.8</v>
      </c>
      <c r="I316">
        <v>552.35</v>
      </c>
    </row>
    <row r="317" spans="1:9" x14ac:dyDescent="0.2">
      <c r="A317" s="11">
        <v>45997</v>
      </c>
      <c r="B317" t="s">
        <v>6</v>
      </c>
      <c r="C317" t="s">
        <v>552</v>
      </c>
      <c r="D317" t="s">
        <v>553</v>
      </c>
      <c r="E317" t="s">
        <v>554</v>
      </c>
      <c r="F317" t="s">
        <v>5</v>
      </c>
      <c r="G317">
        <v>3</v>
      </c>
      <c r="H317">
        <v>107583.39</v>
      </c>
      <c r="I317">
        <v>33.76</v>
      </c>
    </row>
    <row r="318" spans="1:9" x14ac:dyDescent="0.2">
      <c r="A318" s="11">
        <v>45997</v>
      </c>
      <c r="B318" t="s">
        <v>6</v>
      </c>
      <c r="C318" t="s">
        <v>552</v>
      </c>
      <c r="D318" t="s">
        <v>553</v>
      </c>
      <c r="E318" t="s">
        <v>497</v>
      </c>
      <c r="F318" t="s">
        <v>20</v>
      </c>
      <c r="G318">
        <v>13</v>
      </c>
      <c r="H318">
        <v>1892892.04</v>
      </c>
      <c r="I318">
        <v>594.05999999999995</v>
      </c>
    </row>
    <row r="319" spans="1:9" x14ac:dyDescent="0.2">
      <c r="A319" s="11">
        <v>45997</v>
      </c>
      <c r="B319" t="s">
        <v>6</v>
      </c>
      <c r="C319" t="s">
        <v>552</v>
      </c>
      <c r="D319" t="s">
        <v>553</v>
      </c>
      <c r="E319" t="s">
        <v>368</v>
      </c>
      <c r="F319" t="s">
        <v>20</v>
      </c>
      <c r="G319">
        <v>6</v>
      </c>
      <c r="H319">
        <v>731301.3</v>
      </c>
      <c r="I319">
        <v>229.51</v>
      </c>
    </row>
    <row r="320" spans="1:9" x14ac:dyDescent="0.2">
      <c r="A320" s="11">
        <v>45997</v>
      </c>
      <c r="B320" t="s">
        <v>6</v>
      </c>
      <c r="C320" t="s">
        <v>552</v>
      </c>
      <c r="D320" t="s">
        <v>553</v>
      </c>
      <c r="E320" t="s">
        <v>555</v>
      </c>
      <c r="F320" t="s">
        <v>20</v>
      </c>
      <c r="G320">
        <v>6</v>
      </c>
      <c r="H320">
        <v>1238589.3600000001</v>
      </c>
      <c r="I320">
        <v>388.71</v>
      </c>
    </row>
    <row r="321" spans="1:9" x14ac:dyDescent="0.2">
      <c r="A321" s="11">
        <v>45997</v>
      </c>
      <c r="B321" t="s">
        <v>6</v>
      </c>
      <c r="C321" t="s">
        <v>552</v>
      </c>
      <c r="D321" t="s">
        <v>553</v>
      </c>
      <c r="E321" t="s">
        <v>556</v>
      </c>
      <c r="F321" t="s">
        <v>18</v>
      </c>
      <c r="G321">
        <v>20</v>
      </c>
      <c r="H321">
        <v>1966289.6</v>
      </c>
      <c r="I321">
        <v>617.09</v>
      </c>
    </row>
    <row r="322" spans="1:9" x14ac:dyDescent="0.2">
      <c r="A322" s="11">
        <v>45997</v>
      </c>
      <c r="B322" t="s">
        <v>7</v>
      </c>
      <c r="C322" t="s">
        <v>557</v>
      </c>
      <c r="D322" t="s">
        <v>558</v>
      </c>
      <c r="E322" t="s">
        <v>199</v>
      </c>
      <c r="F322" t="s">
        <v>22</v>
      </c>
      <c r="G322">
        <v>5</v>
      </c>
      <c r="H322">
        <v>300700.05</v>
      </c>
      <c r="I322">
        <v>94.37</v>
      </c>
    </row>
    <row r="323" spans="1:9" x14ac:dyDescent="0.2">
      <c r="A323" s="11">
        <v>45997</v>
      </c>
      <c r="B323" t="s">
        <v>7</v>
      </c>
      <c r="C323" t="s">
        <v>557</v>
      </c>
      <c r="D323" t="s">
        <v>558</v>
      </c>
      <c r="E323" t="s">
        <v>559</v>
      </c>
      <c r="F323" t="s">
        <v>18</v>
      </c>
      <c r="G323">
        <v>5</v>
      </c>
      <c r="H323">
        <v>194448.05</v>
      </c>
      <c r="I323">
        <v>61.02</v>
      </c>
    </row>
    <row r="324" spans="1:9" x14ac:dyDescent="0.2">
      <c r="A324" s="11">
        <v>45997</v>
      </c>
      <c r="B324" t="s">
        <v>7</v>
      </c>
      <c r="C324" t="s">
        <v>557</v>
      </c>
      <c r="D324" t="s">
        <v>558</v>
      </c>
      <c r="E324" t="s">
        <v>560</v>
      </c>
      <c r="F324" t="s">
        <v>18</v>
      </c>
      <c r="G324">
        <v>10</v>
      </c>
      <c r="H324">
        <v>1018203.3</v>
      </c>
      <c r="I324">
        <v>319.55</v>
      </c>
    </row>
    <row r="325" spans="1:9" x14ac:dyDescent="0.2">
      <c r="A325" s="11">
        <v>45997</v>
      </c>
      <c r="B325" t="s">
        <v>7</v>
      </c>
      <c r="C325" t="s">
        <v>557</v>
      </c>
      <c r="D325" t="s">
        <v>558</v>
      </c>
      <c r="E325" t="s">
        <v>561</v>
      </c>
      <c r="F325" t="s">
        <v>22</v>
      </c>
      <c r="G325">
        <v>12</v>
      </c>
      <c r="H325">
        <v>653718.6</v>
      </c>
      <c r="I325">
        <v>205.16</v>
      </c>
    </row>
    <row r="326" spans="1:9" x14ac:dyDescent="0.2">
      <c r="A326" s="11">
        <v>45997</v>
      </c>
      <c r="B326" t="s">
        <v>9</v>
      </c>
      <c r="C326" t="s">
        <v>562</v>
      </c>
      <c r="D326" t="s">
        <v>563</v>
      </c>
      <c r="E326" t="s">
        <v>564</v>
      </c>
      <c r="F326" t="s">
        <v>14</v>
      </c>
      <c r="G326">
        <v>35</v>
      </c>
      <c r="H326">
        <v>1255212.7</v>
      </c>
      <c r="I326">
        <v>393.93</v>
      </c>
    </row>
    <row r="327" spans="1:9" x14ac:dyDescent="0.2">
      <c r="A327" s="11">
        <v>45997</v>
      </c>
      <c r="B327" t="s">
        <v>9</v>
      </c>
      <c r="C327" t="s">
        <v>562</v>
      </c>
      <c r="D327" t="s">
        <v>563</v>
      </c>
      <c r="E327" t="s">
        <v>565</v>
      </c>
      <c r="F327" t="s">
        <v>5</v>
      </c>
      <c r="G327">
        <v>23</v>
      </c>
      <c r="H327">
        <v>1585826.77</v>
      </c>
      <c r="I327">
        <v>497.69</v>
      </c>
    </row>
    <row r="328" spans="1:9" x14ac:dyDescent="0.2">
      <c r="A328" s="11">
        <v>45997</v>
      </c>
      <c r="B328" t="s">
        <v>9</v>
      </c>
      <c r="C328" t="s">
        <v>562</v>
      </c>
      <c r="D328" t="s">
        <v>563</v>
      </c>
      <c r="E328" t="s">
        <v>566</v>
      </c>
      <c r="F328" t="s">
        <v>5</v>
      </c>
      <c r="G328">
        <v>7</v>
      </c>
      <c r="H328">
        <v>216084.33</v>
      </c>
      <c r="I328">
        <v>67.81</v>
      </c>
    </row>
    <row r="329" spans="1:9" x14ac:dyDescent="0.2">
      <c r="A329" s="11">
        <v>45997</v>
      </c>
      <c r="B329" t="s">
        <v>10</v>
      </c>
      <c r="C329" t="s">
        <v>567</v>
      </c>
      <c r="D329" t="s">
        <v>568</v>
      </c>
      <c r="E329" t="s">
        <v>569</v>
      </c>
      <c r="F329" t="s">
        <v>18</v>
      </c>
      <c r="G329">
        <v>13</v>
      </c>
      <c r="H329">
        <v>1346753.07</v>
      </c>
      <c r="I329">
        <v>422.66</v>
      </c>
    </row>
    <row r="330" spans="1:9" x14ac:dyDescent="0.2">
      <c r="A330" s="11">
        <v>45997</v>
      </c>
      <c r="B330" t="s">
        <v>10</v>
      </c>
      <c r="C330" t="s">
        <v>567</v>
      </c>
      <c r="D330" t="s">
        <v>568</v>
      </c>
      <c r="E330" t="s">
        <v>570</v>
      </c>
      <c r="F330" t="s">
        <v>22</v>
      </c>
      <c r="G330">
        <v>19</v>
      </c>
      <c r="H330">
        <v>452618.95</v>
      </c>
      <c r="I330">
        <v>142.05000000000001</v>
      </c>
    </row>
    <row r="331" spans="1:9" x14ac:dyDescent="0.2">
      <c r="A331" s="11">
        <v>45997</v>
      </c>
      <c r="B331" t="s">
        <v>8</v>
      </c>
      <c r="C331" t="s">
        <v>571</v>
      </c>
      <c r="D331" t="s">
        <v>572</v>
      </c>
      <c r="E331" t="s">
        <v>510</v>
      </c>
      <c r="F331" t="s">
        <v>14</v>
      </c>
      <c r="G331">
        <v>6</v>
      </c>
      <c r="H331">
        <v>387428.94</v>
      </c>
      <c r="I331">
        <v>121.59</v>
      </c>
    </row>
    <row r="332" spans="1:9" x14ac:dyDescent="0.2">
      <c r="A332" s="11">
        <v>45997</v>
      </c>
      <c r="B332" t="s">
        <v>8</v>
      </c>
      <c r="C332" t="s">
        <v>48</v>
      </c>
      <c r="D332" t="s">
        <v>573</v>
      </c>
      <c r="E332" t="s">
        <v>574</v>
      </c>
      <c r="F332" t="s">
        <v>5</v>
      </c>
      <c r="G332">
        <v>8</v>
      </c>
      <c r="H332">
        <v>380869.6</v>
      </c>
      <c r="I332">
        <v>119.53</v>
      </c>
    </row>
    <row r="333" spans="1:9" x14ac:dyDescent="0.2">
      <c r="A333" s="11">
        <v>45997</v>
      </c>
      <c r="B333" t="s">
        <v>8</v>
      </c>
      <c r="C333" t="s">
        <v>48</v>
      </c>
      <c r="D333" t="s">
        <v>573</v>
      </c>
      <c r="E333" t="s">
        <v>575</v>
      </c>
      <c r="F333" t="s">
        <v>16</v>
      </c>
      <c r="G333">
        <v>24</v>
      </c>
      <c r="H333">
        <v>3921289.92</v>
      </c>
      <c r="I333">
        <v>1230.6400000000001</v>
      </c>
    </row>
    <row r="334" spans="1:9" x14ac:dyDescent="0.2">
      <c r="A334" s="11">
        <v>45997</v>
      </c>
      <c r="B334" t="s">
        <v>9</v>
      </c>
      <c r="C334" t="s">
        <v>576</v>
      </c>
      <c r="D334" t="s">
        <v>577</v>
      </c>
      <c r="E334" t="s">
        <v>578</v>
      </c>
      <c r="F334" t="s">
        <v>14</v>
      </c>
      <c r="G334">
        <v>8</v>
      </c>
      <c r="H334">
        <v>274423.67999999999</v>
      </c>
      <c r="I334">
        <v>86.12</v>
      </c>
    </row>
    <row r="335" spans="1:9" x14ac:dyDescent="0.2">
      <c r="A335" s="11">
        <v>45997</v>
      </c>
      <c r="B335" t="s">
        <v>9</v>
      </c>
      <c r="C335" t="s">
        <v>576</v>
      </c>
      <c r="D335" t="s">
        <v>577</v>
      </c>
      <c r="E335" t="s">
        <v>579</v>
      </c>
      <c r="F335" t="s">
        <v>14</v>
      </c>
      <c r="G335">
        <v>17</v>
      </c>
      <c r="H335">
        <v>1489014.53</v>
      </c>
      <c r="I335">
        <v>467.3</v>
      </c>
    </row>
    <row r="336" spans="1:9" x14ac:dyDescent="0.2">
      <c r="A336" s="11">
        <v>45997</v>
      </c>
      <c r="B336" t="s">
        <v>11</v>
      </c>
      <c r="C336" t="s">
        <v>580</v>
      </c>
      <c r="D336" t="s">
        <v>581</v>
      </c>
      <c r="E336" t="s">
        <v>582</v>
      </c>
      <c r="F336" t="s">
        <v>20</v>
      </c>
      <c r="G336">
        <v>15</v>
      </c>
      <c r="H336">
        <v>3688806.75</v>
      </c>
      <c r="I336">
        <v>1157.68</v>
      </c>
    </row>
    <row r="337" spans="1:9" x14ac:dyDescent="0.2">
      <c r="A337" s="11">
        <v>45997</v>
      </c>
      <c r="B337" t="s">
        <v>11</v>
      </c>
      <c r="C337" t="s">
        <v>580</v>
      </c>
      <c r="D337" t="s">
        <v>581</v>
      </c>
      <c r="E337" t="s">
        <v>583</v>
      </c>
      <c r="F337" t="s">
        <v>14</v>
      </c>
      <c r="G337">
        <v>26</v>
      </c>
      <c r="H337">
        <v>1105454.48</v>
      </c>
      <c r="I337">
        <v>346.93</v>
      </c>
    </row>
    <row r="338" spans="1:9" x14ac:dyDescent="0.2">
      <c r="A338" s="11">
        <v>45997</v>
      </c>
      <c r="B338" t="s">
        <v>10</v>
      </c>
      <c r="C338" t="s">
        <v>584</v>
      </c>
      <c r="D338" t="s">
        <v>585</v>
      </c>
      <c r="E338" t="s">
        <v>586</v>
      </c>
      <c r="F338" t="s">
        <v>20</v>
      </c>
      <c r="G338">
        <v>14</v>
      </c>
      <c r="H338">
        <v>1545869.08</v>
      </c>
      <c r="I338">
        <v>485.15</v>
      </c>
    </row>
    <row r="339" spans="1:9" x14ac:dyDescent="0.2">
      <c r="A339" s="11">
        <v>45997</v>
      </c>
      <c r="B339" t="s">
        <v>10</v>
      </c>
      <c r="C339" t="s">
        <v>584</v>
      </c>
      <c r="D339" t="s">
        <v>585</v>
      </c>
      <c r="E339" t="s">
        <v>316</v>
      </c>
      <c r="F339" t="s">
        <v>18</v>
      </c>
      <c r="G339">
        <v>7</v>
      </c>
      <c r="H339">
        <v>700607.46</v>
      </c>
      <c r="I339">
        <v>219.87</v>
      </c>
    </row>
    <row r="340" spans="1:9" x14ac:dyDescent="0.2">
      <c r="A340" s="11">
        <v>45997</v>
      </c>
      <c r="B340" t="s">
        <v>10</v>
      </c>
      <c r="C340" t="s">
        <v>584</v>
      </c>
      <c r="D340" t="s">
        <v>585</v>
      </c>
      <c r="E340" t="s">
        <v>587</v>
      </c>
      <c r="F340" t="s">
        <v>22</v>
      </c>
      <c r="G340">
        <v>28</v>
      </c>
      <c r="H340">
        <v>1580929.28</v>
      </c>
      <c r="I340">
        <v>496.15</v>
      </c>
    </row>
    <row r="341" spans="1:9" x14ac:dyDescent="0.2">
      <c r="A341" s="11">
        <v>45997</v>
      </c>
      <c r="B341" t="s">
        <v>10</v>
      </c>
      <c r="C341" t="s">
        <v>584</v>
      </c>
      <c r="D341" t="s">
        <v>585</v>
      </c>
      <c r="E341" t="s">
        <v>588</v>
      </c>
      <c r="F341" t="s">
        <v>18</v>
      </c>
      <c r="G341">
        <v>7</v>
      </c>
      <c r="H341">
        <v>614223.89</v>
      </c>
      <c r="I341">
        <v>192.76</v>
      </c>
    </row>
    <row r="342" spans="1:9" x14ac:dyDescent="0.2">
      <c r="A342" s="11">
        <v>45997</v>
      </c>
      <c r="B342" t="s">
        <v>7</v>
      </c>
      <c r="C342" t="s">
        <v>589</v>
      </c>
      <c r="D342" t="s">
        <v>590</v>
      </c>
      <c r="E342" t="s">
        <v>377</v>
      </c>
      <c r="F342" t="s">
        <v>22</v>
      </c>
      <c r="G342">
        <v>19</v>
      </c>
      <c r="H342">
        <v>734322.83</v>
      </c>
      <c r="I342">
        <v>230.46</v>
      </c>
    </row>
    <row r="343" spans="1:9" x14ac:dyDescent="0.2">
      <c r="A343" s="11">
        <v>45997</v>
      </c>
      <c r="B343" t="s">
        <v>7</v>
      </c>
      <c r="C343" t="s">
        <v>591</v>
      </c>
      <c r="D343" t="s">
        <v>592</v>
      </c>
      <c r="E343" t="s">
        <v>593</v>
      </c>
      <c r="F343" t="s">
        <v>22</v>
      </c>
      <c r="G343">
        <v>10</v>
      </c>
      <c r="H343">
        <v>310907.7</v>
      </c>
      <c r="I343">
        <v>97.57</v>
      </c>
    </row>
    <row r="344" spans="1:9" x14ac:dyDescent="0.2">
      <c r="A344" s="11">
        <v>45997</v>
      </c>
      <c r="B344" t="s">
        <v>7</v>
      </c>
      <c r="C344" t="s">
        <v>591</v>
      </c>
      <c r="D344" t="s">
        <v>592</v>
      </c>
      <c r="E344" t="s">
        <v>594</v>
      </c>
      <c r="F344" t="s">
        <v>22</v>
      </c>
      <c r="G344">
        <v>12</v>
      </c>
      <c r="H344">
        <v>397512</v>
      </c>
      <c r="I344">
        <v>124.75</v>
      </c>
    </row>
    <row r="345" spans="1:9" x14ac:dyDescent="0.2">
      <c r="A345" s="11">
        <v>45997</v>
      </c>
      <c r="B345" t="s">
        <v>7</v>
      </c>
      <c r="C345" t="s">
        <v>591</v>
      </c>
      <c r="D345" t="s">
        <v>592</v>
      </c>
      <c r="E345" t="s">
        <v>72</v>
      </c>
      <c r="F345" t="s">
        <v>5</v>
      </c>
      <c r="G345">
        <v>69</v>
      </c>
      <c r="H345">
        <v>4346626.0199999996</v>
      </c>
      <c r="I345">
        <v>1364.12</v>
      </c>
    </row>
    <row r="346" spans="1:9" x14ac:dyDescent="0.2">
      <c r="A346" s="11">
        <v>45997</v>
      </c>
      <c r="B346" t="s">
        <v>7</v>
      </c>
      <c r="C346" t="s">
        <v>591</v>
      </c>
      <c r="D346" t="s">
        <v>592</v>
      </c>
      <c r="E346" t="s">
        <v>583</v>
      </c>
      <c r="F346" t="s">
        <v>14</v>
      </c>
      <c r="G346">
        <v>19</v>
      </c>
      <c r="H346">
        <v>792071.05</v>
      </c>
      <c r="I346">
        <v>248.58</v>
      </c>
    </row>
    <row r="347" spans="1:9" x14ac:dyDescent="0.2">
      <c r="A347" s="11">
        <v>45997</v>
      </c>
      <c r="B347" t="s">
        <v>7</v>
      </c>
      <c r="C347" t="s">
        <v>595</v>
      </c>
      <c r="D347" t="s">
        <v>596</v>
      </c>
      <c r="E347" t="s">
        <v>597</v>
      </c>
      <c r="F347" t="s">
        <v>14</v>
      </c>
      <c r="G347">
        <v>15</v>
      </c>
      <c r="H347">
        <v>1016026.05</v>
      </c>
      <c r="I347">
        <v>318.86</v>
      </c>
    </row>
    <row r="348" spans="1:9" x14ac:dyDescent="0.2">
      <c r="A348" s="11">
        <v>45997</v>
      </c>
      <c r="B348" t="s">
        <v>7</v>
      </c>
      <c r="C348" t="s">
        <v>595</v>
      </c>
      <c r="D348" t="s">
        <v>596</v>
      </c>
      <c r="E348" t="s">
        <v>483</v>
      </c>
      <c r="F348" t="s">
        <v>16</v>
      </c>
      <c r="G348">
        <v>17</v>
      </c>
      <c r="H348">
        <v>2565851.9900000002</v>
      </c>
      <c r="I348">
        <v>805.25</v>
      </c>
    </row>
    <row r="349" spans="1:9" x14ac:dyDescent="0.2">
      <c r="A349" s="11">
        <v>45997</v>
      </c>
      <c r="B349" t="s">
        <v>7</v>
      </c>
      <c r="C349" t="s">
        <v>595</v>
      </c>
      <c r="D349" t="s">
        <v>596</v>
      </c>
      <c r="E349" t="s">
        <v>598</v>
      </c>
      <c r="F349" t="s">
        <v>16</v>
      </c>
      <c r="G349">
        <v>6</v>
      </c>
      <c r="H349">
        <v>431470.14</v>
      </c>
      <c r="I349">
        <v>135.41</v>
      </c>
    </row>
    <row r="350" spans="1:9" x14ac:dyDescent="0.2">
      <c r="A350" s="11">
        <v>45997</v>
      </c>
      <c r="B350" t="s">
        <v>11</v>
      </c>
      <c r="C350" t="s">
        <v>599</v>
      </c>
      <c r="D350" t="s">
        <v>600</v>
      </c>
      <c r="E350" t="s">
        <v>601</v>
      </c>
      <c r="F350" t="s">
        <v>18</v>
      </c>
      <c r="G350">
        <v>10</v>
      </c>
      <c r="H350">
        <v>954568.4</v>
      </c>
      <c r="I350">
        <v>299.58</v>
      </c>
    </row>
    <row r="351" spans="1:9" x14ac:dyDescent="0.2">
      <c r="A351" s="11">
        <v>45998</v>
      </c>
      <c r="B351" t="s">
        <v>6</v>
      </c>
      <c r="C351" t="s">
        <v>602</v>
      </c>
      <c r="D351" t="s">
        <v>603</v>
      </c>
      <c r="E351" t="s">
        <v>455</v>
      </c>
      <c r="F351" t="s">
        <v>18</v>
      </c>
      <c r="G351">
        <v>12</v>
      </c>
      <c r="H351">
        <v>1329106.92</v>
      </c>
      <c r="I351">
        <v>417.12</v>
      </c>
    </row>
    <row r="352" spans="1:9" x14ac:dyDescent="0.2">
      <c r="A352" s="11">
        <v>45998</v>
      </c>
      <c r="B352" t="s">
        <v>6</v>
      </c>
      <c r="C352" t="s">
        <v>602</v>
      </c>
      <c r="D352" t="s">
        <v>603</v>
      </c>
      <c r="E352" t="s">
        <v>604</v>
      </c>
      <c r="F352" t="s">
        <v>22</v>
      </c>
      <c r="G352">
        <v>14</v>
      </c>
      <c r="H352">
        <v>730767.8</v>
      </c>
      <c r="I352">
        <v>229.34</v>
      </c>
    </row>
    <row r="353" spans="1:9" x14ac:dyDescent="0.2">
      <c r="A353" s="11">
        <v>45998</v>
      </c>
      <c r="B353" t="s">
        <v>10</v>
      </c>
      <c r="C353" t="s">
        <v>605</v>
      </c>
      <c r="D353" t="s">
        <v>606</v>
      </c>
      <c r="E353" t="s">
        <v>337</v>
      </c>
      <c r="F353" t="s">
        <v>20</v>
      </c>
      <c r="G353">
        <v>7</v>
      </c>
      <c r="H353">
        <v>699414.45</v>
      </c>
      <c r="I353">
        <v>219.5</v>
      </c>
    </row>
    <row r="354" spans="1:9" x14ac:dyDescent="0.2">
      <c r="A354" s="11">
        <v>45998</v>
      </c>
      <c r="B354" t="s">
        <v>10</v>
      </c>
      <c r="C354" t="s">
        <v>605</v>
      </c>
      <c r="D354" t="s">
        <v>606</v>
      </c>
      <c r="E354" t="s">
        <v>607</v>
      </c>
      <c r="F354" t="s">
        <v>5</v>
      </c>
      <c r="G354">
        <v>10</v>
      </c>
      <c r="H354">
        <v>440353.7</v>
      </c>
      <c r="I354">
        <v>138.19999999999999</v>
      </c>
    </row>
    <row r="355" spans="1:9" x14ac:dyDescent="0.2">
      <c r="A355" s="11">
        <v>45998</v>
      </c>
      <c r="B355" t="s">
        <v>12</v>
      </c>
      <c r="C355" t="s">
        <v>608</v>
      </c>
      <c r="D355" t="s">
        <v>609</v>
      </c>
      <c r="E355" t="s">
        <v>610</v>
      </c>
      <c r="F355" t="s">
        <v>16</v>
      </c>
      <c r="G355">
        <v>27</v>
      </c>
      <c r="H355">
        <v>4278927.5999999996</v>
      </c>
      <c r="I355">
        <v>1342.88</v>
      </c>
    </row>
    <row r="356" spans="1:9" x14ac:dyDescent="0.2">
      <c r="A356" s="11">
        <v>45998</v>
      </c>
      <c r="B356" t="s">
        <v>12</v>
      </c>
      <c r="C356" t="s">
        <v>341</v>
      </c>
      <c r="D356" t="s">
        <v>611</v>
      </c>
      <c r="E356" t="s">
        <v>211</v>
      </c>
      <c r="F356" t="s">
        <v>16</v>
      </c>
      <c r="G356">
        <v>14</v>
      </c>
      <c r="H356">
        <v>1028614.44</v>
      </c>
      <c r="I356">
        <v>322.81</v>
      </c>
    </row>
    <row r="357" spans="1:9" x14ac:dyDescent="0.2">
      <c r="A357" s="11">
        <v>45998</v>
      </c>
      <c r="B357" t="s">
        <v>12</v>
      </c>
      <c r="C357" t="s">
        <v>341</v>
      </c>
      <c r="D357" t="s">
        <v>611</v>
      </c>
      <c r="E357" t="s">
        <v>612</v>
      </c>
      <c r="F357" t="s">
        <v>18</v>
      </c>
      <c r="G357">
        <v>8</v>
      </c>
      <c r="H357">
        <v>791298.96</v>
      </c>
      <c r="I357">
        <v>248.34</v>
      </c>
    </row>
    <row r="358" spans="1:9" x14ac:dyDescent="0.2">
      <c r="A358" s="11">
        <v>45998</v>
      </c>
      <c r="B358" t="s">
        <v>12</v>
      </c>
      <c r="C358" t="s">
        <v>341</v>
      </c>
      <c r="D358" t="s">
        <v>611</v>
      </c>
      <c r="E358" t="s">
        <v>613</v>
      </c>
      <c r="F358" t="s">
        <v>20</v>
      </c>
      <c r="G358">
        <v>63</v>
      </c>
      <c r="H358">
        <v>12987002.07</v>
      </c>
      <c r="I358">
        <v>4075.77</v>
      </c>
    </row>
    <row r="359" spans="1:9" x14ac:dyDescent="0.2">
      <c r="A359" s="11">
        <v>45998</v>
      </c>
      <c r="B359" t="s">
        <v>12</v>
      </c>
      <c r="C359" t="s">
        <v>341</v>
      </c>
      <c r="D359" t="s">
        <v>611</v>
      </c>
      <c r="E359" t="s">
        <v>610</v>
      </c>
      <c r="F359" t="s">
        <v>16</v>
      </c>
      <c r="G359">
        <v>12</v>
      </c>
      <c r="H359">
        <v>1840437.36</v>
      </c>
      <c r="I359">
        <v>577.59</v>
      </c>
    </row>
    <row r="360" spans="1:9" x14ac:dyDescent="0.2">
      <c r="A360" s="11">
        <v>45998</v>
      </c>
      <c r="B360" t="s">
        <v>10</v>
      </c>
      <c r="C360" t="s">
        <v>614</v>
      </c>
      <c r="D360" t="s">
        <v>615</v>
      </c>
      <c r="E360" t="s">
        <v>616</v>
      </c>
      <c r="F360" t="s">
        <v>14</v>
      </c>
      <c r="G360">
        <v>7</v>
      </c>
      <c r="H360">
        <v>252772.03</v>
      </c>
      <c r="I360">
        <v>79.33</v>
      </c>
    </row>
    <row r="361" spans="1:9" x14ac:dyDescent="0.2">
      <c r="A361" s="11">
        <v>45998</v>
      </c>
      <c r="B361" t="s">
        <v>12</v>
      </c>
      <c r="C361" t="s">
        <v>617</v>
      </c>
      <c r="D361" t="s">
        <v>618</v>
      </c>
      <c r="E361" t="s">
        <v>619</v>
      </c>
      <c r="F361" t="s">
        <v>18</v>
      </c>
      <c r="G361">
        <v>8</v>
      </c>
      <c r="H361">
        <v>950359.44</v>
      </c>
      <c r="I361">
        <v>298.26</v>
      </c>
    </row>
    <row r="362" spans="1:9" x14ac:dyDescent="0.2">
      <c r="A362" s="11">
        <v>45998</v>
      </c>
      <c r="B362" t="s">
        <v>12</v>
      </c>
      <c r="C362" t="s">
        <v>617</v>
      </c>
      <c r="D362" t="s">
        <v>618</v>
      </c>
      <c r="E362" t="s">
        <v>620</v>
      </c>
      <c r="F362" t="s">
        <v>5</v>
      </c>
      <c r="G362">
        <v>9</v>
      </c>
      <c r="H362">
        <v>260000.37</v>
      </c>
      <c r="I362">
        <v>81.599999999999994</v>
      </c>
    </row>
    <row r="363" spans="1:9" x14ac:dyDescent="0.2">
      <c r="A363" s="11">
        <v>45998</v>
      </c>
      <c r="B363" t="s">
        <v>12</v>
      </c>
      <c r="C363" t="s">
        <v>617</v>
      </c>
      <c r="D363" t="s">
        <v>618</v>
      </c>
      <c r="E363" t="s">
        <v>621</v>
      </c>
      <c r="F363" t="s">
        <v>14</v>
      </c>
      <c r="G363">
        <v>22</v>
      </c>
      <c r="H363">
        <v>1515339.1</v>
      </c>
      <c r="I363">
        <v>475.57</v>
      </c>
    </row>
    <row r="364" spans="1:9" x14ac:dyDescent="0.2">
      <c r="A364" s="11">
        <v>45998</v>
      </c>
      <c r="B364" t="s">
        <v>12</v>
      </c>
      <c r="C364" t="s">
        <v>617</v>
      </c>
      <c r="D364" t="s">
        <v>618</v>
      </c>
      <c r="E364" t="s">
        <v>622</v>
      </c>
      <c r="F364" t="s">
        <v>16</v>
      </c>
      <c r="G364">
        <v>42</v>
      </c>
      <c r="H364">
        <v>7054703.46</v>
      </c>
      <c r="I364">
        <v>2214.0100000000002</v>
      </c>
    </row>
    <row r="365" spans="1:9" x14ac:dyDescent="0.2">
      <c r="A365" s="11">
        <v>45998</v>
      </c>
      <c r="B365" t="s">
        <v>12</v>
      </c>
      <c r="C365" t="s">
        <v>623</v>
      </c>
      <c r="D365" t="s">
        <v>624</v>
      </c>
      <c r="E365" t="s">
        <v>268</v>
      </c>
      <c r="F365" t="s">
        <v>16</v>
      </c>
      <c r="G365">
        <v>20</v>
      </c>
      <c r="H365">
        <v>2191544.7999999998</v>
      </c>
      <c r="I365">
        <v>687.78</v>
      </c>
    </row>
    <row r="366" spans="1:9" x14ac:dyDescent="0.2">
      <c r="A366" s="11">
        <v>45998</v>
      </c>
      <c r="B366" t="s">
        <v>12</v>
      </c>
      <c r="C366" t="s">
        <v>623</v>
      </c>
      <c r="D366" t="s">
        <v>624</v>
      </c>
      <c r="E366" t="s">
        <v>625</v>
      </c>
      <c r="F366" t="s">
        <v>20</v>
      </c>
      <c r="G366">
        <v>18</v>
      </c>
      <c r="H366">
        <v>1890365.94</v>
      </c>
      <c r="I366">
        <v>593.26</v>
      </c>
    </row>
    <row r="367" spans="1:9" x14ac:dyDescent="0.2">
      <c r="A367" s="11">
        <v>45998</v>
      </c>
      <c r="B367" t="s">
        <v>12</v>
      </c>
      <c r="C367" t="s">
        <v>623</v>
      </c>
      <c r="D367" t="s">
        <v>624</v>
      </c>
      <c r="E367" t="s">
        <v>626</v>
      </c>
      <c r="F367" t="s">
        <v>16</v>
      </c>
      <c r="G367">
        <v>8</v>
      </c>
      <c r="H367">
        <v>700635.44</v>
      </c>
      <c r="I367">
        <v>219.88</v>
      </c>
    </row>
    <row r="368" spans="1:9" x14ac:dyDescent="0.2">
      <c r="A368" s="11">
        <v>45998</v>
      </c>
      <c r="B368" t="s">
        <v>8</v>
      </c>
      <c r="C368" t="s">
        <v>627</v>
      </c>
      <c r="D368" t="s">
        <v>628</v>
      </c>
      <c r="E368" t="s">
        <v>629</v>
      </c>
      <c r="F368" t="s">
        <v>22</v>
      </c>
      <c r="G368">
        <v>7</v>
      </c>
      <c r="H368">
        <v>256271.47</v>
      </c>
      <c r="I368">
        <v>80.430000000000007</v>
      </c>
    </row>
    <row r="369" spans="1:9" x14ac:dyDescent="0.2">
      <c r="A369" s="11">
        <v>45998</v>
      </c>
      <c r="B369" t="s">
        <v>8</v>
      </c>
      <c r="C369" t="s">
        <v>627</v>
      </c>
      <c r="D369" t="s">
        <v>628</v>
      </c>
      <c r="E369" t="s">
        <v>214</v>
      </c>
      <c r="F369" t="s">
        <v>16</v>
      </c>
      <c r="G369">
        <v>10</v>
      </c>
      <c r="H369">
        <v>1636431</v>
      </c>
      <c r="I369">
        <v>513.57000000000005</v>
      </c>
    </row>
    <row r="370" spans="1:9" x14ac:dyDescent="0.2">
      <c r="A370" s="11">
        <v>45998</v>
      </c>
      <c r="B370" t="s">
        <v>8</v>
      </c>
      <c r="C370" t="s">
        <v>627</v>
      </c>
      <c r="D370" t="s">
        <v>628</v>
      </c>
      <c r="E370" t="s">
        <v>630</v>
      </c>
      <c r="F370" t="s">
        <v>5</v>
      </c>
      <c r="G370">
        <v>21</v>
      </c>
      <c r="H370">
        <v>1569085.35</v>
      </c>
      <c r="I370">
        <v>492.43</v>
      </c>
    </row>
    <row r="371" spans="1:9" x14ac:dyDescent="0.2">
      <c r="A371" s="11">
        <v>45998</v>
      </c>
      <c r="B371" t="s">
        <v>10</v>
      </c>
      <c r="C371" t="s">
        <v>217</v>
      </c>
      <c r="D371" t="s">
        <v>631</v>
      </c>
      <c r="E371" t="s">
        <v>332</v>
      </c>
      <c r="F371" t="s">
        <v>5</v>
      </c>
      <c r="G371">
        <v>14</v>
      </c>
      <c r="H371">
        <v>639484.86</v>
      </c>
      <c r="I371">
        <v>200.69</v>
      </c>
    </row>
    <row r="372" spans="1:9" x14ac:dyDescent="0.2">
      <c r="A372" s="11">
        <v>45998</v>
      </c>
      <c r="B372" t="s">
        <v>10</v>
      </c>
      <c r="C372" t="s">
        <v>217</v>
      </c>
      <c r="D372" t="s">
        <v>631</v>
      </c>
      <c r="E372" t="s">
        <v>632</v>
      </c>
      <c r="F372" t="s">
        <v>20</v>
      </c>
      <c r="G372">
        <v>19</v>
      </c>
      <c r="H372">
        <v>3935734.86</v>
      </c>
      <c r="I372">
        <v>1235.17</v>
      </c>
    </row>
    <row r="373" spans="1:9" x14ac:dyDescent="0.2">
      <c r="A373" s="11">
        <v>45998</v>
      </c>
      <c r="B373" t="s">
        <v>10</v>
      </c>
      <c r="C373" t="s">
        <v>217</v>
      </c>
      <c r="D373" t="s">
        <v>631</v>
      </c>
      <c r="E373" t="s">
        <v>633</v>
      </c>
      <c r="F373" t="s">
        <v>18</v>
      </c>
      <c r="G373">
        <v>20</v>
      </c>
      <c r="H373">
        <v>1264871</v>
      </c>
      <c r="I373">
        <v>396.96</v>
      </c>
    </row>
    <row r="374" spans="1:9" x14ac:dyDescent="0.2">
      <c r="A374" s="11">
        <v>45998</v>
      </c>
      <c r="B374" t="s">
        <v>9</v>
      </c>
      <c r="C374" t="s">
        <v>634</v>
      </c>
      <c r="D374" t="s">
        <v>635</v>
      </c>
      <c r="E374" t="s">
        <v>636</v>
      </c>
      <c r="F374" t="s">
        <v>22</v>
      </c>
      <c r="G374">
        <v>14</v>
      </c>
      <c r="H374">
        <v>526665.86</v>
      </c>
      <c r="I374">
        <v>165.29</v>
      </c>
    </row>
    <row r="375" spans="1:9" x14ac:dyDescent="0.2">
      <c r="A375" s="11">
        <v>45998</v>
      </c>
      <c r="B375" t="s">
        <v>9</v>
      </c>
      <c r="C375" t="s">
        <v>634</v>
      </c>
      <c r="D375" t="s">
        <v>635</v>
      </c>
      <c r="E375" t="s">
        <v>637</v>
      </c>
      <c r="F375" t="s">
        <v>5</v>
      </c>
      <c r="G375">
        <v>16</v>
      </c>
      <c r="H375">
        <v>781279.2</v>
      </c>
      <c r="I375">
        <v>245.19</v>
      </c>
    </row>
    <row r="376" spans="1:9" x14ac:dyDescent="0.2">
      <c r="A376" s="11">
        <v>45998</v>
      </c>
      <c r="B376" t="s">
        <v>9</v>
      </c>
      <c r="C376" t="s">
        <v>634</v>
      </c>
      <c r="D376" t="s">
        <v>635</v>
      </c>
      <c r="E376" t="s">
        <v>461</v>
      </c>
      <c r="F376" t="s">
        <v>5</v>
      </c>
      <c r="G376">
        <v>55</v>
      </c>
      <c r="H376">
        <v>1636166.95</v>
      </c>
      <c r="I376">
        <v>513.49</v>
      </c>
    </row>
    <row r="377" spans="1:9" x14ac:dyDescent="0.2">
      <c r="A377" s="11">
        <v>45998</v>
      </c>
      <c r="B377" t="s">
        <v>9</v>
      </c>
      <c r="C377" t="s">
        <v>634</v>
      </c>
      <c r="D377" t="s">
        <v>635</v>
      </c>
      <c r="E377" t="s">
        <v>638</v>
      </c>
      <c r="F377" t="s">
        <v>14</v>
      </c>
      <c r="G377">
        <v>4</v>
      </c>
      <c r="H377">
        <v>273014.76</v>
      </c>
      <c r="I377">
        <v>85.68</v>
      </c>
    </row>
    <row r="378" spans="1:9" x14ac:dyDescent="0.2">
      <c r="A378" s="11">
        <v>45998</v>
      </c>
      <c r="B378" t="s">
        <v>9</v>
      </c>
      <c r="C378" t="s">
        <v>138</v>
      </c>
      <c r="D378" t="s">
        <v>639</v>
      </c>
      <c r="E378" t="s">
        <v>640</v>
      </c>
      <c r="F378" t="s">
        <v>5</v>
      </c>
      <c r="G378">
        <v>2</v>
      </c>
      <c r="H378">
        <v>130166.58</v>
      </c>
      <c r="I378">
        <v>40.85</v>
      </c>
    </row>
    <row r="379" spans="1:9" x14ac:dyDescent="0.2">
      <c r="A379" s="11">
        <v>45998</v>
      </c>
      <c r="B379" t="s">
        <v>9</v>
      </c>
      <c r="C379" t="s">
        <v>138</v>
      </c>
      <c r="D379" t="s">
        <v>639</v>
      </c>
      <c r="E379" t="s">
        <v>641</v>
      </c>
      <c r="F379" t="s">
        <v>20</v>
      </c>
      <c r="G379">
        <v>57</v>
      </c>
      <c r="H379">
        <v>7667702.7000000002</v>
      </c>
      <c r="I379">
        <v>2406.39</v>
      </c>
    </row>
    <row r="380" spans="1:9" x14ac:dyDescent="0.2">
      <c r="A380" s="11">
        <v>45998</v>
      </c>
      <c r="B380" t="s">
        <v>9</v>
      </c>
      <c r="C380" t="s">
        <v>138</v>
      </c>
      <c r="D380" t="s">
        <v>639</v>
      </c>
      <c r="E380" t="s">
        <v>642</v>
      </c>
      <c r="F380" t="s">
        <v>20</v>
      </c>
      <c r="G380">
        <v>33</v>
      </c>
      <c r="H380">
        <v>3754033.8</v>
      </c>
      <c r="I380">
        <v>1178.1500000000001</v>
      </c>
    </row>
    <row r="381" spans="1:9" x14ac:dyDescent="0.2">
      <c r="A381" s="11">
        <v>45998</v>
      </c>
      <c r="B381" t="s">
        <v>9</v>
      </c>
      <c r="C381" t="s">
        <v>643</v>
      </c>
      <c r="D381" t="s">
        <v>644</v>
      </c>
      <c r="E381" t="s">
        <v>93</v>
      </c>
      <c r="F381" t="s">
        <v>18</v>
      </c>
      <c r="G381">
        <v>8</v>
      </c>
      <c r="H381">
        <v>463850.88</v>
      </c>
      <c r="I381">
        <v>145.57</v>
      </c>
    </row>
    <row r="382" spans="1:9" x14ac:dyDescent="0.2">
      <c r="A382" s="11">
        <v>45998</v>
      </c>
      <c r="B382" t="s">
        <v>9</v>
      </c>
      <c r="C382" t="s">
        <v>643</v>
      </c>
      <c r="D382" t="s">
        <v>644</v>
      </c>
      <c r="E382" t="s">
        <v>645</v>
      </c>
      <c r="F382" t="s">
        <v>16</v>
      </c>
      <c r="G382">
        <v>16</v>
      </c>
      <c r="H382">
        <v>845835.2</v>
      </c>
      <c r="I382">
        <v>265.45</v>
      </c>
    </row>
    <row r="383" spans="1:9" x14ac:dyDescent="0.2">
      <c r="A383" s="11">
        <v>45998</v>
      </c>
      <c r="B383" t="s">
        <v>9</v>
      </c>
      <c r="C383" t="s">
        <v>643</v>
      </c>
      <c r="D383" t="s">
        <v>644</v>
      </c>
      <c r="E383" t="s">
        <v>290</v>
      </c>
      <c r="F383" t="s">
        <v>16</v>
      </c>
      <c r="G383">
        <v>12</v>
      </c>
      <c r="H383">
        <v>1891111.44</v>
      </c>
      <c r="I383">
        <v>593.5</v>
      </c>
    </row>
    <row r="384" spans="1:9" x14ac:dyDescent="0.2">
      <c r="A384" s="11">
        <v>45998</v>
      </c>
      <c r="B384" t="s">
        <v>9</v>
      </c>
      <c r="C384" t="s">
        <v>643</v>
      </c>
      <c r="D384" t="s">
        <v>644</v>
      </c>
      <c r="E384" t="s">
        <v>159</v>
      </c>
      <c r="F384" t="s">
        <v>5</v>
      </c>
      <c r="G384">
        <v>6</v>
      </c>
      <c r="H384">
        <v>346006.98</v>
      </c>
      <c r="I384">
        <v>108.59</v>
      </c>
    </row>
    <row r="385" spans="1:9" x14ac:dyDescent="0.2">
      <c r="A385" s="11">
        <v>45998</v>
      </c>
      <c r="B385" t="s">
        <v>10</v>
      </c>
      <c r="C385" t="s">
        <v>646</v>
      </c>
      <c r="D385" t="s">
        <v>647</v>
      </c>
      <c r="E385" t="s">
        <v>648</v>
      </c>
      <c r="F385" t="s">
        <v>18</v>
      </c>
      <c r="G385">
        <v>30</v>
      </c>
      <c r="H385">
        <v>2107278.6</v>
      </c>
      <c r="I385">
        <v>661.34</v>
      </c>
    </row>
    <row r="386" spans="1:9" x14ac:dyDescent="0.2">
      <c r="A386" s="11">
        <v>45998</v>
      </c>
      <c r="B386" t="s">
        <v>10</v>
      </c>
      <c r="C386" t="s">
        <v>646</v>
      </c>
      <c r="D386" t="s">
        <v>647</v>
      </c>
      <c r="E386" t="s">
        <v>649</v>
      </c>
      <c r="F386" t="s">
        <v>14</v>
      </c>
      <c r="G386">
        <v>29</v>
      </c>
      <c r="H386">
        <v>2617656</v>
      </c>
      <c r="I386">
        <v>821.51</v>
      </c>
    </row>
    <row r="387" spans="1:9" x14ac:dyDescent="0.2">
      <c r="A387" s="11">
        <v>45998</v>
      </c>
      <c r="B387" t="s">
        <v>10</v>
      </c>
      <c r="C387" t="s">
        <v>646</v>
      </c>
      <c r="D387" t="s">
        <v>647</v>
      </c>
      <c r="E387" t="s">
        <v>650</v>
      </c>
      <c r="F387" t="s">
        <v>20</v>
      </c>
      <c r="G387">
        <v>4</v>
      </c>
      <c r="H387">
        <v>455927.52</v>
      </c>
      <c r="I387">
        <v>143.09</v>
      </c>
    </row>
    <row r="388" spans="1:9" x14ac:dyDescent="0.2">
      <c r="A388" s="11">
        <v>45998</v>
      </c>
      <c r="B388" t="s">
        <v>11</v>
      </c>
      <c r="C388" t="s">
        <v>651</v>
      </c>
      <c r="D388" t="s">
        <v>652</v>
      </c>
      <c r="E388" t="s">
        <v>653</v>
      </c>
      <c r="F388" t="s">
        <v>14</v>
      </c>
      <c r="G388">
        <v>12</v>
      </c>
      <c r="H388">
        <v>658815.36</v>
      </c>
      <c r="I388">
        <v>206.76</v>
      </c>
    </row>
    <row r="389" spans="1:9" x14ac:dyDescent="0.2">
      <c r="A389" s="11">
        <v>45998</v>
      </c>
      <c r="B389" t="s">
        <v>6</v>
      </c>
      <c r="C389" t="s">
        <v>654</v>
      </c>
      <c r="D389" t="s">
        <v>655</v>
      </c>
      <c r="E389" t="s">
        <v>656</v>
      </c>
      <c r="F389" t="s">
        <v>5</v>
      </c>
      <c r="G389">
        <v>7</v>
      </c>
      <c r="H389">
        <v>184327.85</v>
      </c>
      <c r="I389">
        <v>57.85</v>
      </c>
    </row>
    <row r="390" spans="1:9" x14ac:dyDescent="0.2">
      <c r="A390" s="11">
        <v>45998</v>
      </c>
      <c r="B390" t="s">
        <v>6</v>
      </c>
      <c r="C390" t="s">
        <v>654</v>
      </c>
      <c r="D390" t="s">
        <v>655</v>
      </c>
      <c r="E390" t="s">
        <v>657</v>
      </c>
      <c r="F390" t="s">
        <v>22</v>
      </c>
      <c r="G390">
        <v>4</v>
      </c>
      <c r="H390">
        <v>150623.12</v>
      </c>
      <c r="I390">
        <v>47.27</v>
      </c>
    </row>
    <row r="391" spans="1:9" x14ac:dyDescent="0.2">
      <c r="A391" s="11">
        <v>45998</v>
      </c>
      <c r="B391" t="s">
        <v>6</v>
      </c>
      <c r="C391" t="s">
        <v>654</v>
      </c>
      <c r="D391" t="s">
        <v>655</v>
      </c>
      <c r="E391" t="s">
        <v>658</v>
      </c>
      <c r="F391" t="s">
        <v>14</v>
      </c>
      <c r="G391">
        <v>5</v>
      </c>
      <c r="H391">
        <v>463853.05</v>
      </c>
      <c r="I391">
        <v>145.57</v>
      </c>
    </row>
    <row r="392" spans="1:9" x14ac:dyDescent="0.2">
      <c r="A392" s="11">
        <v>45998</v>
      </c>
      <c r="B392" t="s">
        <v>6</v>
      </c>
      <c r="C392" t="s">
        <v>654</v>
      </c>
      <c r="D392" t="s">
        <v>655</v>
      </c>
      <c r="E392" t="s">
        <v>659</v>
      </c>
      <c r="F392" t="s">
        <v>5</v>
      </c>
      <c r="G392">
        <v>9</v>
      </c>
      <c r="H392">
        <v>611730.81000000006</v>
      </c>
      <c r="I392">
        <v>191.98</v>
      </c>
    </row>
    <row r="393" spans="1:9" x14ac:dyDescent="0.2">
      <c r="A393" s="11">
        <v>45998</v>
      </c>
      <c r="B393" t="s">
        <v>6</v>
      </c>
      <c r="C393" t="s">
        <v>654</v>
      </c>
      <c r="D393" t="s">
        <v>655</v>
      </c>
      <c r="E393" t="s">
        <v>660</v>
      </c>
      <c r="F393" t="s">
        <v>18</v>
      </c>
      <c r="G393">
        <v>34</v>
      </c>
      <c r="H393">
        <v>3918970.22</v>
      </c>
      <c r="I393">
        <v>1229.9100000000001</v>
      </c>
    </row>
    <row r="394" spans="1:9" x14ac:dyDescent="0.2">
      <c r="A394" s="11">
        <v>45998</v>
      </c>
      <c r="B394" t="s">
        <v>9</v>
      </c>
      <c r="C394" t="s">
        <v>661</v>
      </c>
      <c r="D394" t="s">
        <v>662</v>
      </c>
      <c r="E394" t="s">
        <v>250</v>
      </c>
      <c r="F394" t="s">
        <v>16</v>
      </c>
      <c r="G394">
        <v>6</v>
      </c>
      <c r="H394">
        <v>868216.68</v>
      </c>
      <c r="I394">
        <v>272.48</v>
      </c>
    </row>
    <row r="395" spans="1:9" x14ac:dyDescent="0.2">
      <c r="A395" s="11">
        <v>45998</v>
      </c>
      <c r="B395" t="s">
        <v>9</v>
      </c>
      <c r="C395" t="s">
        <v>661</v>
      </c>
      <c r="D395" t="s">
        <v>662</v>
      </c>
      <c r="E395" t="s">
        <v>387</v>
      </c>
      <c r="F395" t="s">
        <v>14</v>
      </c>
      <c r="G395">
        <v>19</v>
      </c>
      <c r="H395">
        <v>806938.36</v>
      </c>
      <c r="I395">
        <v>253.25</v>
      </c>
    </row>
    <row r="396" spans="1:9" x14ac:dyDescent="0.2">
      <c r="A396" s="11">
        <v>45998</v>
      </c>
      <c r="B396" t="s">
        <v>8</v>
      </c>
      <c r="C396" t="s">
        <v>567</v>
      </c>
      <c r="D396" t="s">
        <v>663</v>
      </c>
      <c r="E396" t="s">
        <v>664</v>
      </c>
      <c r="F396" t="s">
        <v>20</v>
      </c>
      <c r="G396">
        <v>18</v>
      </c>
      <c r="H396">
        <v>3104394.48</v>
      </c>
      <c r="I396">
        <v>974.27</v>
      </c>
    </row>
    <row r="397" spans="1:9" x14ac:dyDescent="0.2">
      <c r="A397" s="11">
        <v>45998</v>
      </c>
      <c r="B397" t="s">
        <v>8</v>
      </c>
      <c r="C397" t="s">
        <v>665</v>
      </c>
      <c r="D397" t="s">
        <v>666</v>
      </c>
      <c r="E397" t="s">
        <v>574</v>
      </c>
      <c r="F397" t="s">
        <v>5</v>
      </c>
      <c r="G397">
        <v>6</v>
      </c>
      <c r="H397">
        <v>288122.7</v>
      </c>
      <c r="I397">
        <v>90.42</v>
      </c>
    </row>
    <row r="398" spans="1:9" x14ac:dyDescent="0.2">
      <c r="A398" s="11">
        <v>45998</v>
      </c>
      <c r="B398" t="s">
        <v>11</v>
      </c>
      <c r="C398" t="s">
        <v>667</v>
      </c>
      <c r="D398" t="s">
        <v>668</v>
      </c>
      <c r="E398" t="s">
        <v>669</v>
      </c>
      <c r="F398" t="s">
        <v>16</v>
      </c>
      <c r="G398">
        <v>8</v>
      </c>
      <c r="H398">
        <v>897131.36</v>
      </c>
      <c r="I398">
        <v>281.55</v>
      </c>
    </row>
    <row r="399" spans="1:9" x14ac:dyDescent="0.2">
      <c r="A399" s="11">
        <v>45998</v>
      </c>
      <c r="B399" t="s">
        <v>11</v>
      </c>
      <c r="C399" t="s">
        <v>667</v>
      </c>
      <c r="D399" t="s">
        <v>668</v>
      </c>
      <c r="E399" t="s">
        <v>670</v>
      </c>
      <c r="F399" t="s">
        <v>18</v>
      </c>
      <c r="G399">
        <v>7</v>
      </c>
      <c r="H399">
        <v>372298.78</v>
      </c>
      <c r="I399">
        <v>116.84</v>
      </c>
    </row>
    <row r="400" spans="1:9" x14ac:dyDescent="0.2">
      <c r="A400" s="11">
        <v>45998</v>
      </c>
      <c r="B400" t="s">
        <v>11</v>
      </c>
      <c r="C400" t="s">
        <v>667</v>
      </c>
      <c r="D400" t="s">
        <v>668</v>
      </c>
      <c r="E400" t="s">
        <v>466</v>
      </c>
      <c r="F400" t="s">
        <v>20</v>
      </c>
      <c r="G400">
        <v>30</v>
      </c>
      <c r="H400">
        <v>5633542.2000000002</v>
      </c>
      <c r="I400">
        <v>1768</v>
      </c>
    </row>
    <row r="401" spans="1:9" x14ac:dyDescent="0.2">
      <c r="A401" s="11">
        <v>45999</v>
      </c>
      <c r="B401" t="s">
        <v>8</v>
      </c>
      <c r="C401" t="s">
        <v>617</v>
      </c>
      <c r="D401" t="s">
        <v>671</v>
      </c>
      <c r="E401" t="s">
        <v>672</v>
      </c>
      <c r="F401" t="s">
        <v>18</v>
      </c>
      <c r="G401">
        <v>16</v>
      </c>
      <c r="H401">
        <v>933962.4</v>
      </c>
      <c r="I401">
        <v>293.11</v>
      </c>
    </row>
    <row r="402" spans="1:9" x14ac:dyDescent="0.2">
      <c r="A402" s="11">
        <v>45999</v>
      </c>
      <c r="B402" t="s">
        <v>10</v>
      </c>
      <c r="C402" t="s">
        <v>673</v>
      </c>
      <c r="D402" t="s">
        <v>674</v>
      </c>
      <c r="E402" t="s">
        <v>675</v>
      </c>
      <c r="F402" t="s">
        <v>5</v>
      </c>
      <c r="G402">
        <v>8</v>
      </c>
      <c r="H402">
        <v>504306.64</v>
      </c>
      <c r="I402">
        <v>158.27000000000001</v>
      </c>
    </row>
    <row r="403" spans="1:9" x14ac:dyDescent="0.2">
      <c r="A403" s="11">
        <v>45999</v>
      </c>
      <c r="B403" t="s">
        <v>10</v>
      </c>
      <c r="C403" t="s">
        <v>676</v>
      </c>
      <c r="D403" t="s">
        <v>677</v>
      </c>
      <c r="E403" t="s">
        <v>678</v>
      </c>
      <c r="F403" t="s">
        <v>18</v>
      </c>
      <c r="G403">
        <v>9</v>
      </c>
      <c r="H403">
        <v>862475.85</v>
      </c>
      <c r="I403">
        <v>270.67</v>
      </c>
    </row>
    <row r="404" spans="1:9" x14ac:dyDescent="0.2">
      <c r="A404" s="11">
        <v>45999</v>
      </c>
      <c r="B404" t="s">
        <v>10</v>
      </c>
      <c r="C404" t="s">
        <v>676</v>
      </c>
      <c r="D404" t="s">
        <v>677</v>
      </c>
      <c r="E404" t="s">
        <v>513</v>
      </c>
      <c r="F404" t="s">
        <v>16</v>
      </c>
      <c r="G404">
        <v>14</v>
      </c>
      <c r="H404">
        <v>1331595.02</v>
      </c>
      <c r="I404">
        <v>417.9</v>
      </c>
    </row>
    <row r="405" spans="1:9" x14ac:dyDescent="0.2">
      <c r="A405" s="11">
        <v>45999</v>
      </c>
      <c r="B405" t="s">
        <v>10</v>
      </c>
      <c r="C405" t="s">
        <v>676</v>
      </c>
      <c r="D405" t="s">
        <v>677</v>
      </c>
      <c r="E405" t="s">
        <v>679</v>
      </c>
      <c r="F405" t="s">
        <v>22</v>
      </c>
      <c r="G405">
        <v>24</v>
      </c>
      <c r="H405">
        <v>1293598.32</v>
      </c>
      <c r="I405">
        <v>405.98</v>
      </c>
    </row>
    <row r="406" spans="1:9" x14ac:dyDescent="0.2">
      <c r="A406" s="11">
        <v>45999</v>
      </c>
      <c r="B406" t="s">
        <v>10</v>
      </c>
      <c r="C406" t="s">
        <v>676</v>
      </c>
      <c r="D406" t="s">
        <v>677</v>
      </c>
      <c r="E406" t="s">
        <v>116</v>
      </c>
      <c r="F406" t="s">
        <v>18</v>
      </c>
      <c r="G406">
        <v>13</v>
      </c>
      <c r="H406">
        <v>601397.03</v>
      </c>
      <c r="I406">
        <v>188.74</v>
      </c>
    </row>
    <row r="407" spans="1:9" x14ac:dyDescent="0.2">
      <c r="A407" s="11">
        <v>45999</v>
      </c>
      <c r="B407" t="s">
        <v>10</v>
      </c>
      <c r="C407" t="s">
        <v>676</v>
      </c>
      <c r="D407" t="s">
        <v>677</v>
      </c>
      <c r="E407" t="s">
        <v>680</v>
      </c>
      <c r="F407" t="s">
        <v>22</v>
      </c>
      <c r="G407">
        <v>3</v>
      </c>
      <c r="H407">
        <v>169291.23</v>
      </c>
      <c r="I407">
        <v>53.13</v>
      </c>
    </row>
    <row r="408" spans="1:9" x14ac:dyDescent="0.2">
      <c r="A408" s="11">
        <v>45999</v>
      </c>
      <c r="B408" t="s">
        <v>9</v>
      </c>
      <c r="C408" t="s">
        <v>681</v>
      </c>
      <c r="D408" t="s">
        <v>682</v>
      </c>
      <c r="E408" t="s">
        <v>683</v>
      </c>
      <c r="F408" t="s">
        <v>18</v>
      </c>
      <c r="G408">
        <v>7</v>
      </c>
      <c r="H408">
        <v>412314.28</v>
      </c>
      <c r="I408">
        <v>129.4</v>
      </c>
    </row>
    <row r="409" spans="1:9" x14ac:dyDescent="0.2">
      <c r="A409" s="11">
        <v>45999</v>
      </c>
      <c r="B409" t="s">
        <v>9</v>
      </c>
      <c r="C409" t="s">
        <v>681</v>
      </c>
      <c r="D409" t="s">
        <v>682</v>
      </c>
      <c r="E409" t="s">
        <v>612</v>
      </c>
      <c r="F409" t="s">
        <v>18</v>
      </c>
      <c r="G409">
        <v>32</v>
      </c>
      <c r="H409">
        <v>3290682.24</v>
      </c>
      <c r="I409">
        <v>1032.73</v>
      </c>
    </row>
    <row r="410" spans="1:9" x14ac:dyDescent="0.2">
      <c r="A410" s="11">
        <v>45999</v>
      </c>
      <c r="B410" t="s">
        <v>9</v>
      </c>
      <c r="C410" t="s">
        <v>681</v>
      </c>
      <c r="D410" t="s">
        <v>682</v>
      </c>
      <c r="E410" t="s">
        <v>684</v>
      </c>
      <c r="F410" t="s">
        <v>5</v>
      </c>
      <c r="G410">
        <v>18</v>
      </c>
      <c r="H410">
        <v>1076397.8400000001</v>
      </c>
      <c r="I410">
        <v>337.81</v>
      </c>
    </row>
    <row r="411" spans="1:9" x14ac:dyDescent="0.2">
      <c r="A411" s="11">
        <v>45999</v>
      </c>
      <c r="B411" t="s">
        <v>6</v>
      </c>
      <c r="C411" t="s">
        <v>685</v>
      </c>
      <c r="D411" t="s">
        <v>686</v>
      </c>
      <c r="E411" t="s">
        <v>687</v>
      </c>
      <c r="F411" t="s">
        <v>18</v>
      </c>
      <c r="G411">
        <v>4</v>
      </c>
      <c r="H411">
        <v>332006.52</v>
      </c>
      <c r="I411">
        <v>104.2</v>
      </c>
    </row>
    <row r="412" spans="1:9" x14ac:dyDescent="0.2">
      <c r="A412" s="11">
        <v>45999</v>
      </c>
      <c r="B412" t="s">
        <v>6</v>
      </c>
      <c r="C412" t="s">
        <v>685</v>
      </c>
      <c r="D412" t="s">
        <v>686</v>
      </c>
      <c r="E412" t="s">
        <v>688</v>
      </c>
      <c r="F412" t="s">
        <v>20</v>
      </c>
      <c r="G412">
        <v>5</v>
      </c>
      <c r="H412">
        <v>698495.7</v>
      </c>
      <c r="I412">
        <v>219.21</v>
      </c>
    </row>
    <row r="413" spans="1:9" x14ac:dyDescent="0.2">
      <c r="A413" s="11">
        <v>45999</v>
      </c>
      <c r="B413" t="s">
        <v>6</v>
      </c>
      <c r="C413" t="s">
        <v>685</v>
      </c>
      <c r="D413" t="s">
        <v>686</v>
      </c>
      <c r="E413" t="s">
        <v>689</v>
      </c>
      <c r="F413" t="s">
        <v>20</v>
      </c>
      <c r="G413">
        <v>6</v>
      </c>
      <c r="H413">
        <v>1120595.7</v>
      </c>
      <c r="I413">
        <v>351.68</v>
      </c>
    </row>
    <row r="414" spans="1:9" x14ac:dyDescent="0.2">
      <c r="A414" s="11">
        <v>45999</v>
      </c>
      <c r="B414" t="s">
        <v>6</v>
      </c>
      <c r="C414" t="s">
        <v>685</v>
      </c>
      <c r="D414" t="s">
        <v>686</v>
      </c>
      <c r="E414" t="s">
        <v>267</v>
      </c>
      <c r="F414" t="s">
        <v>16</v>
      </c>
      <c r="G414">
        <v>35</v>
      </c>
      <c r="H414">
        <v>3570708.05</v>
      </c>
      <c r="I414">
        <v>1120.6099999999999</v>
      </c>
    </row>
    <row r="415" spans="1:9" x14ac:dyDescent="0.2">
      <c r="A415" s="11">
        <v>45999</v>
      </c>
      <c r="B415" t="s">
        <v>6</v>
      </c>
      <c r="C415" t="s">
        <v>685</v>
      </c>
      <c r="D415" t="s">
        <v>686</v>
      </c>
      <c r="E415" t="s">
        <v>257</v>
      </c>
      <c r="F415" t="s">
        <v>18</v>
      </c>
      <c r="G415">
        <v>10</v>
      </c>
      <c r="H415">
        <v>674735.3</v>
      </c>
      <c r="I415">
        <v>211.76</v>
      </c>
    </row>
    <row r="416" spans="1:9" x14ac:dyDescent="0.2">
      <c r="A416" s="11">
        <v>45999</v>
      </c>
      <c r="B416" t="s">
        <v>10</v>
      </c>
      <c r="C416" t="s">
        <v>690</v>
      </c>
      <c r="D416" t="s">
        <v>691</v>
      </c>
      <c r="E416" t="s">
        <v>692</v>
      </c>
      <c r="F416" t="s">
        <v>14</v>
      </c>
      <c r="G416">
        <v>15</v>
      </c>
      <c r="H416">
        <v>1123102.8</v>
      </c>
      <c r="I416">
        <v>352.47</v>
      </c>
    </row>
    <row r="417" spans="1:9" x14ac:dyDescent="0.2">
      <c r="A417" s="11">
        <v>45999</v>
      </c>
      <c r="B417" t="s">
        <v>10</v>
      </c>
      <c r="C417" t="s">
        <v>690</v>
      </c>
      <c r="D417" t="s">
        <v>691</v>
      </c>
      <c r="E417" t="s">
        <v>693</v>
      </c>
      <c r="F417" t="s">
        <v>18</v>
      </c>
      <c r="G417">
        <v>26</v>
      </c>
      <c r="H417">
        <v>2520554.92</v>
      </c>
      <c r="I417">
        <v>791.04</v>
      </c>
    </row>
    <row r="418" spans="1:9" x14ac:dyDescent="0.2">
      <c r="A418" s="11">
        <v>45999</v>
      </c>
      <c r="B418" t="s">
        <v>10</v>
      </c>
      <c r="C418" t="s">
        <v>690</v>
      </c>
      <c r="D418" t="s">
        <v>691</v>
      </c>
      <c r="E418" t="s">
        <v>694</v>
      </c>
      <c r="F418" t="s">
        <v>22</v>
      </c>
      <c r="G418">
        <v>7</v>
      </c>
      <c r="H418">
        <v>413344.61</v>
      </c>
      <c r="I418">
        <v>129.72</v>
      </c>
    </row>
    <row r="419" spans="1:9" x14ac:dyDescent="0.2">
      <c r="A419" s="11">
        <v>45999</v>
      </c>
      <c r="B419" t="s">
        <v>8</v>
      </c>
      <c r="C419" t="s">
        <v>695</v>
      </c>
      <c r="D419" t="s">
        <v>696</v>
      </c>
      <c r="E419" t="s">
        <v>513</v>
      </c>
      <c r="F419" t="s">
        <v>16</v>
      </c>
      <c r="G419">
        <v>52</v>
      </c>
      <c r="H419">
        <v>4692893.92</v>
      </c>
      <c r="I419">
        <v>1472.79</v>
      </c>
    </row>
    <row r="420" spans="1:9" x14ac:dyDescent="0.2">
      <c r="A420" s="11">
        <v>45999</v>
      </c>
      <c r="B420" t="s">
        <v>10</v>
      </c>
      <c r="C420" t="s">
        <v>365</v>
      </c>
      <c r="D420" t="s">
        <v>697</v>
      </c>
      <c r="E420" t="s">
        <v>141</v>
      </c>
      <c r="F420" t="s">
        <v>5</v>
      </c>
      <c r="G420">
        <v>5</v>
      </c>
      <c r="H420">
        <v>383181</v>
      </c>
      <c r="I420">
        <v>120.26</v>
      </c>
    </row>
    <row r="421" spans="1:9" x14ac:dyDescent="0.2">
      <c r="A421" s="11">
        <v>45999</v>
      </c>
      <c r="B421" t="s">
        <v>10</v>
      </c>
      <c r="C421" t="s">
        <v>365</v>
      </c>
      <c r="D421" t="s">
        <v>697</v>
      </c>
      <c r="E421" t="s">
        <v>77</v>
      </c>
      <c r="F421" t="s">
        <v>14</v>
      </c>
      <c r="G421">
        <v>3</v>
      </c>
      <c r="H421">
        <v>112927.67999999999</v>
      </c>
      <c r="I421">
        <v>35.44</v>
      </c>
    </row>
    <row r="422" spans="1:9" x14ac:dyDescent="0.2">
      <c r="A422" s="11">
        <v>45999</v>
      </c>
      <c r="B422" t="s">
        <v>10</v>
      </c>
      <c r="C422" t="s">
        <v>365</v>
      </c>
      <c r="D422" t="s">
        <v>697</v>
      </c>
      <c r="E422" t="s">
        <v>311</v>
      </c>
      <c r="F422" t="s">
        <v>14</v>
      </c>
      <c r="G422">
        <v>54</v>
      </c>
      <c r="H422">
        <v>2989094.94</v>
      </c>
      <c r="I422">
        <v>938.08</v>
      </c>
    </row>
    <row r="423" spans="1:9" x14ac:dyDescent="0.2">
      <c r="A423" s="11">
        <v>45999</v>
      </c>
      <c r="B423" t="s">
        <v>9</v>
      </c>
      <c r="C423" t="s">
        <v>698</v>
      </c>
      <c r="D423" t="s">
        <v>699</v>
      </c>
      <c r="E423" t="s">
        <v>700</v>
      </c>
      <c r="F423" t="s">
        <v>18</v>
      </c>
      <c r="G423">
        <v>11</v>
      </c>
      <c r="H423">
        <v>665301.23</v>
      </c>
      <c r="I423">
        <v>208.79</v>
      </c>
    </row>
    <row r="424" spans="1:9" x14ac:dyDescent="0.2">
      <c r="A424" s="11">
        <v>45999</v>
      </c>
      <c r="B424" t="s">
        <v>9</v>
      </c>
      <c r="C424" t="s">
        <v>698</v>
      </c>
      <c r="D424" t="s">
        <v>699</v>
      </c>
      <c r="E424" t="s">
        <v>701</v>
      </c>
      <c r="F424" t="s">
        <v>14</v>
      </c>
      <c r="G424">
        <v>10</v>
      </c>
      <c r="H424">
        <v>384731.5</v>
      </c>
      <c r="I424">
        <v>120.74</v>
      </c>
    </row>
    <row r="425" spans="1:9" x14ac:dyDescent="0.2">
      <c r="A425" s="11">
        <v>45999</v>
      </c>
      <c r="B425" t="s">
        <v>9</v>
      </c>
      <c r="C425" t="s">
        <v>698</v>
      </c>
      <c r="D425" t="s">
        <v>699</v>
      </c>
      <c r="E425" t="s">
        <v>702</v>
      </c>
      <c r="F425" t="s">
        <v>18</v>
      </c>
      <c r="G425">
        <v>17</v>
      </c>
      <c r="H425">
        <v>1179374.6599999999</v>
      </c>
      <c r="I425">
        <v>370.13</v>
      </c>
    </row>
    <row r="426" spans="1:9" x14ac:dyDescent="0.2">
      <c r="A426" s="11">
        <v>45999</v>
      </c>
      <c r="B426" t="s">
        <v>9</v>
      </c>
      <c r="C426" t="s">
        <v>698</v>
      </c>
      <c r="D426" t="s">
        <v>699</v>
      </c>
      <c r="E426" t="s">
        <v>102</v>
      </c>
      <c r="F426" t="s">
        <v>20</v>
      </c>
      <c r="G426">
        <v>13</v>
      </c>
      <c r="H426">
        <v>1936450.1</v>
      </c>
      <c r="I426">
        <v>607.73</v>
      </c>
    </row>
    <row r="427" spans="1:9" x14ac:dyDescent="0.2">
      <c r="A427" s="11">
        <v>45999</v>
      </c>
      <c r="B427" t="s">
        <v>7</v>
      </c>
      <c r="C427" t="s">
        <v>703</v>
      </c>
      <c r="D427" t="s">
        <v>704</v>
      </c>
      <c r="E427" t="s">
        <v>472</v>
      </c>
      <c r="F427" t="s">
        <v>14</v>
      </c>
      <c r="G427">
        <v>63</v>
      </c>
      <c r="H427">
        <v>3875217.57</v>
      </c>
      <c r="I427">
        <v>1216.18</v>
      </c>
    </row>
    <row r="428" spans="1:9" x14ac:dyDescent="0.2">
      <c r="A428" s="11">
        <v>45999</v>
      </c>
      <c r="B428" t="s">
        <v>9</v>
      </c>
      <c r="C428" t="s">
        <v>705</v>
      </c>
      <c r="D428" t="s">
        <v>706</v>
      </c>
      <c r="E428" t="s">
        <v>707</v>
      </c>
      <c r="F428" t="s">
        <v>5</v>
      </c>
      <c r="G428">
        <v>10</v>
      </c>
      <c r="H428">
        <v>715162.9</v>
      </c>
      <c r="I428">
        <v>224.44</v>
      </c>
    </row>
    <row r="429" spans="1:9" x14ac:dyDescent="0.2">
      <c r="A429" s="11">
        <v>45999</v>
      </c>
      <c r="B429" t="s">
        <v>9</v>
      </c>
      <c r="C429" t="s">
        <v>705</v>
      </c>
      <c r="D429" t="s">
        <v>706</v>
      </c>
      <c r="E429" t="s">
        <v>77</v>
      </c>
      <c r="F429" t="s">
        <v>14</v>
      </c>
      <c r="G429">
        <v>16</v>
      </c>
      <c r="H429">
        <v>599777.12</v>
      </c>
      <c r="I429">
        <v>188.23</v>
      </c>
    </row>
    <row r="430" spans="1:9" x14ac:dyDescent="0.2">
      <c r="A430" s="11">
        <v>45999</v>
      </c>
      <c r="B430" t="s">
        <v>9</v>
      </c>
      <c r="C430" t="s">
        <v>705</v>
      </c>
      <c r="D430" t="s">
        <v>706</v>
      </c>
      <c r="E430" t="s">
        <v>708</v>
      </c>
      <c r="F430" t="s">
        <v>5</v>
      </c>
      <c r="G430">
        <v>36</v>
      </c>
      <c r="H430">
        <v>1033814.88</v>
      </c>
      <c r="I430">
        <v>324.45</v>
      </c>
    </row>
    <row r="431" spans="1:9" x14ac:dyDescent="0.2">
      <c r="A431" s="11">
        <v>45999</v>
      </c>
      <c r="B431" t="s">
        <v>9</v>
      </c>
      <c r="C431" t="s">
        <v>705</v>
      </c>
      <c r="D431" t="s">
        <v>706</v>
      </c>
      <c r="E431" t="s">
        <v>135</v>
      </c>
      <c r="F431" t="s">
        <v>22</v>
      </c>
      <c r="G431">
        <v>44</v>
      </c>
      <c r="H431">
        <v>1993072.84</v>
      </c>
      <c r="I431">
        <v>625.5</v>
      </c>
    </row>
    <row r="432" spans="1:9" x14ac:dyDescent="0.2">
      <c r="A432" s="11">
        <v>45999</v>
      </c>
      <c r="B432" t="s">
        <v>9</v>
      </c>
      <c r="C432" t="s">
        <v>705</v>
      </c>
      <c r="D432" t="s">
        <v>706</v>
      </c>
      <c r="E432" t="s">
        <v>211</v>
      </c>
      <c r="F432" t="s">
        <v>16</v>
      </c>
      <c r="G432">
        <v>21</v>
      </c>
      <c r="H432">
        <v>1562514.03</v>
      </c>
      <c r="I432">
        <v>490.37</v>
      </c>
    </row>
    <row r="433" spans="1:9" x14ac:dyDescent="0.2">
      <c r="A433" s="11">
        <v>45999</v>
      </c>
      <c r="B433" t="s">
        <v>11</v>
      </c>
      <c r="C433" t="s">
        <v>709</v>
      </c>
      <c r="D433" t="s">
        <v>710</v>
      </c>
      <c r="E433" t="s">
        <v>246</v>
      </c>
      <c r="F433" t="s">
        <v>14</v>
      </c>
      <c r="G433">
        <v>7</v>
      </c>
      <c r="H433">
        <v>237395.97</v>
      </c>
      <c r="I433">
        <v>74.5</v>
      </c>
    </row>
    <row r="434" spans="1:9" x14ac:dyDescent="0.2">
      <c r="A434" s="11">
        <v>45999</v>
      </c>
      <c r="B434" t="s">
        <v>6</v>
      </c>
      <c r="C434" t="s">
        <v>487</v>
      </c>
      <c r="D434" t="s">
        <v>711</v>
      </c>
      <c r="E434" t="s">
        <v>712</v>
      </c>
      <c r="F434" t="s">
        <v>5</v>
      </c>
      <c r="G434">
        <v>23</v>
      </c>
      <c r="H434">
        <v>750968.63</v>
      </c>
      <c r="I434">
        <v>235.68</v>
      </c>
    </row>
    <row r="435" spans="1:9" x14ac:dyDescent="0.2">
      <c r="A435" s="11">
        <v>45999</v>
      </c>
      <c r="B435" t="s">
        <v>6</v>
      </c>
      <c r="C435" t="s">
        <v>487</v>
      </c>
      <c r="D435" t="s">
        <v>711</v>
      </c>
      <c r="E435" t="s">
        <v>713</v>
      </c>
      <c r="F435" t="s">
        <v>20</v>
      </c>
      <c r="G435">
        <v>9</v>
      </c>
      <c r="H435">
        <v>861844.77</v>
      </c>
      <c r="I435">
        <v>270.48</v>
      </c>
    </row>
    <row r="436" spans="1:9" x14ac:dyDescent="0.2">
      <c r="A436" s="11">
        <v>45999</v>
      </c>
      <c r="B436" t="s">
        <v>6</v>
      </c>
      <c r="C436" t="s">
        <v>487</v>
      </c>
      <c r="D436" t="s">
        <v>711</v>
      </c>
      <c r="E436" t="s">
        <v>432</v>
      </c>
      <c r="F436" t="s">
        <v>16</v>
      </c>
      <c r="G436">
        <v>48</v>
      </c>
      <c r="H436">
        <v>7622159.5199999996</v>
      </c>
      <c r="I436">
        <v>2392.1</v>
      </c>
    </row>
    <row r="437" spans="1:9" x14ac:dyDescent="0.2">
      <c r="A437" s="11">
        <v>45999</v>
      </c>
      <c r="B437" t="s">
        <v>7</v>
      </c>
      <c r="C437" t="s">
        <v>714</v>
      </c>
      <c r="D437" t="s">
        <v>715</v>
      </c>
      <c r="E437" t="s">
        <v>716</v>
      </c>
      <c r="F437" t="s">
        <v>14</v>
      </c>
      <c r="G437">
        <v>28</v>
      </c>
      <c r="H437">
        <v>2372106.52</v>
      </c>
      <c r="I437">
        <v>744.45</v>
      </c>
    </row>
    <row r="438" spans="1:9" x14ac:dyDescent="0.2">
      <c r="A438" s="11">
        <v>45999</v>
      </c>
      <c r="B438" t="s">
        <v>7</v>
      </c>
      <c r="C438" t="s">
        <v>714</v>
      </c>
      <c r="D438" t="s">
        <v>715</v>
      </c>
      <c r="E438" t="s">
        <v>717</v>
      </c>
      <c r="F438" t="s">
        <v>22</v>
      </c>
      <c r="G438">
        <v>15</v>
      </c>
      <c r="H438">
        <v>940311.6</v>
      </c>
      <c r="I438">
        <v>295.10000000000002</v>
      </c>
    </row>
    <row r="439" spans="1:9" x14ac:dyDescent="0.2">
      <c r="A439" s="11">
        <v>45999</v>
      </c>
      <c r="B439" t="s">
        <v>6</v>
      </c>
      <c r="C439" t="s">
        <v>718</v>
      </c>
      <c r="D439" t="s">
        <v>719</v>
      </c>
      <c r="E439" t="s">
        <v>720</v>
      </c>
      <c r="F439" t="s">
        <v>16</v>
      </c>
      <c r="G439">
        <v>13</v>
      </c>
      <c r="H439">
        <v>1150230.8999999999</v>
      </c>
      <c r="I439">
        <v>360.98</v>
      </c>
    </row>
    <row r="440" spans="1:9" x14ac:dyDescent="0.2">
      <c r="A440" s="11">
        <v>45999</v>
      </c>
      <c r="B440" t="s">
        <v>8</v>
      </c>
      <c r="C440" t="s">
        <v>721</v>
      </c>
      <c r="D440" t="s">
        <v>722</v>
      </c>
      <c r="E440" t="s">
        <v>413</v>
      </c>
      <c r="F440" t="s">
        <v>22</v>
      </c>
      <c r="G440">
        <v>6</v>
      </c>
      <c r="H440">
        <v>190687.68</v>
      </c>
      <c r="I440">
        <v>59.84</v>
      </c>
    </row>
    <row r="441" spans="1:9" x14ac:dyDescent="0.2">
      <c r="A441" s="11">
        <v>45999</v>
      </c>
      <c r="B441" t="s">
        <v>9</v>
      </c>
      <c r="C441" t="s">
        <v>723</v>
      </c>
      <c r="D441" t="s">
        <v>724</v>
      </c>
      <c r="E441" t="s">
        <v>725</v>
      </c>
      <c r="F441" t="s">
        <v>22</v>
      </c>
      <c r="G441">
        <v>9</v>
      </c>
      <c r="H441">
        <v>279852.39</v>
      </c>
      <c r="I441">
        <v>87.83</v>
      </c>
    </row>
    <row r="442" spans="1:9" x14ac:dyDescent="0.2">
      <c r="A442" s="11">
        <v>45999</v>
      </c>
      <c r="B442" t="s">
        <v>9</v>
      </c>
      <c r="C442" t="s">
        <v>723</v>
      </c>
      <c r="D442" t="s">
        <v>724</v>
      </c>
      <c r="E442" t="s">
        <v>333</v>
      </c>
      <c r="F442" t="s">
        <v>18</v>
      </c>
      <c r="G442">
        <v>9</v>
      </c>
      <c r="H442">
        <v>821976.57</v>
      </c>
      <c r="I442">
        <v>257.95999999999998</v>
      </c>
    </row>
    <row r="443" spans="1:9" x14ac:dyDescent="0.2">
      <c r="A443" s="11">
        <v>45999</v>
      </c>
      <c r="B443" t="s">
        <v>9</v>
      </c>
      <c r="C443" t="s">
        <v>723</v>
      </c>
      <c r="D443" t="s">
        <v>724</v>
      </c>
      <c r="E443" t="s">
        <v>162</v>
      </c>
      <c r="F443" t="s">
        <v>16</v>
      </c>
      <c r="G443">
        <v>60</v>
      </c>
      <c r="H443">
        <v>7310786.4000000004</v>
      </c>
      <c r="I443">
        <v>2294.38</v>
      </c>
    </row>
    <row r="444" spans="1:9" x14ac:dyDescent="0.2">
      <c r="A444" s="11">
        <v>45999</v>
      </c>
      <c r="B444" t="s">
        <v>9</v>
      </c>
      <c r="C444" t="s">
        <v>726</v>
      </c>
      <c r="D444" t="s">
        <v>727</v>
      </c>
      <c r="E444" t="s">
        <v>353</v>
      </c>
      <c r="F444" t="s">
        <v>22</v>
      </c>
      <c r="G444">
        <v>40</v>
      </c>
      <c r="H444">
        <v>1916307.6</v>
      </c>
      <c r="I444">
        <v>601.4</v>
      </c>
    </row>
    <row r="445" spans="1:9" x14ac:dyDescent="0.2">
      <c r="A445" s="11">
        <v>45999</v>
      </c>
      <c r="B445" t="s">
        <v>10</v>
      </c>
      <c r="C445" t="s">
        <v>728</v>
      </c>
      <c r="D445" t="s">
        <v>729</v>
      </c>
      <c r="E445" t="s">
        <v>345</v>
      </c>
      <c r="F445" t="s">
        <v>22</v>
      </c>
      <c r="G445">
        <v>61</v>
      </c>
      <c r="H445">
        <v>1739582.75</v>
      </c>
      <c r="I445">
        <v>545.94000000000005</v>
      </c>
    </row>
    <row r="446" spans="1:9" x14ac:dyDescent="0.2">
      <c r="A446" s="11">
        <v>45999</v>
      </c>
      <c r="B446" t="s">
        <v>10</v>
      </c>
      <c r="C446" t="s">
        <v>728</v>
      </c>
      <c r="D446" t="s">
        <v>729</v>
      </c>
      <c r="E446" t="s">
        <v>604</v>
      </c>
      <c r="F446" t="s">
        <v>22</v>
      </c>
      <c r="G446">
        <v>23</v>
      </c>
      <c r="H446">
        <v>1166020.42</v>
      </c>
      <c r="I446">
        <v>365.94</v>
      </c>
    </row>
    <row r="447" spans="1:9" x14ac:dyDescent="0.2">
      <c r="A447" s="11">
        <v>45999</v>
      </c>
      <c r="B447" t="s">
        <v>10</v>
      </c>
      <c r="C447" t="s">
        <v>728</v>
      </c>
      <c r="D447" t="s">
        <v>729</v>
      </c>
      <c r="E447" t="s">
        <v>730</v>
      </c>
      <c r="F447" t="s">
        <v>22</v>
      </c>
      <c r="G447">
        <v>11</v>
      </c>
      <c r="H447">
        <v>577101.03</v>
      </c>
      <c r="I447">
        <v>181.11</v>
      </c>
    </row>
    <row r="448" spans="1:9" x14ac:dyDescent="0.2">
      <c r="A448" s="11">
        <v>45999</v>
      </c>
      <c r="B448" t="s">
        <v>10</v>
      </c>
      <c r="C448" t="s">
        <v>728</v>
      </c>
      <c r="D448" t="s">
        <v>729</v>
      </c>
      <c r="E448" t="s">
        <v>731</v>
      </c>
      <c r="F448" t="s">
        <v>18</v>
      </c>
      <c r="G448">
        <v>22</v>
      </c>
      <c r="H448">
        <v>1296806.06</v>
      </c>
      <c r="I448">
        <v>406.98</v>
      </c>
    </row>
    <row r="449" spans="1:9" x14ac:dyDescent="0.2">
      <c r="A449" s="11">
        <v>45999</v>
      </c>
      <c r="B449" t="s">
        <v>9</v>
      </c>
      <c r="C449" t="s">
        <v>732</v>
      </c>
      <c r="D449" t="s">
        <v>733</v>
      </c>
      <c r="E449" t="s">
        <v>449</v>
      </c>
      <c r="F449" t="s">
        <v>14</v>
      </c>
      <c r="G449">
        <v>19</v>
      </c>
      <c r="H449">
        <v>1567203.98</v>
      </c>
      <c r="I449">
        <v>491.84</v>
      </c>
    </row>
    <row r="450" spans="1:9" x14ac:dyDescent="0.2">
      <c r="A450" s="11">
        <v>45999</v>
      </c>
      <c r="B450" t="s">
        <v>9</v>
      </c>
      <c r="C450" t="s">
        <v>732</v>
      </c>
      <c r="D450" t="s">
        <v>733</v>
      </c>
      <c r="E450" t="s">
        <v>734</v>
      </c>
      <c r="F450" t="s">
        <v>14</v>
      </c>
      <c r="G450">
        <v>10</v>
      </c>
      <c r="H450">
        <v>428147.8</v>
      </c>
      <c r="I450">
        <v>134.37</v>
      </c>
    </row>
    <row r="451" spans="1:9" x14ac:dyDescent="0.2">
      <c r="A451" s="11">
        <v>45999</v>
      </c>
      <c r="B451" t="s">
        <v>9</v>
      </c>
      <c r="C451" t="s">
        <v>732</v>
      </c>
      <c r="D451" t="s">
        <v>733</v>
      </c>
      <c r="E451" t="s">
        <v>735</v>
      </c>
      <c r="F451" t="s">
        <v>18</v>
      </c>
      <c r="G451">
        <v>40</v>
      </c>
      <c r="H451">
        <v>5066568.8</v>
      </c>
      <c r="I451">
        <v>1590.07</v>
      </c>
    </row>
    <row r="452" spans="1:9" x14ac:dyDescent="0.2">
      <c r="A452" s="11">
        <v>45999</v>
      </c>
      <c r="B452" t="s">
        <v>9</v>
      </c>
      <c r="C452" t="s">
        <v>732</v>
      </c>
      <c r="D452" t="s">
        <v>733</v>
      </c>
      <c r="E452" t="s">
        <v>736</v>
      </c>
      <c r="F452" t="s">
        <v>22</v>
      </c>
      <c r="G452">
        <v>15</v>
      </c>
      <c r="H452">
        <v>343589.4</v>
      </c>
      <c r="I452">
        <v>107.83</v>
      </c>
    </row>
    <row r="453" spans="1:9" x14ac:dyDescent="0.2">
      <c r="A453" s="11">
        <v>45999</v>
      </c>
      <c r="B453" t="s">
        <v>7</v>
      </c>
      <c r="C453" t="s">
        <v>737</v>
      </c>
      <c r="D453" t="s">
        <v>738</v>
      </c>
      <c r="E453" t="s">
        <v>436</v>
      </c>
      <c r="F453" t="s">
        <v>5</v>
      </c>
      <c r="G453">
        <v>13</v>
      </c>
      <c r="H453">
        <v>866225.36</v>
      </c>
      <c r="I453">
        <v>271.85000000000002</v>
      </c>
    </row>
    <row r="454" spans="1:9" x14ac:dyDescent="0.2">
      <c r="A454" s="11">
        <v>45999</v>
      </c>
      <c r="B454" t="s">
        <v>7</v>
      </c>
      <c r="C454" t="s">
        <v>737</v>
      </c>
      <c r="D454" t="s">
        <v>738</v>
      </c>
      <c r="E454" t="s">
        <v>429</v>
      </c>
      <c r="F454" t="s">
        <v>22</v>
      </c>
      <c r="G454">
        <v>13</v>
      </c>
      <c r="H454">
        <v>397565.22</v>
      </c>
      <c r="I454">
        <v>124.77</v>
      </c>
    </row>
    <row r="455" spans="1:9" x14ac:dyDescent="0.2">
      <c r="A455" s="11">
        <v>45999</v>
      </c>
      <c r="B455" t="s">
        <v>7</v>
      </c>
      <c r="C455" t="s">
        <v>737</v>
      </c>
      <c r="D455" t="s">
        <v>738</v>
      </c>
      <c r="E455" t="s">
        <v>739</v>
      </c>
      <c r="F455" t="s">
        <v>18</v>
      </c>
      <c r="G455">
        <v>17</v>
      </c>
      <c r="H455">
        <v>1122190.57</v>
      </c>
      <c r="I455">
        <v>352.18</v>
      </c>
    </row>
    <row r="456" spans="1:9" x14ac:dyDescent="0.2">
      <c r="A456" s="11">
        <v>45999</v>
      </c>
      <c r="B456" t="s">
        <v>11</v>
      </c>
      <c r="C456" t="s">
        <v>740</v>
      </c>
      <c r="D456" t="s">
        <v>741</v>
      </c>
      <c r="E456" t="s">
        <v>742</v>
      </c>
      <c r="F456" t="s">
        <v>18</v>
      </c>
      <c r="G456">
        <v>43</v>
      </c>
      <c r="H456">
        <v>2965792.56</v>
      </c>
      <c r="I456">
        <v>930.77</v>
      </c>
    </row>
    <row r="457" spans="1:9" x14ac:dyDescent="0.2">
      <c r="A457" s="11">
        <v>45999</v>
      </c>
      <c r="B457" t="s">
        <v>11</v>
      </c>
      <c r="C457" t="s">
        <v>740</v>
      </c>
      <c r="D457" t="s">
        <v>741</v>
      </c>
      <c r="E457" t="s">
        <v>743</v>
      </c>
      <c r="F457" t="s">
        <v>14</v>
      </c>
      <c r="G457">
        <v>13</v>
      </c>
      <c r="H457">
        <v>1073549.75</v>
      </c>
      <c r="I457">
        <v>336.92</v>
      </c>
    </row>
    <row r="458" spans="1:9" x14ac:dyDescent="0.2">
      <c r="A458" s="11">
        <v>45999</v>
      </c>
      <c r="B458" t="s">
        <v>6</v>
      </c>
      <c r="C458" t="s">
        <v>595</v>
      </c>
      <c r="D458" t="s">
        <v>744</v>
      </c>
      <c r="E458" t="s">
        <v>745</v>
      </c>
      <c r="F458" t="s">
        <v>18</v>
      </c>
      <c r="G458">
        <v>20</v>
      </c>
      <c r="H458">
        <v>1107214.2</v>
      </c>
      <c r="I458">
        <v>347.48</v>
      </c>
    </row>
    <row r="459" spans="1:9" x14ac:dyDescent="0.2">
      <c r="A459" s="11">
        <v>45999</v>
      </c>
      <c r="B459" t="s">
        <v>6</v>
      </c>
      <c r="C459" t="s">
        <v>595</v>
      </c>
      <c r="D459" t="s">
        <v>744</v>
      </c>
      <c r="E459" t="s">
        <v>746</v>
      </c>
      <c r="F459" t="s">
        <v>18</v>
      </c>
      <c r="G459">
        <v>22</v>
      </c>
      <c r="H459">
        <v>1887997.76</v>
      </c>
      <c r="I459">
        <v>592.52</v>
      </c>
    </row>
    <row r="460" spans="1:9" x14ac:dyDescent="0.2">
      <c r="A460" s="11">
        <v>45999</v>
      </c>
      <c r="B460" t="s">
        <v>6</v>
      </c>
      <c r="C460" t="s">
        <v>747</v>
      </c>
      <c r="D460" t="s">
        <v>748</v>
      </c>
      <c r="E460" t="s">
        <v>749</v>
      </c>
      <c r="F460" t="s">
        <v>20</v>
      </c>
      <c r="G460">
        <v>10</v>
      </c>
      <c r="H460">
        <v>1823789.6</v>
      </c>
      <c r="I460">
        <v>572.37</v>
      </c>
    </row>
    <row r="461" spans="1:9" x14ac:dyDescent="0.2">
      <c r="A461" s="11">
        <v>45999</v>
      </c>
      <c r="B461" t="s">
        <v>6</v>
      </c>
      <c r="C461" t="s">
        <v>747</v>
      </c>
      <c r="D461" t="s">
        <v>748</v>
      </c>
      <c r="E461" t="s">
        <v>700</v>
      </c>
      <c r="F461" t="s">
        <v>18</v>
      </c>
      <c r="G461">
        <v>16</v>
      </c>
      <c r="H461">
        <v>978637.6</v>
      </c>
      <c r="I461">
        <v>307.13</v>
      </c>
    </row>
    <row r="462" spans="1:9" x14ac:dyDescent="0.2">
      <c r="A462" s="11">
        <v>45999</v>
      </c>
      <c r="B462" t="s">
        <v>6</v>
      </c>
      <c r="C462" t="s">
        <v>651</v>
      </c>
      <c r="D462" t="s">
        <v>750</v>
      </c>
      <c r="E462" t="s">
        <v>121</v>
      </c>
      <c r="F462" t="s">
        <v>16</v>
      </c>
      <c r="G462">
        <v>8</v>
      </c>
      <c r="H462">
        <v>1222419.04</v>
      </c>
      <c r="I462">
        <v>383.64</v>
      </c>
    </row>
    <row r="463" spans="1:9" x14ac:dyDescent="0.2">
      <c r="A463" s="11">
        <v>45999</v>
      </c>
      <c r="B463" t="s">
        <v>6</v>
      </c>
      <c r="C463" t="s">
        <v>651</v>
      </c>
      <c r="D463" t="s">
        <v>750</v>
      </c>
      <c r="E463" t="s">
        <v>751</v>
      </c>
      <c r="F463" t="s">
        <v>5</v>
      </c>
      <c r="G463">
        <v>24</v>
      </c>
      <c r="H463">
        <v>720349.2</v>
      </c>
      <c r="I463">
        <v>226.07</v>
      </c>
    </row>
    <row r="464" spans="1:9" x14ac:dyDescent="0.2">
      <c r="A464" s="11">
        <v>45999</v>
      </c>
      <c r="B464" t="s">
        <v>6</v>
      </c>
      <c r="C464" t="s">
        <v>651</v>
      </c>
      <c r="D464" t="s">
        <v>750</v>
      </c>
      <c r="E464" t="s">
        <v>752</v>
      </c>
      <c r="F464" t="s">
        <v>20</v>
      </c>
      <c r="G464">
        <v>15</v>
      </c>
      <c r="H464">
        <v>1248867.8999999999</v>
      </c>
      <c r="I464">
        <v>391.94</v>
      </c>
    </row>
    <row r="465" spans="1:9" x14ac:dyDescent="0.2">
      <c r="A465" s="11">
        <v>46000</v>
      </c>
      <c r="B465" t="s">
        <v>11</v>
      </c>
      <c r="C465" t="s">
        <v>753</v>
      </c>
      <c r="D465" t="s">
        <v>754</v>
      </c>
      <c r="E465" t="s">
        <v>755</v>
      </c>
      <c r="F465" t="s">
        <v>18</v>
      </c>
      <c r="G465">
        <v>14</v>
      </c>
      <c r="H465">
        <v>1462812.54</v>
      </c>
      <c r="I465">
        <v>459.08</v>
      </c>
    </row>
    <row r="466" spans="1:9" x14ac:dyDescent="0.2">
      <c r="A466" s="11">
        <v>46000</v>
      </c>
      <c r="B466" t="s">
        <v>11</v>
      </c>
      <c r="C466" t="s">
        <v>753</v>
      </c>
      <c r="D466" t="s">
        <v>754</v>
      </c>
      <c r="E466" t="s">
        <v>756</v>
      </c>
      <c r="F466" t="s">
        <v>5</v>
      </c>
      <c r="G466">
        <v>8</v>
      </c>
      <c r="H466">
        <v>412531.6</v>
      </c>
      <c r="I466">
        <v>129.47</v>
      </c>
    </row>
    <row r="467" spans="1:9" x14ac:dyDescent="0.2">
      <c r="A467" s="11">
        <v>46000</v>
      </c>
      <c r="B467" t="s">
        <v>10</v>
      </c>
      <c r="C467" t="s">
        <v>518</v>
      </c>
      <c r="D467" t="s">
        <v>757</v>
      </c>
      <c r="E467" t="s">
        <v>758</v>
      </c>
      <c r="F467" t="s">
        <v>14</v>
      </c>
      <c r="G467">
        <v>12</v>
      </c>
      <c r="H467">
        <v>887419.2</v>
      </c>
      <c r="I467">
        <v>278.5</v>
      </c>
    </row>
    <row r="468" spans="1:9" x14ac:dyDescent="0.2">
      <c r="A468" s="11">
        <v>46000</v>
      </c>
      <c r="B468" t="s">
        <v>10</v>
      </c>
      <c r="C468" t="s">
        <v>518</v>
      </c>
      <c r="D468" t="s">
        <v>757</v>
      </c>
      <c r="E468" t="s">
        <v>759</v>
      </c>
      <c r="F468" t="s">
        <v>5</v>
      </c>
      <c r="G468">
        <v>21</v>
      </c>
      <c r="H468">
        <v>815047.38</v>
      </c>
      <c r="I468">
        <v>255.79</v>
      </c>
    </row>
    <row r="469" spans="1:9" x14ac:dyDescent="0.2">
      <c r="A469" s="11">
        <v>46000</v>
      </c>
      <c r="B469" t="s">
        <v>10</v>
      </c>
      <c r="C469" t="s">
        <v>518</v>
      </c>
      <c r="D469" t="s">
        <v>757</v>
      </c>
      <c r="E469" t="s">
        <v>760</v>
      </c>
      <c r="F469" t="s">
        <v>16</v>
      </c>
      <c r="G469">
        <v>5</v>
      </c>
      <c r="H469">
        <v>274481.15000000002</v>
      </c>
      <c r="I469">
        <v>86.14</v>
      </c>
    </row>
    <row r="470" spans="1:9" x14ac:dyDescent="0.2">
      <c r="A470" s="11">
        <v>46000</v>
      </c>
      <c r="B470" t="s">
        <v>10</v>
      </c>
      <c r="C470" t="s">
        <v>761</v>
      </c>
      <c r="D470" t="s">
        <v>762</v>
      </c>
      <c r="E470" t="s">
        <v>763</v>
      </c>
      <c r="F470" t="s">
        <v>16</v>
      </c>
      <c r="G470">
        <v>27</v>
      </c>
      <c r="H470">
        <v>2108633.04</v>
      </c>
      <c r="I470">
        <v>661.76</v>
      </c>
    </row>
    <row r="471" spans="1:9" x14ac:dyDescent="0.2">
      <c r="A471" s="11">
        <v>46000</v>
      </c>
      <c r="B471" t="s">
        <v>11</v>
      </c>
      <c r="C471" t="s">
        <v>764</v>
      </c>
      <c r="D471" t="s">
        <v>765</v>
      </c>
      <c r="E471" t="s">
        <v>766</v>
      </c>
      <c r="F471" t="s">
        <v>22</v>
      </c>
      <c r="G471">
        <v>13</v>
      </c>
      <c r="H471">
        <v>327765.36</v>
      </c>
      <c r="I471">
        <v>102.86</v>
      </c>
    </row>
    <row r="472" spans="1:9" x14ac:dyDescent="0.2">
      <c r="A472" s="11">
        <v>46000</v>
      </c>
      <c r="B472" t="s">
        <v>11</v>
      </c>
      <c r="C472" t="s">
        <v>764</v>
      </c>
      <c r="D472" t="s">
        <v>765</v>
      </c>
      <c r="E472" t="s">
        <v>90</v>
      </c>
      <c r="F472" t="s">
        <v>5</v>
      </c>
      <c r="G472">
        <v>22</v>
      </c>
      <c r="H472">
        <v>1308709.1599999999</v>
      </c>
      <c r="I472">
        <v>410.72</v>
      </c>
    </row>
    <row r="473" spans="1:9" x14ac:dyDescent="0.2">
      <c r="A473" s="11">
        <v>46000</v>
      </c>
      <c r="B473" t="s">
        <v>9</v>
      </c>
      <c r="C473" t="s">
        <v>767</v>
      </c>
      <c r="D473" t="s">
        <v>768</v>
      </c>
      <c r="E473" t="s">
        <v>377</v>
      </c>
      <c r="F473" t="s">
        <v>22</v>
      </c>
      <c r="G473">
        <v>4</v>
      </c>
      <c r="H473">
        <v>157167.28</v>
      </c>
      <c r="I473">
        <v>49.32</v>
      </c>
    </row>
    <row r="474" spans="1:9" x14ac:dyDescent="0.2">
      <c r="A474" s="11">
        <v>46000</v>
      </c>
      <c r="B474" t="s">
        <v>9</v>
      </c>
      <c r="C474" t="s">
        <v>767</v>
      </c>
      <c r="D474" t="s">
        <v>768</v>
      </c>
      <c r="E474" t="s">
        <v>769</v>
      </c>
      <c r="F474" t="s">
        <v>5</v>
      </c>
      <c r="G474">
        <v>23</v>
      </c>
      <c r="H474">
        <v>1023820.62</v>
      </c>
      <c r="I474">
        <v>321.31</v>
      </c>
    </row>
    <row r="475" spans="1:9" x14ac:dyDescent="0.2">
      <c r="A475" s="11">
        <v>46000</v>
      </c>
      <c r="B475" t="s">
        <v>11</v>
      </c>
      <c r="C475" t="s">
        <v>770</v>
      </c>
      <c r="D475" t="s">
        <v>771</v>
      </c>
      <c r="E475" t="s">
        <v>772</v>
      </c>
      <c r="F475" t="s">
        <v>14</v>
      </c>
      <c r="G475">
        <v>15</v>
      </c>
      <c r="H475">
        <v>870859.65</v>
      </c>
      <c r="I475">
        <v>273.31</v>
      </c>
    </row>
    <row r="476" spans="1:9" x14ac:dyDescent="0.2">
      <c r="A476" s="11">
        <v>46000</v>
      </c>
      <c r="B476" t="s">
        <v>12</v>
      </c>
      <c r="C476" t="s">
        <v>773</v>
      </c>
      <c r="D476" t="s">
        <v>774</v>
      </c>
      <c r="E476" t="s">
        <v>775</v>
      </c>
      <c r="F476" t="s">
        <v>20</v>
      </c>
      <c r="G476">
        <v>24</v>
      </c>
      <c r="H476">
        <v>3737223.6</v>
      </c>
      <c r="I476">
        <v>1172.8699999999999</v>
      </c>
    </row>
    <row r="477" spans="1:9" x14ac:dyDescent="0.2">
      <c r="A477" s="11">
        <v>46000</v>
      </c>
      <c r="B477" t="s">
        <v>12</v>
      </c>
      <c r="C477" t="s">
        <v>773</v>
      </c>
      <c r="D477" t="s">
        <v>774</v>
      </c>
      <c r="E477" t="s">
        <v>776</v>
      </c>
      <c r="F477" t="s">
        <v>5</v>
      </c>
      <c r="G477">
        <v>37</v>
      </c>
      <c r="H477">
        <v>1387747.53</v>
      </c>
      <c r="I477">
        <v>435.52</v>
      </c>
    </row>
    <row r="478" spans="1:9" x14ac:dyDescent="0.2">
      <c r="A478" s="11">
        <v>46000</v>
      </c>
      <c r="B478" t="s">
        <v>12</v>
      </c>
      <c r="C478" t="s">
        <v>773</v>
      </c>
      <c r="D478" t="s">
        <v>774</v>
      </c>
      <c r="E478" t="s">
        <v>777</v>
      </c>
      <c r="F478" t="s">
        <v>18</v>
      </c>
      <c r="G478">
        <v>32</v>
      </c>
      <c r="H478">
        <v>2828057.6</v>
      </c>
      <c r="I478">
        <v>887.54</v>
      </c>
    </row>
    <row r="479" spans="1:9" x14ac:dyDescent="0.2">
      <c r="A479" s="11">
        <v>46000</v>
      </c>
      <c r="B479" t="s">
        <v>9</v>
      </c>
      <c r="C479" t="s">
        <v>778</v>
      </c>
      <c r="D479" t="s">
        <v>779</v>
      </c>
      <c r="E479" t="s">
        <v>780</v>
      </c>
      <c r="F479" t="s">
        <v>14</v>
      </c>
      <c r="G479">
        <v>31</v>
      </c>
      <c r="H479">
        <v>2002359.75</v>
      </c>
      <c r="I479">
        <v>628.41</v>
      </c>
    </row>
    <row r="480" spans="1:9" x14ac:dyDescent="0.2">
      <c r="A480" s="11">
        <v>46000</v>
      </c>
      <c r="B480" t="s">
        <v>11</v>
      </c>
      <c r="C480" t="s">
        <v>781</v>
      </c>
      <c r="D480" t="s">
        <v>782</v>
      </c>
      <c r="E480" t="s">
        <v>783</v>
      </c>
      <c r="F480" t="s">
        <v>18</v>
      </c>
      <c r="G480">
        <v>12</v>
      </c>
      <c r="H480">
        <v>745614.96</v>
      </c>
      <c r="I480">
        <v>234</v>
      </c>
    </row>
    <row r="481" spans="1:9" x14ac:dyDescent="0.2">
      <c r="A481" s="11">
        <v>46000</v>
      </c>
      <c r="B481" t="s">
        <v>11</v>
      </c>
      <c r="C481" t="s">
        <v>781</v>
      </c>
      <c r="D481" t="s">
        <v>782</v>
      </c>
      <c r="E481" t="s">
        <v>784</v>
      </c>
      <c r="F481" t="s">
        <v>22</v>
      </c>
      <c r="G481">
        <v>41</v>
      </c>
      <c r="H481">
        <v>2280379</v>
      </c>
      <c r="I481">
        <v>715.66</v>
      </c>
    </row>
    <row r="482" spans="1:9" x14ac:dyDescent="0.2">
      <c r="A482" s="11">
        <v>46000</v>
      </c>
      <c r="B482" t="s">
        <v>11</v>
      </c>
      <c r="C482" t="s">
        <v>781</v>
      </c>
      <c r="D482" t="s">
        <v>782</v>
      </c>
      <c r="E482" t="s">
        <v>785</v>
      </c>
      <c r="F482" t="s">
        <v>20</v>
      </c>
      <c r="G482">
        <v>3</v>
      </c>
      <c r="H482">
        <v>245903.01</v>
      </c>
      <c r="I482">
        <v>77.17</v>
      </c>
    </row>
    <row r="483" spans="1:9" x14ac:dyDescent="0.2">
      <c r="A483" s="11">
        <v>46000</v>
      </c>
      <c r="B483" t="s">
        <v>12</v>
      </c>
      <c r="C483" t="s">
        <v>786</v>
      </c>
      <c r="D483" t="s">
        <v>787</v>
      </c>
      <c r="E483" t="s">
        <v>289</v>
      </c>
      <c r="F483" t="s">
        <v>22</v>
      </c>
      <c r="G483">
        <v>3</v>
      </c>
      <c r="H483">
        <v>177158.85</v>
      </c>
      <c r="I483">
        <v>55.6</v>
      </c>
    </row>
    <row r="484" spans="1:9" x14ac:dyDescent="0.2">
      <c r="A484" s="11">
        <v>46000</v>
      </c>
      <c r="B484" t="s">
        <v>9</v>
      </c>
      <c r="C484" t="s">
        <v>788</v>
      </c>
      <c r="D484" t="s">
        <v>789</v>
      </c>
      <c r="E484" t="s">
        <v>102</v>
      </c>
      <c r="F484" t="s">
        <v>20</v>
      </c>
      <c r="G484">
        <v>8</v>
      </c>
      <c r="H484">
        <v>1252015.6000000001</v>
      </c>
      <c r="I484">
        <v>392.93</v>
      </c>
    </row>
    <row r="485" spans="1:9" x14ac:dyDescent="0.2">
      <c r="A485" s="11">
        <v>46000</v>
      </c>
      <c r="B485" t="s">
        <v>9</v>
      </c>
      <c r="C485" t="s">
        <v>788</v>
      </c>
      <c r="D485" t="s">
        <v>789</v>
      </c>
      <c r="E485" t="s">
        <v>790</v>
      </c>
      <c r="F485" t="s">
        <v>5</v>
      </c>
      <c r="G485">
        <v>20</v>
      </c>
      <c r="H485">
        <v>534525.6</v>
      </c>
      <c r="I485">
        <v>167.75</v>
      </c>
    </row>
    <row r="486" spans="1:9" x14ac:dyDescent="0.2">
      <c r="A486" s="11">
        <v>46000</v>
      </c>
      <c r="B486" t="s">
        <v>9</v>
      </c>
      <c r="C486" t="s">
        <v>788</v>
      </c>
      <c r="D486" t="s">
        <v>789</v>
      </c>
      <c r="E486" t="s">
        <v>368</v>
      </c>
      <c r="F486" t="s">
        <v>20</v>
      </c>
      <c r="G486">
        <v>24</v>
      </c>
      <c r="H486">
        <v>3103902.72</v>
      </c>
      <c r="I486">
        <v>974.11</v>
      </c>
    </row>
    <row r="487" spans="1:9" x14ac:dyDescent="0.2">
      <c r="A487" s="11">
        <v>46000</v>
      </c>
      <c r="B487" t="s">
        <v>9</v>
      </c>
      <c r="C487" t="s">
        <v>788</v>
      </c>
      <c r="D487" t="s">
        <v>789</v>
      </c>
      <c r="E487" t="s">
        <v>493</v>
      </c>
      <c r="F487" t="s">
        <v>22</v>
      </c>
      <c r="G487">
        <v>6</v>
      </c>
      <c r="H487">
        <v>365961.84</v>
      </c>
      <c r="I487">
        <v>114.85</v>
      </c>
    </row>
    <row r="488" spans="1:9" x14ac:dyDescent="0.2">
      <c r="A488" s="11">
        <v>46000</v>
      </c>
      <c r="B488" t="s">
        <v>8</v>
      </c>
      <c r="C488" t="s">
        <v>791</v>
      </c>
      <c r="D488" t="s">
        <v>792</v>
      </c>
      <c r="E488" t="s">
        <v>793</v>
      </c>
      <c r="F488" t="s">
        <v>18</v>
      </c>
      <c r="G488">
        <v>12</v>
      </c>
      <c r="H488">
        <v>1344435.12</v>
      </c>
      <c r="I488">
        <v>421.93</v>
      </c>
    </row>
    <row r="489" spans="1:9" x14ac:dyDescent="0.2">
      <c r="A489" s="11">
        <v>46000</v>
      </c>
      <c r="B489" t="s">
        <v>8</v>
      </c>
      <c r="C489" t="s">
        <v>791</v>
      </c>
      <c r="D489" t="s">
        <v>792</v>
      </c>
      <c r="E489" t="s">
        <v>794</v>
      </c>
      <c r="F489" t="s">
        <v>16</v>
      </c>
      <c r="G489">
        <v>23</v>
      </c>
      <c r="H489">
        <v>2659401.91</v>
      </c>
      <c r="I489">
        <v>834.61</v>
      </c>
    </row>
    <row r="490" spans="1:9" x14ac:dyDescent="0.2">
      <c r="A490" s="11">
        <v>46000</v>
      </c>
      <c r="B490" t="s">
        <v>8</v>
      </c>
      <c r="C490" t="s">
        <v>791</v>
      </c>
      <c r="D490" t="s">
        <v>792</v>
      </c>
      <c r="E490" t="s">
        <v>795</v>
      </c>
      <c r="F490" t="s">
        <v>16</v>
      </c>
      <c r="G490">
        <v>20</v>
      </c>
      <c r="H490">
        <v>2398410.7999999998</v>
      </c>
      <c r="I490">
        <v>752.7</v>
      </c>
    </row>
    <row r="491" spans="1:9" x14ac:dyDescent="0.2">
      <c r="A491" s="11">
        <v>46000</v>
      </c>
      <c r="B491" t="s">
        <v>8</v>
      </c>
      <c r="C491" t="s">
        <v>791</v>
      </c>
      <c r="D491" t="s">
        <v>792</v>
      </c>
      <c r="E491" t="s">
        <v>560</v>
      </c>
      <c r="F491" t="s">
        <v>18</v>
      </c>
      <c r="G491">
        <v>10</v>
      </c>
      <c r="H491">
        <v>1076876.3999999999</v>
      </c>
      <c r="I491">
        <v>337.96</v>
      </c>
    </row>
    <row r="492" spans="1:9" x14ac:dyDescent="0.2">
      <c r="A492" s="11">
        <v>46000</v>
      </c>
      <c r="B492" t="s">
        <v>7</v>
      </c>
      <c r="C492" t="s">
        <v>552</v>
      </c>
      <c r="D492" t="s">
        <v>796</v>
      </c>
      <c r="E492" t="s">
        <v>797</v>
      </c>
      <c r="F492" t="s">
        <v>14</v>
      </c>
      <c r="G492">
        <v>9</v>
      </c>
      <c r="H492">
        <v>545130.81000000006</v>
      </c>
      <c r="I492">
        <v>171.08</v>
      </c>
    </row>
    <row r="493" spans="1:9" x14ac:dyDescent="0.2">
      <c r="A493" s="11">
        <v>46000</v>
      </c>
      <c r="B493" t="s">
        <v>7</v>
      </c>
      <c r="C493" t="s">
        <v>552</v>
      </c>
      <c r="D493" t="s">
        <v>796</v>
      </c>
      <c r="E493" t="s">
        <v>798</v>
      </c>
      <c r="F493" t="s">
        <v>18</v>
      </c>
      <c r="G493">
        <v>16</v>
      </c>
      <c r="H493">
        <v>1784434.08</v>
      </c>
      <c r="I493">
        <v>560.02</v>
      </c>
    </row>
    <row r="494" spans="1:9" x14ac:dyDescent="0.2">
      <c r="A494" s="11">
        <v>46000</v>
      </c>
      <c r="B494" t="s">
        <v>7</v>
      </c>
      <c r="C494" t="s">
        <v>552</v>
      </c>
      <c r="D494" t="s">
        <v>796</v>
      </c>
      <c r="E494" t="s">
        <v>619</v>
      </c>
      <c r="F494" t="s">
        <v>18</v>
      </c>
      <c r="G494">
        <v>5</v>
      </c>
      <c r="H494">
        <v>592410.30000000005</v>
      </c>
      <c r="I494">
        <v>185.92</v>
      </c>
    </row>
    <row r="495" spans="1:9" x14ac:dyDescent="0.2">
      <c r="A495" s="11">
        <v>46000</v>
      </c>
      <c r="B495" t="s">
        <v>9</v>
      </c>
      <c r="C495" t="s">
        <v>542</v>
      </c>
      <c r="D495" t="s">
        <v>799</v>
      </c>
      <c r="E495" t="s">
        <v>59</v>
      </c>
      <c r="F495" t="s">
        <v>22</v>
      </c>
      <c r="G495">
        <v>30</v>
      </c>
      <c r="H495">
        <v>859776.6</v>
      </c>
      <c r="I495">
        <v>269.83</v>
      </c>
    </row>
    <row r="496" spans="1:9" x14ac:dyDescent="0.2">
      <c r="A496" s="11">
        <v>46000</v>
      </c>
      <c r="B496" t="s">
        <v>9</v>
      </c>
      <c r="C496" t="s">
        <v>542</v>
      </c>
      <c r="D496" t="s">
        <v>799</v>
      </c>
      <c r="E496" t="s">
        <v>36</v>
      </c>
      <c r="F496" t="s">
        <v>5</v>
      </c>
      <c r="G496">
        <v>22</v>
      </c>
      <c r="H496">
        <v>813576.28</v>
      </c>
      <c r="I496">
        <v>255.33</v>
      </c>
    </row>
    <row r="497" spans="1:9" x14ac:dyDescent="0.2">
      <c r="A497" s="11">
        <v>46000</v>
      </c>
      <c r="B497" t="s">
        <v>9</v>
      </c>
      <c r="C497" t="s">
        <v>542</v>
      </c>
      <c r="D497" t="s">
        <v>799</v>
      </c>
      <c r="E497" t="s">
        <v>731</v>
      </c>
      <c r="F497" t="s">
        <v>18</v>
      </c>
      <c r="G497">
        <v>24</v>
      </c>
      <c r="H497">
        <v>1419795.84</v>
      </c>
      <c r="I497">
        <v>445.58</v>
      </c>
    </row>
    <row r="498" spans="1:9" x14ac:dyDescent="0.2">
      <c r="A498" s="11">
        <v>46000</v>
      </c>
      <c r="B498" t="s">
        <v>9</v>
      </c>
      <c r="C498" t="s">
        <v>542</v>
      </c>
      <c r="D498" t="s">
        <v>799</v>
      </c>
      <c r="E498" t="s">
        <v>797</v>
      </c>
      <c r="F498" t="s">
        <v>14</v>
      </c>
      <c r="G498">
        <v>27</v>
      </c>
      <c r="H498">
        <v>1677660.66</v>
      </c>
      <c r="I498">
        <v>526.51</v>
      </c>
    </row>
    <row r="499" spans="1:9" x14ac:dyDescent="0.2">
      <c r="A499" s="11">
        <v>46000</v>
      </c>
      <c r="B499" t="s">
        <v>12</v>
      </c>
      <c r="C499" t="s">
        <v>800</v>
      </c>
      <c r="D499" t="s">
        <v>801</v>
      </c>
      <c r="E499" t="s">
        <v>209</v>
      </c>
      <c r="F499" t="s">
        <v>20</v>
      </c>
      <c r="G499">
        <v>15</v>
      </c>
      <c r="H499">
        <v>2613385.35</v>
      </c>
      <c r="I499">
        <v>820.17</v>
      </c>
    </row>
    <row r="500" spans="1:9" x14ac:dyDescent="0.2">
      <c r="A500" s="11">
        <v>46000</v>
      </c>
      <c r="B500" t="s">
        <v>12</v>
      </c>
      <c r="C500" t="s">
        <v>800</v>
      </c>
      <c r="D500" t="s">
        <v>801</v>
      </c>
      <c r="E500" t="s">
        <v>802</v>
      </c>
      <c r="F500" t="s">
        <v>20</v>
      </c>
      <c r="G500">
        <v>33</v>
      </c>
      <c r="H500">
        <v>5661999.75</v>
      </c>
      <c r="I500">
        <v>1776.93</v>
      </c>
    </row>
    <row r="501" spans="1:9" x14ac:dyDescent="0.2">
      <c r="A501" s="11">
        <v>46000</v>
      </c>
      <c r="B501" t="s">
        <v>12</v>
      </c>
      <c r="C501" t="s">
        <v>800</v>
      </c>
      <c r="D501" t="s">
        <v>801</v>
      </c>
      <c r="E501" t="s">
        <v>803</v>
      </c>
      <c r="F501" t="s">
        <v>20</v>
      </c>
      <c r="G501">
        <v>34</v>
      </c>
      <c r="H501">
        <v>4903561.9400000004</v>
      </c>
      <c r="I501">
        <v>1538.91</v>
      </c>
    </row>
    <row r="502" spans="1:9" x14ac:dyDescent="0.2">
      <c r="A502" s="11">
        <v>46000</v>
      </c>
      <c r="B502" t="s">
        <v>6</v>
      </c>
      <c r="C502" t="s">
        <v>804</v>
      </c>
      <c r="D502" t="s">
        <v>805</v>
      </c>
      <c r="E502" t="s">
        <v>687</v>
      </c>
      <c r="F502" t="s">
        <v>18</v>
      </c>
      <c r="G502">
        <v>2</v>
      </c>
      <c r="H502">
        <v>171790.58</v>
      </c>
      <c r="I502">
        <v>53.91</v>
      </c>
    </row>
    <row r="503" spans="1:9" x14ac:dyDescent="0.2">
      <c r="A503" s="11">
        <v>46000</v>
      </c>
      <c r="B503" t="s">
        <v>6</v>
      </c>
      <c r="C503" t="s">
        <v>804</v>
      </c>
      <c r="D503" t="s">
        <v>805</v>
      </c>
      <c r="E503" t="s">
        <v>806</v>
      </c>
      <c r="F503" t="s">
        <v>16</v>
      </c>
      <c r="G503">
        <v>15</v>
      </c>
      <c r="H503">
        <v>1543240.65</v>
      </c>
      <c r="I503">
        <v>484.32</v>
      </c>
    </row>
    <row r="504" spans="1:9" x14ac:dyDescent="0.2">
      <c r="A504" s="11">
        <v>46000</v>
      </c>
      <c r="B504" t="s">
        <v>6</v>
      </c>
      <c r="C504" t="s">
        <v>804</v>
      </c>
      <c r="D504" t="s">
        <v>805</v>
      </c>
      <c r="E504" t="s">
        <v>793</v>
      </c>
      <c r="F504" t="s">
        <v>18</v>
      </c>
      <c r="G504">
        <v>10</v>
      </c>
      <c r="H504">
        <v>1038919.4</v>
      </c>
      <c r="I504">
        <v>326.05</v>
      </c>
    </row>
    <row r="505" spans="1:9" x14ac:dyDescent="0.2">
      <c r="A505" s="11">
        <v>46000</v>
      </c>
      <c r="B505" t="s">
        <v>6</v>
      </c>
      <c r="C505" t="s">
        <v>804</v>
      </c>
      <c r="D505" t="s">
        <v>805</v>
      </c>
      <c r="E505" t="s">
        <v>807</v>
      </c>
      <c r="F505" t="s">
        <v>22</v>
      </c>
      <c r="G505">
        <v>20</v>
      </c>
      <c r="H505">
        <v>894645.8</v>
      </c>
      <c r="I505">
        <v>280.77</v>
      </c>
    </row>
    <row r="506" spans="1:9" x14ac:dyDescent="0.2">
      <c r="A506" s="11">
        <v>46000</v>
      </c>
      <c r="B506" t="s">
        <v>10</v>
      </c>
      <c r="C506" t="s">
        <v>808</v>
      </c>
      <c r="D506" t="s">
        <v>809</v>
      </c>
      <c r="E506" t="s">
        <v>810</v>
      </c>
      <c r="F506" t="s">
        <v>22</v>
      </c>
      <c r="G506">
        <v>12</v>
      </c>
      <c r="H506">
        <v>306876.84000000003</v>
      </c>
      <c r="I506">
        <v>96.31</v>
      </c>
    </row>
    <row r="507" spans="1:9" x14ac:dyDescent="0.2">
      <c r="A507" s="11">
        <v>46001</v>
      </c>
      <c r="B507" t="s">
        <v>9</v>
      </c>
      <c r="C507" t="s">
        <v>788</v>
      </c>
      <c r="D507" t="s">
        <v>811</v>
      </c>
      <c r="E507" t="s">
        <v>802</v>
      </c>
      <c r="F507" t="s">
        <v>20</v>
      </c>
      <c r="G507">
        <v>15</v>
      </c>
      <c r="H507">
        <v>2737143.75</v>
      </c>
      <c r="I507">
        <v>859.01</v>
      </c>
    </row>
    <row r="508" spans="1:9" x14ac:dyDescent="0.2">
      <c r="A508" s="11">
        <v>46001</v>
      </c>
      <c r="B508" t="s">
        <v>10</v>
      </c>
      <c r="C508" t="s">
        <v>812</v>
      </c>
      <c r="D508" t="s">
        <v>813</v>
      </c>
      <c r="E508" t="s">
        <v>210</v>
      </c>
      <c r="F508" t="s">
        <v>22</v>
      </c>
      <c r="G508">
        <v>5</v>
      </c>
      <c r="H508">
        <v>188001.3</v>
      </c>
      <c r="I508">
        <v>59</v>
      </c>
    </row>
    <row r="509" spans="1:9" x14ac:dyDescent="0.2">
      <c r="A509" s="11">
        <v>46001</v>
      </c>
      <c r="B509" t="s">
        <v>8</v>
      </c>
      <c r="C509" t="s">
        <v>814</v>
      </c>
      <c r="D509" t="s">
        <v>815</v>
      </c>
      <c r="E509" t="s">
        <v>816</v>
      </c>
      <c r="F509" t="s">
        <v>20</v>
      </c>
      <c r="G509">
        <v>6</v>
      </c>
      <c r="H509">
        <v>651157.92000000004</v>
      </c>
      <c r="I509">
        <v>204.36</v>
      </c>
    </row>
    <row r="510" spans="1:9" x14ac:dyDescent="0.2">
      <c r="A510" s="11">
        <v>46001</v>
      </c>
      <c r="B510" t="s">
        <v>8</v>
      </c>
      <c r="C510" t="s">
        <v>814</v>
      </c>
      <c r="D510" t="s">
        <v>815</v>
      </c>
      <c r="E510" t="s">
        <v>817</v>
      </c>
      <c r="F510" t="s">
        <v>20</v>
      </c>
      <c r="G510">
        <v>20</v>
      </c>
      <c r="H510">
        <v>2869935.6</v>
      </c>
      <c r="I510">
        <v>900.69</v>
      </c>
    </row>
    <row r="511" spans="1:9" x14ac:dyDescent="0.2">
      <c r="A511" s="11">
        <v>46001</v>
      </c>
      <c r="B511" t="s">
        <v>8</v>
      </c>
      <c r="C511" t="s">
        <v>814</v>
      </c>
      <c r="D511" t="s">
        <v>815</v>
      </c>
      <c r="E511" t="s">
        <v>818</v>
      </c>
      <c r="F511" t="s">
        <v>18</v>
      </c>
      <c r="G511">
        <v>13</v>
      </c>
      <c r="H511">
        <v>1185394.73</v>
      </c>
      <c r="I511">
        <v>372.02</v>
      </c>
    </row>
    <row r="512" spans="1:9" x14ac:dyDescent="0.2">
      <c r="A512" s="11">
        <v>46001</v>
      </c>
      <c r="B512" t="s">
        <v>8</v>
      </c>
      <c r="C512" t="s">
        <v>814</v>
      </c>
      <c r="D512" t="s">
        <v>815</v>
      </c>
      <c r="E512" t="s">
        <v>551</v>
      </c>
      <c r="F512" t="s">
        <v>22</v>
      </c>
      <c r="G512">
        <v>19</v>
      </c>
      <c r="H512">
        <v>969921.5</v>
      </c>
      <c r="I512">
        <v>304.39999999999998</v>
      </c>
    </row>
    <row r="513" spans="1:9" x14ac:dyDescent="0.2">
      <c r="A513" s="11">
        <v>46001</v>
      </c>
      <c r="B513" t="s">
        <v>11</v>
      </c>
      <c r="C513" t="s">
        <v>819</v>
      </c>
      <c r="D513" t="s">
        <v>820</v>
      </c>
      <c r="E513" t="s">
        <v>268</v>
      </c>
      <c r="F513" t="s">
        <v>16</v>
      </c>
      <c r="G513">
        <v>16</v>
      </c>
      <c r="H513">
        <v>1823788.96</v>
      </c>
      <c r="I513">
        <v>572.37</v>
      </c>
    </row>
    <row r="514" spans="1:9" x14ac:dyDescent="0.2">
      <c r="A514" s="11">
        <v>46001</v>
      </c>
      <c r="B514" t="s">
        <v>11</v>
      </c>
      <c r="C514" t="s">
        <v>819</v>
      </c>
      <c r="D514" t="s">
        <v>820</v>
      </c>
      <c r="E514" t="s">
        <v>821</v>
      </c>
      <c r="F514" t="s">
        <v>18</v>
      </c>
      <c r="G514">
        <v>30</v>
      </c>
      <c r="H514">
        <v>2935533.9</v>
      </c>
      <c r="I514">
        <v>921.27</v>
      </c>
    </row>
    <row r="515" spans="1:9" x14ac:dyDescent="0.2">
      <c r="A515" s="11">
        <v>46001</v>
      </c>
      <c r="B515" t="s">
        <v>11</v>
      </c>
      <c r="C515" t="s">
        <v>515</v>
      </c>
      <c r="D515" t="s">
        <v>822</v>
      </c>
      <c r="E515" t="s">
        <v>473</v>
      </c>
      <c r="F515" t="s">
        <v>18</v>
      </c>
      <c r="G515">
        <v>10</v>
      </c>
      <c r="H515">
        <v>793173.8</v>
      </c>
      <c r="I515">
        <v>248.93</v>
      </c>
    </row>
    <row r="516" spans="1:9" x14ac:dyDescent="0.2">
      <c r="A516" s="11">
        <v>46001</v>
      </c>
      <c r="B516" t="s">
        <v>8</v>
      </c>
      <c r="C516" t="s">
        <v>823</v>
      </c>
      <c r="D516" t="s">
        <v>824</v>
      </c>
      <c r="E516" t="s">
        <v>825</v>
      </c>
      <c r="F516" t="s">
        <v>16</v>
      </c>
      <c r="G516">
        <v>46</v>
      </c>
      <c r="H516">
        <v>4452505.5999999996</v>
      </c>
      <c r="I516">
        <v>1397.35</v>
      </c>
    </row>
    <row r="517" spans="1:9" x14ac:dyDescent="0.2">
      <c r="A517" s="11">
        <v>46001</v>
      </c>
      <c r="B517" t="s">
        <v>8</v>
      </c>
      <c r="C517" t="s">
        <v>823</v>
      </c>
      <c r="D517" t="s">
        <v>824</v>
      </c>
      <c r="E517" t="s">
        <v>632</v>
      </c>
      <c r="F517" t="s">
        <v>20</v>
      </c>
      <c r="G517">
        <v>13</v>
      </c>
      <c r="H517">
        <v>2842376.55</v>
      </c>
      <c r="I517">
        <v>892.04</v>
      </c>
    </row>
    <row r="518" spans="1:9" x14ac:dyDescent="0.2">
      <c r="A518" s="11">
        <v>46001</v>
      </c>
      <c r="B518" t="s">
        <v>11</v>
      </c>
      <c r="C518" t="s">
        <v>826</v>
      </c>
      <c r="D518" t="s">
        <v>827</v>
      </c>
      <c r="E518" t="s">
        <v>828</v>
      </c>
      <c r="F518" t="s">
        <v>18</v>
      </c>
      <c r="G518">
        <v>3</v>
      </c>
      <c r="H518">
        <v>282604.32</v>
      </c>
      <c r="I518">
        <v>88.69</v>
      </c>
    </row>
    <row r="519" spans="1:9" x14ac:dyDescent="0.2">
      <c r="A519" s="11">
        <v>46001</v>
      </c>
      <c r="B519" t="s">
        <v>9</v>
      </c>
      <c r="C519" t="s">
        <v>829</v>
      </c>
      <c r="D519" t="s">
        <v>830</v>
      </c>
      <c r="E519" t="s">
        <v>831</v>
      </c>
      <c r="F519" t="s">
        <v>18</v>
      </c>
      <c r="G519">
        <v>29</v>
      </c>
      <c r="H519">
        <v>2225228.29</v>
      </c>
      <c r="I519">
        <v>698.35</v>
      </c>
    </row>
    <row r="520" spans="1:9" x14ac:dyDescent="0.2">
      <c r="A520" s="11">
        <v>46001</v>
      </c>
      <c r="B520" t="s">
        <v>9</v>
      </c>
      <c r="C520" t="s">
        <v>829</v>
      </c>
      <c r="D520" t="s">
        <v>830</v>
      </c>
      <c r="E520" t="s">
        <v>247</v>
      </c>
      <c r="F520" t="s">
        <v>18</v>
      </c>
      <c r="G520">
        <v>14</v>
      </c>
      <c r="H520">
        <v>1373962.66</v>
      </c>
      <c r="I520">
        <v>431.2</v>
      </c>
    </row>
    <row r="521" spans="1:9" x14ac:dyDescent="0.2">
      <c r="A521" s="11">
        <v>46001</v>
      </c>
      <c r="B521" t="s">
        <v>11</v>
      </c>
      <c r="C521" t="s">
        <v>832</v>
      </c>
      <c r="D521" t="s">
        <v>833</v>
      </c>
      <c r="E521" t="s">
        <v>834</v>
      </c>
      <c r="F521" t="s">
        <v>18</v>
      </c>
      <c r="G521">
        <v>10</v>
      </c>
      <c r="H521">
        <v>772729.6</v>
      </c>
      <c r="I521">
        <v>242.51</v>
      </c>
    </row>
    <row r="522" spans="1:9" x14ac:dyDescent="0.2">
      <c r="A522" s="11">
        <v>46001</v>
      </c>
      <c r="B522" t="s">
        <v>11</v>
      </c>
      <c r="C522" t="s">
        <v>832</v>
      </c>
      <c r="D522" t="s">
        <v>833</v>
      </c>
      <c r="E522" t="s">
        <v>835</v>
      </c>
      <c r="F522" t="s">
        <v>18</v>
      </c>
      <c r="G522">
        <v>12</v>
      </c>
      <c r="H522">
        <v>612301.56000000006</v>
      </c>
      <c r="I522">
        <v>192.16</v>
      </c>
    </row>
    <row r="523" spans="1:9" x14ac:dyDescent="0.2">
      <c r="A523" s="11">
        <v>46001</v>
      </c>
      <c r="B523" t="s">
        <v>7</v>
      </c>
      <c r="C523" t="s">
        <v>836</v>
      </c>
      <c r="D523" t="s">
        <v>837</v>
      </c>
      <c r="E523" t="s">
        <v>838</v>
      </c>
      <c r="F523" t="s">
        <v>14</v>
      </c>
      <c r="G523">
        <v>4</v>
      </c>
      <c r="H523">
        <v>253543.04000000001</v>
      </c>
      <c r="I523">
        <v>79.569999999999993</v>
      </c>
    </row>
    <row r="524" spans="1:9" x14ac:dyDescent="0.2">
      <c r="A524" s="11">
        <v>46001</v>
      </c>
      <c r="B524" t="s">
        <v>7</v>
      </c>
      <c r="C524" t="s">
        <v>836</v>
      </c>
      <c r="D524" t="s">
        <v>837</v>
      </c>
      <c r="E524" t="s">
        <v>223</v>
      </c>
      <c r="F524" t="s">
        <v>20</v>
      </c>
      <c r="G524">
        <v>7</v>
      </c>
      <c r="H524">
        <v>1330506.8700000001</v>
      </c>
      <c r="I524">
        <v>417.56</v>
      </c>
    </row>
    <row r="525" spans="1:9" x14ac:dyDescent="0.2">
      <c r="A525" s="11">
        <v>46001</v>
      </c>
      <c r="B525" t="s">
        <v>7</v>
      </c>
      <c r="C525" t="s">
        <v>836</v>
      </c>
      <c r="D525" t="s">
        <v>837</v>
      </c>
      <c r="E525" t="s">
        <v>839</v>
      </c>
      <c r="F525" t="s">
        <v>22</v>
      </c>
      <c r="G525">
        <v>14</v>
      </c>
      <c r="H525">
        <v>403048.24</v>
      </c>
      <c r="I525">
        <v>126.49</v>
      </c>
    </row>
    <row r="526" spans="1:9" x14ac:dyDescent="0.2">
      <c r="A526" s="11">
        <v>46001</v>
      </c>
      <c r="B526" t="s">
        <v>9</v>
      </c>
      <c r="C526" t="s">
        <v>840</v>
      </c>
      <c r="D526" t="s">
        <v>841</v>
      </c>
      <c r="E526" t="s">
        <v>842</v>
      </c>
      <c r="F526" t="s">
        <v>18</v>
      </c>
      <c r="G526">
        <v>13</v>
      </c>
      <c r="H526">
        <v>1377604.28</v>
      </c>
      <c r="I526">
        <v>432.34</v>
      </c>
    </row>
    <row r="527" spans="1:9" x14ac:dyDescent="0.2">
      <c r="A527" s="11">
        <v>46001</v>
      </c>
      <c r="B527" t="s">
        <v>9</v>
      </c>
      <c r="C527" t="s">
        <v>840</v>
      </c>
      <c r="D527" t="s">
        <v>841</v>
      </c>
      <c r="E527" t="s">
        <v>843</v>
      </c>
      <c r="F527" t="s">
        <v>18</v>
      </c>
      <c r="G527">
        <v>11</v>
      </c>
      <c r="H527">
        <v>1302995.6499999999</v>
      </c>
      <c r="I527">
        <v>408.93</v>
      </c>
    </row>
    <row r="528" spans="1:9" x14ac:dyDescent="0.2">
      <c r="A528" s="11">
        <v>46001</v>
      </c>
      <c r="B528" t="s">
        <v>9</v>
      </c>
      <c r="C528" t="s">
        <v>840</v>
      </c>
      <c r="D528" t="s">
        <v>841</v>
      </c>
      <c r="E528" t="s">
        <v>291</v>
      </c>
      <c r="F528" t="s">
        <v>18</v>
      </c>
      <c r="G528">
        <v>11</v>
      </c>
      <c r="H528">
        <v>751516.15</v>
      </c>
      <c r="I528">
        <v>235.85</v>
      </c>
    </row>
    <row r="529" spans="1:9" x14ac:dyDescent="0.2">
      <c r="A529" s="11">
        <v>46001</v>
      </c>
      <c r="B529" t="s">
        <v>9</v>
      </c>
      <c r="C529" t="s">
        <v>840</v>
      </c>
      <c r="D529" t="s">
        <v>841</v>
      </c>
      <c r="E529" t="s">
        <v>777</v>
      </c>
      <c r="F529" t="s">
        <v>18</v>
      </c>
      <c r="G529">
        <v>10</v>
      </c>
      <c r="H529">
        <v>913012</v>
      </c>
      <c r="I529">
        <v>286.52999999999997</v>
      </c>
    </row>
    <row r="530" spans="1:9" x14ac:dyDescent="0.2">
      <c r="A530" s="11">
        <v>46001</v>
      </c>
      <c r="B530" t="s">
        <v>9</v>
      </c>
      <c r="C530" t="s">
        <v>844</v>
      </c>
      <c r="D530" t="s">
        <v>845</v>
      </c>
      <c r="E530" t="s">
        <v>846</v>
      </c>
      <c r="F530" t="s">
        <v>14</v>
      </c>
      <c r="G530">
        <v>23</v>
      </c>
      <c r="H530">
        <v>1163248.23</v>
      </c>
      <c r="I530">
        <v>365.07</v>
      </c>
    </row>
    <row r="531" spans="1:9" x14ac:dyDescent="0.2">
      <c r="A531" s="11">
        <v>46001</v>
      </c>
      <c r="B531" t="s">
        <v>9</v>
      </c>
      <c r="C531" t="s">
        <v>844</v>
      </c>
      <c r="D531" t="s">
        <v>845</v>
      </c>
      <c r="E531" t="s">
        <v>847</v>
      </c>
      <c r="F531" t="s">
        <v>22</v>
      </c>
      <c r="G531">
        <v>2</v>
      </c>
      <c r="H531">
        <v>45417.66</v>
      </c>
      <c r="I531">
        <v>14.25</v>
      </c>
    </row>
    <row r="532" spans="1:9" x14ac:dyDescent="0.2">
      <c r="A532" s="11">
        <v>46001</v>
      </c>
      <c r="B532" t="s">
        <v>8</v>
      </c>
      <c r="C532" t="s">
        <v>848</v>
      </c>
      <c r="D532" t="s">
        <v>849</v>
      </c>
      <c r="E532" t="s">
        <v>850</v>
      </c>
      <c r="F532" t="s">
        <v>20</v>
      </c>
      <c r="G532">
        <v>15</v>
      </c>
      <c r="H532">
        <v>1951581.3</v>
      </c>
      <c r="I532">
        <v>612.47</v>
      </c>
    </row>
    <row r="533" spans="1:9" x14ac:dyDescent="0.2">
      <c r="A533" s="11">
        <v>46001</v>
      </c>
      <c r="B533" t="s">
        <v>7</v>
      </c>
      <c r="C533" t="s">
        <v>351</v>
      </c>
      <c r="D533" t="s">
        <v>851</v>
      </c>
      <c r="E533" t="s">
        <v>852</v>
      </c>
      <c r="F533" t="s">
        <v>14</v>
      </c>
      <c r="G533">
        <v>5</v>
      </c>
      <c r="H533">
        <v>430088</v>
      </c>
      <c r="I533">
        <v>134.97999999999999</v>
      </c>
    </row>
    <row r="534" spans="1:9" x14ac:dyDescent="0.2">
      <c r="A534" s="11">
        <v>46001</v>
      </c>
      <c r="B534" t="s">
        <v>9</v>
      </c>
      <c r="C534" t="s">
        <v>853</v>
      </c>
      <c r="D534" t="s">
        <v>854</v>
      </c>
      <c r="E534" t="s">
        <v>855</v>
      </c>
      <c r="F534" t="s">
        <v>14</v>
      </c>
      <c r="G534">
        <v>3</v>
      </c>
      <c r="H534">
        <v>143385.84</v>
      </c>
      <c r="I534">
        <v>45</v>
      </c>
    </row>
    <row r="535" spans="1:9" x14ac:dyDescent="0.2">
      <c r="A535" s="11">
        <v>46001</v>
      </c>
      <c r="B535" t="s">
        <v>9</v>
      </c>
      <c r="C535" t="s">
        <v>853</v>
      </c>
      <c r="D535" t="s">
        <v>854</v>
      </c>
      <c r="E535" t="s">
        <v>856</v>
      </c>
      <c r="F535" t="s">
        <v>18</v>
      </c>
      <c r="G535">
        <v>12</v>
      </c>
      <c r="H535">
        <v>841683.12</v>
      </c>
      <c r="I535">
        <v>264.14999999999998</v>
      </c>
    </row>
    <row r="536" spans="1:9" x14ac:dyDescent="0.2">
      <c r="A536" s="11">
        <v>46001</v>
      </c>
      <c r="B536" t="s">
        <v>9</v>
      </c>
      <c r="C536" t="s">
        <v>853</v>
      </c>
      <c r="D536" t="s">
        <v>854</v>
      </c>
      <c r="E536" t="s">
        <v>51</v>
      </c>
      <c r="F536" t="s">
        <v>20</v>
      </c>
      <c r="G536">
        <v>4</v>
      </c>
      <c r="H536">
        <v>343589.96</v>
      </c>
      <c r="I536">
        <v>107.83</v>
      </c>
    </row>
    <row r="537" spans="1:9" x14ac:dyDescent="0.2">
      <c r="A537" s="11">
        <v>46001</v>
      </c>
      <c r="B537" t="s">
        <v>9</v>
      </c>
      <c r="C537" t="s">
        <v>853</v>
      </c>
      <c r="D537" t="s">
        <v>854</v>
      </c>
      <c r="E537" t="s">
        <v>80</v>
      </c>
      <c r="F537" t="s">
        <v>18</v>
      </c>
      <c r="G537">
        <v>20</v>
      </c>
      <c r="H537">
        <v>1198126.8</v>
      </c>
      <c r="I537">
        <v>376.01</v>
      </c>
    </row>
    <row r="538" spans="1:9" x14ac:dyDescent="0.2">
      <c r="A538" s="11">
        <v>46001</v>
      </c>
      <c r="B538" t="s">
        <v>10</v>
      </c>
      <c r="C538" t="s">
        <v>857</v>
      </c>
      <c r="D538" t="s">
        <v>858</v>
      </c>
      <c r="E538" t="s">
        <v>859</v>
      </c>
      <c r="F538" t="s">
        <v>20</v>
      </c>
      <c r="G538">
        <v>15</v>
      </c>
      <c r="H538">
        <v>3015478.95</v>
      </c>
      <c r="I538">
        <v>946.36</v>
      </c>
    </row>
    <row r="539" spans="1:9" x14ac:dyDescent="0.2">
      <c r="A539" s="11">
        <v>46001</v>
      </c>
      <c r="B539" t="s">
        <v>10</v>
      </c>
      <c r="C539" t="s">
        <v>857</v>
      </c>
      <c r="D539" t="s">
        <v>858</v>
      </c>
      <c r="E539" t="s">
        <v>860</v>
      </c>
      <c r="F539" t="s">
        <v>5</v>
      </c>
      <c r="G539">
        <v>31</v>
      </c>
      <c r="H539">
        <v>1327530.67</v>
      </c>
      <c r="I539">
        <v>416.63</v>
      </c>
    </row>
    <row r="540" spans="1:9" x14ac:dyDescent="0.2">
      <c r="A540" s="11">
        <v>46001</v>
      </c>
      <c r="B540" t="s">
        <v>10</v>
      </c>
      <c r="C540" t="s">
        <v>857</v>
      </c>
      <c r="D540" t="s">
        <v>858</v>
      </c>
      <c r="E540" t="s">
        <v>701</v>
      </c>
      <c r="F540" t="s">
        <v>14</v>
      </c>
      <c r="G540">
        <v>6</v>
      </c>
      <c r="H540">
        <v>249812.4</v>
      </c>
      <c r="I540">
        <v>78.400000000000006</v>
      </c>
    </row>
    <row r="541" spans="1:9" x14ac:dyDescent="0.2">
      <c r="A541" s="11">
        <v>46001</v>
      </c>
      <c r="B541" t="s">
        <v>10</v>
      </c>
      <c r="C541" t="s">
        <v>857</v>
      </c>
      <c r="D541" t="s">
        <v>858</v>
      </c>
      <c r="E541" t="s">
        <v>743</v>
      </c>
      <c r="F541" t="s">
        <v>14</v>
      </c>
      <c r="G541">
        <v>36</v>
      </c>
      <c r="H541">
        <v>2963074.68</v>
      </c>
      <c r="I541">
        <v>929.92</v>
      </c>
    </row>
    <row r="542" spans="1:9" x14ac:dyDescent="0.2">
      <c r="A542" s="11">
        <v>46001</v>
      </c>
      <c r="B542" t="s">
        <v>12</v>
      </c>
      <c r="C542" t="s">
        <v>861</v>
      </c>
      <c r="D542" t="s">
        <v>862</v>
      </c>
      <c r="E542" t="s">
        <v>863</v>
      </c>
      <c r="F542" t="s">
        <v>5</v>
      </c>
      <c r="G542">
        <v>29</v>
      </c>
      <c r="H542">
        <v>2131675.4500000002</v>
      </c>
      <c r="I542">
        <v>668.99</v>
      </c>
    </row>
    <row r="543" spans="1:9" x14ac:dyDescent="0.2">
      <c r="A543" s="11">
        <v>46001</v>
      </c>
      <c r="B543" t="s">
        <v>7</v>
      </c>
      <c r="C543" t="s">
        <v>180</v>
      </c>
      <c r="D543" t="s">
        <v>864</v>
      </c>
      <c r="E543" t="s">
        <v>865</v>
      </c>
      <c r="F543" t="s">
        <v>20</v>
      </c>
      <c r="G543">
        <v>16</v>
      </c>
      <c r="H543">
        <v>1944598.24</v>
      </c>
      <c r="I543">
        <v>610.28</v>
      </c>
    </row>
    <row r="544" spans="1:9" x14ac:dyDescent="0.2">
      <c r="A544" s="11">
        <v>46001</v>
      </c>
      <c r="B544" t="s">
        <v>7</v>
      </c>
      <c r="C544" t="s">
        <v>180</v>
      </c>
      <c r="D544" t="s">
        <v>864</v>
      </c>
      <c r="E544" t="s">
        <v>866</v>
      </c>
      <c r="F544" t="s">
        <v>18</v>
      </c>
      <c r="G544">
        <v>8</v>
      </c>
      <c r="H544">
        <v>310898.15999999997</v>
      </c>
      <c r="I544">
        <v>97.57</v>
      </c>
    </row>
    <row r="545" spans="1:9" x14ac:dyDescent="0.2">
      <c r="A545" s="11">
        <v>46001</v>
      </c>
      <c r="B545" t="s">
        <v>7</v>
      </c>
      <c r="C545" t="s">
        <v>180</v>
      </c>
      <c r="D545" t="s">
        <v>864</v>
      </c>
      <c r="E545" t="s">
        <v>867</v>
      </c>
      <c r="F545" t="s">
        <v>18</v>
      </c>
      <c r="G545">
        <v>25</v>
      </c>
      <c r="H545">
        <v>2790433.5</v>
      </c>
      <c r="I545">
        <v>875.74</v>
      </c>
    </row>
    <row r="546" spans="1:9" x14ac:dyDescent="0.2">
      <c r="A546" s="11">
        <v>46001</v>
      </c>
      <c r="B546" t="s">
        <v>11</v>
      </c>
      <c r="C546" t="s">
        <v>868</v>
      </c>
      <c r="D546" t="s">
        <v>869</v>
      </c>
      <c r="E546" t="s">
        <v>870</v>
      </c>
      <c r="F546" t="s">
        <v>14</v>
      </c>
      <c r="G546">
        <v>11</v>
      </c>
      <c r="H546">
        <v>723205.45</v>
      </c>
      <c r="I546">
        <v>226.97</v>
      </c>
    </row>
    <row r="547" spans="1:9" x14ac:dyDescent="0.2">
      <c r="A547" s="11">
        <v>46001</v>
      </c>
      <c r="B547" t="s">
        <v>11</v>
      </c>
      <c r="C547" t="s">
        <v>868</v>
      </c>
      <c r="D547" t="s">
        <v>869</v>
      </c>
      <c r="E547" t="s">
        <v>843</v>
      </c>
      <c r="F547" t="s">
        <v>18</v>
      </c>
      <c r="G547">
        <v>43</v>
      </c>
      <c r="H547">
        <v>5296713.7699999996</v>
      </c>
      <c r="I547">
        <v>1662.29</v>
      </c>
    </row>
    <row r="548" spans="1:9" x14ac:dyDescent="0.2">
      <c r="A548" s="11">
        <v>46001</v>
      </c>
      <c r="B548" t="s">
        <v>12</v>
      </c>
      <c r="C548" t="s">
        <v>871</v>
      </c>
      <c r="D548" t="s">
        <v>872</v>
      </c>
      <c r="E548" t="s">
        <v>873</v>
      </c>
      <c r="F548" t="s">
        <v>22</v>
      </c>
      <c r="G548">
        <v>31</v>
      </c>
      <c r="H548">
        <v>1073362.29</v>
      </c>
      <c r="I548">
        <v>336.86</v>
      </c>
    </row>
    <row r="549" spans="1:9" x14ac:dyDescent="0.2">
      <c r="A549" s="11">
        <v>46001</v>
      </c>
      <c r="B549" t="s">
        <v>12</v>
      </c>
      <c r="C549" t="s">
        <v>871</v>
      </c>
      <c r="D549" t="s">
        <v>872</v>
      </c>
      <c r="E549" t="s">
        <v>561</v>
      </c>
      <c r="F549" t="s">
        <v>22</v>
      </c>
      <c r="G549">
        <v>16</v>
      </c>
      <c r="H549">
        <v>836082.88</v>
      </c>
      <c r="I549">
        <v>262.39</v>
      </c>
    </row>
    <row r="550" spans="1:9" x14ac:dyDescent="0.2">
      <c r="A550" s="11">
        <v>46001</v>
      </c>
      <c r="B550" t="s">
        <v>9</v>
      </c>
      <c r="C550" t="s">
        <v>874</v>
      </c>
      <c r="D550" t="s">
        <v>875</v>
      </c>
      <c r="E550" t="s">
        <v>301</v>
      </c>
      <c r="F550" t="s">
        <v>22</v>
      </c>
      <c r="G550">
        <v>131</v>
      </c>
      <c r="H550">
        <v>5639514.6299999999</v>
      </c>
      <c r="I550">
        <v>1769.88</v>
      </c>
    </row>
    <row r="551" spans="1:9" x14ac:dyDescent="0.2">
      <c r="A551" s="11">
        <v>46001</v>
      </c>
      <c r="B551" t="s">
        <v>7</v>
      </c>
      <c r="C551" t="s">
        <v>876</v>
      </c>
      <c r="D551" t="s">
        <v>877</v>
      </c>
      <c r="E551" t="s">
        <v>287</v>
      </c>
      <c r="F551" t="s">
        <v>22</v>
      </c>
      <c r="G551">
        <v>7</v>
      </c>
      <c r="H551">
        <v>153405.28</v>
      </c>
      <c r="I551">
        <v>48.14</v>
      </c>
    </row>
    <row r="552" spans="1:9" x14ac:dyDescent="0.2">
      <c r="A552" s="11">
        <v>46001</v>
      </c>
      <c r="B552" t="s">
        <v>9</v>
      </c>
      <c r="C552" t="s">
        <v>878</v>
      </c>
      <c r="D552" t="s">
        <v>879</v>
      </c>
      <c r="E552" t="s">
        <v>880</v>
      </c>
      <c r="F552" t="s">
        <v>5</v>
      </c>
      <c r="G552">
        <v>16</v>
      </c>
      <c r="H552">
        <v>1052298.24</v>
      </c>
      <c r="I552">
        <v>330.25</v>
      </c>
    </row>
    <row r="553" spans="1:9" x14ac:dyDescent="0.2">
      <c r="A553" s="11">
        <v>46002</v>
      </c>
      <c r="B553" t="s">
        <v>7</v>
      </c>
      <c r="C553" t="s">
        <v>369</v>
      </c>
      <c r="D553" t="s">
        <v>881</v>
      </c>
      <c r="E553" t="s">
        <v>629</v>
      </c>
      <c r="F553" t="s">
        <v>22</v>
      </c>
      <c r="G553">
        <v>4</v>
      </c>
      <c r="H553">
        <v>146308</v>
      </c>
      <c r="I553">
        <v>45.92</v>
      </c>
    </row>
    <row r="554" spans="1:9" x14ac:dyDescent="0.2">
      <c r="A554" s="11">
        <v>46002</v>
      </c>
      <c r="B554" t="s">
        <v>7</v>
      </c>
      <c r="C554" t="s">
        <v>369</v>
      </c>
      <c r="D554" t="s">
        <v>881</v>
      </c>
      <c r="E554" t="s">
        <v>257</v>
      </c>
      <c r="F554" t="s">
        <v>18</v>
      </c>
      <c r="G554">
        <v>20</v>
      </c>
      <c r="H554">
        <v>1355089</v>
      </c>
      <c r="I554">
        <v>425.27</v>
      </c>
    </row>
    <row r="555" spans="1:9" x14ac:dyDescent="0.2">
      <c r="A555" s="11">
        <v>46002</v>
      </c>
      <c r="B555" t="s">
        <v>7</v>
      </c>
      <c r="C555" t="s">
        <v>369</v>
      </c>
      <c r="D555" t="s">
        <v>881</v>
      </c>
      <c r="E555" t="s">
        <v>882</v>
      </c>
      <c r="F555" t="s">
        <v>18</v>
      </c>
      <c r="G555">
        <v>10</v>
      </c>
      <c r="H555">
        <v>865112.5</v>
      </c>
      <c r="I555">
        <v>271.5</v>
      </c>
    </row>
    <row r="556" spans="1:9" x14ac:dyDescent="0.2">
      <c r="A556" s="11">
        <v>46002</v>
      </c>
      <c r="B556" t="s">
        <v>7</v>
      </c>
      <c r="C556" t="s">
        <v>883</v>
      </c>
      <c r="D556" t="s">
        <v>884</v>
      </c>
      <c r="E556" t="s">
        <v>885</v>
      </c>
      <c r="F556" t="s">
        <v>22</v>
      </c>
      <c r="G556">
        <v>6</v>
      </c>
      <c r="H556">
        <v>358588.02</v>
      </c>
      <c r="I556">
        <v>112.54</v>
      </c>
    </row>
    <row r="557" spans="1:9" x14ac:dyDescent="0.2">
      <c r="A557" s="11">
        <v>46002</v>
      </c>
      <c r="B557" t="s">
        <v>7</v>
      </c>
      <c r="C557" t="s">
        <v>883</v>
      </c>
      <c r="D557" t="s">
        <v>884</v>
      </c>
      <c r="E557" t="s">
        <v>886</v>
      </c>
      <c r="F557" t="s">
        <v>20</v>
      </c>
      <c r="G557">
        <v>21</v>
      </c>
      <c r="H557">
        <v>2617865.88</v>
      </c>
      <c r="I557">
        <v>821.58</v>
      </c>
    </row>
    <row r="558" spans="1:9" x14ac:dyDescent="0.2">
      <c r="A558" s="11">
        <v>46002</v>
      </c>
      <c r="B558" t="s">
        <v>7</v>
      </c>
      <c r="C558" t="s">
        <v>883</v>
      </c>
      <c r="D558" t="s">
        <v>884</v>
      </c>
      <c r="E558" t="s">
        <v>71</v>
      </c>
      <c r="F558" t="s">
        <v>20</v>
      </c>
      <c r="G558">
        <v>15</v>
      </c>
      <c r="H558">
        <v>2048098.35</v>
      </c>
      <c r="I558">
        <v>642.76</v>
      </c>
    </row>
    <row r="559" spans="1:9" x14ac:dyDescent="0.2">
      <c r="A559" s="11">
        <v>46002</v>
      </c>
      <c r="B559" t="s">
        <v>7</v>
      </c>
      <c r="C559" t="s">
        <v>883</v>
      </c>
      <c r="D559" t="s">
        <v>884</v>
      </c>
      <c r="E559" t="s">
        <v>887</v>
      </c>
      <c r="F559" t="s">
        <v>22</v>
      </c>
      <c r="G559">
        <v>8</v>
      </c>
      <c r="H559">
        <v>238650.08</v>
      </c>
      <c r="I559">
        <v>74.900000000000006</v>
      </c>
    </row>
    <row r="560" spans="1:9" x14ac:dyDescent="0.2">
      <c r="A560" s="11">
        <v>46002</v>
      </c>
      <c r="B560" t="s">
        <v>6</v>
      </c>
      <c r="C560" t="s">
        <v>888</v>
      </c>
      <c r="D560" t="s">
        <v>889</v>
      </c>
      <c r="E560" t="s">
        <v>890</v>
      </c>
      <c r="F560" t="s">
        <v>5</v>
      </c>
      <c r="G560">
        <v>13</v>
      </c>
      <c r="H560">
        <v>921026.21</v>
      </c>
      <c r="I560">
        <v>289.05</v>
      </c>
    </row>
    <row r="561" spans="1:9" x14ac:dyDescent="0.2">
      <c r="A561" s="11">
        <v>46002</v>
      </c>
      <c r="B561" t="s">
        <v>7</v>
      </c>
      <c r="C561" t="s">
        <v>891</v>
      </c>
      <c r="D561" t="s">
        <v>892</v>
      </c>
      <c r="E561" t="s">
        <v>893</v>
      </c>
      <c r="F561" t="s">
        <v>5</v>
      </c>
      <c r="G561">
        <v>13</v>
      </c>
      <c r="H561">
        <v>873252.77</v>
      </c>
      <c r="I561">
        <v>274.06</v>
      </c>
    </row>
    <row r="562" spans="1:9" x14ac:dyDescent="0.2">
      <c r="A562" s="11">
        <v>46002</v>
      </c>
      <c r="B562" t="s">
        <v>10</v>
      </c>
      <c r="C562" t="s">
        <v>894</v>
      </c>
      <c r="D562" t="s">
        <v>895</v>
      </c>
      <c r="E562" t="s">
        <v>432</v>
      </c>
      <c r="F562" t="s">
        <v>16</v>
      </c>
      <c r="G562">
        <v>60</v>
      </c>
      <c r="H562">
        <v>9745132.8000000007</v>
      </c>
      <c r="I562">
        <v>3058.36</v>
      </c>
    </row>
    <row r="563" spans="1:9" x14ac:dyDescent="0.2">
      <c r="A563" s="11">
        <v>46002</v>
      </c>
      <c r="B563" t="s">
        <v>10</v>
      </c>
      <c r="C563" t="s">
        <v>894</v>
      </c>
      <c r="D563" t="s">
        <v>895</v>
      </c>
      <c r="E563" t="s">
        <v>896</v>
      </c>
      <c r="F563" t="s">
        <v>14</v>
      </c>
      <c r="G563">
        <v>31</v>
      </c>
      <c r="H563">
        <v>3248487.83</v>
      </c>
      <c r="I563">
        <v>1019.49</v>
      </c>
    </row>
    <row r="564" spans="1:9" x14ac:dyDescent="0.2">
      <c r="A564" s="11">
        <v>46002</v>
      </c>
      <c r="B564" t="s">
        <v>10</v>
      </c>
      <c r="C564" t="s">
        <v>894</v>
      </c>
      <c r="D564" t="s">
        <v>895</v>
      </c>
      <c r="E564" t="s">
        <v>897</v>
      </c>
      <c r="F564" t="s">
        <v>22</v>
      </c>
      <c r="G564">
        <v>12</v>
      </c>
      <c r="H564">
        <v>675576.72</v>
      </c>
      <c r="I564">
        <v>212.02</v>
      </c>
    </row>
    <row r="565" spans="1:9" x14ac:dyDescent="0.2">
      <c r="A565" s="11">
        <v>46002</v>
      </c>
      <c r="B565" t="s">
        <v>7</v>
      </c>
      <c r="C565" t="s">
        <v>898</v>
      </c>
      <c r="D565" t="s">
        <v>899</v>
      </c>
      <c r="E565" t="s">
        <v>612</v>
      </c>
      <c r="F565" t="s">
        <v>18</v>
      </c>
      <c r="G565">
        <v>16</v>
      </c>
      <c r="H565">
        <v>1667387.2</v>
      </c>
      <c r="I565">
        <v>523.28</v>
      </c>
    </row>
    <row r="566" spans="1:9" x14ac:dyDescent="0.2">
      <c r="A566" s="11">
        <v>46002</v>
      </c>
      <c r="B566" t="s">
        <v>6</v>
      </c>
      <c r="C566" t="s">
        <v>900</v>
      </c>
      <c r="D566" t="s">
        <v>901</v>
      </c>
      <c r="E566" t="s">
        <v>902</v>
      </c>
      <c r="F566" t="s">
        <v>5</v>
      </c>
      <c r="G566">
        <v>25</v>
      </c>
      <c r="H566">
        <v>1013583.75</v>
      </c>
      <c r="I566">
        <v>318.10000000000002</v>
      </c>
    </row>
    <row r="567" spans="1:9" x14ac:dyDescent="0.2">
      <c r="A567" s="11">
        <v>46002</v>
      </c>
      <c r="B567" t="s">
        <v>11</v>
      </c>
      <c r="C567" t="s">
        <v>903</v>
      </c>
      <c r="D567" t="s">
        <v>904</v>
      </c>
      <c r="E567" t="s">
        <v>905</v>
      </c>
      <c r="F567" t="s">
        <v>18</v>
      </c>
      <c r="G567">
        <v>25</v>
      </c>
      <c r="H567">
        <v>1735720.25</v>
      </c>
      <c r="I567">
        <v>544.73</v>
      </c>
    </row>
    <row r="568" spans="1:9" x14ac:dyDescent="0.2">
      <c r="A568" s="11">
        <v>46002</v>
      </c>
      <c r="B568" t="s">
        <v>11</v>
      </c>
      <c r="C568" t="s">
        <v>903</v>
      </c>
      <c r="D568" t="s">
        <v>904</v>
      </c>
      <c r="E568" t="s">
        <v>321</v>
      </c>
      <c r="F568" t="s">
        <v>16</v>
      </c>
      <c r="G568">
        <v>9</v>
      </c>
      <c r="H568">
        <v>1080817.74</v>
      </c>
      <c r="I568">
        <v>339.2</v>
      </c>
    </row>
    <row r="569" spans="1:9" x14ac:dyDescent="0.2">
      <c r="A569" s="11">
        <v>46002</v>
      </c>
      <c r="B569" t="s">
        <v>11</v>
      </c>
      <c r="C569" t="s">
        <v>903</v>
      </c>
      <c r="D569" t="s">
        <v>904</v>
      </c>
      <c r="E569" t="s">
        <v>906</v>
      </c>
      <c r="F569" t="s">
        <v>20</v>
      </c>
      <c r="G569">
        <v>17</v>
      </c>
      <c r="H569">
        <v>3274773.92</v>
      </c>
      <c r="I569">
        <v>1027.74</v>
      </c>
    </row>
    <row r="570" spans="1:9" x14ac:dyDescent="0.2">
      <c r="A570" s="11">
        <v>46002</v>
      </c>
      <c r="B570" t="s">
        <v>6</v>
      </c>
      <c r="C570" t="s">
        <v>907</v>
      </c>
      <c r="D570" t="s">
        <v>908</v>
      </c>
      <c r="E570" t="s">
        <v>441</v>
      </c>
      <c r="F570" t="s">
        <v>5</v>
      </c>
      <c r="G570">
        <v>22</v>
      </c>
      <c r="H570">
        <v>686336.86</v>
      </c>
      <c r="I570">
        <v>215.4</v>
      </c>
    </row>
    <row r="571" spans="1:9" x14ac:dyDescent="0.2">
      <c r="A571" s="11">
        <v>46002</v>
      </c>
      <c r="B571" t="s">
        <v>6</v>
      </c>
      <c r="C571" t="s">
        <v>907</v>
      </c>
      <c r="D571" t="s">
        <v>908</v>
      </c>
      <c r="E571" t="s">
        <v>619</v>
      </c>
      <c r="F571" t="s">
        <v>18</v>
      </c>
      <c r="G571">
        <v>16</v>
      </c>
      <c r="H571">
        <v>1876407.2</v>
      </c>
      <c r="I571">
        <v>588.88</v>
      </c>
    </row>
    <row r="572" spans="1:9" x14ac:dyDescent="0.2">
      <c r="A572" s="11">
        <v>46002</v>
      </c>
      <c r="B572" t="s">
        <v>10</v>
      </c>
      <c r="C572" t="s">
        <v>416</v>
      </c>
      <c r="D572" t="s">
        <v>909</v>
      </c>
      <c r="E572" t="s">
        <v>361</v>
      </c>
      <c r="F572" t="s">
        <v>20</v>
      </c>
      <c r="G572">
        <v>16</v>
      </c>
      <c r="H572">
        <v>3812632.32</v>
      </c>
      <c r="I572">
        <v>1196.54</v>
      </c>
    </row>
    <row r="573" spans="1:9" x14ac:dyDescent="0.2">
      <c r="A573" s="11">
        <v>46002</v>
      </c>
      <c r="B573" t="s">
        <v>10</v>
      </c>
      <c r="C573" t="s">
        <v>416</v>
      </c>
      <c r="D573" t="s">
        <v>909</v>
      </c>
      <c r="E573" t="s">
        <v>910</v>
      </c>
      <c r="F573" t="s">
        <v>14</v>
      </c>
      <c r="G573">
        <v>10</v>
      </c>
      <c r="H573">
        <v>645393.1</v>
      </c>
      <c r="I573">
        <v>202.55</v>
      </c>
    </row>
    <row r="574" spans="1:9" x14ac:dyDescent="0.2">
      <c r="A574" s="11">
        <v>46002</v>
      </c>
      <c r="B574" t="s">
        <v>12</v>
      </c>
      <c r="C574" t="s">
        <v>911</v>
      </c>
      <c r="D574" t="s">
        <v>912</v>
      </c>
      <c r="E574" t="s">
        <v>913</v>
      </c>
      <c r="F574" t="s">
        <v>18</v>
      </c>
      <c r="G574">
        <v>27</v>
      </c>
      <c r="H574">
        <v>2388770.46</v>
      </c>
      <c r="I574">
        <v>749.68</v>
      </c>
    </row>
    <row r="575" spans="1:9" x14ac:dyDescent="0.2">
      <c r="A575" s="11">
        <v>46002</v>
      </c>
      <c r="B575" t="s">
        <v>12</v>
      </c>
      <c r="C575" t="s">
        <v>911</v>
      </c>
      <c r="D575" t="s">
        <v>912</v>
      </c>
      <c r="E575" t="s">
        <v>304</v>
      </c>
      <c r="F575" t="s">
        <v>5</v>
      </c>
      <c r="G575">
        <v>16</v>
      </c>
      <c r="H575">
        <v>1212020.32</v>
      </c>
      <c r="I575">
        <v>380.37</v>
      </c>
    </row>
    <row r="576" spans="1:9" x14ac:dyDescent="0.2">
      <c r="A576" s="11">
        <v>46002</v>
      </c>
      <c r="B576" t="s">
        <v>12</v>
      </c>
      <c r="C576" t="s">
        <v>911</v>
      </c>
      <c r="D576" t="s">
        <v>912</v>
      </c>
      <c r="E576" t="s">
        <v>460</v>
      </c>
      <c r="F576" t="s">
        <v>14</v>
      </c>
      <c r="G576">
        <v>7</v>
      </c>
      <c r="H576">
        <v>442632.89</v>
      </c>
      <c r="I576">
        <v>138.91</v>
      </c>
    </row>
    <row r="577" spans="1:9" x14ac:dyDescent="0.2">
      <c r="A577" s="11">
        <v>46002</v>
      </c>
      <c r="B577" t="s">
        <v>12</v>
      </c>
      <c r="C577" t="s">
        <v>911</v>
      </c>
      <c r="D577" t="s">
        <v>912</v>
      </c>
      <c r="E577" t="s">
        <v>329</v>
      </c>
      <c r="F577" t="s">
        <v>16</v>
      </c>
      <c r="G577">
        <v>8</v>
      </c>
      <c r="H577">
        <v>1194565.76</v>
      </c>
      <c r="I577">
        <v>374.9</v>
      </c>
    </row>
    <row r="578" spans="1:9" x14ac:dyDescent="0.2">
      <c r="A578" s="11">
        <v>46002</v>
      </c>
      <c r="B578" t="s">
        <v>9</v>
      </c>
      <c r="C578" t="s">
        <v>167</v>
      </c>
      <c r="D578" t="s">
        <v>914</v>
      </c>
      <c r="E578" t="s">
        <v>371</v>
      </c>
      <c r="F578" t="s">
        <v>5</v>
      </c>
      <c r="G578">
        <v>9</v>
      </c>
      <c r="H578">
        <v>691019.28</v>
      </c>
      <c r="I578">
        <v>216.87</v>
      </c>
    </row>
    <row r="579" spans="1:9" x14ac:dyDescent="0.2">
      <c r="A579" s="11">
        <v>46002</v>
      </c>
      <c r="B579" t="s">
        <v>9</v>
      </c>
      <c r="C579" t="s">
        <v>167</v>
      </c>
      <c r="D579" t="s">
        <v>914</v>
      </c>
      <c r="E579" t="s">
        <v>915</v>
      </c>
      <c r="F579" t="s">
        <v>22</v>
      </c>
      <c r="G579">
        <v>48</v>
      </c>
      <c r="H579">
        <v>1656414.72</v>
      </c>
      <c r="I579">
        <v>519.84</v>
      </c>
    </row>
    <row r="580" spans="1:9" x14ac:dyDescent="0.2">
      <c r="A580" s="11">
        <v>46002</v>
      </c>
      <c r="B580" t="s">
        <v>10</v>
      </c>
      <c r="C580" t="s">
        <v>916</v>
      </c>
      <c r="D580" t="s">
        <v>917</v>
      </c>
      <c r="E580" t="s">
        <v>918</v>
      </c>
      <c r="F580" t="s">
        <v>5</v>
      </c>
      <c r="G580">
        <v>14</v>
      </c>
      <c r="H580">
        <v>401119.32</v>
      </c>
      <c r="I580">
        <v>125.89</v>
      </c>
    </row>
    <row r="581" spans="1:9" x14ac:dyDescent="0.2">
      <c r="A581" s="11">
        <v>46002</v>
      </c>
      <c r="B581" t="s">
        <v>10</v>
      </c>
      <c r="C581" t="s">
        <v>916</v>
      </c>
      <c r="D581" t="s">
        <v>917</v>
      </c>
      <c r="E581" t="s">
        <v>919</v>
      </c>
      <c r="F581" t="s">
        <v>14</v>
      </c>
      <c r="G581">
        <v>8</v>
      </c>
      <c r="H581">
        <v>359103.04</v>
      </c>
      <c r="I581">
        <v>112.7</v>
      </c>
    </row>
    <row r="582" spans="1:9" x14ac:dyDescent="0.2">
      <c r="A582" s="11">
        <v>46002</v>
      </c>
      <c r="B582" t="s">
        <v>10</v>
      </c>
      <c r="C582" t="s">
        <v>916</v>
      </c>
      <c r="D582" t="s">
        <v>917</v>
      </c>
      <c r="E582" t="s">
        <v>920</v>
      </c>
      <c r="F582" t="s">
        <v>14</v>
      </c>
      <c r="G582">
        <v>11</v>
      </c>
      <c r="H582">
        <v>1077884.28</v>
      </c>
      <c r="I582">
        <v>338.28</v>
      </c>
    </row>
    <row r="583" spans="1:9" x14ac:dyDescent="0.2">
      <c r="A583" s="11">
        <v>46002</v>
      </c>
      <c r="B583" t="s">
        <v>10</v>
      </c>
      <c r="C583" t="s">
        <v>921</v>
      </c>
      <c r="D583" t="s">
        <v>922</v>
      </c>
      <c r="E583" t="s">
        <v>281</v>
      </c>
      <c r="F583" t="s">
        <v>14</v>
      </c>
      <c r="G583">
        <v>16</v>
      </c>
      <c r="H583">
        <v>741837.6</v>
      </c>
      <c r="I583">
        <v>232.81</v>
      </c>
    </row>
    <row r="584" spans="1:9" x14ac:dyDescent="0.2">
      <c r="A584" s="11">
        <v>46002</v>
      </c>
      <c r="B584" t="s">
        <v>9</v>
      </c>
      <c r="C584" t="s">
        <v>646</v>
      </c>
      <c r="D584" t="s">
        <v>923</v>
      </c>
      <c r="E584" t="s">
        <v>924</v>
      </c>
      <c r="F584" t="s">
        <v>14</v>
      </c>
      <c r="G584">
        <v>12</v>
      </c>
      <c r="H584">
        <v>892410.36</v>
      </c>
      <c r="I584">
        <v>280.07</v>
      </c>
    </row>
    <row r="585" spans="1:9" x14ac:dyDescent="0.2">
      <c r="A585" s="11">
        <v>46002</v>
      </c>
      <c r="B585" t="s">
        <v>9</v>
      </c>
      <c r="C585" t="s">
        <v>646</v>
      </c>
      <c r="D585" t="s">
        <v>923</v>
      </c>
      <c r="E585" t="s">
        <v>525</v>
      </c>
      <c r="F585" t="s">
        <v>18</v>
      </c>
      <c r="G585">
        <v>5</v>
      </c>
      <c r="H585">
        <v>287702.45</v>
      </c>
      <c r="I585">
        <v>90.29</v>
      </c>
    </row>
    <row r="586" spans="1:9" x14ac:dyDescent="0.2">
      <c r="A586" s="11">
        <v>46002</v>
      </c>
      <c r="B586" t="s">
        <v>7</v>
      </c>
      <c r="C586" t="s">
        <v>584</v>
      </c>
      <c r="D586" t="s">
        <v>925</v>
      </c>
      <c r="E586" t="s">
        <v>657</v>
      </c>
      <c r="F586" t="s">
        <v>22</v>
      </c>
      <c r="G586">
        <v>12</v>
      </c>
      <c r="H586">
        <v>439207.67999999999</v>
      </c>
      <c r="I586">
        <v>137.84</v>
      </c>
    </row>
    <row r="587" spans="1:9" x14ac:dyDescent="0.2">
      <c r="A587" s="11">
        <v>46002</v>
      </c>
      <c r="B587" t="s">
        <v>7</v>
      </c>
      <c r="C587" t="s">
        <v>584</v>
      </c>
      <c r="D587" t="s">
        <v>925</v>
      </c>
      <c r="E587" t="s">
        <v>198</v>
      </c>
      <c r="F587" t="s">
        <v>5</v>
      </c>
      <c r="G587">
        <v>13</v>
      </c>
      <c r="H587">
        <v>344219.2</v>
      </c>
      <c r="I587">
        <v>108.03</v>
      </c>
    </row>
    <row r="588" spans="1:9" x14ac:dyDescent="0.2">
      <c r="A588" s="11">
        <v>46002</v>
      </c>
      <c r="B588" t="s">
        <v>9</v>
      </c>
      <c r="C588" t="s">
        <v>926</v>
      </c>
      <c r="D588" t="s">
        <v>927</v>
      </c>
      <c r="E588" t="s">
        <v>928</v>
      </c>
      <c r="F588" t="s">
        <v>18</v>
      </c>
      <c r="G588">
        <v>26</v>
      </c>
      <c r="H588">
        <v>3041370.28</v>
      </c>
      <c r="I588">
        <v>954.49</v>
      </c>
    </row>
    <row r="589" spans="1:9" x14ac:dyDescent="0.2">
      <c r="A589" s="11">
        <v>46002</v>
      </c>
      <c r="B589" t="s">
        <v>7</v>
      </c>
      <c r="C589" t="s">
        <v>929</v>
      </c>
      <c r="D589" t="s">
        <v>930</v>
      </c>
      <c r="E589" t="s">
        <v>931</v>
      </c>
      <c r="F589" t="s">
        <v>16</v>
      </c>
      <c r="G589">
        <v>16</v>
      </c>
      <c r="H589">
        <v>1070289.76</v>
      </c>
      <c r="I589">
        <v>335.89</v>
      </c>
    </row>
    <row r="590" spans="1:9" x14ac:dyDescent="0.2">
      <c r="A590" s="11">
        <v>46002</v>
      </c>
      <c r="B590" t="s">
        <v>7</v>
      </c>
      <c r="C590" t="s">
        <v>929</v>
      </c>
      <c r="D590" t="s">
        <v>930</v>
      </c>
      <c r="E590" t="s">
        <v>484</v>
      </c>
      <c r="F590" t="s">
        <v>22</v>
      </c>
      <c r="G590">
        <v>2</v>
      </c>
      <c r="H590">
        <v>70462.039999999994</v>
      </c>
      <c r="I590">
        <v>22.11</v>
      </c>
    </row>
    <row r="591" spans="1:9" x14ac:dyDescent="0.2">
      <c r="A591" s="11">
        <v>46002</v>
      </c>
      <c r="B591" t="s">
        <v>11</v>
      </c>
      <c r="C591" t="s">
        <v>932</v>
      </c>
      <c r="D591" t="s">
        <v>933</v>
      </c>
      <c r="E591" t="s">
        <v>934</v>
      </c>
      <c r="F591" t="s">
        <v>20</v>
      </c>
      <c r="G591">
        <v>7</v>
      </c>
      <c r="H591">
        <v>570432.31000000006</v>
      </c>
      <c r="I591">
        <v>179.02</v>
      </c>
    </row>
    <row r="592" spans="1:9" x14ac:dyDescent="0.2">
      <c r="A592" s="11">
        <v>46003</v>
      </c>
      <c r="B592" t="s">
        <v>12</v>
      </c>
      <c r="C592" t="s">
        <v>773</v>
      </c>
      <c r="D592" t="s">
        <v>935</v>
      </c>
      <c r="E592" t="s">
        <v>936</v>
      </c>
      <c r="F592" t="s">
        <v>5</v>
      </c>
      <c r="G592">
        <v>3</v>
      </c>
      <c r="H592">
        <v>180488.79</v>
      </c>
      <c r="I592">
        <v>56.64</v>
      </c>
    </row>
    <row r="593" spans="1:9" x14ac:dyDescent="0.2">
      <c r="A593" s="11">
        <v>46003</v>
      </c>
      <c r="B593" t="s">
        <v>7</v>
      </c>
      <c r="C593" t="s">
        <v>937</v>
      </c>
      <c r="D593" t="s">
        <v>938</v>
      </c>
      <c r="E593" t="s">
        <v>155</v>
      </c>
      <c r="F593" t="s">
        <v>5</v>
      </c>
      <c r="G593">
        <v>36</v>
      </c>
      <c r="H593">
        <v>1722362.76</v>
      </c>
      <c r="I593">
        <v>540.54</v>
      </c>
    </row>
    <row r="594" spans="1:9" x14ac:dyDescent="0.2">
      <c r="A594" s="11">
        <v>46003</v>
      </c>
      <c r="B594" t="s">
        <v>7</v>
      </c>
      <c r="C594" t="s">
        <v>937</v>
      </c>
      <c r="D594" t="s">
        <v>938</v>
      </c>
      <c r="E594" t="s">
        <v>797</v>
      </c>
      <c r="F594" t="s">
        <v>14</v>
      </c>
      <c r="G594">
        <v>25</v>
      </c>
      <c r="H594">
        <v>1523472</v>
      </c>
      <c r="I594">
        <v>478.12</v>
      </c>
    </row>
    <row r="595" spans="1:9" x14ac:dyDescent="0.2">
      <c r="A595" s="11">
        <v>46003</v>
      </c>
      <c r="B595" t="s">
        <v>7</v>
      </c>
      <c r="C595" t="s">
        <v>937</v>
      </c>
      <c r="D595" t="s">
        <v>938</v>
      </c>
      <c r="E595" t="s">
        <v>939</v>
      </c>
      <c r="F595" t="s">
        <v>5</v>
      </c>
      <c r="G595">
        <v>47</v>
      </c>
      <c r="H595">
        <v>2642536.9300000002</v>
      </c>
      <c r="I595">
        <v>829.32</v>
      </c>
    </row>
    <row r="596" spans="1:9" x14ac:dyDescent="0.2">
      <c r="A596" s="11">
        <v>46003</v>
      </c>
      <c r="B596" t="s">
        <v>7</v>
      </c>
      <c r="C596" t="s">
        <v>940</v>
      </c>
      <c r="D596" t="s">
        <v>941</v>
      </c>
      <c r="E596" t="s">
        <v>942</v>
      </c>
      <c r="F596" t="s">
        <v>22</v>
      </c>
      <c r="G596">
        <v>10</v>
      </c>
      <c r="H596">
        <v>373149.6</v>
      </c>
      <c r="I596">
        <v>117.11</v>
      </c>
    </row>
    <row r="597" spans="1:9" x14ac:dyDescent="0.2">
      <c r="A597" s="11">
        <v>46003</v>
      </c>
      <c r="B597" t="s">
        <v>7</v>
      </c>
      <c r="C597" t="s">
        <v>940</v>
      </c>
      <c r="D597" t="s">
        <v>941</v>
      </c>
      <c r="E597" t="s">
        <v>616</v>
      </c>
      <c r="F597" t="s">
        <v>14</v>
      </c>
      <c r="G597">
        <v>8</v>
      </c>
      <c r="H597">
        <v>277954.71999999997</v>
      </c>
      <c r="I597">
        <v>87.23</v>
      </c>
    </row>
    <row r="598" spans="1:9" x14ac:dyDescent="0.2">
      <c r="A598" s="11">
        <v>46003</v>
      </c>
      <c r="B598" t="s">
        <v>7</v>
      </c>
      <c r="C598" t="s">
        <v>940</v>
      </c>
      <c r="D598" t="s">
        <v>941</v>
      </c>
      <c r="E598" t="s">
        <v>834</v>
      </c>
      <c r="F598" t="s">
        <v>18</v>
      </c>
      <c r="G598">
        <v>13</v>
      </c>
      <c r="H598">
        <v>1090864.97</v>
      </c>
      <c r="I598">
        <v>342.35</v>
      </c>
    </row>
    <row r="599" spans="1:9" x14ac:dyDescent="0.2">
      <c r="A599" s="11">
        <v>46003</v>
      </c>
      <c r="B599" t="s">
        <v>7</v>
      </c>
      <c r="C599" t="s">
        <v>940</v>
      </c>
      <c r="D599" t="s">
        <v>941</v>
      </c>
      <c r="E599" t="s">
        <v>943</v>
      </c>
      <c r="F599" t="s">
        <v>16</v>
      </c>
      <c r="G599">
        <v>24</v>
      </c>
      <c r="H599">
        <v>3876114.48</v>
      </c>
      <c r="I599">
        <v>1216.46</v>
      </c>
    </row>
    <row r="600" spans="1:9" x14ac:dyDescent="0.2">
      <c r="A600" s="11">
        <v>46003</v>
      </c>
      <c r="B600" t="s">
        <v>6</v>
      </c>
      <c r="C600" t="s">
        <v>944</v>
      </c>
      <c r="D600" t="s">
        <v>945</v>
      </c>
      <c r="E600" t="s">
        <v>817</v>
      </c>
      <c r="F600" t="s">
        <v>20</v>
      </c>
      <c r="G600">
        <v>6</v>
      </c>
      <c r="H600">
        <v>835460.16</v>
      </c>
      <c r="I600">
        <v>262.2</v>
      </c>
    </row>
    <row r="601" spans="1:9" x14ac:dyDescent="0.2">
      <c r="A601" s="11">
        <v>46003</v>
      </c>
      <c r="B601" t="s">
        <v>10</v>
      </c>
      <c r="C601" t="s">
        <v>946</v>
      </c>
      <c r="D601" t="s">
        <v>947</v>
      </c>
      <c r="E601" t="s">
        <v>873</v>
      </c>
      <c r="F601" t="s">
        <v>22</v>
      </c>
      <c r="G601">
        <v>2</v>
      </c>
      <c r="H601">
        <v>69583.12</v>
      </c>
      <c r="I601">
        <v>21.84</v>
      </c>
    </row>
    <row r="602" spans="1:9" x14ac:dyDescent="0.2">
      <c r="A602" s="11">
        <v>46003</v>
      </c>
      <c r="B602" t="s">
        <v>10</v>
      </c>
      <c r="C602" t="s">
        <v>946</v>
      </c>
      <c r="D602" t="s">
        <v>947</v>
      </c>
      <c r="E602" t="s">
        <v>378</v>
      </c>
      <c r="F602" t="s">
        <v>14</v>
      </c>
      <c r="G602">
        <v>12</v>
      </c>
      <c r="H602">
        <v>1065636.24</v>
      </c>
      <c r="I602">
        <v>334.43</v>
      </c>
    </row>
    <row r="603" spans="1:9" x14ac:dyDescent="0.2">
      <c r="A603" s="11">
        <v>46003</v>
      </c>
      <c r="B603" t="s">
        <v>8</v>
      </c>
      <c r="C603" t="s">
        <v>948</v>
      </c>
      <c r="D603" t="s">
        <v>949</v>
      </c>
      <c r="E603" t="s">
        <v>950</v>
      </c>
      <c r="F603" t="s">
        <v>18</v>
      </c>
      <c r="G603">
        <v>30</v>
      </c>
      <c r="H603">
        <v>2248878</v>
      </c>
      <c r="I603">
        <v>705.78</v>
      </c>
    </row>
    <row r="604" spans="1:9" x14ac:dyDescent="0.2">
      <c r="A604" s="11">
        <v>46003</v>
      </c>
      <c r="B604" t="s">
        <v>11</v>
      </c>
      <c r="C604" t="s">
        <v>951</v>
      </c>
      <c r="D604" t="s">
        <v>952</v>
      </c>
      <c r="E604" t="s">
        <v>953</v>
      </c>
      <c r="F604" t="s">
        <v>14</v>
      </c>
      <c r="G604">
        <v>30</v>
      </c>
      <c r="H604">
        <v>1117337.3999999999</v>
      </c>
      <c r="I604">
        <v>350.66</v>
      </c>
    </row>
    <row r="605" spans="1:9" x14ac:dyDescent="0.2">
      <c r="A605" s="11">
        <v>46003</v>
      </c>
      <c r="B605" t="s">
        <v>11</v>
      </c>
      <c r="C605" t="s">
        <v>951</v>
      </c>
      <c r="D605" t="s">
        <v>952</v>
      </c>
      <c r="E605" t="s">
        <v>954</v>
      </c>
      <c r="F605" t="s">
        <v>16</v>
      </c>
      <c r="G605">
        <v>35</v>
      </c>
      <c r="H605">
        <v>5006158.5</v>
      </c>
      <c r="I605">
        <v>1571.11</v>
      </c>
    </row>
    <row r="606" spans="1:9" x14ac:dyDescent="0.2">
      <c r="A606" s="11">
        <v>46003</v>
      </c>
      <c r="B606" t="s">
        <v>6</v>
      </c>
      <c r="C606" t="s">
        <v>929</v>
      </c>
      <c r="D606" t="s">
        <v>955</v>
      </c>
      <c r="E606" t="s">
        <v>278</v>
      </c>
      <c r="F606" t="s">
        <v>22</v>
      </c>
      <c r="G606">
        <v>18</v>
      </c>
      <c r="H606">
        <v>930449.7</v>
      </c>
      <c r="I606">
        <v>292.01</v>
      </c>
    </row>
    <row r="607" spans="1:9" x14ac:dyDescent="0.2">
      <c r="A607" s="11">
        <v>46003</v>
      </c>
      <c r="B607" t="s">
        <v>6</v>
      </c>
      <c r="C607" t="s">
        <v>929</v>
      </c>
      <c r="D607" t="s">
        <v>955</v>
      </c>
      <c r="E607" t="s">
        <v>956</v>
      </c>
      <c r="F607" t="s">
        <v>14</v>
      </c>
      <c r="G607">
        <v>5</v>
      </c>
      <c r="H607">
        <v>454878.55</v>
      </c>
      <c r="I607">
        <v>142.76</v>
      </c>
    </row>
    <row r="608" spans="1:9" x14ac:dyDescent="0.2">
      <c r="A608" s="11">
        <v>46003</v>
      </c>
      <c r="B608" t="s">
        <v>7</v>
      </c>
      <c r="C608" t="s">
        <v>957</v>
      </c>
      <c r="D608" t="s">
        <v>958</v>
      </c>
      <c r="E608" t="s">
        <v>959</v>
      </c>
      <c r="F608" t="s">
        <v>18</v>
      </c>
      <c r="G608">
        <v>32</v>
      </c>
      <c r="H608">
        <v>3291142.08</v>
      </c>
      <c r="I608">
        <v>1032.8699999999999</v>
      </c>
    </row>
    <row r="609" spans="1:9" x14ac:dyDescent="0.2">
      <c r="A609" s="11">
        <v>46003</v>
      </c>
      <c r="B609" t="s">
        <v>7</v>
      </c>
      <c r="C609" t="s">
        <v>957</v>
      </c>
      <c r="D609" t="s">
        <v>958</v>
      </c>
      <c r="E609" t="s">
        <v>931</v>
      </c>
      <c r="F609" t="s">
        <v>16</v>
      </c>
      <c r="G609">
        <v>35</v>
      </c>
      <c r="H609">
        <v>2313477.6</v>
      </c>
      <c r="I609">
        <v>726.05</v>
      </c>
    </row>
    <row r="610" spans="1:9" x14ac:dyDescent="0.2">
      <c r="A610" s="11">
        <v>46003</v>
      </c>
      <c r="B610" t="s">
        <v>9</v>
      </c>
      <c r="C610" t="s">
        <v>515</v>
      </c>
      <c r="D610" t="s">
        <v>960</v>
      </c>
      <c r="E610" t="s">
        <v>505</v>
      </c>
      <c r="F610" t="s">
        <v>20</v>
      </c>
      <c r="G610">
        <v>8</v>
      </c>
      <c r="H610">
        <v>1100114.48</v>
      </c>
      <c r="I610">
        <v>345.25</v>
      </c>
    </row>
    <row r="611" spans="1:9" x14ac:dyDescent="0.2">
      <c r="A611" s="11">
        <v>46003</v>
      </c>
      <c r="B611" t="s">
        <v>12</v>
      </c>
      <c r="C611" t="s">
        <v>961</v>
      </c>
      <c r="D611" t="s">
        <v>962</v>
      </c>
      <c r="E611" t="s">
        <v>963</v>
      </c>
      <c r="F611" t="s">
        <v>5</v>
      </c>
      <c r="G611">
        <v>2</v>
      </c>
      <c r="H611">
        <v>140932.06</v>
      </c>
      <c r="I611">
        <v>44.23</v>
      </c>
    </row>
    <row r="612" spans="1:9" x14ac:dyDescent="0.2">
      <c r="A612" s="11">
        <v>46003</v>
      </c>
      <c r="B612" t="s">
        <v>12</v>
      </c>
      <c r="C612" t="s">
        <v>964</v>
      </c>
      <c r="D612" t="s">
        <v>965</v>
      </c>
      <c r="E612" t="s">
        <v>966</v>
      </c>
      <c r="F612" t="s">
        <v>16</v>
      </c>
      <c r="G612">
        <v>8</v>
      </c>
      <c r="H612">
        <v>436908.24</v>
      </c>
      <c r="I612">
        <v>137.12</v>
      </c>
    </row>
    <row r="613" spans="1:9" x14ac:dyDescent="0.2">
      <c r="A613" s="11">
        <v>46003</v>
      </c>
      <c r="B613" t="s">
        <v>7</v>
      </c>
      <c r="C613" t="s">
        <v>404</v>
      </c>
      <c r="D613" t="s">
        <v>967</v>
      </c>
      <c r="E613" t="s">
        <v>968</v>
      </c>
      <c r="F613" t="s">
        <v>22</v>
      </c>
      <c r="G613">
        <v>12</v>
      </c>
      <c r="H613">
        <v>573812.28</v>
      </c>
      <c r="I613">
        <v>180.08</v>
      </c>
    </row>
    <row r="614" spans="1:9" x14ac:dyDescent="0.2">
      <c r="A614" s="11">
        <v>46003</v>
      </c>
      <c r="B614" t="s">
        <v>7</v>
      </c>
      <c r="C614" t="s">
        <v>404</v>
      </c>
      <c r="D614" t="s">
        <v>967</v>
      </c>
      <c r="E614" t="s">
        <v>598</v>
      </c>
      <c r="F614" t="s">
        <v>16</v>
      </c>
      <c r="G614">
        <v>18</v>
      </c>
      <c r="H614">
        <v>1266016.32</v>
      </c>
      <c r="I614">
        <v>397.32</v>
      </c>
    </row>
    <row r="615" spans="1:9" x14ac:dyDescent="0.2">
      <c r="A615" s="11">
        <v>46003</v>
      </c>
      <c r="B615" t="s">
        <v>12</v>
      </c>
      <c r="C615" t="s">
        <v>602</v>
      </c>
      <c r="D615" t="s">
        <v>969</v>
      </c>
      <c r="E615" t="s">
        <v>970</v>
      </c>
      <c r="F615" t="s">
        <v>16</v>
      </c>
      <c r="G615">
        <v>13</v>
      </c>
      <c r="H615">
        <v>1181940.6299999999</v>
      </c>
      <c r="I615">
        <v>370.93</v>
      </c>
    </row>
    <row r="616" spans="1:9" x14ac:dyDescent="0.2">
      <c r="A616" s="11">
        <v>46003</v>
      </c>
      <c r="B616" t="s">
        <v>12</v>
      </c>
      <c r="C616" t="s">
        <v>602</v>
      </c>
      <c r="D616" t="s">
        <v>969</v>
      </c>
      <c r="E616" t="s">
        <v>193</v>
      </c>
      <c r="F616" t="s">
        <v>22</v>
      </c>
      <c r="G616">
        <v>21</v>
      </c>
      <c r="H616">
        <v>1001594.37</v>
      </c>
      <c r="I616">
        <v>314.33999999999997</v>
      </c>
    </row>
    <row r="617" spans="1:9" x14ac:dyDescent="0.2">
      <c r="A617" s="11">
        <v>46003</v>
      </c>
      <c r="B617" t="s">
        <v>12</v>
      </c>
      <c r="C617" t="s">
        <v>602</v>
      </c>
      <c r="D617" t="s">
        <v>969</v>
      </c>
      <c r="E617" t="s">
        <v>332</v>
      </c>
      <c r="F617" t="s">
        <v>5</v>
      </c>
      <c r="G617">
        <v>16</v>
      </c>
      <c r="H617">
        <v>775530.08</v>
      </c>
      <c r="I617">
        <v>243.39</v>
      </c>
    </row>
    <row r="618" spans="1:9" x14ac:dyDescent="0.2">
      <c r="A618" s="11">
        <v>46003</v>
      </c>
      <c r="B618" t="s">
        <v>12</v>
      </c>
      <c r="C618" t="s">
        <v>602</v>
      </c>
      <c r="D618" t="s">
        <v>969</v>
      </c>
      <c r="E618" t="s">
        <v>971</v>
      </c>
      <c r="F618" t="s">
        <v>14</v>
      </c>
      <c r="G618">
        <v>19</v>
      </c>
      <c r="H618">
        <v>1891555.83</v>
      </c>
      <c r="I618">
        <v>593.64</v>
      </c>
    </row>
    <row r="619" spans="1:9" x14ac:dyDescent="0.2">
      <c r="A619" s="11">
        <v>46003</v>
      </c>
      <c r="B619" t="s">
        <v>9</v>
      </c>
      <c r="C619" t="s">
        <v>972</v>
      </c>
      <c r="D619" t="s">
        <v>973</v>
      </c>
      <c r="E619" t="s">
        <v>974</v>
      </c>
      <c r="F619" t="s">
        <v>14</v>
      </c>
      <c r="G619">
        <v>14</v>
      </c>
      <c r="H619">
        <v>1295736.96</v>
      </c>
      <c r="I619">
        <v>406.65</v>
      </c>
    </row>
    <row r="620" spans="1:9" x14ac:dyDescent="0.2">
      <c r="A620" s="11">
        <v>46003</v>
      </c>
      <c r="B620" t="s">
        <v>9</v>
      </c>
      <c r="C620" t="s">
        <v>972</v>
      </c>
      <c r="D620" t="s">
        <v>973</v>
      </c>
      <c r="E620" t="s">
        <v>975</v>
      </c>
      <c r="F620" t="s">
        <v>22</v>
      </c>
      <c r="G620">
        <v>12</v>
      </c>
      <c r="H620">
        <v>386320.92</v>
      </c>
      <c r="I620">
        <v>121.24</v>
      </c>
    </row>
    <row r="621" spans="1:9" x14ac:dyDescent="0.2">
      <c r="A621" s="11">
        <v>46003</v>
      </c>
      <c r="B621" t="s">
        <v>9</v>
      </c>
      <c r="C621" t="s">
        <v>972</v>
      </c>
      <c r="D621" t="s">
        <v>973</v>
      </c>
      <c r="E621" t="s">
        <v>81</v>
      </c>
      <c r="F621" t="s">
        <v>14</v>
      </c>
      <c r="G621">
        <v>19</v>
      </c>
      <c r="H621">
        <v>1400539.4</v>
      </c>
      <c r="I621">
        <v>439.54</v>
      </c>
    </row>
    <row r="622" spans="1:9" x14ac:dyDescent="0.2">
      <c r="A622" s="11">
        <v>46003</v>
      </c>
      <c r="B622" t="s">
        <v>9</v>
      </c>
      <c r="C622" t="s">
        <v>972</v>
      </c>
      <c r="D622" t="s">
        <v>973</v>
      </c>
      <c r="E622" t="s">
        <v>913</v>
      </c>
      <c r="F622" t="s">
        <v>18</v>
      </c>
      <c r="G622">
        <v>55</v>
      </c>
      <c r="H622">
        <v>4948379.7</v>
      </c>
      <c r="I622">
        <v>1552.97</v>
      </c>
    </row>
    <row r="623" spans="1:9" x14ac:dyDescent="0.2">
      <c r="A623" s="11">
        <v>46003</v>
      </c>
      <c r="B623" t="s">
        <v>9</v>
      </c>
      <c r="C623" t="s">
        <v>972</v>
      </c>
      <c r="D623" t="s">
        <v>973</v>
      </c>
      <c r="E623" t="s">
        <v>169</v>
      </c>
      <c r="F623" t="s">
        <v>22</v>
      </c>
      <c r="G623">
        <v>8</v>
      </c>
      <c r="H623">
        <v>299008.48</v>
      </c>
      <c r="I623">
        <v>93.84</v>
      </c>
    </row>
    <row r="624" spans="1:9" x14ac:dyDescent="0.2">
      <c r="A624" s="11">
        <v>46004</v>
      </c>
      <c r="B624" t="s">
        <v>12</v>
      </c>
      <c r="C624" t="s">
        <v>732</v>
      </c>
      <c r="D624" t="s">
        <v>976</v>
      </c>
      <c r="E624" t="s">
        <v>316</v>
      </c>
      <c r="F624" t="s">
        <v>18</v>
      </c>
      <c r="G624">
        <v>6</v>
      </c>
      <c r="H624">
        <v>620317.31999999995</v>
      </c>
      <c r="I624">
        <v>194.68</v>
      </c>
    </row>
    <row r="625" spans="1:9" x14ac:dyDescent="0.2">
      <c r="A625" s="11">
        <v>46004</v>
      </c>
      <c r="B625" t="s">
        <v>8</v>
      </c>
      <c r="C625" t="s">
        <v>977</v>
      </c>
      <c r="D625" t="s">
        <v>978</v>
      </c>
      <c r="E625" t="s">
        <v>979</v>
      </c>
      <c r="F625" t="s">
        <v>14</v>
      </c>
      <c r="G625">
        <v>6</v>
      </c>
      <c r="H625">
        <v>400483.02</v>
      </c>
      <c r="I625">
        <v>125.69</v>
      </c>
    </row>
    <row r="626" spans="1:9" x14ac:dyDescent="0.2">
      <c r="A626" s="11">
        <v>46004</v>
      </c>
      <c r="B626" t="s">
        <v>8</v>
      </c>
      <c r="C626" t="s">
        <v>977</v>
      </c>
      <c r="D626" t="s">
        <v>978</v>
      </c>
      <c r="E626" t="s">
        <v>980</v>
      </c>
      <c r="F626" t="s">
        <v>5</v>
      </c>
      <c r="G626">
        <v>21</v>
      </c>
      <c r="H626">
        <v>931297.71</v>
      </c>
      <c r="I626">
        <v>292.27</v>
      </c>
    </row>
    <row r="627" spans="1:9" x14ac:dyDescent="0.2">
      <c r="A627" s="11">
        <v>46004</v>
      </c>
      <c r="B627" t="s">
        <v>8</v>
      </c>
      <c r="C627" t="s">
        <v>977</v>
      </c>
      <c r="D627" t="s">
        <v>978</v>
      </c>
      <c r="E627" t="s">
        <v>402</v>
      </c>
      <c r="F627" t="s">
        <v>14</v>
      </c>
      <c r="G627">
        <v>7</v>
      </c>
      <c r="H627">
        <v>332049.69</v>
      </c>
      <c r="I627">
        <v>104.21</v>
      </c>
    </row>
    <row r="628" spans="1:9" x14ac:dyDescent="0.2">
      <c r="A628" s="11">
        <v>46004</v>
      </c>
      <c r="B628" t="s">
        <v>6</v>
      </c>
      <c r="C628" t="s">
        <v>981</v>
      </c>
      <c r="D628" t="s">
        <v>982</v>
      </c>
      <c r="E628" t="s">
        <v>983</v>
      </c>
      <c r="F628" t="s">
        <v>5</v>
      </c>
      <c r="G628">
        <v>5</v>
      </c>
      <c r="H628">
        <v>162829.85</v>
      </c>
      <c r="I628">
        <v>51.1</v>
      </c>
    </row>
    <row r="629" spans="1:9" x14ac:dyDescent="0.2">
      <c r="A629" s="11">
        <v>46004</v>
      </c>
      <c r="B629" t="s">
        <v>6</v>
      </c>
      <c r="C629" t="s">
        <v>981</v>
      </c>
      <c r="D629" t="s">
        <v>982</v>
      </c>
      <c r="E629" t="s">
        <v>984</v>
      </c>
      <c r="F629" t="s">
        <v>22</v>
      </c>
      <c r="G629">
        <v>14</v>
      </c>
      <c r="H629">
        <v>494231.92</v>
      </c>
      <c r="I629">
        <v>155.11000000000001</v>
      </c>
    </row>
    <row r="630" spans="1:9" x14ac:dyDescent="0.2">
      <c r="A630" s="11">
        <v>46004</v>
      </c>
      <c r="B630" t="s">
        <v>6</v>
      </c>
      <c r="C630" t="s">
        <v>981</v>
      </c>
      <c r="D630" t="s">
        <v>982</v>
      </c>
      <c r="E630" t="s">
        <v>174</v>
      </c>
      <c r="F630" t="s">
        <v>5</v>
      </c>
      <c r="G630">
        <v>16</v>
      </c>
      <c r="H630">
        <v>1055958.72</v>
      </c>
      <c r="I630">
        <v>331.4</v>
      </c>
    </row>
    <row r="631" spans="1:9" x14ac:dyDescent="0.2">
      <c r="A631" s="11">
        <v>46004</v>
      </c>
      <c r="B631" t="s">
        <v>7</v>
      </c>
      <c r="C631" t="s">
        <v>985</v>
      </c>
      <c r="D631" t="s">
        <v>986</v>
      </c>
      <c r="E631" t="s">
        <v>672</v>
      </c>
      <c r="F631" t="s">
        <v>18</v>
      </c>
      <c r="G631">
        <v>22</v>
      </c>
      <c r="H631">
        <v>1301143.8</v>
      </c>
      <c r="I631">
        <v>408.34</v>
      </c>
    </row>
    <row r="632" spans="1:9" x14ac:dyDescent="0.2">
      <c r="A632" s="11">
        <v>46004</v>
      </c>
      <c r="B632" t="s">
        <v>7</v>
      </c>
      <c r="C632" t="s">
        <v>985</v>
      </c>
      <c r="D632" t="s">
        <v>986</v>
      </c>
      <c r="E632" t="s">
        <v>987</v>
      </c>
      <c r="F632" t="s">
        <v>16</v>
      </c>
      <c r="G632">
        <v>18</v>
      </c>
      <c r="H632">
        <v>1489869.18</v>
      </c>
      <c r="I632">
        <v>467.57</v>
      </c>
    </row>
    <row r="633" spans="1:9" x14ac:dyDescent="0.2">
      <c r="A633" s="11">
        <v>46004</v>
      </c>
      <c r="B633" t="s">
        <v>7</v>
      </c>
      <c r="C633" t="s">
        <v>985</v>
      </c>
      <c r="D633" t="s">
        <v>986</v>
      </c>
      <c r="E633" t="s">
        <v>988</v>
      </c>
      <c r="F633" t="s">
        <v>16</v>
      </c>
      <c r="G633">
        <v>29</v>
      </c>
      <c r="H633">
        <v>3341788.32</v>
      </c>
      <c r="I633">
        <v>1048.77</v>
      </c>
    </row>
    <row r="634" spans="1:9" x14ac:dyDescent="0.2">
      <c r="A634" s="11">
        <v>46004</v>
      </c>
      <c r="B634" t="s">
        <v>7</v>
      </c>
      <c r="C634" t="s">
        <v>985</v>
      </c>
      <c r="D634" t="s">
        <v>986</v>
      </c>
      <c r="E634" t="s">
        <v>989</v>
      </c>
      <c r="F634" t="s">
        <v>18</v>
      </c>
      <c r="G634">
        <v>15</v>
      </c>
      <c r="H634">
        <v>1701618.15</v>
      </c>
      <c r="I634">
        <v>534.03</v>
      </c>
    </row>
    <row r="635" spans="1:9" x14ac:dyDescent="0.2">
      <c r="A635" s="11">
        <v>46004</v>
      </c>
      <c r="B635" t="s">
        <v>6</v>
      </c>
      <c r="C635" t="s">
        <v>453</v>
      </c>
      <c r="D635" t="s">
        <v>990</v>
      </c>
      <c r="E635" t="s">
        <v>991</v>
      </c>
      <c r="F635" t="s">
        <v>18</v>
      </c>
      <c r="G635">
        <v>18</v>
      </c>
      <c r="H635">
        <v>1434791.52</v>
      </c>
      <c r="I635">
        <v>450.29</v>
      </c>
    </row>
    <row r="636" spans="1:9" x14ac:dyDescent="0.2">
      <c r="A636" s="11">
        <v>46004</v>
      </c>
      <c r="B636" t="s">
        <v>6</v>
      </c>
      <c r="C636" t="s">
        <v>453</v>
      </c>
      <c r="D636" t="s">
        <v>990</v>
      </c>
      <c r="E636" t="s">
        <v>587</v>
      </c>
      <c r="F636" t="s">
        <v>22</v>
      </c>
      <c r="G636">
        <v>4</v>
      </c>
      <c r="H636">
        <v>230860.52</v>
      </c>
      <c r="I636">
        <v>72.45</v>
      </c>
    </row>
    <row r="637" spans="1:9" x14ac:dyDescent="0.2">
      <c r="A637" s="11">
        <v>46004</v>
      </c>
      <c r="B637" t="s">
        <v>6</v>
      </c>
      <c r="C637" t="s">
        <v>453</v>
      </c>
      <c r="D637" t="s">
        <v>990</v>
      </c>
      <c r="E637" t="s">
        <v>913</v>
      </c>
      <c r="F637" t="s">
        <v>18</v>
      </c>
      <c r="G637">
        <v>7</v>
      </c>
      <c r="H637">
        <v>648022.76</v>
      </c>
      <c r="I637">
        <v>203.37</v>
      </c>
    </row>
    <row r="638" spans="1:9" x14ac:dyDescent="0.2">
      <c r="A638" s="11">
        <v>46004</v>
      </c>
      <c r="B638" t="s">
        <v>6</v>
      </c>
      <c r="C638" t="s">
        <v>992</v>
      </c>
      <c r="D638" t="s">
        <v>993</v>
      </c>
      <c r="E638" t="s">
        <v>128</v>
      </c>
      <c r="F638" t="s">
        <v>14</v>
      </c>
      <c r="G638">
        <v>7</v>
      </c>
      <c r="H638">
        <v>513506.21</v>
      </c>
      <c r="I638">
        <v>161.16</v>
      </c>
    </row>
    <row r="639" spans="1:9" x14ac:dyDescent="0.2">
      <c r="A639" s="11">
        <v>46004</v>
      </c>
      <c r="B639" t="s">
        <v>6</v>
      </c>
      <c r="C639" t="s">
        <v>992</v>
      </c>
      <c r="D639" t="s">
        <v>993</v>
      </c>
      <c r="E639" t="s">
        <v>328</v>
      </c>
      <c r="F639" t="s">
        <v>22</v>
      </c>
      <c r="G639">
        <v>25</v>
      </c>
      <c r="H639">
        <v>1452601</v>
      </c>
      <c r="I639">
        <v>455.88</v>
      </c>
    </row>
    <row r="640" spans="1:9" x14ac:dyDescent="0.2">
      <c r="A640" s="11">
        <v>46004</v>
      </c>
      <c r="B640" t="s">
        <v>6</v>
      </c>
      <c r="C640" t="s">
        <v>992</v>
      </c>
      <c r="D640" t="s">
        <v>993</v>
      </c>
      <c r="E640" t="s">
        <v>816</v>
      </c>
      <c r="F640" t="s">
        <v>20</v>
      </c>
      <c r="G640">
        <v>102</v>
      </c>
      <c r="H640">
        <v>11792416.859999999</v>
      </c>
      <c r="I640">
        <v>3700.87</v>
      </c>
    </row>
    <row r="641" spans="1:9" x14ac:dyDescent="0.2">
      <c r="A641" s="11">
        <v>46004</v>
      </c>
      <c r="B641" t="s">
        <v>9</v>
      </c>
      <c r="C641" t="s">
        <v>994</v>
      </c>
      <c r="D641" t="s">
        <v>995</v>
      </c>
      <c r="E641" t="s">
        <v>996</v>
      </c>
      <c r="F641" t="s">
        <v>20</v>
      </c>
      <c r="G641">
        <v>29</v>
      </c>
      <c r="H641">
        <v>2479762.4500000002</v>
      </c>
      <c r="I641">
        <v>778.24</v>
      </c>
    </row>
    <row r="642" spans="1:9" x14ac:dyDescent="0.2">
      <c r="A642" s="11">
        <v>46004</v>
      </c>
      <c r="B642" t="s">
        <v>9</v>
      </c>
      <c r="C642" t="s">
        <v>994</v>
      </c>
      <c r="D642" t="s">
        <v>995</v>
      </c>
      <c r="E642" t="s">
        <v>997</v>
      </c>
      <c r="F642" t="s">
        <v>22</v>
      </c>
      <c r="G642">
        <v>27</v>
      </c>
      <c r="H642">
        <v>1522586.97</v>
      </c>
      <c r="I642">
        <v>477.84</v>
      </c>
    </row>
    <row r="643" spans="1:9" x14ac:dyDescent="0.2">
      <c r="A643" s="11">
        <v>46004</v>
      </c>
      <c r="B643" t="s">
        <v>9</v>
      </c>
      <c r="C643" t="s">
        <v>994</v>
      </c>
      <c r="D643" t="s">
        <v>995</v>
      </c>
      <c r="E643" t="s">
        <v>466</v>
      </c>
      <c r="F643" t="s">
        <v>20</v>
      </c>
      <c r="G643">
        <v>8</v>
      </c>
      <c r="H643">
        <v>1566006.24</v>
      </c>
      <c r="I643">
        <v>491.47</v>
      </c>
    </row>
    <row r="644" spans="1:9" x14ac:dyDescent="0.2">
      <c r="A644" s="11">
        <v>46004</v>
      </c>
      <c r="B644" t="s">
        <v>7</v>
      </c>
      <c r="C644" t="s">
        <v>998</v>
      </c>
      <c r="D644" t="s">
        <v>999</v>
      </c>
      <c r="E644" t="s">
        <v>953</v>
      </c>
      <c r="F644" t="s">
        <v>14</v>
      </c>
      <c r="G644">
        <v>8</v>
      </c>
      <c r="H644">
        <v>320856.56</v>
      </c>
      <c r="I644">
        <v>100.7</v>
      </c>
    </row>
    <row r="645" spans="1:9" x14ac:dyDescent="0.2">
      <c r="A645" s="11">
        <v>46004</v>
      </c>
      <c r="B645" t="s">
        <v>7</v>
      </c>
      <c r="C645" t="s">
        <v>998</v>
      </c>
      <c r="D645" t="s">
        <v>999</v>
      </c>
      <c r="E645" t="s">
        <v>717</v>
      </c>
      <c r="F645" t="s">
        <v>22</v>
      </c>
      <c r="G645">
        <v>11</v>
      </c>
      <c r="H645">
        <v>650905.31000000006</v>
      </c>
      <c r="I645">
        <v>204.28</v>
      </c>
    </row>
    <row r="646" spans="1:9" x14ac:dyDescent="0.2">
      <c r="A646" s="11">
        <v>46004</v>
      </c>
      <c r="B646" t="s">
        <v>12</v>
      </c>
      <c r="C646" t="s">
        <v>1000</v>
      </c>
      <c r="D646" t="s">
        <v>1001</v>
      </c>
      <c r="E646" t="s">
        <v>455</v>
      </c>
      <c r="F646" t="s">
        <v>18</v>
      </c>
      <c r="G646">
        <v>84</v>
      </c>
      <c r="H646">
        <v>9899068.1999999993</v>
      </c>
      <c r="I646">
        <v>3106.67</v>
      </c>
    </row>
    <row r="647" spans="1:9" x14ac:dyDescent="0.2">
      <c r="A647" s="11">
        <v>46004</v>
      </c>
      <c r="B647" t="s">
        <v>12</v>
      </c>
      <c r="C647" t="s">
        <v>1000</v>
      </c>
      <c r="D647" t="s">
        <v>1001</v>
      </c>
      <c r="E647" t="s">
        <v>350</v>
      </c>
      <c r="F647" t="s">
        <v>18</v>
      </c>
      <c r="G647">
        <v>6</v>
      </c>
      <c r="H647">
        <v>748389.96</v>
      </c>
      <c r="I647">
        <v>234.87</v>
      </c>
    </row>
    <row r="648" spans="1:9" x14ac:dyDescent="0.2">
      <c r="A648" s="11">
        <v>46004</v>
      </c>
      <c r="B648" t="s">
        <v>7</v>
      </c>
      <c r="C648" t="s">
        <v>1002</v>
      </c>
      <c r="D648" t="s">
        <v>1003</v>
      </c>
      <c r="E648" t="s">
        <v>816</v>
      </c>
      <c r="F648" t="s">
        <v>20</v>
      </c>
      <c r="G648">
        <v>22</v>
      </c>
      <c r="H648">
        <v>2452048.06</v>
      </c>
      <c r="I648">
        <v>769.54</v>
      </c>
    </row>
    <row r="649" spans="1:9" x14ac:dyDescent="0.2">
      <c r="A649" s="11">
        <v>46004</v>
      </c>
      <c r="B649" t="s">
        <v>10</v>
      </c>
      <c r="C649" t="s">
        <v>1004</v>
      </c>
      <c r="D649" t="s">
        <v>1005</v>
      </c>
      <c r="E649" t="s">
        <v>1006</v>
      </c>
      <c r="F649" t="s">
        <v>14</v>
      </c>
      <c r="G649">
        <v>10</v>
      </c>
      <c r="H649">
        <v>490152.4</v>
      </c>
      <c r="I649">
        <v>153.83000000000001</v>
      </c>
    </row>
    <row r="650" spans="1:9" x14ac:dyDescent="0.2">
      <c r="A650" s="11">
        <v>46004</v>
      </c>
      <c r="B650" t="s">
        <v>10</v>
      </c>
      <c r="C650" t="s">
        <v>1004</v>
      </c>
      <c r="D650" t="s">
        <v>1005</v>
      </c>
      <c r="E650" t="s">
        <v>1007</v>
      </c>
      <c r="F650" t="s">
        <v>22</v>
      </c>
      <c r="G650">
        <v>11</v>
      </c>
      <c r="H650">
        <v>411975.96</v>
      </c>
      <c r="I650">
        <v>129.29</v>
      </c>
    </row>
    <row r="651" spans="1:9" x14ac:dyDescent="0.2">
      <c r="A651" s="11">
        <v>46004</v>
      </c>
      <c r="B651" t="s">
        <v>12</v>
      </c>
      <c r="C651" t="s">
        <v>1008</v>
      </c>
      <c r="D651" t="s">
        <v>1009</v>
      </c>
      <c r="E651" t="s">
        <v>419</v>
      </c>
      <c r="F651" t="s">
        <v>18</v>
      </c>
      <c r="G651">
        <v>5</v>
      </c>
      <c r="H651">
        <v>604377.65</v>
      </c>
      <c r="I651">
        <v>189.67</v>
      </c>
    </row>
    <row r="652" spans="1:9" x14ac:dyDescent="0.2">
      <c r="A652" s="11">
        <v>46004</v>
      </c>
      <c r="B652" t="s">
        <v>12</v>
      </c>
      <c r="C652" t="s">
        <v>1008</v>
      </c>
      <c r="D652" t="s">
        <v>1009</v>
      </c>
      <c r="E652" t="s">
        <v>93</v>
      </c>
      <c r="F652" t="s">
        <v>18</v>
      </c>
      <c r="G652">
        <v>8</v>
      </c>
      <c r="H652">
        <v>472225.12</v>
      </c>
      <c r="I652">
        <v>148.19999999999999</v>
      </c>
    </row>
    <row r="653" spans="1:9" x14ac:dyDescent="0.2">
      <c r="A653" s="11">
        <v>46004</v>
      </c>
      <c r="B653" t="s">
        <v>12</v>
      </c>
      <c r="C653" t="s">
        <v>1008</v>
      </c>
      <c r="D653" t="s">
        <v>1009</v>
      </c>
      <c r="E653" t="s">
        <v>649</v>
      </c>
      <c r="F653" t="s">
        <v>14</v>
      </c>
      <c r="G653">
        <v>9</v>
      </c>
      <c r="H653">
        <v>852340.77</v>
      </c>
      <c r="I653">
        <v>267.49</v>
      </c>
    </row>
    <row r="654" spans="1:9" x14ac:dyDescent="0.2">
      <c r="A654" s="11">
        <v>46004</v>
      </c>
      <c r="B654" t="s">
        <v>12</v>
      </c>
      <c r="C654" t="s">
        <v>1008</v>
      </c>
      <c r="D654" t="s">
        <v>1009</v>
      </c>
      <c r="E654" t="s">
        <v>1010</v>
      </c>
      <c r="F654" t="s">
        <v>18</v>
      </c>
      <c r="G654">
        <v>17</v>
      </c>
      <c r="H654">
        <v>1336777.1499999999</v>
      </c>
      <c r="I654">
        <v>419.53</v>
      </c>
    </row>
    <row r="655" spans="1:9" x14ac:dyDescent="0.2">
      <c r="A655" s="11">
        <v>46004</v>
      </c>
      <c r="B655" t="s">
        <v>12</v>
      </c>
      <c r="C655" t="s">
        <v>1008</v>
      </c>
      <c r="D655" t="s">
        <v>1009</v>
      </c>
      <c r="E655" t="s">
        <v>1011</v>
      </c>
      <c r="F655" t="s">
        <v>20</v>
      </c>
      <c r="G655">
        <v>7</v>
      </c>
      <c r="H655">
        <v>1001662.62</v>
      </c>
      <c r="I655">
        <v>314.36</v>
      </c>
    </row>
    <row r="656" spans="1:9" x14ac:dyDescent="0.2">
      <c r="A656" s="11">
        <v>46004</v>
      </c>
      <c r="B656" t="s">
        <v>6</v>
      </c>
      <c r="C656" t="s">
        <v>1012</v>
      </c>
      <c r="D656" t="s">
        <v>1013</v>
      </c>
      <c r="E656" t="s">
        <v>1014</v>
      </c>
      <c r="F656" t="s">
        <v>16</v>
      </c>
      <c r="G656">
        <v>25</v>
      </c>
      <c r="H656">
        <v>3483586.5</v>
      </c>
      <c r="I656">
        <v>1093.27</v>
      </c>
    </row>
    <row r="657" spans="1:9" x14ac:dyDescent="0.2">
      <c r="A657" s="11">
        <v>46004</v>
      </c>
      <c r="B657" t="s">
        <v>6</v>
      </c>
      <c r="C657" t="s">
        <v>1012</v>
      </c>
      <c r="D657" t="s">
        <v>1013</v>
      </c>
      <c r="E657" t="s">
        <v>785</v>
      </c>
      <c r="F657" t="s">
        <v>20</v>
      </c>
      <c r="G657">
        <v>8</v>
      </c>
      <c r="H657">
        <v>628695.68000000005</v>
      </c>
      <c r="I657">
        <v>197.31</v>
      </c>
    </row>
    <row r="658" spans="1:9" x14ac:dyDescent="0.2">
      <c r="A658" s="11">
        <v>46004</v>
      </c>
      <c r="B658" t="s">
        <v>6</v>
      </c>
      <c r="C658" t="s">
        <v>1012</v>
      </c>
      <c r="D658" t="s">
        <v>1013</v>
      </c>
      <c r="E658" t="s">
        <v>1015</v>
      </c>
      <c r="F658" t="s">
        <v>18</v>
      </c>
      <c r="G658">
        <v>12</v>
      </c>
      <c r="H658">
        <v>515573.88</v>
      </c>
      <c r="I658">
        <v>161.81</v>
      </c>
    </row>
    <row r="659" spans="1:9" x14ac:dyDescent="0.2">
      <c r="A659" s="11">
        <v>46004</v>
      </c>
      <c r="B659" t="s">
        <v>6</v>
      </c>
      <c r="C659" t="s">
        <v>1012</v>
      </c>
      <c r="D659" t="s">
        <v>1013</v>
      </c>
      <c r="E659" t="s">
        <v>642</v>
      </c>
      <c r="F659" t="s">
        <v>20</v>
      </c>
      <c r="G659">
        <v>16</v>
      </c>
      <c r="H659">
        <v>1837299.68</v>
      </c>
      <c r="I659">
        <v>576.61</v>
      </c>
    </row>
    <row r="660" spans="1:9" x14ac:dyDescent="0.2">
      <c r="A660" s="11">
        <v>46004</v>
      </c>
      <c r="B660" t="s">
        <v>6</v>
      </c>
      <c r="C660" t="s">
        <v>1012</v>
      </c>
      <c r="D660" t="s">
        <v>1013</v>
      </c>
      <c r="E660" t="s">
        <v>860</v>
      </c>
      <c r="F660" t="s">
        <v>5</v>
      </c>
      <c r="G660">
        <v>15</v>
      </c>
      <c r="H660">
        <v>654783.30000000005</v>
      </c>
      <c r="I660">
        <v>205.49</v>
      </c>
    </row>
    <row r="661" spans="1:9" x14ac:dyDescent="0.2">
      <c r="A661" s="11">
        <v>46004</v>
      </c>
      <c r="B661" t="s">
        <v>8</v>
      </c>
      <c r="C661" t="s">
        <v>1016</v>
      </c>
      <c r="D661" t="s">
        <v>1017</v>
      </c>
      <c r="E661" t="s">
        <v>1018</v>
      </c>
      <c r="F661" t="s">
        <v>20</v>
      </c>
      <c r="G661">
        <v>7</v>
      </c>
      <c r="H661">
        <v>1411919.74</v>
      </c>
      <c r="I661">
        <v>443.11</v>
      </c>
    </row>
    <row r="662" spans="1:9" x14ac:dyDescent="0.2">
      <c r="A662" s="11">
        <v>46004</v>
      </c>
      <c r="B662" t="s">
        <v>8</v>
      </c>
      <c r="C662" t="s">
        <v>1016</v>
      </c>
      <c r="D662" t="s">
        <v>1017</v>
      </c>
      <c r="E662" t="s">
        <v>312</v>
      </c>
      <c r="F662" t="s">
        <v>22</v>
      </c>
      <c r="G662">
        <v>14</v>
      </c>
      <c r="H662">
        <v>384771.1</v>
      </c>
      <c r="I662">
        <v>120.75</v>
      </c>
    </row>
    <row r="663" spans="1:9" x14ac:dyDescent="0.2">
      <c r="A663" s="11">
        <v>46004</v>
      </c>
      <c r="B663" t="s">
        <v>8</v>
      </c>
      <c r="C663" t="s">
        <v>1016</v>
      </c>
      <c r="D663" t="s">
        <v>1017</v>
      </c>
      <c r="E663" t="s">
        <v>1019</v>
      </c>
      <c r="F663" t="s">
        <v>18</v>
      </c>
      <c r="G663">
        <v>45</v>
      </c>
      <c r="H663">
        <v>4191961.95</v>
      </c>
      <c r="I663">
        <v>1315.58</v>
      </c>
    </row>
    <row r="664" spans="1:9" x14ac:dyDescent="0.2">
      <c r="A664" s="11">
        <v>46004</v>
      </c>
      <c r="B664" t="s">
        <v>11</v>
      </c>
      <c r="C664" t="s">
        <v>665</v>
      </c>
      <c r="D664" t="s">
        <v>1020</v>
      </c>
      <c r="E664" t="s">
        <v>810</v>
      </c>
      <c r="F664" t="s">
        <v>22</v>
      </c>
      <c r="G664">
        <v>13</v>
      </c>
      <c r="H664">
        <v>318986.84999999998</v>
      </c>
      <c r="I664">
        <v>100.11</v>
      </c>
    </row>
    <row r="665" spans="1:9" x14ac:dyDescent="0.2">
      <c r="A665" s="11">
        <v>46004</v>
      </c>
      <c r="B665" t="s">
        <v>11</v>
      </c>
      <c r="C665" t="s">
        <v>665</v>
      </c>
      <c r="D665" t="s">
        <v>1020</v>
      </c>
      <c r="E665" t="s">
        <v>1021</v>
      </c>
      <c r="F665" t="s">
        <v>18</v>
      </c>
      <c r="G665">
        <v>3</v>
      </c>
      <c r="H665">
        <v>163189.10999999999</v>
      </c>
      <c r="I665">
        <v>51.21</v>
      </c>
    </row>
    <row r="666" spans="1:9" x14ac:dyDescent="0.2">
      <c r="A666" s="11">
        <v>46004</v>
      </c>
      <c r="B666" t="s">
        <v>11</v>
      </c>
      <c r="C666" t="s">
        <v>832</v>
      </c>
      <c r="D666" t="s">
        <v>1022</v>
      </c>
      <c r="E666" t="s">
        <v>1023</v>
      </c>
      <c r="F666" t="s">
        <v>18</v>
      </c>
      <c r="G666">
        <v>14</v>
      </c>
      <c r="H666">
        <v>1220870.28</v>
      </c>
      <c r="I666">
        <v>383.15</v>
      </c>
    </row>
    <row r="667" spans="1:9" x14ac:dyDescent="0.2">
      <c r="A667" s="11">
        <v>46004</v>
      </c>
      <c r="B667" t="s">
        <v>11</v>
      </c>
      <c r="C667" t="s">
        <v>832</v>
      </c>
      <c r="D667" t="s">
        <v>1022</v>
      </c>
      <c r="E667" t="s">
        <v>1024</v>
      </c>
      <c r="F667" t="s">
        <v>22</v>
      </c>
      <c r="G667">
        <v>5</v>
      </c>
      <c r="H667">
        <v>162345.85</v>
      </c>
      <c r="I667">
        <v>50.95</v>
      </c>
    </row>
    <row r="668" spans="1:9" x14ac:dyDescent="0.2">
      <c r="A668" s="11">
        <v>46004</v>
      </c>
      <c r="B668" t="s">
        <v>11</v>
      </c>
      <c r="C668" t="s">
        <v>832</v>
      </c>
      <c r="D668" t="s">
        <v>1022</v>
      </c>
      <c r="E668" t="s">
        <v>1025</v>
      </c>
      <c r="F668" t="s">
        <v>14</v>
      </c>
      <c r="G668">
        <v>8</v>
      </c>
      <c r="H668">
        <v>426565.52</v>
      </c>
      <c r="I668">
        <v>133.87</v>
      </c>
    </row>
    <row r="669" spans="1:9" x14ac:dyDescent="0.2">
      <c r="A669" s="11">
        <v>46004</v>
      </c>
      <c r="B669" t="s">
        <v>6</v>
      </c>
      <c r="C669" t="s">
        <v>1026</v>
      </c>
      <c r="D669" t="s">
        <v>1027</v>
      </c>
      <c r="E669" t="s">
        <v>1028</v>
      </c>
      <c r="F669" t="s">
        <v>14</v>
      </c>
      <c r="G669">
        <v>6</v>
      </c>
      <c r="H669">
        <v>321674.82</v>
      </c>
      <c r="I669">
        <v>100.95</v>
      </c>
    </row>
    <row r="670" spans="1:9" x14ac:dyDescent="0.2">
      <c r="A670" s="11">
        <v>46004</v>
      </c>
      <c r="B670" t="s">
        <v>7</v>
      </c>
      <c r="C670" t="s">
        <v>1029</v>
      </c>
      <c r="D670" t="s">
        <v>1030</v>
      </c>
      <c r="E670" t="s">
        <v>1031</v>
      </c>
      <c r="F670" t="s">
        <v>18</v>
      </c>
      <c r="G670">
        <v>13</v>
      </c>
      <c r="H670">
        <v>1392999.79</v>
      </c>
      <c r="I670">
        <v>437.17</v>
      </c>
    </row>
    <row r="671" spans="1:9" x14ac:dyDescent="0.2">
      <c r="A671" s="11">
        <v>46004</v>
      </c>
      <c r="B671" t="s">
        <v>7</v>
      </c>
      <c r="C671" t="s">
        <v>1029</v>
      </c>
      <c r="D671" t="s">
        <v>1030</v>
      </c>
      <c r="E671" t="s">
        <v>636</v>
      </c>
      <c r="F671" t="s">
        <v>22</v>
      </c>
      <c r="G671">
        <v>24</v>
      </c>
      <c r="H671">
        <v>880276.56</v>
      </c>
      <c r="I671">
        <v>276.26</v>
      </c>
    </row>
    <row r="672" spans="1:9" x14ac:dyDescent="0.2">
      <c r="A672" s="11">
        <v>46004</v>
      </c>
      <c r="B672" t="s">
        <v>7</v>
      </c>
      <c r="C672" t="s">
        <v>1029</v>
      </c>
      <c r="D672" t="s">
        <v>1030</v>
      </c>
      <c r="E672" t="s">
        <v>1014</v>
      </c>
      <c r="F672" t="s">
        <v>16</v>
      </c>
      <c r="G672">
        <v>9</v>
      </c>
      <c r="H672">
        <v>1281592.71</v>
      </c>
      <c r="I672">
        <v>402.21</v>
      </c>
    </row>
    <row r="673" spans="1:9" x14ac:dyDescent="0.2">
      <c r="A673" s="11">
        <v>46004</v>
      </c>
      <c r="B673" t="s">
        <v>10</v>
      </c>
      <c r="C673" t="s">
        <v>1032</v>
      </c>
      <c r="D673" t="s">
        <v>1033</v>
      </c>
      <c r="E673" t="s">
        <v>931</v>
      </c>
      <c r="F673" t="s">
        <v>16</v>
      </c>
      <c r="G673">
        <v>21</v>
      </c>
      <c r="H673">
        <v>1382496.36</v>
      </c>
      <c r="I673">
        <v>433.88</v>
      </c>
    </row>
    <row r="674" spans="1:9" x14ac:dyDescent="0.2">
      <c r="A674" s="11">
        <v>46004</v>
      </c>
      <c r="B674" t="s">
        <v>7</v>
      </c>
      <c r="C674" t="s">
        <v>1034</v>
      </c>
      <c r="D674" t="s">
        <v>1035</v>
      </c>
      <c r="E674" t="s">
        <v>1036</v>
      </c>
      <c r="F674" t="s">
        <v>18</v>
      </c>
      <c r="G674">
        <v>16</v>
      </c>
      <c r="H674">
        <v>1695524.32</v>
      </c>
      <c r="I674">
        <v>532.11</v>
      </c>
    </row>
    <row r="675" spans="1:9" x14ac:dyDescent="0.2">
      <c r="A675" s="11">
        <v>46004</v>
      </c>
      <c r="B675" t="s">
        <v>7</v>
      </c>
      <c r="C675" t="s">
        <v>1034</v>
      </c>
      <c r="D675" t="s">
        <v>1035</v>
      </c>
      <c r="E675" t="s">
        <v>1037</v>
      </c>
      <c r="F675" t="s">
        <v>18</v>
      </c>
      <c r="G675">
        <v>22</v>
      </c>
      <c r="H675">
        <v>2563826.98</v>
      </c>
      <c r="I675">
        <v>804.62</v>
      </c>
    </row>
    <row r="676" spans="1:9" x14ac:dyDescent="0.2">
      <c r="A676" s="11">
        <v>46004</v>
      </c>
      <c r="B676" t="s">
        <v>11</v>
      </c>
      <c r="C676" t="s">
        <v>1038</v>
      </c>
      <c r="D676" t="s">
        <v>1039</v>
      </c>
      <c r="E676" t="s">
        <v>1040</v>
      </c>
      <c r="F676" t="s">
        <v>5</v>
      </c>
      <c r="G676">
        <v>2</v>
      </c>
      <c r="H676">
        <v>71963.740000000005</v>
      </c>
      <c r="I676">
        <v>22.58</v>
      </c>
    </row>
    <row r="677" spans="1:9" x14ac:dyDescent="0.2">
      <c r="A677" s="11">
        <v>46004</v>
      </c>
      <c r="B677" t="s">
        <v>11</v>
      </c>
      <c r="C677" t="s">
        <v>1038</v>
      </c>
      <c r="D677" t="s">
        <v>1039</v>
      </c>
      <c r="E677" t="s">
        <v>850</v>
      </c>
      <c r="F677" t="s">
        <v>20</v>
      </c>
      <c r="G677">
        <v>8</v>
      </c>
      <c r="H677">
        <v>999970.56</v>
      </c>
      <c r="I677">
        <v>313.83</v>
      </c>
    </row>
    <row r="678" spans="1:9" x14ac:dyDescent="0.2">
      <c r="A678" s="11">
        <v>46004</v>
      </c>
      <c r="B678" t="s">
        <v>11</v>
      </c>
      <c r="C678" t="s">
        <v>1041</v>
      </c>
      <c r="D678" t="s">
        <v>1042</v>
      </c>
      <c r="E678" t="s">
        <v>893</v>
      </c>
      <c r="F678" t="s">
        <v>5</v>
      </c>
      <c r="G678">
        <v>8</v>
      </c>
      <c r="H678">
        <v>539495.92000000004</v>
      </c>
      <c r="I678">
        <v>169.31</v>
      </c>
    </row>
    <row r="679" spans="1:9" x14ac:dyDescent="0.2">
      <c r="A679" s="11">
        <v>46004</v>
      </c>
      <c r="B679" t="s">
        <v>11</v>
      </c>
      <c r="C679" t="s">
        <v>1041</v>
      </c>
      <c r="D679" t="s">
        <v>1042</v>
      </c>
      <c r="E679" t="s">
        <v>1031</v>
      </c>
      <c r="F679" t="s">
        <v>18</v>
      </c>
      <c r="G679">
        <v>89</v>
      </c>
      <c r="H679">
        <v>9758001.8300000001</v>
      </c>
      <c r="I679">
        <v>3062.4</v>
      </c>
    </row>
    <row r="680" spans="1:9" x14ac:dyDescent="0.2">
      <c r="A680" s="11">
        <v>46004</v>
      </c>
      <c r="B680" t="s">
        <v>11</v>
      </c>
      <c r="C680" t="s">
        <v>1041</v>
      </c>
      <c r="D680" t="s">
        <v>1042</v>
      </c>
      <c r="E680" t="s">
        <v>1043</v>
      </c>
      <c r="F680" t="s">
        <v>22</v>
      </c>
      <c r="G680">
        <v>28</v>
      </c>
      <c r="H680">
        <v>912149.84</v>
      </c>
      <c r="I680">
        <v>286.26</v>
      </c>
    </row>
    <row r="681" spans="1:9" x14ac:dyDescent="0.2">
      <c r="A681" s="11">
        <v>46004</v>
      </c>
      <c r="B681" t="s">
        <v>11</v>
      </c>
      <c r="C681" t="s">
        <v>1041</v>
      </c>
      <c r="D681" t="s">
        <v>1042</v>
      </c>
      <c r="E681" t="s">
        <v>616</v>
      </c>
      <c r="F681" t="s">
        <v>14</v>
      </c>
      <c r="G681">
        <v>6</v>
      </c>
      <c r="H681">
        <v>225072.24</v>
      </c>
      <c r="I681">
        <v>70.64</v>
      </c>
    </row>
    <row r="682" spans="1:9" x14ac:dyDescent="0.2">
      <c r="A682" s="11">
        <v>46004</v>
      </c>
      <c r="B682" t="s">
        <v>11</v>
      </c>
      <c r="C682" t="s">
        <v>1041</v>
      </c>
      <c r="D682" t="s">
        <v>1042</v>
      </c>
      <c r="E682" t="s">
        <v>1044</v>
      </c>
      <c r="F682" t="s">
        <v>5</v>
      </c>
      <c r="G682">
        <v>56</v>
      </c>
      <c r="H682">
        <v>3428272.4</v>
      </c>
      <c r="I682">
        <v>1075.9100000000001</v>
      </c>
    </row>
    <row r="683" spans="1:9" x14ac:dyDescent="0.2">
      <c r="A683" s="11">
        <v>46004</v>
      </c>
      <c r="B683" t="s">
        <v>11</v>
      </c>
      <c r="C683" t="s">
        <v>1045</v>
      </c>
      <c r="D683" t="s">
        <v>1046</v>
      </c>
      <c r="E683" t="s">
        <v>1047</v>
      </c>
      <c r="F683" t="s">
        <v>14</v>
      </c>
      <c r="G683">
        <v>17</v>
      </c>
      <c r="H683">
        <v>1422120.21</v>
      </c>
      <c r="I683">
        <v>446.31</v>
      </c>
    </row>
    <row r="684" spans="1:9" x14ac:dyDescent="0.2">
      <c r="A684" s="11">
        <v>46004</v>
      </c>
      <c r="B684" t="s">
        <v>11</v>
      </c>
      <c r="C684" t="s">
        <v>1045</v>
      </c>
      <c r="D684" t="s">
        <v>1046</v>
      </c>
      <c r="E684" t="s">
        <v>402</v>
      </c>
      <c r="F684" t="s">
        <v>14</v>
      </c>
      <c r="G684">
        <v>12</v>
      </c>
      <c r="H684">
        <v>573966.6</v>
      </c>
      <c r="I684">
        <v>180.13</v>
      </c>
    </row>
    <row r="685" spans="1:9" x14ac:dyDescent="0.2">
      <c r="A685" s="11">
        <v>46004</v>
      </c>
      <c r="B685" t="s">
        <v>11</v>
      </c>
      <c r="C685" t="s">
        <v>1045</v>
      </c>
      <c r="D685" t="s">
        <v>1046</v>
      </c>
      <c r="E685" t="s">
        <v>1048</v>
      </c>
      <c r="F685" t="s">
        <v>16</v>
      </c>
      <c r="G685">
        <v>38</v>
      </c>
      <c r="H685">
        <v>6415082.0999999996</v>
      </c>
      <c r="I685">
        <v>2013.28</v>
      </c>
    </row>
    <row r="686" spans="1:9" x14ac:dyDescent="0.2">
      <c r="A686" s="11">
        <v>46004</v>
      </c>
      <c r="B686" t="s">
        <v>11</v>
      </c>
      <c r="C686" t="s">
        <v>1045</v>
      </c>
      <c r="D686" t="s">
        <v>1046</v>
      </c>
      <c r="E686" t="s">
        <v>209</v>
      </c>
      <c r="F686" t="s">
        <v>20</v>
      </c>
      <c r="G686">
        <v>6</v>
      </c>
      <c r="H686">
        <v>1046210.4</v>
      </c>
      <c r="I686">
        <v>328.34</v>
      </c>
    </row>
    <row r="687" spans="1:9" x14ac:dyDescent="0.2">
      <c r="A687" s="11">
        <v>46004</v>
      </c>
      <c r="B687" t="s">
        <v>11</v>
      </c>
      <c r="C687" t="s">
        <v>1045</v>
      </c>
      <c r="D687" t="s">
        <v>1046</v>
      </c>
      <c r="E687" t="s">
        <v>1049</v>
      </c>
      <c r="F687" t="s">
        <v>22</v>
      </c>
      <c r="G687">
        <v>8</v>
      </c>
      <c r="H687">
        <v>316114.71999999997</v>
      </c>
      <c r="I687">
        <v>99.21</v>
      </c>
    </row>
    <row r="688" spans="1:9" x14ac:dyDescent="0.2">
      <c r="A688" s="11">
        <v>46004</v>
      </c>
      <c r="B688" t="s">
        <v>11</v>
      </c>
      <c r="C688" t="s">
        <v>1050</v>
      </c>
      <c r="D688" t="s">
        <v>1051</v>
      </c>
      <c r="E688" t="s">
        <v>725</v>
      </c>
      <c r="F688" t="s">
        <v>22</v>
      </c>
      <c r="G688">
        <v>5</v>
      </c>
      <c r="H688">
        <v>156727.6</v>
      </c>
      <c r="I688">
        <v>49.19</v>
      </c>
    </row>
    <row r="689" spans="1:9" x14ac:dyDescent="0.2">
      <c r="A689" s="11">
        <v>46004</v>
      </c>
      <c r="B689" t="s">
        <v>7</v>
      </c>
      <c r="C689" t="s">
        <v>1052</v>
      </c>
      <c r="D689" t="s">
        <v>1053</v>
      </c>
      <c r="E689" t="s">
        <v>1054</v>
      </c>
      <c r="F689" t="s">
        <v>14</v>
      </c>
      <c r="G689">
        <v>8</v>
      </c>
      <c r="H689">
        <v>457153.12</v>
      </c>
      <c r="I689">
        <v>143.47</v>
      </c>
    </row>
    <row r="690" spans="1:9" x14ac:dyDescent="0.2">
      <c r="A690" s="11">
        <v>46004</v>
      </c>
      <c r="B690" t="s">
        <v>6</v>
      </c>
      <c r="C690" t="s">
        <v>1055</v>
      </c>
      <c r="D690" t="s">
        <v>1056</v>
      </c>
      <c r="E690" t="s">
        <v>197</v>
      </c>
      <c r="F690" t="s">
        <v>18</v>
      </c>
      <c r="G690">
        <v>31</v>
      </c>
      <c r="H690">
        <v>3216967.65</v>
      </c>
      <c r="I690">
        <v>1009.6</v>
      </c>
    </row>
    <row r="691" spans="1:9" x14ac:dyDescent="0.2">
      <c r="A691" s="11">
        <v>46004</v>
      </c>
      <c r="B691" t="s">
        <v>6</v>
      </c>
      <c r="C691" t="s">
        <v>1055</v>
      </c>
      <c r="D691" t="s">
        <v>1056</v>
      </c>
      <c r="E691" t="s">
        <v>593</v>
      </c>
      <c r="F691" t="s">
        <v>22</v>
      </c>
      <c r="G691">
        <v>28</v>
      </c>
      <c r="H691">
        <v>841980.72</v>
      </c>
      <c r="I691">
        <v>264.24</v>
      </c>
    </row>
    <row r="692" spans="1:9" x14ac:dyDescent="0.2">
      <c r="A692" s="11">
        <v>46004</v>
      </c>
      <c r="B692" t="s">
        <v>6</v>
      </c>
      <c r="C692" t="s">
        <v>1055</v>
      </c>
      <c r="D692" t="s">
        <v>1056</v>
      </c>
      <c r="E692" t="s">
        <v>1057</v>
      </c>
      <c r="F692" t="s">
        <v>18</v>
      </c>
      <c r="G692">
        <v>18</v>
      </c>
      <c r="H692">
        <v>1717368.3</v>
      </c>
      <c r="I692">
        <v>538.97</v>
      </c>
    </row>
    <row r="693" spans="1:9" x14ac:dyDescent="0.2">
      <c r="A693" s="11">
        <v>46004</v>
      </c>
      <c r="B693" t="s">
        <v>6</v>
      </c>
      <c r="C693" t="s">
        <v>1055</v>
      </c>
      <c r="D693" t="s">
        <v>1056</v>
      </c>
      <c r="E693" t="s">
        <v>239</v>
      </c>
      <c r="F693" t="s">
        <v>5</v>
      </c>
      <c r="G693">
        <v>4</v>
      </c>
      <c r="H693">
        <v>112141.4</v>
      </c>
      <c r="I693">
        <v>35.19</v>
      </c>
    </row>
    <row r="694" spans="1:9" x14ac:dyDescent="0.2">
      <c r="A694" s="11">
        <v>46004</v>
      </c>
      <c r="B694" t="s">
        <v>11</v>
      </c>
      <c r="C694" t="s">
        <v>1058</v>
      </c>
      <c r="D694" t="s">
        <v>1059</v>
      </c>
      <c r="E694" t="s">
        <v>1060</v>
      </c>
      <c r="F694" t="s">
        <v>5</v>
      </c>
      <c r="G694">
        <v>14</v>
      </c>
      <c r="H694">
        <v>614447.81999999995</v>
      </c>
      <c r="I694">
        <v>192.84</v>
      </c>
    </row>
    <row r="695" spans="1:9" x14ac:dyDescent="0.2">
      <c r="A695" s="11">
        <v>46004</v>
      </c>
      <c r="B695" t="s">
        <v>11</v>
      </c>
      <c r="C695" t="s">
        <v>1058</v>
      </c>
      <c r="D695" t="s">
        <v>1059</v>
      </c>
      <c r="E695" t="s">
        <v>860</v>
      </c>
      <c r="F695" t="s">
        <v>5</v>
      </c>
      <c r="G695">
        <v>3</v>
      </c>
      <c r="H695">
        <v>128665.11</v>
      </c>
      <c r="I695">
        <v>40.380000000000003</v>
      </c>
    </row>
    <row r="696" spans="1:9" x14ac:dyDescent="0.2">
      <c r="A696" s="11">
        <v>46004</v>
      </c>
      <c r="B696" t="s">
        <v>11</v>
      </c>
      <c r="C696" t="s">
        <v>1058</v>
      </c>
      <c r="D696" t="s">
        <v>1059</v>
      </c>
      <c r="E696" t="s">
        <v>720</v>
      </c>
      <c r="F696" t="s">
        <v>16</v>
      </c>
      <c r="G696">
        <v>15</v>
      </c>
      <c r="H696">
        <v>1401992.55</v>
      </c>
      <c r="I696">
        <v>439.99</v>
      </c>
    </row>
    <row r="697" spans="1:9" x14ac:dyDescent="0.2">
      <c r="A697" s="11">
        <v>46004</v>
      </c>
      <c r="B697" t="s">
        <v>11</v>
      </c>
      <c r="C697" t="s">
        <v>1058</v>
      </c>
      <c r="D697" t="s">
        <v>1059</v>
      </c>
      <c r="E697" t="s">
        <v>913</v>
      </c>
      <c r="F697" t="s">
        <v>18</v>
      </c>
      <c r="G697">
        <v>12</v>
      </c>
      <c r="H697">
        <v>1056445.8</v>
      </c>
      <c r="I697">
        <v>331.55</v>
      </c>
    </row>
    <row r="698" spans="1:9" x14ac:dyDescent="0.2">
      <c r="A698" s="11">
        <v>46004</v>
      </c>
      <c r="B698" t="s">
        <v>11</v>
      </c>
      <c r="C698" t="s">
        <v>1058</v>
      </c>
      <c r="D698" t="s">
        <v>1059</v>
      </c>
      <c r="E698" t="s">
        <v>1021</v>
      </c>
      <c r="F698" t="s">
        <v>18</v>
      </c>
      <c r="G698">
        <v>37</v>
      </c>
      <c r="H698">
        <v>1953656.61</v>
      </c>
      <c r="I698">
        <v>613.13</v>
      </c>
    </row>
    <row r="699" spans="1:9" x14ac:dyDescent="0.2">
      <c r="A699" s="11">
        <v>46004</v>
      </c>
      <c r="B699" t="s">
        <v>6</v>
      </c>
      <c r="C699" t="s">
        <v>1061</v>
      </c>
      <c r="D699" t="s">
        <v>1062</v>
      </c>
      <c r="E699" t="s">
        <v>1063</v>
      </c>
      <c r="F699" t="s">
        <v>14</v>
      </c>
      <c r="G699">
        <v>20</v>
      </c>
      <c r="H699">
        <v>1392656.8</v>
      </c>
      <c r="I699">
        <v>437.06</v>
      </c>
    </row>
    <row r="700" spans="1:9" x14ac:dyDescent="0.2">
      <c r="A700" s="11">
        <v>46004</v>
      </c>
      <c r="B700" t="s">
        <v>6</v>
      </c>
      <c r="C700" t="s">
        <v>1061</v>
      </c>
      <c r="D700" t="s">
        <v>1062</v>
      </c>
      <c r="E700" t="s">
        <v>1064</v>
      </c>
      <c r="F700" t="s">
        <v>14</v>
      </c>
      <c r="G700">
        <v>12</v>
      </c>
      <c r="H700">
        <v>616375.43999999994</v>
      </c>
      <c r="I700">
        <v>193.44</v>
      </c>
    </row>
    <row r="701" spans="1:9" x14ac:dyDescent="0.2">
      <c r="A701" s="11">
        <v>46004</v>
      </c>
      <c r="B701" t="s">
        <v>6</v>
      </c>
      <c r="C701" t="s">
        <v>1061</v>
      </c>
      <c r="D701" t="s">
        <v>1062</v>
      </c>
      <c r="E701" t="s">
        <v>462</v>
      </c>
      <c r="F701" t="s">
        <v>5</v>
      </c>
      <c r="G701">
        <v>8</v>
      </c>
      <c r="H701">
        <v>349559.12</v>
      </c>
      <c r="I701">
        <v>109.7</v>
      </c>
    </row>
    <row r="702" spans="1:9" x14ac:dyDescent="0.2">
      <c r="A702" s="11">
        <v>46004</v>
      </c>
      <c r="B702" t="s">
        <v>10</v>
      </c>
      <c r="C702" t="s">
        <v>1065</v>
      </c>
      <c r="D702" t="s">
        <v>1066</v>
      </c>
      <c r="E702" t="s">
        <v>1067</v>
      </c>
      <c r="F702" t="s">
        <v>5</v>
      </c>
      <c r="G702">
        <v>11</v>
      </c>
      <c r="H702">
        <v>443812.27</v>
      </c>
      <c r="I702">
        <v>139.28</v>
      </c>
    </row>
    <row r="703" spans="1:9" x14ac:dyDescent="0.2">
      <c r="A703" s="11">
        <v>46004</v>
      </c>
      <c r="B703" t="s">
        <v>10</v>
      </c>
      <c r="C703" t="s">
        <v>1065</v>
      </c>
      <c r="D703" t="s">
        <v>1066</v>
      </c>
      <c r="E703" t="s">
        <v>1068</v>
      </c>
      <c r="F703" t="s">
        <v>22</v>
      </c>
      <c r="G703">
        <v>12</v>
      </c>
      <c r="H703">
        <v>392129.4</v>
      </c>
      <c r="I703">
        <v>123.06</v>
      </c>
    </row>
    <row r="704" spans="1:9" x14ac:dyDescent="0.2">
      <c r="A704" s="11">
        <v>46004</v>
      </c>
      <c r="B704" t="s">
        <v>9</v>
      </c>
      <c r="C704" t="s">
        <v>1069</v>
      </c>
      <c r="D704" t="s">
        <v>1070</v>
      </c>
      <c r="E704" t="s">
        <v>267</v>
      </c>
      <c r="F704" t="s">
        <v>16</v>
      </c>
      <c r="G704">
        <v>16</v>
      </c>
      <c r="H704">
        <v>1610969.76</v>
      </c>
      <c r="I704">
        <v>505.58</v>
      </c>
    </row>
    <row r="705" spans="1:9" x14ac:dyDescent="0.2">
      <c r="A705" s="11">
        <v>46004</v>
      </c>
      <c r="B705" t="s">
        <v>9</v>
      </c>
      <c r="C705" t="s">
        <v>1071</v>
      </c>
      <c r="D705" t="s">
        <v>1072</v>
      </c>
      <c r="E705" t="s">
        <v>1073</v>
      </c>
      <c r="F705" t="s">
        <v>16</v>
      </c>
      <c r="G705">
        <v>31</v>
      </c>
      <c r="H705">
        <v>3499646.42</v>
      </c>
      <c r="I705">
        <v>1098.31</v>
      </c>
    </row>
    <row r="706" spans="1:9" x14ac:dyDescent="0.2">
      <c r="A706" s="11">
        <v>46005</v>
      </c>
      <c r="B706" t="s">
        <v>9</v>
      </c>
      <c r="C706" t="s">
        <v>1074</v>
      </c>
      <c r="D706" t="s">
        <v>1075</v>
      </c>
      <c r="E706" t="s">
        <v>535</v>
      </c>
      <c r="F706" t="s">
        <v>20</v>
      </c>
      <c r="G706">
        <v>43</v>
      </c>
      <c r="H706">
        <v>9847115.2400000002</v>
      </c>
      <c r="I706">
        <v>3090.37</v>
      </c>
    </row>
    <row r="707" spans="1:9" x14ac:dyDescent="0.2">
      <c r="A707" s="11">
        <v>46005</v>
      </c>
      <c r="B707" t="s">
        <v>9</v>
      </c>
      <c r="C707" t="s">
        <v>1074</v>
      </c>
      <c r="D707" t="s">
        <v>1075</v>
      </c>
      <c r="E707" t="s">
        <v>1076</v>
      </c>
      <c r="F707" t="s">
        <v>20</v>
      </c>
      <c r="G707">
        <v>15</v>
      </c>
      <c r="H707">
        <v>2998447.8</v>
      </c>
      <c r="I707">
        <v>941.02</v>
      </c>
    </row>
    <row r="708" spans="1:9" x14ac:dyDescent="0.2">
      <c r="A708" s="11">
        <v>46005</v>
      </c>
      <c r="B708" t="s">
        <v>11</v>
      </c>
      <c r="C708" t="s">
        <v>299</v>
      </c>
      <c r="D708" t="s">
        <v>1077</v>
      </c>
      <c r="E708" t="s">
        <v>1078</v>
      </c>
      <c r="F708" t="s">
        <v>18</v>
      </c>
      <c r="G708">
        <v>16</v>
      </c>
      <c r="H708">
        <v>683694.24</v>
      </c>
      <c r="I708">
        <v>214.57</v>
      </c>
    </row>
    <row r="709" spans="1:9" x14ac:dyDescent="0.2">
      <c r="A709" s="11">
        <v>46005</v>
      </c>
      <c r="B709" t="s">
        <v>10</v>
      </c>
      <c r="C709" t="s">
        <v>1038</v>
      </c>
      <c r="D709" t="s">
        <v>1079</v>
      </c>
      <c r="E709" t="s">
        <v>1036</v>
      </c>
      <c r="F709" t="s">
        <v>18</v>
      </c>
      <c r="G709">
        <v>19</v>
      </c>
      <c r="H709">
        <v>1940831.19</v>
      </c>
      <c r="I709">
        <v>609.1</v>
      </c>
    </row>
    <row r="710" spans="1:9" x14ac:dyDescent="0.2">
      <c r="A710" s="11">
        <v>46005</v>
      </c>
      <c r="B710" t="s">
        <v>10</v>
      </c>
      <c r="C710" t="s">
        <v>1038</v>
      </c>
      <c r="D710" t="s">
        <v>1079</v>
      </c>
      <c r="E710" t="s">
        <v>83</v>
      </c>
      <c r="F710" t="s">
        <v>14</v>
      </c>
      <c r="G710">
        <v>6</v>
      </c>
      <c r="H710">
        <v>515854.32</v>
      </c>
      <c r="I710">
        <v>161.88999999999999</v>
      </c>
    </row>
    <row r="711" spans="1:9" x14ac:dyDescent="0.2">
      <c r="A711" s="11">
        <v>46005</v>
      </c>
      <c r="B711" t="s">
        <v>10</v>
      </c>
      <c r="C711" t="s">
        <v>1080</v>
      </c>
      <c r="D711" t="s">
        <v>1081</v>
      </c>
      <c r="E711" t="s">
        <v>347</v>
      </c>
      <c r="F711" t="s">
        <v>16</v>
      </c>
      <c r="G711">
        <v>10</v>
      </c>
      <c r="H711">
        <v>1239645</v>
      </c>
      <c r="I711">
        <v>389.04</v>
      </c>
    </row>
    <row r="712" spans="1:9" x14ac:dyDescent="0.2">
      <c r="A712" s="11">
        <v>46005</v>
      </c>
      <c r="B712" t="s">
        <v>10</v>
      </c>
      <c r="C712" t="s">
        <v>1029</v>
      </c>
      <c r="D712" t="s">
        <v>1082</v>
      </c>
      <c r="E712" t="s">
        <v>629</v>
      </c>
      <c r="F712" t="s">
        <v>22</v>
      </c>
      <c r="G712">
        <v>18</v>
      </c>
      <c r="H712">
        <v>628388.28</v>
      </c>
      <c r="I712">
        <v>197.21</v>
      </c>
    </row>
    <row r="713" spans="1:9" x14ac:dyDescent="0.2">
      <c r="A713" s="11">
        <v>46005</v>
      </c>
      <c r="B713" t="s">
        <v>11</v>
      </c>
      <c r="C713" t="s">
        <v>487</v>
      </c>
      <c r="D713" t="s">
        <v>1083</v>
      </c>
      <c r="E713" t="s">
        <v>1084</v>
      </c>
      <c r="F713" t="s">
        <v>20</v>
      </c>
      <c r="G713">
        <v>40</v>
      </c>
      <c r="H713">
        <v>9860280.4000000004</v>
      </c>
      <c r="I713">
        <v>3094.5</v>
      </c>
    </row>
    <row r="714" spans="1:9" x14ac:dyDescent="0.2">
      <c r="A714" s="11">
        <v>46005</v>
      </c>
      <c r="B714" t="s">
        <v>11</v>
      </c>
      <c r="C714" t="s">
        <v>487</v>
      </c>
      <c r="D714" t="s">
        <v>1083</v>
      </c>
      <c r="E714" t="s">
        <v>1085</v>
      </c>
      <c r="F714" t="s">
        <v>5</v>
      </c>
      <c r="G714">
        <v>5</v>
      </c>
      <c r="H714">
        <v>275658.25</v>
      </c>
      <c r="I714">
        <v>86.51</v>
      </c>
    </row>
    <row r="715" spans="1:9" x14ac:dyDescent="0.2">
      <c r="A715" s="11">
        <v>46005</v>
      </c>
      <c r="B715" t="s">
        <v>12</v>
      </c>
      <c r="C715" t="s">
        <v>1086</v>
      </c>
      <c r="D715" t="s">
        <v>1087</v>
      </c>
      <c r="E715" t="s">
        <v>679</v>
      </c>
      <c r="F715" t="s">
        <v>22</v>
      </c>
      <c r="G715">
        <v>4</v>
      </c>
      <c r="H715">
        <v>206787.92</v>
      </c>
      <c r="I715">
        <v>64.900000000000006</v>
      </c>
    </row>
    <row r="716" spans="1:9" x14ac:dyDescent="0.2">
      <c r="A716" s="11">
        <v>46005</v>
      </c>
      <c r="B716" t="s">
        <v>9</v>
      </c>
      <c r="C716" t="s">
        <v>1088</v>
      </c>
      <c r="D716" t="s">
        <v>1089</v>
      </c>
      <c r="E716" t="s">
        <v>1090</v>
      </c>
      <c r="F716" t="s">
        <v>5</v>
      </c>
      <c r="G716">
        <v>31</v>
      </c>
      <c r="H716">
        <v>2298525.0699999998</v>
      </c>
      <c r="I716">
        <v>721.36</v>
      </c>
    </row>
    <row r="717" spans="1:9" x14ac:dyDescent="0.2">
      <c r="A717" s="11">
        <v>46005</v>
      </c>
      <c r="B717" t="s">
        <v>9</v>
      </c>
      <c r="C717" t="s">
        <v>1088</v>
      </c>
      <c r="D717" t="s">
        <v>1089</v>
      </c>
      <c r="E717" t="s">
        <v>1091</v>
      </c>
      <c r="F717" t="s">
        <v>18</v>
      </c>
      <c r="G717">
        <v>16</v>
      </c>
      <c r="H717">
        <v>1966381.28</v>
      </c>
      <c r="I717">
        <v>617.12</v>
      </c>
    </row>
    <row r="718" spans="1:9" x14ac:dyDescent="0.2">
      <c r="A718" s="11">
        <v>46005</v>
      </c>
      <c r="B718" t="s">
        <v>10</v>
      </c>
      <c r="C718" t="s">
        <v>220</v>
      </c>
      <c r="D718" t="s">
        <v>1092</v>
      </c>
      <c r="E718" t="s">
        <v>449</v>
      </c>
      <c r="F718" t="s">
        <v>14</v>
      </c>
      <c r="G718">
        <v>6</v>
      </c>
      <c r="H718">
        <v>483952.2</v>
      </c>
      <c r="I718">
        <v>151.88</v>
      </c>
    </row>
    <row r="719" spans="1:9" x14ac:dyDescent="0.2">
      <c r="A719" s="11">
        <v>46005</v>
      </c>
      <c r="B719" t="s">
        <v>9</v>
      </c>
      <c r="C719" t="s">
        <v>1093</v>
      </c>
      <c r="D719" t="s">
        <v>1094</v>
      </c>
      <c r="E719" t="s">
        <v>991</v>
      </c>
      <c r="F719" t="s">
        <v>18</v>
      </c>
      <c r="G719">
        <v>20</v>
      </c>
      <c r="H719">
        <v>1714125</v>
      </c>
      <c r="I719">
        <v>537.95000000000005</v>
      </c>
    </row>
    <row r="720" spans="1:9" x14ac:dyDescent="0.2">
      <c r="A720" s="11">
        <v>46005</v>
      </c>
      <c r="B720" t="s">
        <v>9</v>
      </c>
      <c r="C720" t="s">
        <v>1093</v>
      </c>
      <c r="D720" t="s">
        <v>1094</v>
      </c>
      <c r="E720" t="s">
        <v>1095</v>
      </c>
      <c r="F720" t="s">
        <v>20</v>
      </c>
      <c r="G720">
        <v>18</v>
      </c>
      <c r="H720">
        <v>4270465.4400000004</v>
      </c>
      <c r="I720">
        <v>1340.22</v>
      </c>
    </row>
    <row r="721" spans="1:9" x14ac:dyDescent="0.2">
      <c r="A721" s="11">
        <v>46005</v>
      </c>
      <c r="B721" t="s">
        <v>8</v>
      </c>
      <c r="C721" t="s">
        <v>695</v>
      </c>
      <c r="D721" t="s">
        <v>1096</v>
      </c>
      <c r="E721" t="s">
        <v>337</v>
      </c>
      <c r="F721" t="s">
        <v>20</v>
      </c>
      <c r="G721">
        <v>7</v>
      </c>
      <c r="H721">
        <v>681047.01</v>
      </c>
      <c r="I721">
        <v>213.74</v>
      </c>
    </row>
    <row r="722" spans="1:9" x14ac:dyDescent="0.2">
      <c r="A722" s="11">
        <v>46005</v>
      </c>
      <c r="B722" t="s">
        <v>11</v>
      </c>
      <c r="C722" t="s">
        <v>314</v>
      </c>
      <c r="D722" t="s">
        <v>1097</v>
      </c>
      <c r="E722" t="s">
        <v>426</v>
      </c>
      <c r="F722" t="s">
        <v>14</v>
      </c>
      <c r="G722">
        <v>16</v>
      </c>
      <c r="H722">
        <v>1178504.48</v>
      </c>
      <c r="I722">
        <v>369.86</v>
      </c>
    </row>
    <row r="723" spans="1:9" x14ac:dyDescent="0.2">
      <c r="A723" s="11">
        <v>46005</v>
      </c>
      <c r="B723" t="s">
        <v>10</v>
      </c>
      <c r="C723" t="s">
        <v>1098</v>
      </c>
      <c r="D723" t="s">
        <v>1099</v>
      </c>
      <c r="E723" t="s">
        <v>326</v>
      </c>
      <c r="F723" t="s">
        <v>5</v>
      </c>
      <c r="G723">
        <v>4</v>
      </c>
      <c r="H723">
        <v>166560.6</v>
      </c>
      <c r="I723">
        <v>52.27</v>
      </c>
    </row>
    <row r="724" spans="1:9" x14ac:dyDescent="0.2">
      <c r="A724" s="11">
        <v>46005</v>
      </c>
      <c r="B724" t="s">
        <v>10</v>
      </c>
      <c r="C724" t="s">
        <v>1098</v>
      </c>
      <c r="D724" t="s">
        <v>1099</v>
      </c>
      <c r="E724" t="s">
        <v>1100</v>
      </c>
      <c r="F724" t="s">
        <v>22</v>
      </c>
      <c r="G724">
        <v>17</v>
      </c>
      <c r="H724">
        <v>378327.18</v>
      </c>
      <c r="I724">
        <v>118.73</v>
      </c>
    </row>
    <row r="725" spans="1:9" x14ac:dyDescent="0.2">
      <c r="A725" s="11">
        <v>46005</v>
      </c>
      <c r="B725" t="s">
        <v>10</v>
      </c>
      <c r="C725" t="s">
        <v>1098</v>
      </c>
      <c r="D725" t="s">
        <v>1099</v>
      </c>
      <c r="E725" t="s">
        <v>1101</v>
      </c>
      <c r="F725" t="s">
        <v>18</v>
      </c>
      <c r="G725">
        <v>8</v>
      </c>
      <c r="H725">
        <v>545361.28</v>
      </c>
      <c r="I725">
        <v>171.15</v>
      </c>
    </row>
    <row r="726" spans="1:9" x14ac:dyDescent="0.2">
      <c r="A726" s="11">
        <v>46005</v>
      </c>
      <c r="B726" t="s">
        <v>12</v>
      </c>
      <c r="C726" t="s">
        <v>1102</v>
      </c>
      <c r="D726" t="s">
        <v>1103</v>
      </c>
      <c r="E726" t="s">
        <v>95</v>
      </c>
      <c r="F726" t="s">
        <v>22</v>
      </c>
      <c r="G726">
        <v>3</v>
      </c>
      <c r="H726">
        <v>76320.84</v>
      </c>
      <c r="I726">
        <v>23.95</v>
      </c>
    </row>
    <row r="727" spans="1:9" x14ac:dyDescent="0.2">
      <c r="A727" s="11">
        <v>46005</v>
      </c>
      <c r="B727" t="s">
        <v>12</v>
      </c>
      <c r="C727" t="s">
        <v>1102</v>
      </c>
      <c r="D727" t="s">
        <v>1103</v>
      </c>
      <c r="E727" t="s">
        <v>1104</v>
      </c>
      <c r="F727" t="s">
        <v>5</v>
      </c>
      <c r="G727">
        <v>5</v>
      </c>
      <c r="H727">
        <v>291866.65000000002</v>
      </c>
      <c r="I727">
        <v>91.6</v>
      </c>
    </row>
    <row r="728" spans="1:9" x14ac:dyDescent="0.2">
      <c r="A728" s="11">
        <v>46005</v>
      </c>
      <c r="B728" t="s">
        <v>12</v>
      </c>
      <c r="C728" t="s">
        <v>1102</v>
      </c>
      <c r="D728" t="s">
        <v>1103</v>
      </c>
      <c r="E728" t="s">
        <v>970</v>
      </c>
      <c r="F728" t="s">
        <v>16</v>
      </c>
      <c r="G728">
        <v>12</v>
      </c>
      <c r="H728">
        <v>1105733.8799999999</v>
      </c>
      <c r="I728">
        <v>347.02</v>
      </c>
    </row>
    <row r="729" spans="1:9" x14ac:dyDescent="0.2">
      <c r="A729" s="11">
        <v>46005</v>
      </c>
      <c r="B729" t="s">
        <v>12</v>
      </c>
      <c r="C729" t="s">
        <v>1105</v>
      </c>
      <c r="D729" t="s">
        <v>1106</v>
      </c>
      <c r="E729" t="s">
        <v>1057</v>
      </c>
      <c r="F729" t="s">
        <v>18</v>
      </c>
      <c r="G729">
        <v>15</v>
      </c>
      <c r="H729">
        <v>1461748.2</v>
      </c>
      <c r="I729">
        <v>458.75</v>
      </c>
    </row>
    <row r="730" spans="1:9" x14ac:dyDescent="0.2">
      <c r="A730" s="11">
        <v>46005</v>
      </c>
      <c r="B730" t="s">
        <v>12</v>
      </c>
      <c r="C730" t="s">
        <v>1105</v>
      </c>
      <c r="D730" t="s">
        <v>1106</v>
      </c>
      <c r="E730" t="s">
        <v>254</v>
      </c>
      <c r="F730" t="s">
        <v>18</v>
      </c>
      <c r="G730">
        <v>25</v>
      </c>
      <c r="H730">
        <v>1793829.75</v>
      </c>
      <c r="I730">
        <v>562.97</v>
      </c>
    </row>
    <row r="731" spans="1:9" x14ac:dyDescent="0.2">
      <c r="A731" s="11">
        <v>46005</v>
      </c>
      <c r="B731" t="s">
        <v>10</v>
      </c>
      <c r="C731" t="s">
        <v>1107</v>
      </c>
      <c r="D731" t="s">
        <v>1108</v>
      </c>
      <c r="E731" t="s">
        <v>1109</v>
      </c>
      <c r="F731" t="s">
        <v>18</v>
      </c>
      <c r="G731">
        <v>11</v>
      </c>
      <c r="H731">
        <v>781837.43</v>
      </c>
      <c r="I731">
        <v>245.37</v>
      </c>
    </row>
    <row r="732" spans="1:9" x14ac:dyDescent="0.2">
      <c r="A732" s="11">
        <v>46005</v>
      </c>
      <c r="B732" t="s">
        <v>11</v>
      </c>
      <c r="C732" t="s">
        <v>1110</v>
      </c>
      <c r="D732" t="s">
        <v>1111</v>
      </c>
      <c r="E732" t="s">
        <v>588</v>
      </c>
      <c r="F732" t="s">
        <v>18</v>
      </c>
      <c r="G732">
        <v>20</v>
      </c>
      <c r="H732">
        <v>1707795.8</v>
      </c>
      <c r="I732">
        <v>535.97</v>
      </c>
    </row>
    <row r="733" spans="1:9" x14ac:dyDescent="0.2">
      <c r="A733" s="11">
        <v>46006</v>
      </c>
      <c r="B733" t="s">
        <v>12</v>
      </c>
      <c r="C733" t="s">
        <v>1112</v>
      </c>
      <c r="D733" t="s">
        <v>1113</v>
      </c>
      <c r="E733" t="s">
        <v>1114</v>
      </c>
      <c r="F733" t="s">
        <v>20</v>
      </c>
      <c r="G733">
        <v>5</v>
      </c>
      <c r="H733">
        <v>1162746.6499999999</v>
      </c>
      <c r="I733">
        <v>364.91</v>
      </c>
    </row>
    <row r="734" spans="1:9" x14ac:dyDescent="0.2">
      <c r="A734" s="11">
        <v>46006</v>
      </c>
      <c r="B734" t="s">
        <v>12</v>
      </c>
      <c r="C734" t="s">
        <v>1112</v>
      </c>
      <c r="D734" t="s">
        <v>1113</v>
      </c>
      <c r="E734" t="s">
        <v>1115</v>
      </c>
      <c r="F734" t="s">
        <v>5</v>
      </c>
      <c r="G734">
        <v>9</v>
      </c>
      <c r="H734">
        <v>579896.73</v>
      </c>
      <c r="I734">
        <v>181.99</v>
      </c>
    </row>
    <row r="735" spans="1:9" x14ac:dyDescent="0.2">
      <c r="A735" s="11">
        <v>46006</v>
      </c>
      <c r="B735" t="s">
        <v>12</v>
      </c>
      <c r="C735" t="s">
        <v>1116</v>
      </c>
      <c r="D735" t="s">
        <v>1117</v>
      </c>
      <c r="E735" t="s">
        <v>449</v>
      </c>
      <c r="F735" t="s">
        <v>14</v>
      </c>
      <c r="G735">
        <v>15</v>
      </c>
      <c r="H735">
        <v>1233060</v>
      </c>
      <c r="I735">
        <v>386.98</v>
      </c>
    </row>
    <row r="736" spans="1:9" x14ac:dyDescent="0.2">
      <c r="A736" s="11">
        <v>46006</v>
      </c>
      <c r="B736" t="s">
        <v>11</v>
      </c>
      <c r="C736" t="s">
        <v>1118</v>
      </c>
      <c r="D736" t="s">
        <v>1119</v>
      </c>
      <c r="E736" t="s">
        <v>1120</v>
      </c>
      <c r="F736" t="s">
        <v>16</v>
      </c>
      <c r="G736">
        <v>113</v>
      </c>
      <c r="H736">
        <v>7905999.7999999998</v>
      </c>
      <c r="I736">
        <v>2481.1799999999998</v>
      </c>
    </row>
    <row r="737" spans="1:9" x14ac:dyDescent="0.2">
      <c r="A737" s="11">
        <v>46006</v>
      </c>
      <c r="B737" t="s">
        <v>11</v>
      </c>
      <c r="C737" t="s">
        <v>1118</v>
      </c>
      <c r="D737" t="s">
        <v>1119</v>
      </c>
      <c r="E737" t="s">
        <v>1121</v>
      </c>
      <c r="F737" t="s">
        <v>22</v>
      </c>
      <c r="G737">
        <v>5</v>
      </c>
      <c r="H737">
        <v>126811.8</v>
      </c>
      <c r="I737">
        <v>39.799999999999997</v>
      </c>
    </row>
    <row r="738" spans="1:9" x14ac:dyDescent="0.2">
      <c r="A738" s="11">
        <v>46006</v>
      </c>
      <c r="B738" t="s">
        <v>11</v>
      </c>
      <c r="C738" t="s">
        <v>1118</v>
      </c>
      <c r="D738" t="s">
        <v>1119</v>
      </c>
      <c r="E738" t="s">
        <v>1122</v>
      </c>
      <c r="F738" t="s">
        <v>18</v>
      </c>
      <c r="G738">
        <v>4</v>
      </c>
      <c r="H738">
        <v>385681.76</v>
      </c>
      <c r="I738">
        <v>121.04</v>
      </c>
    </row>
    <row r="739" spans="1:9" x14ac:dyDescent="0.2">
      <c r="A739" s="11">
        <v>46006</v>
      </c>
      <c r="B739" t="s">
        <v>7</v>
      </c>
      <c r="C739" t="s">
        <v>163</v>
      </c>
      <c r="D739" t="s">
        <v>1123</v>
      </c>
      <c r="E739" t="s">
        <v>582</v>
      </c>
      <c r="F739" t="s">
        <v>20</v>
      </c>
      <c r="G739">
        <v>18</v>
      </c>
      <c r="H739">
        <v>4301269.2</v>
      </c>
      <c r="I739">
        <v>1349.89</v>
      </c>
    </row>
    <row r="740" spans="1:9" x14ac:dyDescent="0.2">
      <c r="A740" s="11">
        <v>46006</v>
      </c>
      <c r="B740" t="s">
        <v>7</v>
      </c>
      <c r="C740" t="s">
        <v>1065</v>
      </c>
      <c r="D740" t="s">
        <v>1124</v>
      </c>
      <c r="E740" t="s">
        <v>1125</v>
      </c>
      <c r="F740" t="s">
        <v>18</v>
      </c>
      <c r="G740">
        <v>8</v>
      </c>
      <c r="H740">
        <v>680933.28</v>
      </c>
      <c r="I740">
        <v>213.7</v>
      </c>
    </row>
    <row r="741" spans="1:9" x14ac:dyDescent="0.2">
      <c r="A741" s="11">
        <v>46006</v>
      </c>
      <c r="B741" t="s">
        <v>7</v>
      </c>
      <c r="C741" t="s">
        <v>1065</v>
      </c>
      <c r="D741" t="s">
        <v>1124</v>
      </c>
      <c r="E741" t="s">
        <v>968</v>
      </c>
      <c r="F741" t="s">
        <v>22</v>
      </c>
      <c r="G741">
        <v>14</v>
      </c>
      <c r="H741">
        <v>684051.9</v>
      </c>
      <c r="I741">
        <v>214.68</v>
      </c>
    </row>
    <row r="742" spans="1:9" x14ac:dyDescent="0.2">
      <c r="A742" s="11">
        <v>46006</v>
      </c>
      <c r="B742" t="s">
        <v>6</v>
      </c>
      <c r="C742" t="s">
        <v>1126</v>
      </c>
      <c r="D742" t="s">
        <v>1127</v>
      </c>
      <c r="E742" t="s">
        <v>1128</v>
      </c>
      <c r="F742" t="s">
        <v>5</v>
      </c>
      <c r="G742">
        <v>4</v>
      </c>
      <c r="H742">
        <v>184753.72</v>
      </c>
      <c r="I742">
        <v>57.98</v>
      </c>
    </row>
    <row r="743" spans="1:9" x14ac:dyDescent="0.2">
      <c r="A743" s="11">
        <v>46006</v>
      </c>
      <c r="B743" t="s">
        <v>11</v>
      </c>
      <c r="C743" t="s">
        <v>567</v>
      </c>
      <c r="D743" t="s">
        <v>1129</v>
      </c>
      <c r="E743" t="s">
        <v>1130</v>
      </c>
      <c r="F743" t="s">
        <v>5</v>
      </c>
      <c r="G743">
        <v>19</v>
      </c>
      <c r="H743">
        <v>952142.25</v>
      </c>
      <c r="I743">
        <v>298.82</v>
      </c>
    </row>
    <row r="744" spans="1:9" x14ac:dyDescent="0.2">
      <c r="A744" s="11">
        <v>46006</v>
      </c>
      <c r="B744" t="s">
        <v>11</v>
      </c>
      <c r="C744" t="s">
        <v>567</v>
      </c>
      <c r="D744" t="s">
        <v>1129</v>
      </c>
      <c r="E744" t="s">
        <v>936</v>
      </c>
      <c r="F744" t="s">
        <v>5</v>
      </c>
      <c r="G744">
        <v>8</v>
      </c>
      <c r="H744">
        <v>509417.6</v>
      </c>
      <c r="I744">
        <v>159.87</v>
      </c>
    </row>
    <row r="745" spans="1:9" x14ac:dyDescent="0.2">
      <c r="A745" s="11">
        <v>46006</v>
      </c>
      <c r="B745" t="s">
        <v>11</v>
      </c>
      <c r="C745" t="s">
        <v>567</v>
      </c>
      <c r="D745" t="s">
        <v>1129</v>
      </c>
      <c r="E745" t="s">
        <v>642</v>
      </c>
      <c r="F745" t="s">
        <v>20</v>
      </c>
      <c r="G745">
        <v>11</v>
      </c>
      <c r="H745">
        <v>1261761.3799999999</v>
      </c>
      <c r="I745">
        <v>395.98</v>
      </c>
    </row>
    <row r="746" spans="1:9" x14ac:dyDescent="0.2">
      <c r="A746" s="11">
        <v>46006</v>
      </c>
      <c r="B746" t="s">
        <v>9</v>
      </c>
      <c r="C746" t="s">
        <v>1131</v>
      </c>
      <c r="D746" t="s">
        <v>1132</v>
      </c>
      <c r="E746" t="s">
        <v>653</v>
      </c>
      <c r="F746" t="s">
        <v>14</v>
      </c>
      <c r="G746">
        <v>8</v>
      </c>
      <c r="H746">
        <v>435935.92</v>
      </c>
      <c r="I746">
        <v>136.81</v>
      </c>
    </row>
    <row r="747" spans="1:9" x14ac:dyDescent="0.2">
      <c r="A747" s="11">
        <v>46006</v>
      </c>
      <c r="B747" t="s">
        <v>11</v>
      </c>
      <c r="C747" t="s">
        <v>1133</v>
      </c>
      <c r="D747" t="s">
        <v>1134</v>
      </c>
      <c r="E747" t="s">
        <v>638</v>
      </c>
      <c r="F747" t="s">
        <v>14</v>
      </c>
      <c r="G747">
        <v>24</v>
      </c>
      <c r="H747">
        <v>1658563.2</v>
      </c>
      <c r="I747">
        <v>520.51</v>
      </c>
    </row>
    <row r="748" spans="1:9" x14ac:dyDescent="0.2">
      <c r="A748" s="11">
        <v>46006</v>
      </c>
      <c r="B748" t="s">
        <v>6</v>
      </c>
      <c r="C748" t="s">
        <v>1135</v>
      </c>
      <c r="D748" t="s">
        <v>1136</v>
      </c>
      <c r="E748" t="s">
        <v>619</v>
      </c>
      <c r="F748" t="s">
        <v>18</v>
      </c>
      <c r="G748">
        <v>21</v>
      </c>
      <c r="H748">
        <v>2582117.16</v>
      </c>
      <c r="I748">
        <v>810.36</v>
      </c>
    </row>
    <row r="749" spans="1:9" x14ac:dyDescent="0.2">
      <c r="A749" s="11">
        <v>46006</v>
      </c>
      <c r="B749" t="s">
        <v>6</v>
      </c>
      <c r="C749" t="s">
        <v>1135</v>
      </c>
      <c r="D749" t="s">
        <v>1136</v>
      </c>
      <c r="E749" t="s">
        <v>409</v>
      </c>
      <c r="F749" t="s">
        <v>14</v>
      </c>
      <c r="G749">
        <v>33</v>
      </c>
      <c r="H749">
        <v>1198251.1200000001</v>
      </c>
      <c r="I749">
        <v>376.05</v>
      </c>
    </row>
    <row r="750" spans="1:9" x14ac:dyDescent="0.2">
      <c r="A750" s="11">
        <v>46006</v>
      </c>
      <c r="B750" t="s">
        <v>6</v>
      </c>
      <c r="C750" t="s">
        <v>1137</v>
      </c>
      <c r="D750" t="s">
        <v>1138</v>
      </c>
      <c r="E750" t="s">
        <v>346</v>
      </c>
      <c r="F750" t="s">
        <v>14</v>
      </c>
      <c r="G750">
        <v>6</v>
      </c>
      <c r="H750">
        <v>441254.64</v>
      </c>
      <c r="I750">
        <v>138.47999999999999</v>
      </c>
    </row>
    <row r="751" spans="1:9" x14ac:dyDescent="0.2">
      <c r="A751" s="11">
        <v>46006</v>
      </c>
      <c r="B751" t="s">
        <v>6</v>
      </c>
      <c r="C751" t="s">
        <v>1137</v>
      </c>
      <c r="D751" t="s">
        <v>1138</v>
      </c>
      <c r="E751" t="s">
        <v>1139</v>
      </c>
      <c r="F751" t="s">
        <v>16</v>
      </c>
      <c r="G751">
        <v>5</v>
      </c>
      <c r="H751">
        <v>534787.5</v>
      </c>
      <c r="I751">
        <v>167.83</v>
      </c>
    </row>
    <row r="752" spans="1:9" x14ac:dyDescent="0.2">
      <c r="A752" s="11">
        <v>46006</v>
      </c>
      <c r="B752" t="s">
        <v>6</v>
      </c>
      <c r="C752" t="s">
        <v>1137</v>
      </c>
      <c r="D752" t="s">
        <v>1138</v>
      </c>
      <c r="E752" t="s">
        <v>155</v>
      </c>
      <c r="F752" t="s">
        <v>5</v>
      </c>
      <c r="G752">
        <v>5</v>
      </c>
      <c r="H752">
        <v>225595.1</v>
      </c>
      <c r="I752">
        <v>70.8</v>
      </c>
    </row>
    <row r="753" spans="1:9" x14ac:dyDescent="0.2">
      <c r="A753" s="11">
        <v>46006</v>
      </c>
      <c r="B753" t="s">
        <v>9</v>
      </c>
      <c r="C753" t="s">
        <v>1002</v>
      </c>
      <c r="D753" t="s">
        <v>1140</v>
      </c>
      <c r="E753" t="s">
        <v>1141</v>
      </c>
      <c r="F753" t="s">
        <v>16</v>
      </c>
      <c r="G753">
        <v>17</v>
      </c>
      <c r="H753">
        <v>1626379.12</v>
      </c>
      <c r="I753">
        <v>510.41</v>
      </c>
    </row>
    <row r="754" spans="1:9" x14ac:dyDescent="0.2">
      <c r="A754" s="11">
        <v>46006</v>
      </c>
      <c r="B754" t="s">
        <v>9</v>
      </c>
      <c r="C754" t="s">
        <v>737</v>
      </c>
      <c r="D754" t="s">
        <v>1142</v>
      </c>
      <c r="E754" t="s">
        <v>1143</v>
      </c>
      <c r="F754" t="s">
        <v>18</v>
      </c>
      <c r="G754">
        <v>17</v>
      </c>
      <c r="H754">
        <v>1840195.26</v>
      </c>
      <c r="I754">
        <v>577.52</v>
      </c>
    </row>
    <row r="755" spans="1:9" x14ac:dyDescent="0.2">
      <c r="A755" s="11">
        <v>46006</v>
      </c>
      <c r="B755" t="s">
        <v>9</v>
      </c>
      <c r="C755" t="s">
        <v>737</v>
      </c>
      <c r="D755" t="s">
        <v>1142</v>
      </c>
      <c r="E755" t="s">
        <v>59</v>
      </c>
      <c r="F755" t="s">
        <v>22</v>
      </c>
      <c r="G755">
        <v>21</v>
      </c>
      <c r="H755">
        <v>593928.30000000005</v>
      </c>
      <c r="I755">
        <v>186.4</v>
      </c>
    </row>
    <row r="756" spans="1:9" x14ac:dyDescent="0.2">
      <c r="A756" s="11">
        <v>46006</v>
      </c>
      <c r="B756" t="s">
        <v>9</v>
      </c>
      <c r="C756" t="s">
        <v>1144</v>
      </c>
      <c r="D756" t="s">
        <v>1145</v>
      </c>
      <c r="E756" t="s">
        <v>831</v>
      </c>
      <c r="F756" t="s">
        <v>18</v>
      </c>
      <c r="G756">
        <v>18</v>
      </c>
      <c r="H756">
        <v>1453567.68</v>
      </c>
      <c r="I756">
        <v>456.18</v>
      </c>
    </row>
    <row r="757" spans="1:9" x14ac:dyDescent="0.2">
      <c r="A757" s="11">
        <v>46006</v>
      </c>
      <c r="B757" t="s">
        <v>10</v>
      </c>
      <c r="C757" t="s">
        <v>1146</v>
      </c>
      <c r="D757" t="s">
        <v>1147</v>
      </c>
      <c r="E757" t="s">
        <v>1023</v>
      </c>
      <c r="F757" t="s">
        <v>18</v>
      </c>
      <c r="G757">
        <v>19</v>
      </c>
      <c r="H757">
        <v>1578137.91</v>
      </c>
      <c r="I757">
        <v>495.27</v>
      </c>
    </row>
    <row r="758" spans="1:9" x14ac:dyDescent="0.2">
      <c r="A758" s="11">
        <v>46006</v>
      </c>
      <c r="B758" t="s">
        <v>10</v>
      </c>
      <c r="C758" t="s">
        <v>1146</v>
      </c>
      <c r="D758" t="s">
        <v>1147</v>
      </c>
      <c r="E758" t="s">
        <v>1148</v>
      </c>
      <c r="F758" t="s">
        <v>22</v>
      </c>
      <c r="G758">
        <v>3</v>
      </c>
      <c r="H758">
        <v>165564.57</v>
      </c>
      <c r="I758">
        <v>51.96</v>
      </c>
    </row>
    <row r="759" spans="1:9" x14ac:dyDescent="0.2">
      <c r="A759" s="11">
        <v>46006</v>
      </c>
      <c r="B759" t="s">
        <v>8</v>
      </c>
      <c r="C759" t="s">
        <v>1149</v>
      </c>
      <c r="D759" t="s">
        <v>1150</v>
      </c>
      <c r="E759" t="s">
        <v>490</v>
      </c>
      <c r="F759" t="s">
        <v>22</v>
      </c>
      <c r="G759">
        <v>97</v>
      </c>
      <c r="H759">
        <v>2767609.82</v>
      </c>
      <c r="I759">
        <v>868.57</v>
      </c>
    </row>
    <row r="760" spans="1:9" x14ac:dyDescent="0.2">
      <c r="A760" s="11">
        <v>46006</v>
      </c>
      <c r="B760" t="s">
        <v>8</v>
      </c>
      <c r="C760" t="s">
        <v>1149</v>
      </c>
      <c r="D760" t="s">
        <v>1150</v>
      </c>
      <c r="E760" t="s">
        <v>1151</v>
      </c>
      <c r="F760" t="s">
        <v>22</v>
      </c>
      <c r="G760">
        <v>29</v>
      </c>
      <c r="H760">
        <v>885965.08</v>
      </c>
      <c r="I760">
        <v>278.05</v>
      </c>
    </row>
    <row r="761" spans="1:9" x14ac:dyDescent="0.2">
      <c r="A761" s="11">
        <v>46006</v>
      </c>
      <c r="B761" t="s">
        <v>8</v>
      </c>
      <c r="C761" t="s">
        <v>1149</v>
      </c>
      <c r="D761" t="s">
        <v>1150</v>
      </c>
      <c r="E761" t="s">
        <v>1152</v>
      </c>
      <c r="F761" t="s">
        <v>18</v>
      </c>
      <c r="G761">
        <v>18</v>
      </c>
      <c r="H761">
        <v>884853.36</v>
      </c>
      <c r="I761">
        <v>277.7</v>
      </c>
    </row>
    <row r="762" spans="1:9" x14ac:dyDescent="0.2">
      <c r="A762" s="11">
        <v>46006</v>
      </c>
      <c r="B762" t="s">
        <v>8</v>
      </c>
      <c r="C762" t="s">
        <v>1149</v>
      </c>
      <c r="D762" t="s">
        <v>1150</v>
      </c>
      <c r="E762" t="s">
        <v>202</v>
      </c>
      <c r="F762" t="s">
        <v>5</v>
      </c>
      <c r="G762">
        <v>30</v>
      </c>
      <c r="H762">
        <v>1890928.5</v>
      </c>
      <c r="I762">
        <v>593.44000000000005</v>
      </c>
    </row>
    <row r="763" spans="1:9" x14ac:dyDescent="0.2">
      <c r="A763" s="11">
        <v>46006</v>
      </c>
      <c r="B763" t="s">
        <v>8</v>
      </c>
      <c r="C763" t="s">
        <v>1149</v>
      </c>
      <c r="D763" t="s">
        <v>1150</v>
      </c>
      <c r="E763" t="s">
        <v>1153</v>
      </c>
      <c r="F763" t="s">
        <v>22</v>
      </c>
      <c r="G763">
        <v>5</v>
      </c>
      <c r="H763">
        <v>100317</v>
      </c>
      <c r="I763">
        <v>31.48</v>
      </c>
    </row>
    <row r="764" spans="1:9" x14ac:dyDescent="0.2">
      <c r="A764" s="11">
        <v>46007</v>
      </c>
      <c r="B764" t="s">
        <v>7</v>
      </c>
      <c r="C764" t="s">
        <v>929</v>
      </c>
      <c r="D764" t="s">
        <v>1154</v>
      </c>
      <c r="E764" t="s">
        <v>313</v>
      </c>
      <c r="F764" t="s">
        <v>22</v>
      </c>
      <c r="G764">
        <v>23</v>
      </c>
      <c r="H764">
        <v>1114839.44</v>
      </c>
      <c r="I764">
        <v>349.88</v>
      </c>
    </row>
    <row r="765" spans="1:9" x14ac:dyDescent="0.2">
      <c r="A765" s="11">
        <v>46007</v>
      </c>
      <c r="B765" t="s">
        <v>7</v>
      </c>
      <c r="C765" t="s">
        <v>929</v>
      </c>
      <c r="D765" t="s">
        <v>1154</v>
      </c>
      <c r="E765" t="s">
        <v>1155</v>
      </c>
      <c r="F765" t="s">
        <v>5</v>
      </c>
      <c r="G765">
        <v>13</v>
      </c>
      <c r="H765">
        <v>530438.22</v>
      </c>
      <c r="I765">
        <v>166.47</v>
      </c>
    </row>
    <row r="766" spans="1:9" x14ac:dyDescent="0.2">
      <c r="A766" s="11">
        <v>46007</v>
      </c>
      <c r="B766" t="s">
        <v>7</v>
      </c>
      <c r="C766" t="s">
        <v>1156</v>
      </c>
      <c r="D766" t="s">
        <v>1157</v>
      </c>
      <c r="E766" t="s">
        <v>396</v>
      </c>
      <c r="F766" t="s">
        <v>22</v>
      </c>
      <c r="G766">
        <v>21</v>
      </c>
      <c r="H766">
        <v>759173.31</v>
      </c>
      <c r="I766">
        <v>238.25</v>
      </c>
    </row>
    <row r="767" spans="1:9" x14ac:dyDescent="0.2">
      <c r="A767" s="11">
        <v>46007</v>
      </c>
      <c r="B767" t="s">
        <v>7</v>
      </c>
      <c r="C767" t="s">
        <v>1156</v>
      </c>
      <c r="D767" t="s">
        <v>1157</v>
      </c>
      <c r="E767" t="s">
        <v>1158</v>
      </c>
      <c r="F767" t="s">
        <v>18</v>
      </c>
      <c r="G767">
        <v>26</v>
      </c>
      <c r="H767">
        <v>1632300.54</v>
      </c>
      <c r="I767">
        <v>512.27</v>
      </c>
    </row>
    <row r="768" spans="1:9" x14ac:dyDescent="0.2">
      <c r="A768" s="11">
        <v>46007</v>
      </c>
      <c r="B768" t="s">
        <v>8</v>
      </c>
      <c r="C768" t="s">
        <v>1159</v>
      </c>
      <c r="D768" t="s">
        <v>1160</v>
      </c>
      <c r="E768" t="s">
        <v>1049</v>
      </c>
      <c r="F768" t="s">
        <v>22</v>
      </c>
      <c r="G768">
        <v>21</v>
      </c>
      <c r="H768">
        <v>801825.15</v>
      </c>
      <c r="I768">
        <v>251.64</v>
      </c>
    </row>
    <row r="769" spans="1:9" x14ac:dyDescent="0.2">
      <c r="A769" s="11">
        <v>46007</v>
      </c>
      <c r="B769" t="s">
        <v>6</v>
      </c>
      <c r="C769" t="s">
        <v>1161</v>
      </c>
      <c r="D769" t="s">
        <v>1162</v>
      </c>
      <c r="E769" t="s">
        <v>401</v>
      </c>
      <c r="F769" t="s">
        <v>22</v>
      </c>
      <c r="G769">
        <v>12</v>
      </c>
      <c r="H769">
        <v>668011.19999999995</v>
      </c>
      <c r="I769">
        <v>209.65</v>
      </c>
    </row>
    <row r="770" spans="1:9" x14ac:dyDescent="0.2">
      <c r="A770" s="11">
        <v>46007</v>
      </c>
      <c r="B770" t="s">
        <v>6</v>
      </c>
      <c r="C770" t="s">
        <v>1088</v>
      </c>
      <c r="D770" t="s">
        <v>1163</v>
      </c>
      <c r="E770" t="s">
        <v>769</v>
      </c>
      <c r="F770" t="s">
        <v>5</v>
      </c>
      <c r="G770">
        <v>7</v>
      </c>
      <c r="H770">
        <v>307954.5</v>
      </c>
      <c r="I770">
        <v>96.65</v>
      </c>
    </row>
    <row r="771" spans="1:9" x14ac:dyDescent="0.2">
      <c r="A771" s="11">
        <v>46007</v>
      </c>
      <c r="B771" t="s">
        <v>9</v>
      </c>
      <c r="C771" t="s">
        <v>1164</v>
      </c>
      <c r="D771" t="s">
        <v>1165</v>
      </c>
      <c r="E771" t="s">
        <v>1166</v>
      </c>
      <c r="F771" t="s">
        <v>18</v>
      </c>
      <c r="G771">
        <v>8</v>
      </c>
      <c r="H771">
        <v>665803.92000000004</v>
      </c>
      <c r="I771">
        <v>208.95</v>
      </c>
    </row>
    <row r="772" spans="1:9" x14ac:dyDescent="0.2">
      <c r="A772" s="11">
        <v>46007</v>
      </c>
      <c r="B772" t="s">
        <v>9</v>
      </c>
      <c r="C772" t="s">
        <v>1164</v>
      </c>
      <c r="D772" t="s">
        <v>1165</v>
      </c>
      <c r="E772" t="s">
        <v>108</v>
      </c>
      <c r="F772" t="s">
        <v>14</v>
      </c>
      <c r="G772">
        <v>63</v>
      </c>
      <c r="H772">
        <v>6498556.4699999997</v>
      </c>
      <c r="I772">
        <v>2039.47</v>
      </c>
    </row>
    <row r="773" spans="1:9" x14ac:dyDescent="0.2">
      <c r="A773" s="11">
        <v>46007</v>
      </c>
      <c r="B773" t="s">
        <v>9</v>
      </c>
      <c r="C773" t="s">
        <v>1164</v>
      </c>
      <c r="D773" t="s">
        <v>1165</v>
      </c>
      <c r="E773" t="s">
        <v>116</v>
      </c>
      <c r="F773" t="s">
        <v>18</v>
      </c>
      <c r="G773">
        <v>4</v>
      </c>
      <c r="H773">
        <v>188895.12</v>
      </c>
      <c r="I773">
        <v>59.28</v>
      </c>
    </row>
    <row r="774" spans="1:9" x14ac:dyDescent="0.2">
      <c r="A774" s="11">
        <v>46007</v>
      </c>
      <c r="B774" t="s">
        <v>9</v>
      </c>
      <c r="C774" t="s">
        <v>1164</v>
      </c>
      <c r="D774" t="s">
        <v>1165</v>
      </c>
      <c r="E774" t="s">
        <v>1167</v>
      </c>
      <c r="F774" t="s">
        <v>5</v>
      </c>
      <c r="G774">
        <v>12</v>
      </c>
      <c r="H774">
        <v>879985.68</v>
      </c>
      <c r="I774">
        <v>276.17</v>
      </c>
    </row>
    <row r="775" spans="1:9" x14ac:dyDescent="0.2">
      <c r="A775" s="11">
        <v>46007</v>
      </c>
      <c r="B775" t="s">
        <v>6</v>
      </c>
      <c r="C775" t="s">
        <v>1168</v>
      </c>
      <c r="D775" t="s">
        <v>1169</v>
      </c>
      <c r="E775" t="s">
        <v>1170</v>
      </c>
      <c r="F775" t="s">
        <v>16</v>
      </c>
      <c r="G775">
        <v>14</v>
      </c>
      <c r="H775">
        <v>799607.2</v>
      </c>
      <c r="I775">
        <v>250.94</v>
      </c>
    </row>
    <row r="776" spans="1:9" x14ac:dyDescent="0.2">
      <c r="A776" s="11">
        <v>46007</v>
      </c>
      <c r="B776" t="s">
        <v>6</v>
      </c>
      <c r="C776" t="s">
        <v>1168</v>
      </c>
      <c r="D776" t="s">
        <v>1169</v>
      </c>
      <c r="E776" t="s">
        <v>886</v>
      </c>
      <c r="F776" t="s">
        <v>20</v>
      </c>
      <c r="G776">
        <v>21</v>
      </c>
      <c r="H776">
        <v>2650737.39</v>
      </c>
      <c r="I776">
        <v>831.89</v>
      </c>
    </row>
    <row r="777" spans="1:9" x14ac:dyDescent="0.2">
      <c r="A777" s="11">
        <v>46007</v>
      </c>
      <c r="B777" t="s">
        <v>12</v>
      </c>
      <c r="C777" t="s">
        <v>1171</v>
      </c>
      <c r="D777" t="s">
        <v>1172</v>
      </c>
      <c r="E777" t="s">
        <v>101</v>
      </c>
      <c r="F777" t="s">
        <v>16</v>
      </c>
      <c r="G777">
        <v>18</v>
      </c>
      <c r="H777">
        <v>2368628.1</v>
      </c>
      <c r="I777">
        <v>743.36</v>
      </c>
    </row>
    <row r="778" spans="1:9" x14ac:dyDescent="0.2">
      <c r="A778" s="11">
        <v>46007</v>
      </c>
      <c r="B778" t="s">
        <v>11</v>
      </c>
      <c r="C778" t="s">
        <v>1173</v>
      </c>
      <c r="D778" t="s">
        <v>1174</v>
      </c>
      <c r="E778" t="s">
        <v>1175</v>
      </c>
      <c r="F778" t="s">
        <v>22</v>
      </c>
      <c r="G778">
        <v>23</v>
      </c>
      <c r="H778">
        <v>1064638.49</v>
      </c>
      <c r="I778">
        <v>334.12</v>
      </c>
    </row>
    <row r="779" spans="1:9" x14ac:dyDescent="0.2">
      <c r="A779" s="11">
        <v>46007</v>
      </c>
      <c r="B779" t="s">
        <v>11</v>
      </c>
      <c r="C779" t="s">
        <v>1173</v>
      </c>
      <c r="D779" t="s">
        <v>1174</v>
      </c>
      <c r="E779" t="s">
        <v>1153</v>
      </c>
      <c r="F779" t="s">
        <v>22</v>
      </c>
      <c r="G779">
        <v>22</v>
      </c>
      <c r="H779">
        <v>469319.18</v>
      </c>
      <c r="I779">
        <v>147.29</v>
      </c>
    </row>
    <row r="780" spans="1:9" x14ac:dyDescent="0.2">
      <c r="A780" s="11">
        <v>46007</v>
      </c>
      <c r="B780" t="s">
        <v>11</v>
      </c>
      <c r="C780" t="s">
        <v>1173</v>
      </c>
      <c r="D780" t="s">
        <v>1174</v>
      </c>
      <c r="E780" t="s">
        <v>1176</v>
      </c>
      <c r="F780" t="s">
        <v>14</v>
      </c>
      <c r="G780">
        <v>13</v>
      </c>
      <c r="H780">
        <v>945746.36</v>
      </c>
      <c r="I780">
        <v>296.81</v>
      </c>
    </row>
    <row r="781" spans="1:9" x14ac:dyDescent="0.2">
      <c r="A781" s="11">
        <v>46007</v>
      </c>
      <c r="B781" t="s">
        <v>12</v>
      </c>
      <c r="C781" t="s">
        <v>1177</v>
      </c>
      <c r="D781" t="s">
        <v>1178</v>
      </c>
      <c r="E781" t="s">
        <v>1179</v>
      </c>
      <c r="F781" t="s">
        <v>14</v>
      </c>
      <c r="G781">
        <v>12</v>
      </c>
      <c r="H781">
        <v>841994.4</v>
      </c>
      <c r="I781">
        <v>264.25</v>
      </c>
    </row>
    <row r="782" spans="1:9" x14ac:dyDescent="0.2">
      <c r="A782" s="11">
        <v>46007</v>
      </c>
      <c r="B782" t="s">
        <v>12</v>
      </c>
      <c r="C782" t="s">
        <v>1177</v>
      </c>
      <c r="D782" t="s">
        <v>1178</v>
      </c>
      <c r="E782" t="s">
        <v>1180</v>
      </c>
      <c r="F782" t="s">
        <v>22</v>
      </c>
      <c r="G782">
        <v>9</v>
      </c>
      <c r="H782">
        <v>190531.98</v>
      </c>
      <c r="I782">
        <v>59.8</v>
      </c>
    </row>
    <row r="783" spans="1:9" x14ac:dyDescent="0.2">
      <c r="A783" s="11">
        <v>46007</v>
      </c>
      <c r="B783" t="s">
        <v>12</v>
      </c>
      <c r="C783" t="s">
        <v>1177</v>
      </c>
      <c r="D783" t="s">
        <v>1178</v>
      </c>
      <c r="E783" t="s">
        <v>1181</v>
      </c>
      <c r="F783" t="s">
        <v>22</v>
      </c>
      <c r="G783">
        <v>17</v>
      </c>
      <c r="H783">
        <v>692445.7</v>
      </c>
      <c r="I783">
        <v>217.31</v>
      </c>
    </row>
    <row r="784" spans="1:9" x14ac:dyDescent="0.2">
      <c r="A784" s="11">
        <v>46007</v>
      </c>
      <c r="B784" t="s">
        <v>6</v>
      </c>
      <c r="C784" t="s">
        <v>1182</v>
      </c>
      <c r="D784" t="s">
        <v>1183</v>
      </c>
      <c r="E784" t="s">
        <v>700</v>
      </c>
      <c r="F784" t="s">
        <v>18</v>
      </c>
      <c r="G784">
        <v>25</v>
      </c>
      <c r="H784">
        <v>1521075</v>
      </c>
      <c r="I784">
        <v>477.37</v>
      </c>
    </row>
    <row r="785" spans="1:9" x14ac:dyDescent="0.2">
      <c r="A785" s="11">
        <v>46007</v>
      </c>
      <c r="B785" t="s">
        <v>8</v>
      </c>
      <c r="C785" t="s">
        <v>365</v>
      </c>
      <c r="D785" t="s">
        <v>1184</v>
      </c>
      <c r="E785" t="s">
        <v>672</v>
      </c>
      <c r="F785" t="s">
        <v>18</v>
      </c>
      <c r="G785">
        <v>25</v>
      </c>
      <c r="H785">
        <v>1428336.25</v>
      </c>
      <c r="I785">
        <v>448.26</v>
      </c>
    </row>
    <row r="786" spans="1:9" x14ac:dyDescent="0.2">
      <c r="A786" s="11">
        <v>46007</v>
      </c>
      <c r="B786" t="s">
        <v>8</v>
      </c>
      <c r="C786" t="s">
        <v>365</v>
      </c>
      <c r="D786" t="s">
        <v>1184</v>
      </c>
      <c r="E786" t="s">
        <v>1185</v>
      </c>
      <c r="F786" t="s">
        <v>20</v>
      </c>
      <c r="G786">
        <v>43</v>
      </c>
      <c r="H786">
        <v>5195132.72</v>
      </c>
      <c r="I786">
        <v>1630.41</v>
      </c>
    </row>
    <row r="787" spans="1:9" x14ac:dyDescent="0.2">
      <c r="A787" s="11">
        <v>46007</v>
      </c>
      <c r="B787" t="s">
        <v>11</v>
      </c>
      <c r="C787" t="s">
        <v>1186</v>
      </c>
      <c r="D787" t="s">
        <v>1187</v>
      </c>
      <c r="E787" t="s">
        <v>1188</v>
      </c>
      <c r="F787" t="s">
        <v>20</v>
      </c>
      <c r="G787">
        <v>13</v>
      </c>
      <c r="H787">
        <v>3195722.66</v>
      </c>
      <c r="I787">
        <v>1002.93</v>
      </c>
    </row>
    <row r="788" spans="1:9" x14ac:dyDescent="0.2">
      <c r="A788" s="11">
        <v>46007</v>
      </c>
      <c r="B788" t="s">
        <v>11</v>
      </c>
      <c r="C788" t="s">
        <v>1186</v>
      </c>
      <c r="D788" t="s">
        <v>1187</v>
      </c>
      <c r="E788" t="s">
        <v>206</v>
      </c>
      <c r="F788" t="s">
        <v>16</v>
      </c>
      <c r="G788">
        <v>9</v>
      </c>
      <c r="H788">
        <v>797297.94</v>
      </c>
      <c r="I788">
        <v>250.22</v>
      </c>
    </row>
    <row r="789" spans="1:9" x14ac:dyDescent="0.2">
      <c r="A789" s="11">
        <v>46007</v>
      </c>
      <c r="B789" t="s">
        <v>11</v>
      </c>
      <c r="C789" t="s">
        <v>1186</v>
      </c>
      <c r="D789" t="s">
        <v>1187</v>
      </c>
      <c r="E789" t="s">
        <v>1175</v>
      </c>
      <c r="F789" t="s">
        <v>22</v>
      </c>
      <c r="G789">
        <v>25</v>
      </c>
      <c r="H789">
        <v>1139131</v>
      </c>
      <c r="I789">
        <v>357.5</v>
      </c>
    </row>
    <row r="790" spans="1:9" x14ac:dyDescent="0.2">
      <c r="A790" s="11">
        <v>46007</v>
      </c>
      <c r="B790" t="s">
        <v>6</v>
      </c>
      <c r="C790" t="s">
        <v>1189</v>
      </c>
      <c r="D790" t="s">
        <v>1190</v>
      </c>
      <c r="E790" t="s">
        <v>202</v>
      </c>
      <c r="F790" t="s">
        <v>5</v>
      </c>
      <c r="G790">
        <v>10</v>
      </c>
      <c r="H790">
        <v>618470.30000000005</v>
      </c>
      <c r="I790">
        <v>194.1</v>
      </c>
    </row>
    <row r="791" spans="1:9" x14ac:dyDescent="0.2">
      <c r="A791" s="11">
        <v>46007</v>
      </c>
      <c r="B791" t="s">
        <v>6</v>
      </c>
      <c r="C791" t="s">
        <v>1189</v>
      </c>
      <c r="D791" t="s">
        <v>1190</v>
      </c>
      <c r="E791" t="s">
        <v>1076</v>
      </c>
      <c r="F791" t="s">
        <v>20</v>
      </c>
      <c r="G791">
        <v>10</v>
      </c>
      <c r="H791">
        <v>1929285.5</v>
      </c>
      <c r="I791">
        <v>605.48</v>
      </c>
    </row>
    <row r="792" spans="1:9" x14ac:dyDescent="0.2">
      <c r="A792" s="11">
        <v>46007</v>
      </c>
      <c r="B792" t="s">
        <v>6</v>
      </c>
      <c r="C792" t="s">
        <v>1189</v>
      </c>
      <c r="D792" t="s">
        <v>1190</v>
      </c>
      <c r="E792" t="s">
        <v>483</v>
      </c>
      <c r="F792" t="s">
        <v>16</v>
      </c>
      <c r="G792">
        <v>26</v>
      </c>
      <c r="H792">
        <v>3876862.6</v>
      </c>
      <c r="I792">
        <v>1216.69</v>
      </c>
    </row>
    <row r="793" spans="1:9" x14ac:dyDescent="0.2">
      <c r="A793" s="11">
        <v>46007</v>
      </c>
      <c r="B793" t="s">
        <v>12</v>
      </c>
      <c r="C793" t="s">
        <v>1191</v>
      </c>
      <c r="D793" t="s">
        <v>1192</v>
      </c>
      <c r="E793" t="s">
        <v>1193</v>
      </c>
      <c r="F793" t="s">
        <v>22</v>
      </c>
      <c r="G793">
        <v>11</v>
      </c>
      <c r="H793">
        <v>679502.45</v>
      </c>
      <c r="I793">
        <v>213.25</v>
      </c>
    </row>
    <row r="794" spans="1:9" x14ac:dyDescent="0.2">
      <c r="A794" s="11">
        <v>46007</v>
      </c>
      <c r="B794" t="s">
        <v>7</v>
      </c>
      <c r="C794" t="s">
        <v>1194</v>
      </c>
      <c r="D794" t="s">
        <v>1195</v>
      </c>
      <c r="E794" t="s">
        <v>149</v>
      </c>
      <c r="F794" t="s">
        <v>14</v>
      </c>
      <c r="G794">
        <v>15</v>
      </c>
      <c r="H794">
        <v>837571.65</v>
      </c>
      <c r="I794">
        <v>262.86</v>
      </c>
    </row>
    <row r="795" spans="1:9" x14ac:dyDescent="0.2">
      <c r="A795" s="11">
        <v>46007</v>
      </c>
      <c r="B795" t="s">
        <v>7</v>
      </c>
      <c r="C795" t="s">
        <v>1194</v>
      </c>
      <c r="D795" t="s">
        <v>1195</v>
      </c>
      <c r="E795" t="s">
        <v>1196</v>
      </c>
      <c r="F795" t="s">
        <v>18</v>
      </c>
      <c r="G795">
        <v>34</v>
      </c>
      <c r="H795">
        <v>1684498.72</v>
      </c>
      <c r="I795">
        <v>528.65</v>
      </c>
    </row>
    <row r="796" spans="1:9" x14ac:dyDescent="0.2">
      <c r="A796" s="11">
        <v>46007</v>
      </c>
      <c r="B796" t="s">
        <v>7</v>
      </c>
      <c r="C796" t="s">
        <v>1197</v>
      </c>
      <c r="D796" t="s">
        <v>1198</v>
      </c>
      <c r="E796" t="s">
        <v>629</v>
      </c>
      <c r="F796" t="s">
        <v>22</v>
      </c>
      <c r="G796">
        <v>11</v>
      </c>
      <c r="H796">
        <v>396794.2</v>
      </c>
      <c r="I796">
        <v>124.53</v>
      </c>
    </row>
    <row r="797" spans="1:9" x14ac:dyDescent="0.2">
      <c r="A797" s="11">
        <v>46007</v>
      </c>
      <c r="B797" t="s">
        <v>7</v>
      </c>
      <c r="C797" t="s">
        <v>1197</v>
      </c>
      <c r="D797" t="s">
        <v>1198</v>
      </c>
      <c r="E797" t="s">
        <v>1095</v>
      </c>
      <c r="F797" t="s">
        <v>20</v>
      </c>
      <c r="G797">
        <v>6</v>
      </c>
      <c r="H797">
        <v>1472733.9</v>
      </c>
      <c r="I797">
        <v>462.2</v>
      </c>
    </row>
    <row r="798" spans="1:9" x14ac:dyDescent="0.2">
      <c r="A798" s="11">
        <v>46007</v>
      </c>
      <c r="B798" t="s">
        <v>7</v>
      </c>
      <c r="C798" t="s">
        <v>1197</v>
      </c>
      <c r="D798" t="s">
        <v>1198</v>
      </c>
      <c r="E798" t="s">
        <v>1199</v>
      </c>
      <c r="F798" t="s">
        <v>22</v>
      </c>
      <c r="G798">
        <v>19</v>
      </c>
      <c r="H798">
        <v>1037425.27</v>
      </c>
      <c r="I798">
        <v>325.58</v>
      </c>
    </row>
    <row r="799" spans="1:9" x14ac:dyDescent="0.2">
      <c r="A799" s="11">
        <v>46007</v>
      </c>
      <c r="B799" t="s">
        <v>7</v>
      </c>
      <c r="C799" t="s">
        <v>1197</v>
      </c>
      <c r="D799" t="s">
        <v>1198</v>
      </c>
      <c r="E799" t="s">
        <v>1200</v>
      </c>
      <c r="F799" t="s">
        <v>5</v>
      </c>
      <c r="G799">
        <v>17</v>
      </c>
      <c r="H799">
        <v>1121330.8799999999</v>
      </c>
      <c r="I799">
        <v>351.91</v>
      </c>
    </row>
    <row r="800" spans="1:9" x14ac:dyDescent="0.2">
      <c r="A800" s="11">
        <v>46007</v>
      </c>
      <c r="B800" t="s">
        <v>7</v>
      </c>
      <c r="C800" t="s">
        <v>1197</v>
      </c>
      <c r="D800" t="s">
        <v>1198</v>
      </c>
      <c r="E800" t="s">
        <v>1201</v>
      </c>
      <c r="F800" t="s">
        <v>22</v>
      </c>
      <c r="G800">
        <v>7</v>
      </c>
      <c r="H800">
        <v>299540.28999999998</v>
      </c>
      <c r="I800">
        <v>94.01</v>
      </c>
    </row>
    <row r="801" spans="1:9" x14ac:dyDescent="0.2">
      <c r="A801" s="11">
        <v>46007</v>
      </c>
      <c r="B801" t="s">
        <v>10</v>
      </c>
      <c r="C801" t="s">
        <v>1202</v>
      </c>
      <c r="D801" t="s">
        <v>1203</v>
      </c>
      <c r="E801" t="s">
        <v>1060</v>
      </c>
      <c r="F801" t="s">
        <v>5</v>
      </c>
      <c r="G801">
        <v>5</v>
      </c>
      <c r="H801">
        <v>217262.4</v>
      </c>
      <c r="I801">
        <v>68.180000000000007</v>
      </c>
    </row>
    <row r="802" spans="1:9" x14ac:dyDescent="0.2">
      <c r="A802" s="11">
        <v>46007</v>
      </c>
      <c r="B802" t="s">
        <v>10</v>
      </c>
      <c r="C802" t="s">
        <v>1202</v>
      </c>
      <c r="D802" t="s">
        <v>1203</v>
      </c>
      <c r="E802" t="s">
        <v>1204</v>
      </c>
      <c r="F802" t="s">
        <v>5</v>
      </c>
      <c r="G802">
        <v>4</v>
      </c>
      <c r="H802">
        <v>122364.2</v>
      </c>
      <c r="I802">
        <v>38.4</v>
      </c>
    </row>
    <row r="803" spans="1:9" x14ac:dyDescent="0.2">
      <c r="A803" s="11">
        <v>46007</v>
      </c>
      <c r="B803" t="s">
        <v>10</v>
      </c>
      <c r="C803" t="s">
        <v>1202</v>
      </c>
      <c r="D803" t="s">
        <v>1203</v>
      </c>
      <c r="E803" t="s">
        <v>329</v>
      </c>
      <c r="F803" t="s">
        <v>16</v>
      </c>
      <c r="G803">
        <v>13</v>
      </c>
      <c r="H803">
        <v>1966356.21</v>
      </c>
      <c r="I803">
        <v>617.11</v>
      </c>
    </row>
    <row r="804" spans="1:9" x14ac:dyDescent="0.2">
      <c r="A804" s="11">
        <v>46007</v>
      </c>
      <c r="B804" t="s">
        <v>11</v>
      </c>
      <c r="C804" t="s">
        <v>1205</v>
      </c>
      <c r="D804" t="s">
        <v>1206</v>
      </c>
      <c r="E804" t="s">
        <v>1207</v>
      </c>
      <c r="F804" t="s">
        <v>22</v>
      </c>
      <c r="G804">
        <v>14</v>
      </c>
      <c r="H804">
        <v>664323.80000000005</v>
      </c>
      <c r="I804">
        <v>208.49</v>
      </c>
    </row>
    <row r="805" spans="1:9" x14ac:dyDescent="0.2">
      <c r="A805" s="11">
        <v>46007</v>
      </c>
      <c r="B805" t="s">
        <v>11</v>
      </c>
      <c r="C805" t="s">
        <v>1205</v>
      </c>
      <c r="D805" t="s">
        <v>1206</v>
      </c>
      <c r="E805" t="s">
        <v>1208</v>
      </c>
      <c r="F805" t="s">
        <v>18</v>
      </c>
      <c r="G805">
        <v>5</v>
      </c>
      <c r="H805">
        <v>621740.6</v>
      </c>
      <c r="I805">
        <v>195.12</v>
      </c>
    </row>
    <row r="806" spans="1:9" x14ac:dyDescent="0.2">
      <c r="A806" s="11">
        <v>46007</v>
      </c>
      <c r="B806" t="s">
        <v>11</v>
      </c>
      <c r="C806" t="s">
        <v>1205</v>
      </c>
      <c r="D806" t="s">
        <v>1206</v>
      </c>
      <c r="E806" t="s">
        <v>1021</v>
      </c>
      <c r="F806" t="s">
        <v>18</v>
      </c>
      <c r="G806">
        <v>19</v>
      </c>
      <c r="H806">
        <v>1012397.52</v>
      </c>
      <c r="I806">
        <v>317.73</v>
      </c>
    </row>
    <row r="807" spans="1:9" x14ac:dyDescent="0.2">
      <c r="A807" s="11">
        <v>46007</v>
      </c>
      <c r="B807" t="s">
        <v>8</v>
      </c>
      <c r="C807" t="s">
        <v>1209</v>
      </c>
      <c r="D807" t="s">
        <v>1210</v>
      </c>
      <c r="E807" t="s">
        <v>1211</v>
      </c>
      <c r="F807" t="s">
        <v>5</v>
      </c>
      <c r="G807">
        <v>23</v>
      </c>
      <c r="H807">
        <v>1453239.36</v>
      </c>
      <c r="I807">
        <v>456.08</v>
      </c>
    </row>
    <row r="808" spans="1:9" x14ac:dyDescent="0.2">
      <c r="A808" s="11">
        <v>46007</v>
      </c>
      <c r="B808" t="s">
        <v>8</v>
      </c>
      <c r="C808" t="s">
        <v>1209</v>
      </c>
      <c r="D808" t="s">
        <v>1210</v>
      </c>
      <c r="E808" t="s">
        <v>619</v>
      </c>
      <c r="F808" t="s">
        <v>18</v>
      </c>
      <c r="G808">
        <v>6</v>
      </c>
      <c r="H808">
        <v>704982.78</v>
      </c>
      <c r="I808">
        <v>221.25</v>
      </c>
    </row>
    <row r="809" spans="1:9" x14ac:dyDescent="0.2">
      <c r="A809" s="11">
        <v>46007</v>
      </c>
      <c r="B809" t="s">
        <v>6</v>
      </c>
      <c r="C809" t="s">
        <v>1212</v>
      </c>
      <c r="D809" t="s">
        <v>1213</v>
      </c>
      <c r="E809" t="s">
        <v>847</v>
      </c>
      <c r="F809" t="s">
        <v>22</v>
      </c>
      <c r="G809">
        <v>5</v>
      </c>
      <c r="H809">
        <v>119377</v>
      </c>
      <c r="I809">
        <v>37.46</v>
      </c>
    </row>
    <row r="810" spans="1:9" x14ac:dyDescent="0.2">
      <c r="A810" s="11">
        <v>46007</v>
      </c>
      <c r="B810" t="s">
        <v>6</v>
      </c>
      <c r="C810" t="s">
        <v>1212</v>
      </c>
      <c r="D810" t="s">
        <v>1213</v>
      </c>
      <c r="E810" t="s">
        <v>141</v>
      </c>
      <c r="F810" t="s">
        <v>5</v>
      </c>
      <c r="G810">
        <v>8</v>
      </c>
      <c r="H810">
        <v>619876.24</v>
      </c>
      <c r="I810">
        <v>194.54</v>
      </c>
    </row>
    <row r="811" spans="1:9" x14ac:dyDescent="0.2">
      <c r="A811" s="11">
        <v>46007</v>
      </c>
      <c r="B811" t="s">
        <v>6</v>
      </c>
      <c r="C811" t="s">
        <v>1212</v>
      </c>
      <c r="D811" t="s">
        <v>1213</v>
      </c>
      <c r="E811" t="s">
        <v>1214</v>
      </c>
      <c r="F811" t="s">
        <v>14</v>
      </c>
      <c r="G811">
        <v>18</v>
      </c>
      <c r="H811">
        <v>1374307.56</v>
      </c>
      <c r="I811">
        <v>431.31</v>
      </c>
    </row>
    <row r="812" spans="1:9" x14ac:dyDescent="0.2">
      <c r="A812" s="11">
        <v>46007</v>
      </c>
      <c r="B812" t="s">
        <v>6</v>
      </c>
      <c r="C812" t="s">
        <v>1212</v>
      </c>
      <c r="D812" t="s">
        <v>1213</v>
      </c>
      <c r="E812" t="s">
        <v>1215</v>
      </c>
      <c r="F812" t="s">
        <v>5</v>
      </c>
      <c r="G812">
        <v>5</v>
      </c>
      <c r="H812">
        <v>381133.55</v>
      </c>
      <c r="I812">
        <v>119.61</v>
      </c>
    </row>
    <row r="813" spans="1:9" x14ac:dyDescent="0.2">
      <c r="A813" s="11">
        <v>46007</v>
      </c>
      <c r="B813" t="s">
        <v>11</v>
      </c>
      <c r="C813" t="s">
        <v>1216</v>
      </c>
      <c r="D813" t="s">
        <v>1217</v>
      </c>
      <c r="E813" t="s">
        <v>491</v>
      </c>
      <c r="F813" t="s">
        <v>18</v>
      </c>
      <c r="G813">
        <v>10</v>
      </c>
      <c r="H813">
        <v>712019.1</v>
      </c>
      <c r="I813">
        <v>223.46</v>
      </c>
    </row>
    <row r="814" spans="1:9" x14ac:dyDescent="0.2">
      <c r="A814" s="11">
        <v>46007</v>
      </c>
      <c r="B814" t="s">
        <v>11</v>
      </c>
      <c r="C814" t="s">
        <v>1216</v>
      </c>
      <c r="D814" t="s">
        <v>1217</v>
      </c>
      <c r="E814" t="s">
        <v>1218</v>
      </c>
      <c r="F814" t="s">
        <v>18</v>
      </c>
      <c r="G814">
        <v>2</v>
      </c>
      <c r="H814">
        <v>127051.24</v>
      </c>
      <c r="I814">
        <v>39.869999999999997</v>
      </c>
    </row>
    <row r="815" spans="1:9" x14ac:dyDescent="0.2">
      <c r="A815" s="11">
        <v>46007</v>
      </c>
      <c r="B815" t="s">
        <v>7</v>
      </c>
      <c r="C815" t="s">
        <v>1219</v>
      </c>
      <c r="D815" t="s">
        <v>1220</v>
      </c>
      <c r="E815" t="s">
        <v>679</v>
      </c>
      <c r="F815" t="s">
        <v>22</v>
      </c>
      <c r="G815">
        <v>70</v>
      </c>
      <c r="H815">
        <v>3823724.8</v>
      </c>
      <c r="I815">
        <v>1200.02</v>
      </c>
    </row>
    <row r="816" spans="1:9" x14ac:dyDescent="0.2">
      <c r="A816" s="11">
        <v>46007</v>
      </c>
      <c r="B816" t="s">
        <v>7</v>
      </c>
      <c r="C816" t="s">
        <v>1219</v>
      </c>
      <c r="D816" t="s">
        <v>1220</v>
      </c>
      <c r="E816" t="s">
        <v>413</v>
      </c>
      <c r="F816" t="s">
        <v>22</v>
      </c>
      <c r="G816">
        <v>32</v>
      </c>
      <c r="H816">
        <v>1018454.08</v>
      </c>
      <c r="I816">
        <v>319.63</v>
      </c>
    </row>
    <row r="817" spans="1:9" x14ac:dyDescent="0.2">
      <c r="A817" s="11">
        <v>46007</v>
      </c>
      <c r="B817" t="s">
        <v>7</v>
      </c>
      <c r="C817" t="s">
        <v>1219</v>
      </c>
      <c r="D817" t="s">
        <v>1220</v>
      </c>
      <c r="E817" t="s">
        <v>1221</v>
      </c>
      <c r="F817" t="s">
        <v>22</v>
      </c>
      <c r="G817">
        <v>30</v>
      </c>
      <c r="H817">
        <v>1043613.9</v>
      </c>
      <c r="I817">
        <v>327.52</v>
      </c>
    </row>
    <row r="818" spans="1:9" x14ac:dyDescent="0.2">
      <c r="A818" s="11">
        <v>46007</v>
      </c>
      <c r="B818" t="s">
        <v>12</v>
      </c>
      <c r="C818" t="s">
        <v>190</v>
      </c>
      <c r="D818" t="s">
        <v>1222</v>
      </c>
      <c r="E818" t="s">
        <v>1085</v>
      </c>
      <c r="F818" t="s">
        <v>5</v>
      </c>
      <c r="G818">
        <v>16</v>
      </c>
      <c r="H818">
        <v>903866.56</v>
      </c>
      <c r="I818">
        <v>283.66000000000003</v>
      </c>
    </row>
    <row r="819" spans="1:9" x14ac:dyDescent="0.2">
      <c r="A819" s="11">
        <v>46007</v>
      </c>
      <c r="B819" t="s">
        <v>10</v>
      </c>
      <c r="C819" t="s">
        <v>1223</v>
      </c>
      <c r="D819" t="s">
        <v>1224</v>
      </c>
      <c r="E819" t="s">
        <v>1225</v>
      </c>
      <c r="F819" t="s">
        <v>5</v>
      </c>
      <c r="G819">
        <v>17</v>
      </c>
      <c r="H819">
        <v>816813.62</v>
      </c>
      <c r="I819">
        <v>256.33999999999997</v>
      </c>
    </row>
    <row r="820" spans="1:9" x14ac:dyDescent="0.2">
      <c r="A820" s="11">
        <v>46007</v>
      </c>
      <c r="B820" t="s">
        <v>10</v>
      </c>
      <c r="C820" t="s">
        <v>1223</v>
      </c>
      <c r="D820" t="s">
        <v>1224</v>
      </c>
      <c r="E820" t="s">
        <v>1226</v>
      </c>
      <c r="F820" t="s">
        <v>5</v>
      </c>
      <c r="G820">
        <v>17</v>
      </c>
      <c r="H820">
        <v>578329.97</v>
      </c>
      <c r="I820">
        <v>181.5</v>
      </c>
    </row>
    <row r="821" spans="1:9" x14ac:dyDescent="0.2">
      <c r="A821" s="11">
        <v>46007</v>
      </c>
      <c r="B821" t="s">
        <v>10</v>
      </c>
      <c r="C821" t="s">
        <v>1227</v>
      </c>
      <c r="D821" t="s">
        <v>1228</v>
      </c>
      <c r="E821" t="s">
        <v>1229</v>
      </c>
      <c r="F821" t="s">
        <v>5</v>
      </c>
      <c r="G821">
        <v>17</v>
      </c>
      <c r="H821">
        <v>437414.93</v>
      </c>
      <c r="I821">
        <v>137.28</v>
      </c>
    </row>
    <row r="822" spans="1:9" x14ac:dyDescent="0.2">
      <c r="A822" s="11">
        <v>46007</v>
      </c>
      <c r="B822" t="s">
        <v>10</v>
      </c>
      <c r="C822" t="s">
        <v>1227</v>
      </c>
      <c r="D822" t="s">
        <v>1228</v>
      </c>
      <c r="E822" t="s">
        <v>893</v>
      </c>
      <c r="F822" t="s">
        <v>5</v>
      </c>
      <c r="G822">
        <v>49</v>
      </c>
      <c r="H822">
        <v>3478567.33</v>
      </c>
      <c r="I822">
        <v>1091.7</v>
      </c>
    </row>
    <row r="823" spans="1:9" x14ac:dyDescent="0.2">
      <c r="A823" s="11">
        <v>46007</v>
      </c>
      <c r="B823" t="s">
        <v>11</v>
      </c>
      <c r="C823" t="s">
        <v>1230</v>
      </c>
      <c r="D823" t="s">
        <v>1231</v>
      </c>
      <c r="E823" t="s">
        <v>683</v>
      </c>
      <c r="F823" t="s">
        <v>18</v>
      </c>
      <c r="G823">
        <v>6</v>
      </c>
      <c r="H823">
        <v>373202.34</v>
      </c>
      <c r="I823">
        <v>117.12</v>
      </c>
    </row>
    <row r="824" spans="1:9" x14ac:dyDescent="0.2">
      <c r="A824" s="11">
        <v>46007</v>
      </c>
      <c r="B824" t="s">
        <v>11</v>
      </c>
      <c r="C824" t="s">
        <v>1230</v>
      </c>
      <c r="D824" t="s">
        <v>1231</v>
      </c>
      <c r="E824" t="s">
        <v>1232</v>
      </c>
      <c r="F824" t="s">
        <v>22</v>
      </c>
      <c r="G824">
        <v>3</v>
      </c>
      <c r="H824">
        <v>129232.53</v>
      </c>
      <c r="I824">
        <v>40.56</v>
      </c>
    </row>
    <row r="825" spans="1:9" x14ac:dyDescent="0.2">
      <c r="A825" s="11">
        <v>46007</v>
      </c>
      <c r="B825" t="s">
        <v>11</v>
      </c>
      <c r="C825" t="s">
        <v>1230</v>
      </c>
      <c r="D825" t="s">
        <v>1231</v>
      </c>
      <c r="E825" t="s">
        <v>498</v>
      </c>
      <c r="F825" t="s">
        <v>22</v>
      </c>
      <c r="G825">
        <v>29</v>
      </c>
      <c r="H825">
        <v>1593471.7</v>
      </c>
      <c r="I825">
        <v>500.09</v>
      </c>
    </row>
    <row r="826" spans="1:9" x14ac:dyDescent="0.2">
      <c r="A826" s="11">
        <v>46008</v>
      </c>
      <c r="B826" t="s">
        <v>7</v>
      </c>
      <c r="C826" t="s">
        <v>1233</v>
      </c>
      <c r="D826" t="s">
        <v>1234</v>
      </c>
      <c r="E826" t="s">
        <v>194</v>
      </c>
      <c r="F826" t="s">
        <v>14</v>
      </c>
      <c r="G826">
        <v>12</v>
      </c>
      <c r="H826">
        <v>972059.4</v>
      </c>
      <c r="I826">
        <v>305.07</v>
      </c>
    </row>
    <row r="827" spans="1:9" x14ac:dyDescent="0.2">
      <c r="A827" s="11">
        <v>46008</v>
      </c>
      <c r="B827" t="s">
        <v>7</v>
      </c>
      <c r="C827" t="s">
        <v>1233</v>
      </c>
      <c r="D827" t="s">
        <v>1234</v>
      </c>
      <c r="E827" t="s">
        <v>1235</v>
      </c>
      <c r="F827" t="s">
        <v>14</v>
      </c>
      <c r="G827">
        <v>24</v>
      </c>
      <c r="H827">
        <v>1212558.24</v>
      </c>
      <c r="I827">
        <v>380.54</v>
      </c>
    </row>
    <row r="828" spans="1:9" x14ac:dyDescent="0.2">
      <c r="A828" s="11">
        <v>46008</v>
      </c>
      <c r="B828" t="s">
        <v>7</v>
      </c>
      <c r="C828" t="s">
        <v>1233</v>
      </c>
      <c r="D828" t="s">
        <v>1234</v>
      </c>
      <c r="E828" t="s">
        <v>1236</v>
      </c>
      <c r="F828" t="s">
        <v>16</v>
      </c>
      <c r="G828">
        <v>9</v>
      </c>
      <c r="H828">
        <v>818794.8</v>
      </c>
      <c r="I828">
        <v>256.97000000000003</v>
      </c>
    </row>
    <row r="829" spans="1:9" x14ac:dyDescent="0.2">
      <c r="A829" s="11">
        <v>46008</v>
      </c>
      <c r="B829" t="s">
        <v>7</v>
      </c>
      <c r="C829" t="s">
        <v>1233</v>
      </c>
      <c r="D829" t="s">
        <v>1234</v>
      </c>
      <c r="E829" t="s">
        <v>689</v>
      </c>
      <c r="F829" t="s">
        <v>20</v>
      </c>
      <c r="G829">
        <v>25</v>
      </c>
      <c r="H829">
        <v>4709601</v>
      </c>
      <c r="I829">
        <v>1478.04</v>
      </c>
    </row>
    <row r="830" spans="1:9" x14ac:dyDescent="0.2">
      <c r="A830" s="11">
        <v>46008</v>
      </c>
      <c r="B830" t="s">
        <v>7</v>
      </c>
      <c r="C830" t="s">
        <v>1233</v>
      </c>
      <c r="D830" t="s">
        <v>1234</v>
      </c>
      <c r="E830" t="s">
        <v>1237</v>
      </c>
      <c r="F830" t="s">
        <v>18</v>
      </c>
      <c r="G830">
        <v>12</v>
      </c>
      <c r="H830">
        <v>1113018.8400000001</v>
      </c>
      <c r="I830">
        <v>349.3</v>
      </c>
    </row>
    <row r="831" spans="1:9" x14ac:dyDescent="0.2">
      <c r="A831" s="11">
        <v>46008</v>
      </c>
      <c r="B831" t="s">
        <v>10</v>
      </c>
      <c r="C831" t="s">
        <v>1238</v>
      </c>
      <c r="D831" t="s">
        <v>1239</v>
      </c>
      <c r="E831" t="s">
        <v>1240</v>
      </c>
      <c r="F831" t="s">
        <v>20</v>
      </c>
      <c r="G831">
        <v>13</v>
      </c>
      <c r="H831">
        <v>2276130.61</v>
      </c>
      <c r="I831">
        <v>714.33</v>
      </c>
    </row>
    <row r="832" spans="1:9" x14ac:dyDescent="0.2">
      <c r="A832" s="11">
        <v>46008</v>
      </c>
      <c r="B832" t="s">
        <v>10</v>
      </c>
      <c r="C832" t="s">
        <v>1238</v>
      </c>
      <c r="D832" t="s">
        <v>1239</v>
      </c>
      <c r="E832" t="s">
        <v>1241</v>
      </c>
      <c r="F832" t="s">
        <v>22</v>
      </c>
      <c r="G832">
        <v>22</v>
      </c>
      <c r="H832">
        <v>1108326.3400000001</v>
      </c>
      <c r="I832">
        <v>347.83</v>
      </c>
    </row>
    <row r="833" spans="1:9" x14ac:dyDescent="0.2">
      <c r="A833" s="11">
        <v>46008</v>
      </c>
      <c r="B833" t="s">
        <v>10</v>
      </c>
      <c r="C833" t="s">
        <v>1238</v>
      </c>
      <c r="D833" t="s">
        <v>1239</v>
      </c>
      <c r="E833" t="s">
        <v>1242</v>
      </c>
      <c r="F833" t="s">
        <v>18</v>
      </c>
      <c r="G833">
        <v>13</v>
      </c>
      <c r="H833">
        <v>1325061.79</v>
      </c>
      <c r="I833">
        <v>415.85</v>
      </c>
    </row>
    <row r="834" spans="1:9" x14ac:dyDescent="0.2">
      <c r="A834" s="11">
        <v>46008</v>
      </c>
      <c r="B834" t="s">
        <v>8</v>
      </c>
      <c r="C834" t="s">
        <v>1243</v>
      </c>
      <c r="D834" t="s">
        <v>1244</v>
      </c>
      <c r="E834" t="s">
        <v>1245</v>
      </c>
      <c r="F834" t="s">
        <v>22</v>
      </c>
      <c r="G834">
        <v>3</v>
      </c>
      <c r="H834">
        <v>175659.69</v>
      </c>
      <c r="I834">
        <v>55.13</v>
      </c>
    </row>
    <row r="835" spans="1:9" x14ac:dyDescent="0.2">
      <c r="A835" s="11">
        <v>46008</v>
      </c>
      <c r="B835" t="s">
        <v>8</v>
      </c>
      <c r="C835" t="s">
        <v>1243</v>
      </c>
      <c r="D835" t="s">
        <v>1244</v>
      </c>
      <c r="E835" t="s">
        <v>1246</v>
      </c>
      <c r="F835" t="s">
        <v>20</v>
      </c>
      <c r="G835">
        <v>31</v>
      </c>
      <c r="H835">
        <v>6362127.21</v>
      </c>
      <c r="I835">
        <v>1996.66</v>
      </c>
    </row>
    <row r="836" spans="1:9" x14ac:dyDescent="0.2">
      <c r="A836" s="11">
        <v>46008</v>
      </c>
      <c r="B836" t="s">
        <v>8</v>
      </c>
      <c r="C836" t="s">
        <v>1243</v>
      </c>
      <c r="D836" t="s">
        <v>1244</v>
      </c>
      <c r="E836" t="s">
        <v>873</v>
      </c>
      <c r="F836" t="s">
        <v>22</v>
      </c>
      <c r="G836">
        <v>15</v>
      </c>
      <c r="H836">
        <v>523156.2</v>
      </c>
      <c r="I836">
        <v>164.18</v>
      </c>
    </row>
    <row r="837" spans="1:9" x14ac:dyDescent="0.2">
      <c r="A837" s="11">
        <v>46008</v>
      </c>
      <c r="B837" t="s">
        <v>11</v>
      </c>
      <c r="C837" t="s">
        <v>1247</v>
      </c>
      <c r="D837" t="s">
        <v>1248</v>
      </c>
      <c r="E837" t="s">
        <v>1221</v>
      </c>
      <c r="F837" t="s">
        <v>22</v>
      </c>
      <c r="G837">
        <v>33</v>
      </c>
      <c r="H837">
        <v>1186989.21</v>
      </c>
      <c r="I837">
        <v>372.52</v>
      </c>
    </row>
    <row r="838" spans="1:9" x14ac:dyDescent="0.2">
      <c r="A838" s="11">
        <v>46008</v>
      </c>
      <c r="B838" t="s">
        <v>11</v>
      </c>
      <c r="C838" t="s">
        <v>1247</v>
      </c>
      <c r="D838" t="s">
        <v>1248</v>
      </c>
      <c r="E838" t="s">
        <v>291</v>
      </c>
      <c r="F838" t="s">
        <v>18</v>
      </c>
      <c r="G838">
        <v>5</v>
      </c>
      <c r="H838">
        <v>368166.2</v>
      </c>
      <c r="I838">
        <v>115.54</v>
      </c>
    </row>
    <row r="839" spans="1:9" x14ac:dyDescent="0.2">
      <c r="A839" s="11">
        <v>46008</v>
      </c>
      <c r="B839" t="s">
        <v>11</v>
      </c>
      <c r="C839" t="s">
        <v>1247</v>
      </c>
      <c r="D839" t="s">
        <v>1248</v>
      </c>
      <c r="E839" t="s">
        <v>329</v>
      </c>
      <c r="F839" t="s">
        <v>16</v>
      </c>
      <c r="G839">
        <v>4</v>
      </c>
      <c r="H839">
        <v>593471.43999999994</v>
      </c>
      <c r="I839">
        <v>186.25</v>
      </c>
    </row>
    <row r="840" spans="1:9" x14ac:dyDescent="0.2">
      <c r="A840" s="11">
        <v>46008</v>
      </c>
      <c r="B840" t="s">
        <v>11</v>
      </c>
      <c r="C840" t="s">
        <v>1247</v>
      </c>
      <c r="D840" t="s">
        <v>1248</v>
      </c>
      <c r="E840" t="s">
        <v>142</v>
      </c>
      <c r="F840" t="s">
        <v>16</v>
      </c>
      <c r="G840">
        <v>51</v>
      </c>
      <c r="H840">
        <v>2729553.66</v>
      </c>
      <c r="I840">
        <v>856.63</v>
      </c>
    </row>
    <row r="841" spans="1:9" x14ac:dyDescent="0.2">
      <c r="A841" s="11">
        <v>46008</v>
      </c>
      <c r="B841" t="s">
        <v>11</v>
      </c>
      <c r="C841" t="s">
        <v>1247</v>
      </c>
      <c r="D841" t="s">
        <v>1248</v>
      </c>
      <c r="E841" t="s">
        <v>484</v>
      </c>
      <c r="F841" t="s">
        <v>22</v>
      </c>
      <c r="G841">
        <v>4</v>
      </c>
      <c r="H841">
        <v>139988.16</v>
      </c>
      <c r="I841">
        <v>43.93</v>
      </c>
    </row>
    <row r="842" spans="1:9" x14ac:dyDescent="0.2">
      <c r="A842" s="11">
        <v>46008</v>
      </c>
      <c r="B842" t="s">
        <v>8</v>
      </c>
      <c r="C842" t="s">
        <v>1249</v>
      </c>
      <c r="D842" t="s">
        <v>1250</v>
      </c>
      <c r="E842" t="s">
        <v>1251</v>
      </c>
      <c r="F842" t="s">
        <v>5</v>
      </c>
      <c r="G842">
        <v>30</v>
      </c>
      <c r="H842">
        <v>1154049.3</v>
      </c>
      <c r="I842">
        <v>362.18</v>
      </c>
    </row>
    <row r="843" spans="1:9" x14ac:dyDescent="0.2">
      <c r="A843" s="11">
        <v>46008</v>
      </c>
      <c r="B843" t="s">
        <v>8</v>
      </c>
      <c r="C843" t="s">
        <v>1249</v>
      </c>
      <c r="D843" t="s">
        <v>1250</v>
      </c>
      <c r="E843" t="s">
        <v>1252</v>
      </c>
      <c r="F843" t="s">
        <v>5</v>
      </c>
      <c r="G843">
        <v>27</v>
      </c>
      <c r="H843">
        <v>815939.73</v>
      </c>
      <c r="I843">
        <v>256.07</v>
      </c>
    </row>
    <row r="844" spans="1:9" x14ac:dyDescent="0.2">
      <c r="A844" s="11">
        <v>46008</v>
      </c>
      <c r="B844" t="s">
        <v>11</v>
      </c>
      <c r="C844" t="s">
        <v>1146</v>
      </c>
      <c r="D844" t="s">
        <v>1253</v>
      </c>
      <c r="E844" t="s">
        <v>1254</v>
      </c>
      <c r="F844" t="s">
        <v>18</v>
      </c>
      <c r="G844">
        <v>31</v>
      </c>
      <c r="H844">
        <v>1836099.31</v>
      </c>
      <c r="I844">
        <v>576.23</v>
      </c>
    </row>
    <row r="845" spans="1:9" x14ac:dyDescent="0.2">
      <c r="A845" s="11">
        <v>46008</v>
      </c>
      <c r="B845" t="s">
        <v>11</v>
      </c>
      <c r="C845" t="s">
        <v>1146</v>
      </c>
      <c r="D845" t="s">
        <v>1253</v>
      </c>
      <c r="E845" t="s">
        <v>186</v>
      </c>
      <c r="F845" t="s">
        <v>22</v>
      </c>
      <c r="G845">
        <v>23</v>
      </c>
      <c r="H845">
        <v>1009709.89</v>
      </c>
      <c r="I845">
        <v>316.88</v>
      </c>
    </row>
    <row r="846" spans="1:9" x14ac:dyDescent="0.2">
      <c r="A846" s="11">
        <v>46008</v>
      </c>
      <c r="B846" t="s">
        <v>11</v>
      </c>
      <c r="C846" t="s">
        <v>1146</v>
      </c>
      <c r="D846" t="s">
        <v>1253</v>
      </c>
      <c r="E846" t="s">
        <v>669</v>
      </c>
      <c r="F846" t="s">
        <v>16</v>
      </c>
      <c r="G846">
        <v>21</v>
      </c>
      <c r="H846">
        <v>2320764.1800000002</v>
      </c>
      <c r="I846">
        <v>728.34</v>
      </c>
    </row>
    <row r="847" spans="1:9" x14ac:dyDescent="0.2">
      <c r="A847" s="11">
        <v>46008</v>
      </c>
      <c r="B847" t="s">
        <v>6</v>
      </c>
      <c r="C847" t="s">
        <v>651</v>
      </c>
      <c r="D847" t="s">
        <v>1255</v>
      </c>
      <c r="E847" t="s">
        <v>1256</v>
      </c>
      <c r="F847" t="s">
        <v>16</v>
      </c>
      <c r="G847">
        <v>15</v>
      </c>
      <c r="H847">
        <v>1871376.15</v>
      </c>
      <c r="I847">
        <v>587.29999999999995</v>
      </c>
    </row>
    <row r="848" spans="1:9" x14ac:dyDescent="0.2">
      <c r="A848" s="11">
        <v>46008</v>
      </c>
      <c r="B848" t="s">
        <v>6</v>
      </c>
      <c r="C848" t="s">
        <v>450</v>
      </c>
      <c r="D848" t="s">
        <v>1257</v>
      </c>
      <c r="E848" t="s">
        <v>1258</v>
      </c>
      <c r="F848" t="s">
        <v>16</v>
      </c>
      <c r="G848">
        <v>38</v>
      </c>
      <c r="H848">
        <v>3814093.44</v>
      </c>
      <c r="I848">
        <v>1197</v>
      </c>
    </row>
    <row r="849" spans="1:9" x14ac:dyDescent="0.2">
      <c r="A849" s="11">
        <v>46008</v>
      </c>
      <c r="B849" t="s">
        <v>6</v>
      </c>
      <c r="C849" t="s">
        <v>1259</v>
      </c>
      <c r="D849" t="s">
        <v>1260</v>
      </c>
      <c r="E849" t="s">
        <v>687</v>
      </c>
      <c r="F849" t="s">
        <v>18</v>
      </c>
      <c r="G849">
        <v>31</v>
      </c>
      <c r="H849">
        <v>2557741.7999999998</v>
      </c>
      <c r="I849">
        <v>802.71</v>
      </c>
    </row>
    <row r="850" spans="1:9" x14ac:dyDescent="0.2">
      <c r="A850" s="11">
        <v>46008</v>
      </c>
      <c r="B850" t="s">
        <v>6</v>
      </c>
      <c r="C850" t="s">
        <v>1259</v>
      </c>
      <c r="D850" t="s">
        <v>1260</v>
      </c>
      <c r="E850" t="s">
        <v>215</v>
      </c>
      <c r="F850" t="s">
        <v>18</v>
      </c>
      <c r="G850">
        <v>7</v>
      </c>
      <c r="H850">
        <v>652453.06000000006</v>
      </c>
      <c r="I850">
        <v>204.76</v>
      </c>
    </row>
    <row r="851" spans="1:9" x14ac:dyDescent="0.2">
      <c r="A851" s="11">
        <v>46008</v>
      </c>
      <c r="B851" t="s">
        <v>12</v>
      </c>
      <c r="C851" t="s">
        <v>1261</v>
      </c>
      <c r="D851" t="s">
        <v>1262</v>
      </c>
      <c r="E851" t="s">
        <v>979</v>
      </c>
      <c r="F851" t="s">
        <v>14</v>
      </c>
      <c r="G851">
        <v>14</v>
      </c>
      <c r="H851">
        <v>912981.58</v>
      </c>
      <c r="I851">
        <v>286.52999999999997</v>
      </c>
    </row>
    <row r="852" spans="1:9" x14ac:dyDescent="0.2">
      <c r="A852" s="11">
        <v>46008</v>
      </c>
      <c r="B852" t="s">
        <v>12</v>
      </c>
      <c r="C852" t="s">
        <v>1261</v>
      </c>
      <c r="D852" t="s">
        <v>1262</v>
      </c>
      <c r="E852" t="s">
        <v>1263</v>
      </c>
      <c r="F852" t="s">
        <v>5</v>
      </c>
      <c r="G852">
        <v>16</v>
      </c>
      <c r="H852">
        <v>637625.76</v>
      </c>
      <c r="I852">
        <v>200.11</v>
      </c>
    </row>
    <row r="853" spans="1:9" x14ac:dyDescent="0.2">
      <c r="A853" s="11">
        <v>46008</v>
      </c>
      <c r="B853" t="s">
        <v>12</v>
      </c>
      <c r="C853" t="s">
        <v>1261</v>
      </c>
      <c r="D853" t="s">
        <v>1262</v>
      </c>
      <c r="E853" t="s">
        <v>228</v>
      </c>
      <c r="F853" t="s">
        <v>5</v>
      </c>
      <c r="G853">
        <v>14</v>
      </c>
      <c r="H853">
        <v>843801.28</v>
      </c>
      <c r="I853">
        <v>264.81</v>
      </c>
    </row>
    <row r="854" spans="1:9" x14ac:dyDescent="0.2">
      <c r="A854" s="11">
        <v>46008</v>
      </c>
      <c r="B854" t="s">
        <v>12</v>
      </c>
      <c r="C854" t="s">
        <v>1261</v>
      </c>
      <c r="D854" t="s">
        <v>1262</v>
      </c>
      <c r="E854" t="s">
        <v>173</v>
      </c>
      <c r="F854" t="s">
        <v>5</v>
      </c>
      <c r="G854">
        <v>3</v>
      </c>
      <c r="H854">
        <v>164884.98000000001</v>
      </c>
      <c r="I854">
        <v>51.75</v>
      </c>
    </row>
    <row r="855" spans="1:9" x14ac:dyDescent="0.2">
      <c r="A855" s="11">
        <v>46008</v>
      </c>
      <c r="B855" t="s">
        <v>12</v>
      </c>
      <c r="C855" t="s">
        <v>1261</v>
      </c>
      <c r="D855" t="s">
        <v>1262</v>
      </c>
      <c r="E855" t="s">
        <v>560</v>
      </c>
      <c r="F855" t="s">
        <v>18</v>
      </c>
      <c r="G855">
        <v>3</v>
      </c>
      <c r="H855">
        <v>320720.43</v>
      </c>
      <c r="I855">
        <v>100.65</v>
      </c>
    </row>
    <row r="856" spans="1:9" x14ac:dyDescent="0.2">
      <c r="A856" s="11">
        <v>46008</v>
      </c>
      <c r="B856" t="s">
        <v>11</v>
      </c>
      <c r="C856" t="s">
        <v>1264</v>
      </c>
      <c r="D856" t="s">
        <v>1265</v>
      </c>
      <c r="E856" t="s">
        <v>1266</v>
      </c>
      <c r="F856" t="s">
        <v>22</v>
      </c>
      <c r="G856">
        <v>27</v>
      </c>
      <c r="H856">
        <v>1646416.53</v>
      </c>
      <c r="I856">
        <v>516.70000000000005</v>
      </c>
    </row>
    <row r="857" spans="1:9" x14ac:dyDescent="0.2">
      <c r="A857" s="11">
        <v>46008</v>
      </c>
      <c r="B857" t="s">
        <v>12</v>
      </c>
      <c r="C857" t="s">
        <v>1267</v>
      </c>
      <c r="D857" t="s">
        <v>1268</v>
      </c>
      <c r="E857" t="s">
        <v>1060</v>
      </c>
      <c r="F857" t="s">
        <v>5</v>
      </c>
      <c r="G857">
        <v>19</v>
      </c>
      <c r="H857">
        <v>825576.79</v>
      </c>
      <c r="I857">
        <v>259.08999999999997</v>
      </c>
    </row>
    <row r="858" spans="1:9" x14ac:dyDescent="0.2">
      <c r="A858" s="11">
        <v>46008</v>
      </c>
      <c r="B858" t="s">
        <v>12</v>
      </c>
      <c r="C858" t="s">
        <v>1267</v>
      </c>
      <c r="D858" t="s">
        <v>1268</v>
      </c>
      <c r="E858" t="s">
        <v>1269</v>
      </c>
      <c r="F858" t="s">
        <v>20</v>
      </c>
      <c r="G858">
        <v>8</v>
      </c>
      <c r="H858">
        <v>1658319.36</v>
      </c>
      <c r="I858">
        <v>520.44000000000005</v>
      </c>
    </row>
    <row r="859" spans="1:9" x14ac:dyDescent="0.2">
      <c r="A859" s="11">
        <v>46008</v>
      </c>
      <c r="B859" t="s">
        <v>12</v>
      </c>
      <c r="C859" t="s">
        <v>1267</v>
      </c>
      <c r="D859" t="s">
        <v>1268</v>
      </c>
      <c r="E859" t="s">
        <v>934</v>
      </c>
      <c r="F859" t="s">
        <v>20</v>
      </c>
      <c r="G859">
        <v>7</v>
      </c>
      <c r="H859">
        <v>581925.81999999995</v>
      </c>
      <c r="I859">
        <v>182.63</v>
      </c>
    </row>
    <row r="860" spans="1:9" x14ac:dyDescent="0.2">
      <c r="A860" s="11">
        <v>46008</v>
      </c>
      <c r="B860" t="s">
        <v>12</v>
      </c>
      <c r="C860" t="s">
        <v>1267</v>
      </c>
      <c r="D860" t="s">
        <v>1268</v>
      </c>
      <c r="E860" t="s">
        <v>867</v>
      </c>
      <c r="F860" t="s">
        <v>18</v>
      </c>
      <c r="G860">
        <v>5</v>
      </c>
      <c r="H860">
        <v>537545.19999999995</v>
      </c>
      <c r="I860">
        <v>168.7</v>
      </c>
    </row>
    <row r="861" spans="1:9" x14ac:dyDescent="0.2">
      <c r="A861" s="11">
        <v>46008</v>
      </c>
      <c r="B861" t="s">
        <v>12</v>
      </c>
      <c r="C861" t="s">
        <v>1267</v>
      </c>
      <c r="D861" t="s">
        <v>1268</v>
      </c>
      <c r="E861" t="s">
        <v>1270</v>
      </c>
      <c r="F861" t="s">
        <v>18</v>
      </c>
      <c r="G861">
        <v>16</v>
      </c>
      <c r="H861">
        <v>875791.35999999999</v>
      </c>
      <c r="I861">
        <v>274.85000000000002</v>
      </c>
    </row>
    <row r="862" spans="1:9" x14ac:dyDescent="0.2">
      <c r="A862" s="11">
        <v>46008</v>
      </c>
      <c r="B862" t="s">
        <v>7</v>
      </c>
      <c r="C862" t="s">
        <v>1271</v>
      </c>
      <c r="D862" t="s">
        <v>1272</v>
      </c>
      <c r="E862" t="s">
        <v>1273</v>
      </c>
      <c r="F862" t="s">
        <v>18</v>
      </c>
      <c r="G862">
        <v>13</v>
      </c>
      <c r="H862">
        <v>705909.23</v>
      </c>
      <c r="I862">
        <v>221.54</v>
      </c>
    </row>
    <row r="863" spans="1:9" x14ac:dyDescent="0.2">
      <c r="A863" s="11">
        <v>46008</v>
      </c>
      <c r="B863" t="s">
        <v>8</v>
      </c>
      <c r="C863" t="s">
        <v>1274</v>
      </c>
      <c r="D863" t="s">
        <v>1275</v>
      </c>
      <c r="E863" t="s">
        <v>588</v>
      </c>
      <c r="F863" t="s">
        <v>18</v>
      </c>
      <c r="G863">
        <v>10</v>
      </c>
      <c r="H863">
        <v>890381.7</v>
      </c>
      <c r="I863">
        <v>279.43</v>
      </c>
    </row>
    <row r="864" spans="1:9" x14ac:dyDescent="0.2">
      <c r="A864" s="11">
        <v>46008</v>
      </c>
      <c r="B864" t="s">
        <v>8</v>
      </c>
      <c r="C864" t="s">
        <v>1274</v>
      </c>
      <c r="D864" t="s">
        <v>1275</v>
      </c>
      <c r="E864" t="s">
        <v>1276</v>
      </c>
      <c r="F864" t="s">
        <v>22</v>
      </c>
      <c r="G864">
        <v>17</v>
      </c>
      <c r="H864">
        <v>878662.51</v>
      </c>
      <c r="I864">
        <v>275.75</v>
      </c>
    </row>
    <row r="865" spans="1:9" x14ac:dyDescent="0.2">
      <c r="A865" s="11">
        <v>46008</v>
      </c>
      <c r="B865" t="s">
        <v>8</v>
      </c>
      <c r="C865" t="s">
        <v>1274</v>
      </c>
      <c r="D865" t="s">
        <v>1275</v>
      </c>
      <c r="E865" t="s">
        <v>194</v>
      </c>
      <c r="F865" t="s">
        <v>14</v>
      </c>
      <c r="G865">
        <v>18</v>
      </c>
      <c r="H865">
        <v>1493707.86</v>
      </c>
      <c r="I865">
        <v>468.78</v>
      </c>
    </row>
    <row r="866" spans="1:9" x14ac:dyDescent="0.2">
      <c r="A866" s="11">
        <v>46008</v>
      </c>
      <c r="B866" t="s">
        <v>8</v>
      </c>
      <c r="C866" t="s">
        <v>1274</v>
      </c>
      <c r="D866" t="s">
        <v>1275</v>
      </c>
      <c r="E866" t="s">
        <v>769</v>
      </c>
      <c r="F866" t="s">
        <v>5</v>
      </c>
      <c r="G866">
        <v>18</v>
      </c>
      <c r="H866">
        <v>754923.42</v>
      </c>
      <c r="I866">
        <v>236.92</v>
      </c>
    </row>
    <row r="867" spans="1:9" x14ac:dyDescent="0.2">
      <c r="A867" s="11">
        <v>46008</v>
      </c>
      <c r="B867" t="s">
        <v>8</v>
      </c>
      <c r="C867" t="s">
        <v>1274</v>
      </c>
      <c r="D867" t="s">
        <v>1275</v>
      </c>
      <c r="E867" t="s">
        <v>432</v>
      </c>
      <c r="F867" t="s">
        <v>16</v>
      </c>
      <c r="G867">
        <v>13</v>
      </c>
      <c r="H867">
        <v>2150261.88</v>
      </c>
      <c r="I867">
        <v>674.83</v>
      </c>
    </row>
    <row r="868" spans="1:9" x14ac:dyDescent="0.2">
      <c r="A868" s="11">
        <v>46008</v>
      </c>
      <c r="B868" t="s">
        <v>8</v>
      </c>
      <c r="C868" t="s">
        <v>1277</v>
      </c>
      <c r="D868" t="s">
        <v>1278</v>
      </c>
      <c r="E868" t="s">
        <v>1109</v>
      </c>
      <c r="F868" t="s">
        <v>18</v>
      </c>
      <c r="G868">
        <v>8</v>
      </c>
      <c r="H868">
        <v>531245.19999999995</v>
      </c>
      <c r="I868">
        <v>166.72</v>
      </c>
    </row>
    <row r="869" spans="1:9" x14ac:dyDescent="0.2">
      <c r="A869" s="11">
        <v>46008</v>
      </c>
      <c r="B869" t="s">
        <v>8</v>
      </c>
      <c r="C869" t="s">
        <v>1277</v>
      </c>
      <c r="D869" t="s">
        <v>1278</v>
      </c>
      <c r="E869" t="s">
        <v>1279</v>
      </c>
      <c r="F869" t="s">
        <v>18</v>
      </c>
      <c r="G869">
        <v>11</v>
      </c>
      <c r="H869">
        <v>1340802.1000000001</v>
      </c>
      <c r="I869">
        <v>420.79</v>
      </c>
    </row>
    <row r="870" spans="1:9" x14ac:dyDescent="0.2">
      <c r="A870" s="11">
        <v>46008</v>
      </c>
      <c r="B870" t="s">
        <v>8</v>
      </c>
      <c r="C870" t="s">
        <v>1277</v>
      </c>
      <c r="D870" t="s">
        <v>1278</v>
      </c>
      <c r="E870" t="s">
        <v>1280</v>
      </c>
      <c r="F870" t="s">
        <v>18</v>
      </c>
      <c r="G870">
        <v>60</v>
      </c>
      <c r="H870">
        <v>4956716.4000000004</v>
      </c>
      <c r="I870">
        <v>1555.59</v>
      </c>
    </row>
    <row r="871" spans="1:9" x14ac:dyDescent="0.2">
      <c r="A871" s="11">
        <v>46008</v>
      </c>
      <c r="B871" t="s">
        <v>8</v>
      </c>
      <c r="C871" t="s">
        <v>1277</v>
      </c>
      <c r="D871" t="s">
        <v>1278</v>
      </c>
      <c r="E871" t="s">
        <v>1011</v>
      </c>
      <c r="F871" t="s">
        <v>20</v>
      </c>
      <c r="G871">
        <v>7</v>
      </c>
      <c r="H871">
        <v>1043196.35</v>
      </c>
      <c r="I871">
        <v>327.39</v>
      </c>
    </row>
    <row r="872" spans="1:9" x14ac:dyDescent="0.2">
      <c r="A872" s="11">
        <v>46008</v>
      </c>
      <c r="B872" t="s">
        <v>7</v>
      </c>
      <c r="C872" t="s">
        <v>1281</v>
      </c>
      <c r="D872" t="s">
        <v>1282</v>
      </c>
      <c r="E872" t="s">
        <v>636</v>
      </c>
      <c r="F872" t="s">
        <v>22</v>
      </c>
      <c r="G872">
        <v>4</v>
      </c>
      <c r="H872">
        <v>147401.35999999999</v>
      </c>
      <c r="I872">
        <v>46.26</v>
      </c>
    </row>
    <row r="873" spans="1:9" x14ac:dyDescent="0.2">
      <c r="A873" s="11">
        <v>46008</v>
      </c>
      <c r="B873" t="s">
        <v>7</v>
      </c>
      <c r="C873" t="s">
        <v>1281</v>
      </c>
      <c r="D873" t="s">
        <v>1282</v>
      </c>
      <c r="E873" t="s">
        <v>621</v>
      </c>
      <c r="F873" t="s">
        <v>14</v>
      </c>
      <c r="G873">
        <v>14</v>
      </c>
      <c r="H873">
        <v>920316.32</v>
      </c>
      <c r="I873">
        <v>288.83</v>
      </c>
    </row>
    <row r="874" spans="1:9" x14ac:dyDescent="0.2">
      <c r="A874" s="11">
        <v>46009</v>
      </c>
      <c r="B874" t="s">
        <v>7</v>
      </c>
      <c r="C874" t="s">
        <v>1283</v>
      </c>
      <c r="D874" t="s">
        <v>1284</v>
      </c>
      <c r="E874" t="s">
        <v>1285</v>
      </c>
      <c r="F874" t="s">
        <v>22</v>
      </c>
      <c r="G874">
        <v>8</v>
      </c>
      <c r="H874">
        <v>166140.07999999999</v>
      </c>
      <c r="I874">
        <v>52.14</v>
      </c>
    </row>
    <row r="875" spans="1:9" x14ac:dyDescent="0.2">
      <c r="A875" s="11">
        <v>46009</v>
      </c>
      <c r="B875" t="s">
        <v>7</v>
      </c>
      <c r="C875" t="s">
        <v>1283</v>
      </c>
      <c r="D875" t="s">
        <v>1284</v>
      </c>
      <c r="E875" t="s">
        <v>105</v>
      </c>
      <c r="F875" t="s">
        <v>14</v>
      </c>
      <c r="G875">
        <v>35</v>
      </c>
      <c r="H875">
        <v>3743095.3</v>
      </c>
      <c r="I875">
        <v>1174.71</v>
      </c>
    </row>
    <row r="876" spans="1:9" x14ac:dyDescent="0.2">
      <c r="A876" s="11">
        <v>46009</v>
      </c>
      <c r="B876" t="s">
        <v>7</v>
      </c>
      <c r="C876" t="s">
        <v>1283</v>
      </c>
      <c r="D876" t="s">
        <v>1284</v>
      </c>
      <c r="E876" t="s">
        <v>131</v>
      </c>
      <c r="F876" t="s">
        <v>18</v>
      </c>
      <c r="G876">
        <v>46</v>
      </c>
      <c r="H876">
        <v>5681850.54</v>
      </c>
      <c r="I876">
        <v>1783.16</v>
      </c>
    </row>
    <row r="877" spans="1:9" x14ac:dyDescent="0.2">
      <c r="A877" s="11">
        <v>46009</v>
      </c>
      <c r="B877" t="s">
        <v>10</v>
      </c>
      <c r="C877" t="s">
        <v>1286</v>
      </c>
      <c r="D877" t="s">
        <v>1287</v>
      </c>
      <c r="E877" t="s">
        <v>281</v>
      </c>
      <c r="F877" t="s">
        <v>14</v>
      </c>
      <c r="G877">
        <v>7</v>
      </c>
      <c r="H877">
        <v>306794.74</v>
      </c>
      <c r="I877">
        <v>96.28</v>
      </c>
    </row>
    <row r="878" spans="1:9" x14ac:dyDescent="0.2">
      <c r="A878" s="11">
        <v>46009</v>
      </c>
      <c r="B878" t="s">
        <v>9</v>
      </c>
      <c r="C878" t="s">
        <v>1288</v>
      </c>
      <c r="D878" t="s">
        <v>1289</v>
      </c>
      <c r="E878" t="s">
        <v>131</v>
      </c>
      <c r="F878" t="s">
        <v>18</v>
      </c>
      <c r="G878">
        <v>17</v>
      </c>
      <c r="H878">
        <v>2102900.34</v>
      </c>
      <c r="I878">
        <v>659.96</v>
      </c>
    </row>
    <row r="879" spans="1:9" x14ac:dyDescent="0.2">
      <c r="A879" s="11">
        <v>46009</v>
      </c>
      <c r="B879" t="s">
        <v>9</v>
      </c>
      <c r="C879" t="s">
        <v>1288</v>
      </c>
      <c r="D879" t="s">
        <v>1289</v>
      </c>
      <c r="E879" t="s">
        <v>1049</v>
      </c>
      <c r="F879" t="s">
        <v>22</v>
      </c>
      <c r="G879">
        <v>75</v>
      </c>
      <c r="H879">
        <v>2868195</v>
      </c>
      <c r="I879">
        <v>900.14</v>
      </c>
    </row>
    <row r="880" spans="1:9" x14ac:dyDescent="0.2">
      <c r="A880" s="11">
        <v>46009</v>
      </c>
      <c r="B880" t="s">
        <v>9</v>
      </c>
      <c r="C880" t="s">
        <v>1288</v>
      </c>
      <c r="D880" t="s">
        <v>1289</v>
      </c>
      <c r="E880" t="s">
        <v>1290</v>
      </c>
      <c r="F880" t="s">
        <v>18</v>
      </c>
      <c r="G880">
        <v>13</v>
      </c>
      <c r="H880">
        <v>1033103.24</v>
      </c>
      <c r="I880">
        <v>324.22000000000003</v>
      </c>
    </row>
    <row r="881" spans="1:9" x14ac:dyDescent="0.2">
      <c r="A881" s="11">
        <v>46009</v>
      </c>
      <c r="B881" t="s">
        <v>6</v>
      </c>
      <c r="C881" t="s">
        <v>1291</v>
      </c>
      <c r="D881" t="s">
        <v>1292</v>
      </c>
      <c r="E881" t="s">
        <v>135</v>
      </c>
      <c r="F881" t="s">
        <v>22</v>
      </c>
      <c r="G881">
        <v>56</v>
      </c>
      <c r="H881">
        <v>2652893.04</v>
      </c>
      <c r="I881">
        <v>832.57</v>
      </c>
    </row>
    <row r="882" spans="1:9" x14ac:dyDescent="0.2">
      <c r="A882" s="11">
        <v>46009</v>
      </c>
      <c r="B882" t="s">
        <v>6</v>
      </c>
      <c r="C882" t="s">
        <v>1291</v>
      </c>
      <c r="D882" t="s">
        <v>1292</v>
      </c>
      <c r="E882" t="s">
        <v>1293</v>
      </c>
      <c r="F882" t="s">
        <v>14</v>
      </c>
      <c r="G882">
        <v>10</v>
      </c>
      <c r="H882">
        <v>536803.69999999995</v>
      </c>
      <c r="I882">
        <v>168.47</v>
      </c>
    </row>
    <row r="883" spans="1:9" x14ac:dyDescent="0.2">
      <c r="A883" s="11">
        <v>46009</v>
      </c>
      <c r="B883" t="s">
        <v>6</v>
      </c>
      <c r="C883" t="s">
        <v>1291</v>
      </c>
      <c r="D883" t="s">
        <v>1292</v>
      </c>
      <c r="E883" t="s">
        <v>178</v>
      </c>
      <c r="F883" t="s">
        <v>20</v>
      </c>
      <c r="G883">
        <v>6</v>
      </c>
      <c r="H883">
        <v>1396021.14</v>
      </c>
      <c r="I883">
        <v>438.12</v>
      </c>
    </row>
    <row r="884" spans="1:9" x14ac:dyDescent="0.2">
      <c r="A884" s="11">
        <v>46009</v>
      </c>
      <c r="B884" t="s">
        <v>6</v>
      </c>
      <c r="C884" t="s">
        <v>1291</v>
      </c>
      <c r="D884" t="s">
        <v>1292</v>
      </c>
      <c r="E884" t="s">
        <v>1125</v>
      </c>
      <c r="F884" t="s">
        <v>18</v>
      </c>
      <c r="G884">
        <v>6</v>
      </c>
      <c r="H884">
        <v>531806.69999999995</v>
      </c>
      <c r="I884">
        <v>166.9</v>
      </c>
    </row>
    <row r="885" spans="1:9" x14ac:dyDescent="0.2">
      <c r="A885" s="11">
        <v>46009</v>
      </c>
      <c r="B885" t="s">
        <v>9</v>
      </c>
      <c r="C885" t="s">
        <v>898</v>
      </c>
      <c r="D885" t="s">
        <v>1294</v>
      </c>
      <c r="E885" t="s">
        <v>1295</v>
      </c>
      <c r="F885" t="s">
        <v>5</v>
      </c>
      <c r="G885">
        <v>17</v>
      </c>
      <c r="H885">
        <v>846195.4</v>
      </c>
      <c r="I885">
        <v>265.57</v>
      </c>
    </row>
    <row r="886" spans="1:9" x14ac:dyDescent="0.2">
      <c r="A886" s="11">
        <v>46009</v>
      </c>
      <c r="B886" t="s">
        <v>9</v>
      </c>
      <c r="C886" t="s">
        <v>898</v>
      </c>
      <c r="D886" t="s">
        <v>1294</v>
      </c>
      <c r="E886" t="s">
        <v>1296</v>
      </c>
      <c r="F886" t="s">
        <v>20</v>
      </c>
      <c r="G886">
        <v>13</v>
      </c>
      <c r="H886">
        <v>3293564.95</v>
      </c>
      <c r="I886">
        <v>1033.6400000000001</v>
      </c>
    </row>
    <row r="887" spans="1:9" x14ac:dyDescent="0.2">
      <c r="A887" s="11">
        <v>46009</v>
      </c>
      <c r="B887" t="s">
        <v>9</v>
      </c>
      <c r="C887" t="s">
        <v>898</v>
      </c>
      <c r="D887" t="s">
        <v>1294</v>
      </c>
      <c r="E887" t="s">
        <v>1297</v>
      </c>
      <c r="F887" t="s">
        <v>14</v>
      </c>
      <c r="G887">
        <v>22</v>
      </c>
      <c r="H887">
        <v>2200324.94</v>
      </c>
      <c r="I887">
        <v>690.54</v>
      </c>
    </row>
    <row r="888" spans="1:9" x14ac:dyDescent="0.2">
      <c r="A888" s="11">
        <v>46009</v>
      </c>
      <c r="B888" t="s">
        <v>12</v>
      </c>
      <c r="C888" t="s">
        <v>1298</v>
      </c>
      <c r="D888" t="s">
        <v>1299</v>
      </c>
      <c r="E888" t="s">
        <v>198</v>
      </c>
      <c r="F888" t="s">
        <v>5</v>
      </c>
      <c r="G888">
        <v>1</v>
      </c>
      <c r="H888">
        <v>27521.41</v>
      </c>
      <c r="I888">
        <v>8.64</v>
      </c>
    </row>
    <row r="889" spans="1:9" x14ac:dyDescent="0.2">
      <c r="A889" s="11">
        <v>46009</v>
      </c>
      <c r="B889" t="s">
        <v>12</v>
      </c>
      <c r="C889" t="s">
        <v>1298</v>
      </c>
      <c r="D889" t="s">
        <v>1299</v>
      </c>
      <c r="E889" t="s">
        <v>1300</v>
      </c>
      <c r="F889" t="s">
        <v>22</v>
      </c>
      <c r="G889">
        <v>16</v>
      </c>
      <c r="H889">
        <v>969968</v>
      </c>
      <c r="I889">
        <v>304.41000000000003</v>
      </c>
    </row>
    <row r="890" spans="1:9" x14ac:dyDescent="0.2">
      <c r="A890" s="11">
        <v>46009</v>
      </c>
      <c r="B890" t="s">
        <v>12</v>
      </c>
      <c r="C890" t="s">
        <v>1298</v>
      </c>
      <c r="D890" t="s">
        <v>1299</v>
      </c>
      <c r="E890" t="s">
        <v>810</v>
      </c>
      <c r="F890" t="s">
        <v>22</v>
      </c>
      <c r="G890">
        <v>20</v>
      </c>
      <c r="H890">
        <v>504390</v>
      </c>
      <c r="I890">
        <v>158.30000000000001</v>
      </c>
    </row>
    <row r="891" spans="1:9" x14ac:dyDescent="0.2">
      <c r="A891" s="11">
        <v>46009</v>
      </c>
      <c r="B891" t="s">
        <v>12</v>
      </c>
      <c r="C891" t="s">
        <v>1298</v>
      </c>
      <c r="D891" t="s">
        <v>1299</v>
      </c>
      <c r="E891" t="s">
        <v>378</v>
      </c>
      <c r="F891" t="s">
        <v>14</v>
      </c>
      <c r="G891">
        <v>10</v>
      </c>
      <c r="H891">
        <v>884467.1</v>
      </c>
      <c r="I891">
        <v>277.58</v>
      </c>
    </row>
    <row r="892" spans="1:9" x14ac:dyDescent="0.2">
      <c r="A892" s="11">
        <v>46009</v>
      </c>
      <c r="B892" t="s">
        <v>12</v>
      </c>
      <c r="C892" t="s">
        <v>1298</v>
      </c>
      <c r="D892" t="s">
        <v>1299</v>
      </c>
      <c r="E892" t="s">
        <v>1301</v>
      </c>
      <c r="F892" t="s">
        <v>18</v>
      </c>
      <c r="G892">
        <v>13</v>
      </c>
      <c r="H892">
        <v>532967.24</v>
      </c>
      <c r="I892">
        <v>167.26</v>
      </c>
    </row>
    <row r="893" spans="1:9" x14ac:dyDescent="0.2">
      <c r="A893" s="11">
        <v>46009</v>
      </c>
      <c r="B893" t="s">
        <v>8</v>
      </c>
      <c r="C893" t="s">
        <v>891</v>
      </c>
      <c r="D893" t="s">
        <v>1302</v>
      </c>
      <c r="E893" t="s">
        <v>1007</v>
      </c>
      <c r="F893" t="s">
        <v>22</v>
      </c>
      <c r="G893">
        <v>5</v>
      </c>
      <c r="H893">
        <v>193333.45</v>
      </c>
      <c r="I893">
        <v>60.67</v>
      </c>
    </row>
    <row r="894" spans="1:9" x14ac:dyDescent="0.2">
      <c r="A894" s="11">
        <v>46009</v>
      </c>
      <c r="B894" t="s">
        <v>12</v>
      </c>
      <c r="C894" t="s">
        <v>1303</v>
      </c>
      <c r="D894" t="s">
        <v>1304</v>
      </c>
      <c r="E894" t="s">
        <v>508</v>
      </c>
      <c r="F894" t="s">
        <v>5</v>
      </c>
      <c r="G894">
        <v>8</v>
      </c>
      <c r="H894">
        <v>448091.6</v>
      </c>
      <c r="I894">
        <v>140.63</v>
      </c>
    </row>
    <row r="895" spans="1:9" x14ac:dyDescent="0.2">
      <c r="A895" s="11">
        <v>46009</v>
      </c>
      <c r="B895" t="s">
        <v>12</v>
      </c>
      <c r="C895" t="s">
        <v>1303</v>
      </c>
      <c r="D895" t="s">
        <v>1304</v>
      </c>
      <c r="E895" t="s">
        <v>150</v>
      </c>
      <c r="F895" t="s">
        <v>14</v>
      </c>
      <c r="G895">
        <v>18</v>
      </c>
      <c r="H895">
        <v>1528702.38</v>
      </c>
      <c r="I895">
        <v>479.76</v>
      </c>
    </row>
    <row r="896" spans="1:9" x14ac:dyDescent="0.2">
      <c r="A896" s="11">
        <v>46009</v>
      </c>
      <c r="B896" t="s">
        <v>6</v>
      </c>
      <c r="C896" t="s">
        <v>1305</v>
      </c>
      <c r="D896" t="s">
        <v>1306</v>
      </c>
      <c r="E896" t="s">
        <v>326</v>
      </c>
      <c r="F896" t="s">
        <v>5</v>
      </c>
      <c r="G896">
        <v>11</v>
      </c>
      <c r="H896">
        <v>478131.39</v>
      </c>
      <c r="I896">
        <v>150.05000000000001</v>
      </c>
    </row>
    <row r="897" spans="1:9" x14ac:dyDescent="0.2">
      <c r="A897" s="11">
        <v>46009</v>
      </c>
      <c r="B897" t="s">
        <v>6</v>
      </c>
      <c r="C897" t="s">
        <v>1305</v>
      </c>
      <c r="D897" t="s">
        <v>1306</v>
      </c>
      <c r="E897" t="s">
        <v>55</v>
      </c>
      <c r="F897" t="s">
        <v>14</v>
      </c>
      <c r="G897">
        <v>10</v>
      </c>
      <c r="H897">
        <v>876606.7</v>
      </c>
      <c r="I897">
        <v>275.11</v>
      </c>
    </row>
    <row r="898" spans="1:9" x14ac:dyDescent="0.2">
      <c r="A898" s="11">
        <v>46009</v>
      </c>
      <c r="B898" t="s">
        <v>8</v>
      </c>
      <c r="C898" t="s">
        <v>1307</v>
      </c>
      <c r="D898" t="s">
        <v>1308</v>
      </c>
      <c r="E898" t="s">
        <v>1309</v>
      </c>
      <c r="F898" t="s">
        <v>5</v>
      </c>
      <c r="G898">
        <v>13</v>
      </c>
      <c r="H898">
        <v>462037.68</v>
      </c>
      <c r="I898">
        <v>145</v>
      </c>
    </row>
    <row r="899" spans="1:9" x14ac:dyDescent="0.2">
      <c r="A899" s="11">
        <v>46009</v>
      </c>
      <c r="B899" t="s">
        <v>8</v>
      </c>
      <c r="C899" t="s">
        <v>1307</v>
      </c>
      <c r="D899" t="s">
        <v>1308</v>
      </c>
      <c r="E899" t="s">
        <v>1310</v>
      </c>
      <c r="F899" t="s">
        <v>14</v>
      </c>
      <c r="G899">
        <v>6</v>
      </c>
      <c r="H899">
        <v>577539.30000000005</v>
      </c>
      <c r="I899">
        <v>181.25</v>
      </c>
    </row>
    <row r="900" spans="1:9" x14ac:dyDescent="0.2">
      <c r="A900" s="11">
        <v>46009</v>
      </c>
      <c r="B900" t="s">
        <v>8</v>
      </c>
      <c r="C900" t="s">
        <v>1307</v>
      </c>
      <c r="D900" t="s">
        <v>1308</v>
      </c>
      <c r="E900" t="s">
        <v>1311</v>
      </c>
      <c r="F900" t="s">
        <v>16</v>
      </c>
      <c r="G900">
        <v>31</v>
      </c>
      <c r="H900">
        <v>3951354.24</v>
      </c>
      <c r="I900">
        <v>1240.07</v>
      </c>
    </row>
    <row r="901" spans="1:9" x14ac:dyDescent="0.2">
      <c r="A901" s="11">
        <v>46009</v>
      </c>
      <c r="B901" t="s">
        <v>8</v>
      </c>
      <c r="C901" t="s">
        <v>1307</v>
      </c>
      <c r="D901" t="s">
        <v>1308</v>
      </c>
      <c r="E901" t="s">
        <v>1312</v>
      </c>
      <c r="F901" t="s">
        <v>20</v>
      </c>
      <c r="G901">
        <v>14</v>
      </c>
      <c r="H901">
        <v>1227804.2</v>
      </c>
      <c r="I901">
        <v>385.33</v>
      </c>
    </row>
    <row r="902" spans="1:9" x14ac:dyDescent="0.2">
      <c r="A902" s="11">
        <v>46009</v>
      </c>
      <c r="B902" t="s">
        <v>10</v>
      </c>
      <c r="C902" t="s">
        <v>1313</v>
      </c>
      <c r="D902" t="s">
        <v>1314</v>
      </c>
      <c r="E902" t="s">
        <v>1315</v>
      </c>
      <c r="F902" t="s">
        <v>18</v>
      </c>
      <c r="G902">
        <v>31</v>
      </c>
      <c r="H902">
        <v>3219622.18</v>
      </c>
      <c r="I902">
        <v>1010.43</v>
      </c>
    </row>
    <row r="903" spans="1:9" x14ac:dyDescent="0.2">
      <c r="A903" s="11">
        <v>46009</v>
      </c>
      <c r="B903" t="s">
        <v>10</v>
      </c>
      <c r="C903" t="s">
        <v>1313</v>
      </c>
      <c r="D903" t="s">
        <v>1314</v>
      </c>
      <c r="E903" t="s">
        <v>1063</v>
      </c>
      <c r="F903" t="s">
        <v>14</v>
      </c>
      <c r="G903">
        <v>19</v>
      </c>
      <c r="H903">
        <v>1294267.27</v>
      </c>
      <c r="I903">
        <v>406.19</v>
      </c>
    </row>
    <row r="904" spans="1:9" x14ac:dyDescent="0.2">
      <c r="A904" s="11">
        <v>46009</v>
      </c>
      <c r="B904" t="s">
        <v>10</v>
      </c>
      <c r="C904" t="s">
        <v>1313</v>
      </c>
      <c r="D904" t="s">
        <v>1314</v>
      </c>
      <c r="E904" t="s">
        <v>1316</v>
      </c>
      <c r="F904" t="s">
        <v>5</v>
      </c>
      <c r="G904">
        <v>4</v>
      </c>
      <c r="H904">
        <v>135624.24</v>
      </c>
      <c r="I904">
        <v>42.56</v>
      </c>
    </row>
    <row r="905" spans="1:9" x14ac:dyDescent="0.2">
      <c r="A905" s="11">
        <v>46009</v>
      </c>
      <c r="B905" t="s">
        <v>11</v>
      </c>
      <c r="C905" t="s">
        <v>1317</v>
      </c>
      <c r="D905" t="s">
        <v>1318</v>
      </c>
      <c r="E905" t="s">
        <v>1319</v>
      </c>
      <c r="F905" t="s">
        <v>18</v>
      </c>
      <c r="G905">
        <v>26</v>
      </c>
      <c r="H905">
        <v>1975979.98</v>
      </c>
      <c r="I905">
        <v>620.13</v>
      </c>
    </row>
    <row r="906" spans="1:9" x14ac:dyDescent="0.2">
      <c r="A906" s="11">
        <v>46009</v>
      </c>
      <c r="B906" t="s">
        <v>11</v>
      </c>
      <c r="C906" t="s">
        <v>1317</v>
      </c>
      <c r="D906" t="s">
        <v>1318</v>
      </c>
      <c r="E906" t="s">
        <v>1269</v>
      </c>
      <c r="F906" t="s">
        <v>20</v>
      </c>
      <c r="G906">
        <v>6</v>
      </c>
      <c r="H906">
        <v>1151262.6000000001</v>
      </c>
      <c r="I906">
        <v>361.31</v>
      </c>
    </row>
    <row r="907" spans="1:9" x14ac:dyDescent="0.2">
      <c r="A907" s="11">
        <v>46009</v>
      </c>
      <c r="B907" t="s">
        <v>11</v>
      </c>
      <c r="C907" t="s">
        <v>1317</v>
      </c>
      <c r="D907" t="s">
        <v>1318</v>
      </c>
      <c r="E907" t="s">
        <v>1043</v>
      </c>
      <c r="F907" t="s">
        <v>22</v>
      </c>
      <c r="G907">
        <v>19</v>
      </c>
      <c r="H907">
        <v>606155.86</v>
      </c>
      <c r="I907">
        <v>190.23</v>
      </c>
    </row>
    <row r="908" spans="1:9" x14ac:dyDescent="0.2">
      <c r="A908" s="11">
        <v>46009</v>
      </c>
      <c r="B908" t="s">
        <v>7</v>
      </c>
      <c r="C908" t="s">
        <v>382</v>
      </c>
      <c r="D908" t="s">
        <v>1320</v>
      </c>
      <c r="E908" t="s">
        <v>1321</v>
      </c>
      <c r="F908" t="s">
        <v>18</v>
      </c>
      <c r="G908">
        <v>22</v>
      </c>
      <c r="H908">
        <v>1913141.78</v>
      </c>
      <c r="I908">
        <v>600.41</v>
      </c>
    </row>
    <row r="909" spans="1:9" x14ac:dyDescent="0.2">
      <c r="A909" s="11">
        <v>46009</v>
      </c>
      <c r="B909" t="s">
        <v>7</v>
      </c>
      <c r="C909" t="s">
        <v>382</v>
      </c>
      <c r="D909" t="s">
        <v>1320</v>
      </c>
      <c r="E909" t="s">
        <v>1322</v>
      </c>
      <c r="F909" t="s">
        <v>14</v>
      </c>
      <c r="G909">
        <v>21</v>
      </c>
      <c r="H909">
        <v>1601087.67</v>
      </c>
      <c r="I909">
        <v>502.48</v>
      </c>
    </row>
    <row r="910" spans="1:9" x14ac:dyDescent="0.2">
      <c r="A910" s="11">
        <v>46009</v>
      </c>
      <c r="B910" t="s">
        <v>12</v>
      </c>
      <c r="C910" t="s">
        <v>106</v>
      </c>
      <c r="D910" t="s">
        <v>1323</v>
      </c>
      <c r="E910" t="s">
        <v>1324</v>
      </c>
      <c r="F910" t="s">
        <v>14</v>
      </c>
      <c r="G910">
        <v>8</v>
      </c>
      <c r="H910">
        <v>800309.68</v>
      </c>
      <c r="I910">
        <v>251.17</v>
      </c>
    </row>
    <row r="911" spans="1:9" x14ac:dyDescent="0.2">
      <c r="A911" s="11">
        <v>46009</v>
      </c>
      <c r="B911" t="s">
        <v>12</v>
      </c>
      <c r="C911" t="s">
        <v>106</v>
      </c>
      <c r="D911" t="s">
        <v>1323</v>
      </c>
      <c r="E911" t="s">
        <v>1325</v>
      </c>
      <c r="F911" t="s">
        <v>20</v>
      </c>
      <c r="G911">
        <v>17</v>
      </c>
      <c r="H911">
        <v>3592434.05</v>
      </c>
      <c r="I911">
        <v>1127.43</v>
      </c>
    </row>
    <row r="912" spans="1:9" x14ac:dyDescent="0.2">
      <c r="A912" s="11">
        <v>46009</v>
      </c>
      <c r="B912" t="s">
        <v>12</v>
      </c>
      <c r="C912" t="s">
        <v>106</v>
      </c>
      <c r="D912" t="s">
        <v>1323</v>
      </c>
      <c r="E912" t="s">
        <v>496</v>
      </c>
      <c r="F912" t="s">
        <v>18</v>
      </c>
      <c r="G912">
        <v>9</v>
      </c>
      <c r="H912">
        <v>803176.29</v>
      </c>
      <c r="I912">
        <v>252.06</v>
      </c>
    </row>
    <row r="913" spans="1:9" x14ac:dyDescent="0.2">
      <c r="A913" s="11">
        <v>46009</v>
      </c>
      <c r="B913" t="s">
        <v>7</v>
      </c>
      <c r="C913" t="s">
        <v>518</v>
      </c>
      <c r="D913" t="s">
        <v>1326</v>
      </c>
      <c r="E913" t="s">
        <v>578</v>
      </c>
      <c r="F913" t="s">
        <v>14</v>
      </c>
      <c r="G913">
        <v>21</v>
      </c>
      <c r="H913">
        <v>727064.31</v>
      </c>
      <c r="I913">
        <v>228.18</v>
      </c>
    </row>
    <row r="914" spans="1:9" x14ac:dyDescent="0.2">
      <c r="A914" s="11">
        <v>46009</v>
      </c>
      <c r="B914" t="s">
        <v>7</v>
      </c>
      <c r="C914" t="s">
        <v>518</v>
      </c>
      <c r="D914" t="s">
        <v>1326</v>
      </c>
      <c r="E914" t="s">
        <v>1327</v>
      </c>
      <c r="F914" t="s">
        <v>20</v>
      </c>
      <c r="G914">
        <v>10</v>
      </c>
      <c r="H914">
        <v>1227999.8</v>
      </c>
      <c r="I914">
        <v>385.39</v>
      </c>
    </row>
    <row r="915" spans="1:9" x14ac:dyDescent="0.2">
      <c r="A915" s="11">
        <v>46009</v>
      </c>
      <c r="B915" t="s">
        <v>10</v>
      </c>
      <c r="C915" t="s">
        <v>643</v>
      </c>
      <c r="D915" t="s">
        <v>1328</v>
      </c>
      <c r="E915" t="s">
        <v>1329</v>
      </c>
      <c r="F915" t="s">
        <v>20</v>
      </c>
      <c r="G915">
        <v>6</v>
      </c>
      <c r="H915">
        <v>1264322.04</v>
      </c>
      <c r="I915">
        <v>396.79</v>
      </c>
    </row>
    <row r="916" spans="1:9" x14ac:dyDescent="0.2">
      <c r="A916" s="11">
        <v>46009</v>
      </c>
      <c r="B916" t="s">
        <v>10</v>
      </c>
      <c r="C916" t="s">
        <v>643</v>
      </c>
      <c r="D916" t="s">
        <v>1328</v>
      </c>
      <c r="E916" t="s">
        <v>361</v>
      </c>
      <c r="F916" t="s">
        <v>20</v>
      </c>
      <c r="G916">
        <v>4</v>
      </c>
      <c r="H916">
        <v>959725.44</v>
      </c>
      <c r="I916">
        <v>301.2</v>
      </c>
    </row>
    <row r="917" spans="1:9" x14ac:dyDescent="0.2">
      <c r="A917" s="11">
        <v>46009</v>
      </c>
      <c r="B917" t="s">
        <v>10</v>
      </c>
      <c r="C917" t="s">
        <v>643</v>
      </c>
      <c r="D917" t="s">
        <v>1328</v>
      </c>
      <c r="E917" t="s">
        <v>1330</v>
      </c>
      <c r="F917" t="s">
        <v>14</v>
      </c>
      <c r="G917">
        <v>7</v>
      </c>
      <c r="H917">
        <v>541717.12</v>
      </c>
      <c r="I917">
        <v>170.01</v>
      </c>
    </row>
    <row r="918" spans="1:9" x14ac:dyDescent="0.2">
      <c r="A918" s="11">
        <v>46009</v>
      </c>
      <c r="B918" t="s">
        <v>11</v>
      </c>
      <c r="C918" t="s">
        <v>1331</v>
      </c>
      <c r="D918" t="s">
        <v>1332</v>
      </c>
      <c r="E918" t="s">
        <v>1333</v>
      </c>
      <c r="F918" t="s">
        <v>22</v>
      </c>
      <c r="G918">
        <v>9</v>
      </c>
      <c r="H918">
        <v>279124.46999999997</v>
      </c>
      <c r="I918">
        <v>87.6</v>
      </c>
    </row>
    <row r="919" spans="1:9" x14ac:dyDescent="0.2">
      <c r="A919" s="11">
        <v>46009</v>
      </c>
      <c r="B919" t="s">
        <v>11</v>
      </c>
      <c r="C919" t="s">
        <v>1331</v>
      </c>
      <c r="D919" t="s">
        <v>1332</v>
      </c>
      <c r="E919" t="s">
        <v>290</v>
      </c>
      <c r="F919" t="s">
        <v>16</v>
      </c>
      <c r="G919">
        <v>8</v>
      </c>
      <c r="H919">
        <v>1216086.24</v>
      </c>
      <c r="I919">
        <v>381.65</v>
      </c>
    </row>
    <row r="920" spans="1:9" x14ac:dyDescent="0.2">
      <c r="A920" s="11">
        <v>46009</v>
      </c>
      <c r="B920" t="s">
        <v>11</v>
      </c>
      <c r="C920" t="s">
        <v>1331</v>
      </c>
      <c r="D920" t="s">
        <v>1332</v>
      </c>
      <c r="E920" t="s">
        <v>320</v>
      </c>
      <c r="F920" t="s">
        <v>14</v>
      </c>
      <c r="G920">
        <v>24</v>
      </c>
      <c r="H920">
        <v>1863617.52</v>
      </c>
      <c r="I920">
        <v>584.87</v>
      </c>
    </row>
    <row r="921" spans="1:9" x14ac:dyDescent="0.2">
      <c r="A921" s="11">
        <v>46009</v>
      </c>
      <c r="B921" t="s">
        <v>11</v>
      </c>
      <c r="C921" t="s">
        <v>1331</v>
      </c>
      <c r="D921" t="s">
        <v>1332</v>
      </c>
      <c r="E921" t="s">
        <v>55</v>
      </c>
      <c r="F921" t="s">
        <v>14</v>
      </c>
      <c r="G921">
        <v>22</v>
      </c>
      <c r="H921">
        <v>1910273.86</v>
      </c>
      <c r="I921">
        <v>599.51</v>
      </c>
    </row>
    <row r="922" spans="1:9" x14ac:dyDescent="0.2">
      <c r="A922" s="11">
        <v>46009</v>
      </c>
      <c r="B922" t="s">
        <v>6</v>
      </c>
      <c r="C922" t="s">
        <v>1334</v>
      </c>
      <c r="D922" t="s">
        <v>1335</v>
      </c>
      <c r="E922" t="s">
        <v>604</v>
      </c>
      <c r="F922" t="s">
        <v>22</v>
      </c>
      <c r="G922">
        <v>7</v>
      </c>
      <c r="H922">
        <v>375584.86</v>
      </c>
      <c r="I922">
        <v>117.87</v>
      </c>
    </row>
    <row r="923" spans="1:9" x14ac:dyDescent="0.2">
      <c r="A923" s="11">
        <v>46009</v>
      </c>
      <c r="B923" t="s">
        <v>6</v>
      </c>
      <c r="C923" t="s">
        <v>1334</v>
      </c>
      <c r="D923" t="s">
        <v>1335</v>
      </c>
      <c r="E923" t="s">
        <v>1336</v>
      </c>
      <c r="F923" t="s">
        <v>14</v>
      </c>
      <c r="G923">
        <v>4</v>
      </c>
      <c r="H923">
        <v>263151.08</v>
      </c>
      <c r="I923">
        <v>82.59</v>
      </c>
    </row>
    <row r="924" spans="1:9" x14ac:dyDescent="0.2">
      <c r="A924" s="11">
        <v>46009</v>
      </c>
      <c r="B924" t="s">
        <v>6</v>
      </c>
      <c r="C924" t="s">
        <v>1334</v>
      </c>
      <c r="D924" t="s">
        <v>1335</v>
      </c>
      <c r="E924" t="s">
        <v>493</v>
      </c>
      <c r="F924" t="s">
        <v>22</v>
      </c>
      <c r="G924">
        <v>7</v>
      </c>
      <c r="H924">
        <v>408366.77</v>
      </c>
      <c r="I924">
        <v>128.16</v>
      </c>
    </row>
    <row r="925" spans="1:9" x14ac:dyDescent="0.2">
      <c r="A925" s="11">
        <v>46009</v>
      </c>
      <c r="B925" t="s">
        <v>6</v>
      </c>
      <c r="C925" t="s">
        <v>878</v>
      </c>
      <c r="D925" t="s">
        <v>1337</v>
      </c>
      <c r="E925" t="s">
        <v>1338</v>
      </c>
      <c r="F925" t="s">
        <v>18</v>
      </c>
      <c r="G925">
        <v>4</v>
      </c>
      <c r="H925">
        <v>390889</v>
      </c>
      <c r="I925">
        <v>122.67</v>
      </c>
    </row>
    <row r="926" spans="1:9" x14ac:dyDescent="0.2">
      <c r="A926" s="11">
        <v>46009</v>
      </c>
      <c r="B926" t="s">
        <v>6</v>
      </c>
      <c r="C926" t="s">
        <v>878</v>
      </c>
      <c r="D926" t="s">
        <v>1337</v>
      </c>
      <c r="E926" t="s">
        <v>128</v>
      </c>
      <c r="F926" t="s">
        <v>14</v>
      </c>
      <c r="G926">
        <v>7</v>
      </c>
      <c r="H926">
        <v>512934.94</v>
      </c>
      <c r="I926">
        <v>160.97999999999999</v>
      </c>
    </row>
    <row r="927" spans="1:9" x14ac:dyDescent="0.2">
      <c r="A927" s="11">
        <v>46009</v>
      </c>
      <c r="B927" t="s">
        <v>6</v>
      </c>
      <c r="C927" t="s">
        <v>878</v>
      </c>
      <c r="D927" t="s">
        <v>1337</v>
      </c>
      <c r="E927" t="s">
        <v>396</v>
      </c>
      <c r="F927" t="s">
        <v>22</v>
      </c>
      <c r="G927">
        <v>18</v>
      </c>
      <c r="H927">
        <v>644373</v>
      </c>
      <c r="I927">
        <v>202.23</v>
      </c>
    </row>
    <row r="928" spans="1:9" x14ac:dyDescent="0.2">
      <c r="A928" s="11">
        <v>46009</v>
      </c>
      <c r="B928" t="s">
        <v>6</v>
      </c>
      <c r="C928" t="s">
        <v>878</v>
      </c>
      <c r="D928" t="s">
        <v>1337</v>
      </c>
      <c r="E928" t="s">
        <v>1339</v>
      </c>
      <c r="F928" t="s">
        <v>18</v>
      </c>
      <c r="G928">
        <v>12</v>
      </c>
      <c r="H928">
        <v>663611.52</v>
      </c>
      <c r="I928">
        <v>208.26</v>
      </c>
    </row>
    <row r="929" spans="1:9" x14ac:dyDescent="0.2">
      <c r="A929" s="11">
        <v>46009</v>
      </c>
      <c r="B929" t="s">
        <v>9</v>
      </c>
      <c r="C929" t="s">
        <v>868</v>
      </c>
      <c r="D929" t="s">
        <v>1340</v>
      </c>
      <c r="E929" t="s">
        <v>94</v>
      </c>
      <c r="F929" t="s">
        <v>18</v>
      </c>
      <c r="G929">
        <v>3</v>
      </c>
      <c r="H929">
        <v>120171.6</v>
      </c>
      <c r="I929">
        <v>37.71</v>
      </c>
    </row>
    <row r="930" spans="1:9" x14ac:dyDescent="0.2">
      <c r="A930" s="11">
        <v>46009</v>
      </c>
      <c r="B930" t="s">
        <v>9</v>
      </c>
      <c r="C930" t="s">
        <v>868</v>
      </c>
      <c r="D930" t="s">
        <v>1340</v>
      </c>
      <c r="E930" t="s">
        <v>1341</v>
      </c>
      <c r="F930" t="s">
        <v>22</v>
      </c>
      <c r="G930">
        <v>8</v>
      </c>
      <c r="H930">
        <v>345635.52</v>
      </c>
      <c r="I930">
        <v>108.47</v>
      </c>
    </row>
    <row r="931" spans="1:9" x14ac:dyDescent="0.2">
      <c r="A931" s="11">
        <v>46009</v>
      </c>
      <c r="B931" t="s">
        <v>9</v>
      </c>
      <c r="C931" t="s">
        <v>868</v>
      </c>
      <c r="D931" t="s">
        <v>1340</v>
      </c>
      <c r="E931" t="s">
        <v>1342</v>
      </c>
      <c r="F931" t="s">
        <v>14</v>
      </c>
      <c r="G931">
        <v>10</v>
      </c>
      <c r="H931">
        <v>1003698.4</v>
      </c>
      <c r="I931">
        <v>315</v>
      </c>
    </row>
    <row r="932" spans="1:9" x14ac:dyDescent="0.2">
      <c r="A932" s="11">
        <v>46009</v>
      </c>
      <c r="B932" t="s">
        <v>6</v>
      </c>
      <c r="C932" t="s">
        <v>1343</v>
      </c>
      <c r="D932" t="s">
        <v>1344</v>
      </c>
      <c r="E932" t="s">
        <v>1100</v>
      </c>
      <c r="F932" t="s">
        <v>22</v>
      </c>
      <c r="G932">
        <v>9</v>
      </c>
      <c r="H932">
        <v>198939.6</v>
      </c>
      <c r="I932">
        <v>62.43</v>
      </c>
    </row>
    <row r="933" spans="1:9" x14ac:dyDescent="0.2">
      <c r="A933" s="11">
        <v>46009</v>
      </c>
      <c r="B933" t="s">
        <v>6</v>
      </c>
      <c r="C933" t="s">
        <v>1343</v>
      </c>
      <c r="D933" t="s">
        <v>1344</v>
      </c>
      <c r="E933" t="s">
        <v>739</v>
      </c>
      <c r="F933" t="s">
        <v>18</v>
      </c>
      <c r="G933">
        <v>10</v>
      </c>
      <c r="H933">
        <v>642255.80000000005</v>
      </c>
      <c r="I933">
        <v>201.56</v>
      </c>
    </row>
    <row r="934" spans="1:9" x14ac:dyDescent="0.2">
      <c r="A934" s="11">
        <v>46010</v>
      </c>
      <c r="B934" t="s">
        <v>8</v>
      </c>
      <c r="C934" t="s">
        <v>1305</v>
      </c>
      <c r="D934" t="s">
        <v>1345</v>
      </c>
      <c r="E934" t="s">
        <v>1346</v>
      </c>
      <c r="F934" t="s">
        <v>18</v>
      </c>
      <c r="G934">
        <v>10</v>
      </c>
      <c r="H934">
        <v>757188</v>
      </c>
      <c r="I934">
        <v>237.63</v>
      </c>
    </row>
    <row r="935" spans="1:9" x14ac:dyDescent="0.2">
      <c r="A935" s="11">
        <v>46010</v>
      </c>
      <c r="B935" t="s">
        <v>10</v>
      </c>
      <c r="C935" t="s">
        <v>1347</v>
      </c>
      <c r="D935" t="s">
        <v>1348</v>
      </c>
      <c r="E935" t="s">
        <v>984</v>
      </c>
      <c r="F935" t="s">
        <v>22</v>
      </c>
      <c r="G935">
        <v>5</v>
      </c>
      <c r="H935">
        <v>177040.9</v>
      </c>
      <c r="I935">
        <v>55.56</v>
      </c>
    </row>
    <row r="936" spans="1:9" x14ac:dyDescent="0.2">
      <c r="A936" s="11">
        <v>46010</v>
      </c>
      <c r="B936" t="s">
        <v>10</v>
      </c>
      <c r="C936" t="s">
        <v>1347</v>
      </c>
      <c r="D936" t="s">
        <v>1348</v>
      </c>
      <c r="E936" t="s">
        <v>1349</v>
      </c>
      <c r="F936" t="s">
        <v>22</v>
      </c>
      <c r="G936">
        <v>54</v>
      </c>
      <c r="H936">
        <v>2899678.5</v>
      </c>
      <c r="I936">
        <v>910.02</v>
      </c>
    </row>
    <row r="937" spans="1:9" x14ac:dyDescent="0.2">
      <c r="A937" s="11">
        <v>46010</v>
      </c>
      <c r="B937" t="s">
        <v>6</v>
      </c>
      <c r="C937" t="s">
        <v>1350</v>
      </c>
      <c r="D937" t="s">
        <v>1351</v>
      </c>
      <c r="E937" t="s">
        <v>1155</v>
      </c>
      <c r="F937" t="s">
        <v>5</v>
      </c>
      <c r="G937">
        <v>10</v>
      </c>
      <c r="H937">
        <v>403569.6</v>
      </c>
      <c r="I937">
        <v>126.65</v>
      </c>
    </row>
    <row r="938" spans="1:9" x14ac:dyDescent="0.2">
      <c r="A938" s="11">
        <v>46010</v>
      </c>
      <c r="B938" t="s">
        <v>6</v>
      </c>
      <c r="C938" t="s">
        <v>1350</v>
      </c>
      <c r="D938" t="s">
        <v>1351</v>
      </c>
      <c r="E938" t="s">
        <v>987</v>
      </c>
      <c r="F938" t="s">
        <v>16</v>
      </c>
      <c r="G938">
        <v>27</v>
      </c>
      <c r="H938">
        <v>2332539.4500000002</v>
      </c>
      <c r="I938">
        <v>732.03</v>
      </c>
    </row>
    <row r="939" spans="1:9" x14ac:dyDescent="0.2">
      <c r="A939" s="11">
        <v>46010</v>
      </c>
      <c r="B939" t="s">
        <v>6</v>
      </c>
      <c r="C939" t="s">
        <v>1350</v>
      </c>
      <c r="D939" t="s">
        <v>1351</v>
      </c>
      <c r="E939" t="s">
        <v>1293</v>
      </c>
      <c r="F939" t="s">
        <v>14</v>
      </c>
      <c r="G939">
        <v>15</v>
      </c>
      <c r="H939">
        <v>806518.8</v>
      </c>
      <c r="I939">
        <v>253.11</v>
      </c>
    </row>
    <row r="940" spans="1:9" x14ac:dyDescent="0.2">
      <c r="A940" s="11">
        <v>46010</v>
      </c>
      <c r="B940" t="s">
        <v>12</v>
      </c>
      <c r="C940" t="s">
        <v>1012</v>
      </c>
      <c r="D940" t="s">
        <v>1352</v>
      </c>
      <c r="E940" t="s">
        <v>1353</v>
      </c>
      <c r="F940" t="s">
        <v>18</v>
      </c>
      <c r="G940">
        <v>39</v>
      </c>
      <c r="H940">
        <v>3179897.37</v>
      </c>
      <c r="I940">
        <v>997.96</v>
      </c>
    </row>
    <row r="941" spans="1:9" x14ac:dyDescent="0.2">
      <c r="A941" s="11">
        <v>46010</v>
      </c>
      <c r="B941" t="s">
        <v>12</v>
      </c>
      <c r="C941" t="s">
        <v>1012</v>
      </c>
      <c r="D941" t="s">
        <v>1352</v>
      </c>
      <c r="E941" t="s">
        <v>716</v>
      </c>
      <c r="F941" t="s">
        <v>14</v>
      </c>
      <c r="G941">
        <v>6</v>
      </c>
      <c r="H941">
        <v>476752.98</v>
      </c>
      <c r="I941">
        <v>149.62</v>
      </c>
    </row>
    <row r="942" spans="1:9" x14ac:dyDescent="0.2">
      <c r="A942" s="11">
        <v>46010</v>
      </c>
      <c r="B942" t="s">
        <v>12</v>
      </c>
      <c r="C942" t="s">
        <v>1012</v>
      </c>
      <c r="D942" t="s">
        <v>1352</v>
      </c>
      <c r="E942" t="s">
        <v>1354</v>
      </c>
      <c r="F942" t="s">
        <v>5</v>
      </c>
      <c r="G942">
        <v>17</v>
      </c>
      <c r="H942">
        <v>945758.62</v>
      </c>
      <c r="I942">
        <v>296.81</v>
      </c>
    </row>
    <row r="943" spans="1:9" x14ac:dyDescent="0.2">
      <c r="A943" s="11">
        <v>46010</v>
      </c>
      <c r="B943" t="s">
        <v>9</v>
      </c>
      <c r="C943" t="s">
        <v>190</v>
      </c>
      <c r="D943" t="s">
        <v>1355</v>
      </c>
      <c r="E943" t="s">
        <v>825</v>
      </c>
      <c r="F943" t="s">
        <v>16</v>
      </c>
      <c r="G943">
        <v>4</v>
      </c>
      <c r="H943">
        <v>365810.12</v>
      </c>
      <c r="I943">
        <v>114.8</v>
      </c>
    </row>
    <row r="944" spans="1:9" x14ac:dyDescent="0.2">
      <c r="A944" s="11">
        <v>46010</v>
      </c>
      <c r="B944" t="s">
        <v>12</v>
      </c>
      <c r="C944" t="s">
        <v>1356</v>
      </c>
      <c r="D944" t="s">
        <v>1357</v>
      </c>
      <c r="E944" t="s">
        <v>169</v>
      </c>
      <c r="F944" t="s">
        <v>22</v>
      </c>
      <c r="G944">
        <v>13</v>
      </c>
      <c r="H944">
        <v>509206.88</v>
      </c>
      <c r="I944">
        <v>159.81</v>
      </c>
    </row>
    <row r="945" spans="1:9" x14ac:dyDescent="0.2">
      <c r="A945" s="11">
        <v>46010</v>
      </c>
      <c r="B945" t="s">
        <v>12</v>
      </c>
      <c r="C945" t="s">
        <v>1356</v>
      </c>
      <c r="D945" t="s">
        <v>1357</v>
      </c>
      <c r="E945" t="s">
        <v>274</v>
      </c>
      <c r="F945" t="s">
        <v>5</v>
      </c>
      <c r="G945">
        <v>13</v>
      </c>
      <c r="H945">
        <v>956882.42</v>
      </c>
      <c r="I945">
        <v>300.3</v>
      </c>
    </row>
    <row r="946" spans="1:9" x14ac:dyDescent="0.2">
      <c r="A946" s="11">
        <v>46010</v>
      </c>
      <c r="B946" t="s">
        <v>9</v>
      </c>
      <c r="C946" t="s">
        <v>786</v>
      </c>
      <c r="D946" t="s">
        <v>1358</v>
      </c>
      <c r="E946" t="s">
        <v>931</v>
      </c>
      <c r="F946" t="s">
        <v>16</v>
      </c>
      <c r="G946">
        <v>5</v>
      </c>
      <c r="H946">
        <v>314985.15000000002</v>
      </c>
      <c r="I946">
        <v>98.85</v>
      </c>
    </row>
    <row r="947" spans="1:9" x14ac:dyDescent="0.2">
      <c r="A947" s="11">
        <v>46010</v>
      </c>
      <c r="B947" t="s">
        <v>8</v>
      </c>
      <c r="C947" t="s">
        <v>1359</v>
      </c>
      <c r="D947" t="s">
        <v>1360</v>
      </c>
      <c r="E947" t="s">
        <v>339</v>
      </c>
      <c r="F947" t="s">
        <v>22</v>
      </c>
      <c r="G947">
        <v>6</v>
      </c>
      <c r="H947">
        <v>265845</v>
      </c>
      <c r="I947">
        <v>83.43</v>
      </c>
    </row>
    <row r="948" spans="1:9" x14ac:dyDescent="0.2">
      <c r="A948" s="11">
        <v>46010</v>
      </c>
      <c r="B948" t="s">
        <v>8</v>
      </c>
      <c r="C948" t="s">
        <v>1359</v>
      </c>
      <c r="D948" t="s">
        <v>1360</v>
      </c>
      <c r="E948" t="s">
        <v>650</v>
      </c>
      <c r="F948" t="s">
        <v>20</v>
      </c>
      <c r="G948">
        <v>7</v>
      </c>
      <c r="H948">
        <v>739329.15</v>
      </c>
      <c r="I948">
        <v>232.03</v>
      </c>
    </row>
    <row r="949" spans="1:9" x14ac:dyDescent="0.2">
      <c r="A949" s="11">
        <v>46010</v>
      </c>
      <c r="B949" t="s">
        <v>8</v>
      </c>
      <c r="C949" t="s">
        <v>1359</v>
      </c>
      <c r="D949" t="s">
        <v>1360</v>
      </c>
      <c r="E949" t="s">
        <v>547</v>
      </c>
      <c r="F949" t="s">
        <v>5</v>
      </c>
      <c r="G949">
        <v>15</v>
      </c>
      <c r="H949">
        <v>1221942.1499999999</v>
      </c>
      <c r="I949">
        <v>383.49</v>
      </c>
    </row>
    <row r="950" spans="1:9" x14ac:dyDescent="0.2">
      <c r="A950" s="11">
        <v>46010</v>
      </c>
      <c r="B950" t="s">
        <v>9</v>
      </c>
      <c r="C950" t="s">
        <v>1361</v>
      </c>
      <c r="D950" t="s">
        <v>1362</v>
      </c>
      <c r="E950" t="s">
        <v>798</v>
      </c>
      <c r="F950" t="s">
        <v>18</v>
      </c>
      <c r="G950">
        <v>20</v>
      </c>
      <c r="H950">
        <v>2121391.4</v>
      </c>
      <c r="I950">
        <v>665.77</v>
      </c>
    </row>
    <row r="951" spans="1:9" x14ac:dyDescent="0.2">
      <c r="A951" s="11">
        <v>46010</v>
      </c>
      <c r="B951" t="s">
        <v>9</v>
      </c>
      <c r="C951" t="s">
        <v>1361</v>
      </c>
      <c r="D951" t="s">
        <v>1362</v>
      </c>
      <c r="E951" t="s">
        <v>1363</v>
      </c>
      <c r="F951" t="s">
        <v>22</v>
      </c>
      <c r="G951">
        <v>8</v>
      </c>
      <c r="H951">
        <v>305974.08</v>
      </c>
      <c r="I951">
        <v>96.03</v>
      </c>
    </row>
    <row r="952" spans="1:9" x14ac:dyDescent="0.2">
      <c r="A952" s="11">
        <v>46010</v>
      </c>
      <c r="B952" t="s">
        <v>9</v>
      </c>
      <c r="C952" t="s">
        <v>1361</v>
      </c>
      <c r="D952" t="s">
        <v>1362</v>
      </c>
      <c r="E952" t="s">
        <v>149</v>
      </c>
      <c r="F952" t="s">
        <v>14</v>
      </c>
      <c r="G952">
        <v>12</v>
      </c>
      <c r="H952">
        <v>678399.6</v>
      </c>
      <c r="I952">
        <v>212.91</v>
      </c>
    </row>
    <row r="953" spans="1:9" x14ac:dyDescent="0.2">
      <c r="A953" s="11">
        <v>46010</v>
      </c>
      <c r="B953" t="s">
        <v>9</v>
      </c>
      <c r="C953" t="s">
        <v>180</v>
      </c>
      <c r="D953" t="s">
        <v>1364</v>
      </c>
      <c r="E953" t="s">
        <v>1365</v>
      </c>
      <c r="F953" t="s">
        <v>14</v>
      </c>
      <c r="G953">
        <v>12</v>
      </c>
      <c r="H953">
        <v>1047949.44</v>
      </c>
      <c r="I953">
        <v>328.88</v>
      </c>
    </row>
    <row r="954" spans="1:9" x14ac:dyDescent="0.2">
      <c r="A954" s="11">
        <v>46010</v>
      </c>
      <c r="B954" t="s">
        <v>9</v>
      </c>
      <c r="C954" t="s">
        <v>180</v>
      </c>
      <c r="D954" t="s">
        <v>1364</v>
      </c>
      <c r="E954" t="s">
        <v>1366</v>
      </c>
      <c r="F954" t="s">
        <v>22</v>
      </c>
      <c r="G954">
        <v>8</v>
      </c>
      <c r="H954">
        <v>365700.96</v>
      </c>
      <c r="I954">
        <v>114.77</v>
      </c>
    </row>
    <row r="955" spans="1:9" x14ac:dyDescent="0.2">
      <c r="A955" s="11">
        <v>46010</v>
      </c>
      <c r="B955" t="s">
        <v>9</v>
      </c>
      <c r="C955" t="s">
        <v>180</v>
      </c>
      <c r="D955" t="s">
        <v>1364</v>
      </c>
      <c r="E955" t="s">
        <v>1367</v>
      </c>
      <c r="F955" t="s">
        <v>20</v>
      </c>
      <c r="G955">
        <v>47</v>
      </c>
      <c r="H955">
        <v>4131597.51</v>
      </c>
      <c r="I955">
        <v>1296.6400000000001</v>
      </c>
    </row>
    <row r="956" spans="1:9" x14ac:dyDescent="0.2">
      <c r="A956" s="11">
        <v>46010</v>
      </c>
      <c r="B956" t="s">
        <v>7</v>
      </c>
      <c r="C956" t="s">
        <v>1368</v>
      </c>
      <c r="D956" t="s">
        <v>1369</v>
      </c>
      <c r="E956" t="s">
        <v>128</v>
      </c>
      <c r="F956" t="s">
        <v>14</v>
      </c>
      <c r="G956">
        <v>34</v>
      </c>
      <c r="H956">
        <v>2506184.2000000002</v>
      </c>
      <c r="I956">
        <v>786.53</v>
      </c>
    </row>
    <row r="957" spans="1:9" x14ac:dyDescent="0.2">
      <c r="A957" s="11">
        <v>46010</v>
      </c>
      <c r="B957" t="s">
        <v>7</v>
      </c>
      <c r="C957" t="s">
        <v>1368</v>
      </c>
      <c r="D957" t="s">
        <v>1369</v>
      </c>
      <c r="E957" t="s">
        <v>648</v>
      </c>
      <c r="F957" t="s">
        <v>18</v>
      </c>
      <c r="G957">
        <v>17</v>
      </c>
      <c r="H957">
        <v>1190199.75</v>
      </c>
      <c r="I957">
        <v>373.53</v>
      </c>
    </row>
    <row r="958" spans="1:9" x14ac:dyDescent="0.2">
      <c r="A958" s="11">
        <v>46010</v>
      </c>
      <c r="B958" t="s">
        <v>7</v>
      </c>
      <c r="C958" t="s">
        <v>1368</v>
      </c>
      <c r="D958" t="s">
        <v>1369</v>
      </c>
      <c r="E958" t="s">
        <v>77</v>
      </c>
      <c r="F958" t="s">
        <v>14</v>
      </c>
      <c r="G958">
        <v>50</v>
      </c>
      <c r="H958">
        <v>1986266.5</v>
      </c>
      <c r="I958">
        <v>623.36</v>
      </c>
    </row>
    <row r="959" spans="1:9" x14ac:dyDescent="0.2">
      <c r="A959" s="11">
        <v>46010</v>
      </c>
      <c r="B959" t="s">
        <v>6</v>
      </c>
      <c r="C959" t="s">
        <v>1261</v>
      </c>
      <c r="D959" t="s">
        <v>1370</v>
      </c>
      <c r="E959" t="s">
        <v>1218</v>
      </c>
      <c r="F959" t="s">
        <v>18</v>
      </c>
      <c r="G959">
        <v>46</v>
      </c>
      <c r="H959">
        <v>2762234.68</v>
      </c>
      <c r="I959">
        <v>866.89</v>
      </c>
    </row>
    <row r="960" spans="1:9" x14ac:dyDescent="0.2">
      <c r="A960" s="11">
        <v>46010</v>
      </c>
      <c r="B960" t="s">
        <v>6</v>
      </c>
      <c r="C960" t="s">
        <v>1261</v>
      </c>
      <c r="D960" t="s">
        <v>1370</v>
      </c>
      <c r="E960" t="s">
        <v>1371</v>
      </c>
      <c r="F960" t="s">
        <v>18</v>
      </c>
      <c r="G960">
        <v>3</v>
      </c>
      <c r="H960">
        <v>118988.91</v>
      </c>
      <c r="I960">
        <v>37.340000000000003</v>
      </c>
    </row>
    <row r="961" spans="1:9" x14ac:dyDescent="0.2">
      <c r="A961" s="11">
        <v>46010</v>
      </c>
      <c r="B961" t="s">
        <v>7</v>
      </c>
      <c r="C961" t="s">
        <v>1372</v>
      </c>
      <c r="D961" t="s">
        <v>1373</v>
      </c>
      <c r="E961" t="s">
        <v>1374</v>
      </c>
      <c r="F961" t="s">
        <v>18</v>
      </c>
      <c r="G961">
        <v>11</v>
      </c>
      <c r="H961">
        <v>1314631.8899999999</v>
      </c>
      <c r="I961">
        <v>412.58</v>
      </c>
    </row>
    <row r="962" spans="1:9" x14ac:dyDescent="0.2">
      <c r="A962" s="11">
        <v>46010</v>
      </c>
      <c r="B962" t="s">
        <v>8</v>
      </c>
      <c r="C962" t="s">
        <v>946</v>
      </c>
      <c r="D962" t="s">
        <v>1375</v>
      </c>
      <c r="E962" t="s">
        <v>1376</v>
      </c>
      <c r="F962" t="s">
        <v>5</v>
      </c>
      <c r="G962">
        <v>6</v>
      </c>
      <c r="H962">
        <v>325118.09999999998</v>
      </c>
      <c r="I962">
        <v>102.03</v>
      </c>
    </row>
    <row r="963" spans="1:9" x14ac:dyDescent="0.2">
      <c r="A963" s="11">
        <v>46010</v>
      </c>
      <c r="B963" t="s">
        <v>8</v>
      </c>
      <c r="C963" t="s">
        <v>946</v>
      </c>
      <c r="D963" t="s">
        <v>1375</v>
      </c>
      <c r="E963" t="s">
        <v>1377</v>
      </c>
      <c r="F963" t="s">
        <v>18</v>
      </c>
      <c r="G963">
        <v>14</v>
      </c>
      <c r="H963">
        <v>1148344.3999999999</v>
      </c>
      <c r="I963">
        <v>360.39</v>
      </c>
    </row>
    <row r="964" spans="1:9" x14ac:dyDescent="0.2">
      <c r="A964" s="11">
        <v>46010</v>
      </c>
      <c r="B964" t="s">
        <v>6</v>
      </c>
      <c r="C964" t="s">
        <v>1045</v>
      </c>
      <c r="D964" t="s">
        <v>1378</v>
      </c>
      <c r="E964" t="s">
        <v>394</v>
      </c>
      <c r="F964" t="s">
        <v>5</v>
      </c>
      <c r="G964">
        <v>15</v>
      </c>
      <c r="H964">
        <v>559949.1</v>
      </c>
      <c r="I964">
        <v>175.73</v>
      </c>
    </row>
    <row r="965" spans="1:9" x14ac:dyDescent="0.2">
      <c r="A965" s="11">
        <v>46010</v>
      </c>
      <c r="B965" t="s">
        <v>6</v>
      </c>
      <c r="C965" t="s">
        <v>1045</v>
      </c>
      <c r="D965" t="s">
        <v>1378</v>
      </c>
      <c r="E965" t="s">
        <v>810</v>
      </c>
      <c r="F965" t="s">
        <v>22</v>
      </c>
      <c r="G965">
        <v>7</v>
      </c>
      <c r="H965">
        <v>176619.66</v>
      </c>
      <c r="I965">
        <v>55.43</v>
      </c>
    </row>
    <row r="966" spans="1:9" x14ac:dyDescent="0.2">
      <c r="A966" s="11">
        <v>46010</v>
      </c>
      <c r="B966" t="s">
        <v>6</v>
      </c>
      <c r="C966" t="s">
        <v>1045</v>
      </c>
      <c r="D966" t="s">
        <v>1378</v>
      </c>
      <c r="E966" t="s">
        <v>593</v>
      </c>
      <c r="F966" t="s">
        <v>22</v>
      </c>
      <c r="G966">
        <v>12</v>
      </c>
      <c r="H966">
        <v>374051.04</v>
      </c>
      <c r="I966">
        <v>117.39</v>
      </c>
    </row>
    <row r="967" spans="1:9" x14ac:dyDescent="0.2">
      <c r="A967" s="11">
        <v>46010</v>
      </c>
      <c r="B967" t="s">
        <v>6</v>
      </c>
      <c r="C967" t="s">
        <v>1045</v>
      </c>
      <c r="D967" t="s">
        <v>1378</v>
      </c>
      <c r="E967" t="s">
        <v>755</v>
      </c>
      <c r="F967" t="s">
        <v>18</v>
      </c>
      <c r="G967">
        <v>7</v>
      </c>
      <c r="H967">
        <v>709532.81</v>
      </c>
      <c r="I967">
        <v>222.68</v>
      </c>
    </row>
    <row r="968" spans="1:9" x14ac:dyDescent="0.2">
      <c r="A968" s="11">
        <v>46010</v>
      </c>
      <c r="B968" t="s">
        <v>7</v>
      </c>
      <c r="C968" t="s">
        <v>1002</v>
      </c>
      <c r="D968" t="s">
        <v>1379</v>
      </c>
      <c r="E968" t="s">
        <v>1380</v>
      </c>
      <c r="F968" t="s">
        <v>22</v>
      </c>
      <c r="G968">
        <v>12</v>
      </c>
      <c r="H968">
        <v>295994.88</v>
      </c>
      <c r="I968">
        <v>92.89</v>
      </c>
    </row>
    <row r="969" spans="1:9" x14ac:dyDescent="0.2">
      <c r="A969" s="11">
        <v>46010</v>
      </c>
      <c r="B969" t="s">
        <v>6</v>
      </c>
      <c r="C969" t="s">
        <v>1381</v>
      </c>
      <c r="D969" t="s">
        <v>1382</v>
      </c>
      <c r="E969" t="s">
        <v>317</v>
      </c>
      <c r="F969" t="s">
        <v>5</v>
      </c>
      <c r="G969">
        <v>6</v>
      </c>
      <c r="H969">
        <v>238749.96</v>
      </c>
      <c r="I969">
        <v>74.930000000000007</v>
      </c>
    </row>
    <row r="970" spans="1:9" x14ac:dyDescent="0.2">
      <c r="A970" s="11">
        <v>46010</v>
      </c>
      <c r="B970" t="s">
        <v>6</v>
      </c>
      <c r="C970" t="s">
        <v>1381</v>
      </c>
      <c r="D970" t="s">
        <v>1382</v>
      </c>
      <c r="E970" t="s">
        <v>533</v>
      </c>
      <c r="F970" t="s">
        <v>22</v>
      </c>
      <c r="G970">
        <v>6</v>
      </c>
      <c r="H970">
        <v>276947.7</v>
      </c>
      <c r="I970">
        <v>86.92</v>
      </c>
    </row>
    <row r="971" spans="1:9" x14ac:dyDescent="0.2">
      <c r="A971" s="11">
        <v>46010</v>
      </c>
      <c r="B971" t="s">
        <v>8</v>
      </c>
      <c r="C971" t="s">
        <v>926</v>
      </c>
      <c r="D971" t="s">
        <v>1383</v>
      </c>
      <c r="E971" t="s">
        <v>55</v>
      </c>
      <c r="F971" t="s">
        <v>14</v>
      </c>
      <c r="G971">
        <v>14</v>
      </c>
      <c r="H971">
        <v>1202701.78</v>
      </c>
      <c r="I971">
        <v>377.45</v>
      </c>
    </row>
    <row r="972" spans="1:9" x14ac:dyDescent="0.2">
      <c r="A972" s="11">
        <v>46010</v>
      </c>
      <c r="B972" t="s">
        <v>6</v>
      </c>
      <c r="C972" t="s">
        <v>1384</v>
      </c>
      <c r="D972" t="s">
        <v>1385</v>
      </c>
      <c r="E972" t="s">
        <v>1386</v>
      </c>
      <c r="F972" t="s">
        <v>22</v>
      </c>
      <c r="G972">
        <v>15</v>
      </c>
      <c r="H972">
        <v>746801.4</v>
      </c>
      <c r="I972">
        <v>234.37</v>
      </c>
    </row>
    <row r="973" spans="1:9" x14ac:dyDescent="0.2">
      <c r="A973" s="11">
        <v>46010</v>
      </c>
      <c r="B973" t="s">
        <v>6</v>
      </c>
      <c r="C973" t="s">
        <v>1384</v>
      </c>
      <c r="D973" t="s">
        <v>1385</v>
      </c>
      <c r="E973" t="s">
        <v>689</v>
      </c>
      <c r="F973" t="s">
        <v>20</v>
      </c>
      <c r="G973">
        <v>14</v>
      </c>
      <c r="H973">
        <v>2687256.6</v>
      </c>
      <c r="I973">
        <v>843.35</v>
      </c>
    </row>
    <row r="974" spans="1:9" x14ac:dyDescent="0.2">
      <c r="A974" s="11">
        <v>46010</v>
      </c>
      <c r="B974" t="s">
        <v>6</v>
      </c>
      <c r="C974" t="s">
        <v>1384</v>
      </c>
      <c r="D974" t="s">
        <v>1385</v>
      </c>
      <c r="E974" t="s">
        <v>1387</v>
      </c>
      <c r="F974" t="s">
        <v>14</v>
      </c>
      <c r="G974">
        <v>19</v>
      </c>
      <c r="H974">
        <v>2021118.35</v>
      </c>
      <c r="I974">
        <v>634.29999999999995</v>
      </c>
    </row>
    <row r="975" spans="1:9" x14ac:dyDescent="0.2">
      <c r="A975" s="11">
        <v>46010</v>
      </c>
      <c r="B975" t="s">
        <v>8</v>
      </c>
      <c r="C975" t="s">
        <v>1388</v>
      </c>
      <c r="D975" t="s">
        <v>1389</v>
      </c>
      <c r="E975" t="s">
        <v>1390</v>
      </c>
      <c r="F975" t="s">
        <v>18</v>
      </c>
      <c r="G975">
        <v>4</v>
      </c>
      <c r="H975">
        <v>420714.16</v>
      </c>
      <c r="I975">
        <v>132.03</v>
      </c>
    </row>
    <row r="976" spans="1:9" x14ac:dyDescent="0.2">
      <c r="A976" s="11">
        <v>46010</v>
      </c>
      <c r="B976" t="s">
        <v>8</v>
      </c>
      <c r="C976" t="s">
        <v>1388</v>
      </c>
      <c r="D976" t="s">
        <v>1389</v>
      </c>
      <c r="E976" t="s">
        <v>702</v>
      </c>
      <c r="F976" t="s">
        <v>18</v>
      </c>
      <c r="G976">
        <v>24</v>
      </c>
      <c r="H976">
        <v>1731290.64</v>
      </c>
      <c r="I976">
        <v>543.34</v>
      </c>
    </row>
    <row r="977" spans="1:9" x14ac:dyDescent="0.2">
      <c r="A977" s="11">
        <v>46010</v>
      </c>
      <c r="B977" t="s">
        <v>11</v>
      </c>
      <c r="C977" t="s">
        <v>944</v>
      </c>
      <c r="D977" t="s">
        <v>1391</v>
      </c>
      <c r="E977" t="s">
        <v>1392</v>
      </c>
      <c r="F977" t="s">
        <v>5</v>
      </c>
      <c r="G977">
        <v>47</v>
      </c>
      <c r="H977">
        <v>2585177.19</v>
      </c>
      <c r="I977">
        <v>811.32</v>
      </c>
    </row>
    <row r="978" spans="1:9" x14ac:dyDescent="0.2">
      <c r="A978" s="11">
        <v>46010</v>
      </c>
      <c r="B978" t="s">
        <v>11</v>
      </c>
      <c r="C978" t="s">
        <v>944</v>
      </c>
      <c r="D978" t="s">
        <v>1391</v>
      </c>
      <c r="E978" t="s">
        <v>441</v>
      </c>
      <c r="F978" t="s">
        <v>5</v>
      </c>
      <c r="G978">
        <v>22</v>
      </c>
      <c r="H978">
        <v>651264.24</v>
      </c>
      <c r="I978">
        <v>204.39</v>
      </c>
    </row>
    <row r="979" spans="1:9" x14ac:dyDescent="0.2">
      <c r="A979" s="11">
        <v>46010</v>
      </c>
      <c r="B979" t="s">
        <v>11</v>
      </c>
      <c r="C979" t="s">
        <v>944</v>
      </c>
      <c r="D979" t="s">
        <v>1391</v>
      </c>
      <c r="E979" t="s">
        <v>89</v>
      </c>
      <c r="F979" t="s">
        <v>22</v>
      </c>
      <c r="G979">
        <v>18</v>
      </c>
      <c r="H979">
        <v>941051.52</v>
      </c>
      <c r="I979">
        <v>295.33</v>
      </c>
    </row>
    <row r="980" spans="1:9" x14ac:dyDescent="0.2">
      <c r="A980" s="11">
        <v>46010</v>
      </c>
      <c r="B980" t="s">
        <v>11</v>
      </c>
      <c r="C980" t="s">
        <v>944</v>
      </c>
      <c r="D980" t="s">
        <v>1391</v>
      </c>
      <c r="E980" t="s">
        <v>496</v>
      </c>
      <c r="F980" t="s">
        <v>18</v>
      </c>
      <c r="G980">
        <v>21</v>
      </c>
      <c r="H980">
        <v>1846678.05</v>
      </c>
      <c r="I980">
        <v>579.54999999999995</v>
      </c>
    </row>
    <row r="981" spans="1:9" x14ac:dyDescent="0.2">
      <c r="A981" s="11">
        <v>46011</v>
      </c>
      <c r="B981" t="s">
        <v>8</v>
      </c>
      <c r="C981" t="s">
        <v>723</v>
      </c>
      <c r="D981" t="s">
        <v>1393</v>
      </c>
      <c r="E981" t="s">
        <v>189</v>
      </c>
      <c r="F981" t="s">
        <v>5</v>
      </c>
      <c r="G981">
        <v>20</v>
      </c>
      <c r="H981">
        <v>769000</v>
      </c>
      <c r="I981">
        <v>241.34</v>
      </c>
    </row>
    <row r="982" spans="1:9" x14ac:dyDescent="0.2">
      <c r="A982" s="11">
        <v>46011</v>
      </c>
      <c r="B982" t="s">
        <v>8</v>
      </c>
      <c r="C982" t="s">
        <v>723</v>
      </c>
      <c r="D982" t="s">
        <v>1393</v>
      </c>
      <c r="E982" t="s">
        <v>745</v>
      </c>
      <c r="F982" t="s">
        <v>18</v>
      </c>
      <c r="G982">
        <v>46</v>
      </c>
      <c r="H982">
        <v>2606319.06</v>
      </c>
      <c r="I982">
        <v>817.95</v>
      </c>
    </row>
    <row r="983" spans="1:9" x14ac:dyDescent="0.2">
      <c r="A983" s="11">
        <v>46011</v>
      </c>
      <c r="B983" t="s">
        <v>8</v>
      </c>
      <c r="C983" t="s">
        <v>723</v>
      </c>
      <c r="D983" t="s">
        <v>1393</v>
      </c>
      <c r="E983" t="s">
        <v>1394</v>
      </c>
      <c r="F983" t="s">
        <v>5</v>
      </c>
      <c r="G983">
        <v>10</v>
      </c>
      <c r="H983">
        <v>472558.8</v>
      </c>
      <c r="I983">
        <v>148.31</v>
      </c>
    </row>
    <row r="984" spans="1:9" x14ac:dyDescent="0.2">
      <c r="A984" s="11">
        <v>46011</v>
      </c>
      <c r="B984" t="s">
        <v>6</v>
      </c>
      <c r="C984" t="s">
        <v>1395</v>
      </c>
      <c r="D984" t="s">
        <v>1396</v>
      </c>
      <c r="E984" t="s">
        <v>1397</v>
      </c>
      <c r="F984" t="s">
        <v>14</v>
      </c>
      <c r="G984">
        <v>57</v>
      </c>
      <c r="H984">
        <v>5718078.6900000004</v>
      </c>
      <c r="I984">
        <v>1794.53</v>
      </c>
    </row>
    <row r="985" spans="1:9" x14ac:dyDescent="0.2">
      <c r="A985" s="11">
        <v>46011</v>
      </c>
      <c r="B985" t="s">
        <v>6</v>
      </c>
      <c r="C985" t="s">
        <v>1395</v>
      </c>
      <c r="D985" t="s">
        <v>1396</v>
      </c>
      <c r="E985" t="s">
        <v>1398</v>
      </c>
      <c r="F985" t="s">
        <v>22</v>
      </c>
      <c r="G985">
        <v>21</v>
      </c>
      <c r="H985">
        <v>1025491.95</v>
      </c>
      <c r="I985">
        <v>321.83999999999997</v>
      </c>
    </row>
    <row r="986" spans="1:9" x14ac:dyDescent="0.2">
      <c r="A986" s="11">
        <v>46011</v>
      </c>
      <c r="B986" t="s">
        <v>6</v>
      </c>
      <c r="C986" t="s">
        <v>1395</v>
      </c>
      <c r="D986" t="s">
        <v>1396</v>
      </c>
      <c r="E986" t="s">
        <v>1037</v>
      </c>
      <c r="F986" t="s">
        <v>18</v>
      </c>
      <c r="G986">
        <v>8</v>
      </c>
      <c r="H986">
        <v>941338.24</v>
      </c>
      <c r="I986">
        <v>295.42</v>
      </c>
    </row>
    <row r="987" spans="1:9" x14ac:dyDescent="0.2">
      <c r="A987" s="11">
        <v>46011</v>
      </c>
      <c r="B987" t="s">
        <v>6</v>
      </c>
      <c r="C987" t="s">
        <v>1395</v>
      </c>
      <c r="D987" t="s">
        <v>1396</v>
      </c>
      <c r="E987" t="s">
        <v>1188</v>
      </c>
      <c r="F987" t="s">
        <v>20</v>
      </c>
      <c r="G987">
        <v>18</v>
      </c>
      <c r="H987">
        <v>4129180.02</v>
      </c>
      <c r="I987">
        <v>1295.8800000000001</v>
      </c>
    </row>
    <row r="988" spans="1:9" x14ac:dyDescent="0.2">
      <c r="A988" s="11">
        <v>46011</v>
      </c>
      <c r="B988" t="s">
        <v>6</v>
      </c>
      <c r="C988" t="s">
        <v>1395</v>
      </c>
      <c r="D988" t="s">
        <v>1396</v>
      </c>
      <c r="E988" t="s">
        <v>684</v>
      </c>
      <c r="F988" t="s">
        <v>5</v>
      </c>
      <c r="G988">
        <v>6</v>
      </c>
      <c r="H988">
        <v>331820.94</v>
      </c>
      <c r="I988">
        <v>104.14</v>
      </c>
    </row>
    <row r="989" spans="1:9" x14ac:dyDescent="0.2">
      <c r="A989" s="11">
        <v>46011</v>
      </c>
      <c r="B989" t="s">
        <v>10</v>
      </c>
      <c r="C989" t="s">
        <v>1399</v>
      </c>
      <c r="D989" t="s">
        <v>1400</v>
      </c>
      <c r="E989" t="s">
        <v>203</v>
      </c>
      <c r="F989" t="s">
        <v>18</v>
      </c>
      <c r="G989">
        <v>3</v>
      </c>
      <c r="H989">
        <v>144086.70000000001</v>
      </c>
      <c r="I989">
        <v>45.22</v>
      </c>
    </row>
    <row r="990" spans="1:9" x14ac:dyDescent="0.2">
      <c r="A990" s="11">
        <v>46011</v>
      </c>
      <c r="B990" t="s">
        <v>10</v>
      </c>
      <c r="C990" t="s">
        <v>1399</v>
      </c>
      <c r="D990" t="s">
        <v>1400</v>
      </c>
      <c r="E990" t="s">
        <v>1401</v>
      </c>
      <c r="F990" t="s">
        <v>5</v>
      </c>
      <c r="G990">
        <v>25</v>
      </c>
      <c r="H990">
        <v>900000</v>
      </c>
      <c r="I990">
        <v>282.45</v>
      </c>
    </row>
    <row r="991" spans="1:9" x14ac:dyDescent="0.2">
      <c r="A991" s="11">
        <v>46011</v>
      </c>
      <c r="B991" t="s">
        <v>10</v>
      </c>
      <c r="C991" t="s">
        <v>1399</v>
      </c>
      <c r="D991" t="s">
        <v>1400</v>
      </c>
      <c r="E991" t="s">
        <v>597</v>
      </c>
      <c r="F991" t="s">
        <v>14</v>
      </c>
      <c r="G991">
        <v>4</v>
      </c>
      <c r="H991">
        <v>256838.84</v>
      </c>
      <c r="I991">
        <v>80.599999999999994</v>
      </c>
    </row>
    <row r="992" spans="1:9" x14ac:dyDescent="0.2">
      <c r="A992" s="11">
        <v>46011</v>
      </c>
      <c r="B992" t="s">
        <v>7</v>
      </c>
      <c r="C992" t="s">
        <v>1402</v>
      </c>
      <c r="D992" t="s">
        <v>1403</v>
      </c>
      <c r="E992" t="s">
        <v>199</v>
      </c>
      <c r="F992" t="s">
        <v>22</v>
      </c>
      <c r="G992">
        <v>38</v>
      </c>
      <c r="H992">
        <v>2354152.44</v>
      </c>
      <c r="I992">
        <v>738.81</v>
      </c>
    </row>
    <row r="993" spans="1:9" x14ac:dyDescent="0.2">
      <c r="A993" s="11">
        <v>46011</v>
      </c>
      <c r="B993" t="s">
        <v>7</v>
      </c>
      <c r="C993" t="s">
        <v>1404</v>
      </c>
      <c r="D993" t="s">
        <v>1405</v>
      </c>
      <c r="E993" t="s">
        <v>89</v>
      </c>
      <c r="F993" t="s">
        <v>22</v>
      </c>
      <c r="G993">
        <v>16</v>
      </c>
      <c r="H993">
        <v>833706.4</v>
      </c>
      <c r="I993">
        <v>261.64999999999998</v>
      </c>
    </row>
    <row r="994" spans="1:9" x14ac:dyDescent="0.2">
      <c r="A994" s="11">
        <v>46011</v>
      </c>
      <c r="B994" t="s">
        <v>7</v>
      </c>
      <c r="C994" t="s">
        <v>1404</v>
      </c>
      <c r="D994" t="s">
        <v>1405</v>
      </c>
      <c r="E994" t="s">
        <v>1406</v>
      </c>
      <c r="F994" t="s">
        <v>20</v>
      </c>
      <c r="G994">
        <v>17</v>
      </c>
      <c r="H994">
        <v>3197624.01</v>
      </c>
      <c r="I994">
        <v>1003.53</v>
      </c>
    </row>
    <row r="995" spans="1:9" x14ac:dyDescent="0.2">
      <c r="A995" s="11">
        <v>46011</v>
      </c>
      <c r="B995" t="s">
        <v>7</v>
      </c>
      <c r="C995" t="s">
        <v>1404</v>
      </c>
      <c r="D995" t="s">
        <v>1405</v>
      </c>
      <c r="E995" t="s">
        <v>1407</v>
      </c>
      <c r="F995" t="s">
        <v>20</v>
      </c>
      <c r="G995">
        <v>10</v>
      </c>
      <c r="H995">
        <v>822312.2</v>
      </c>
      <c r="I995">
        <v>258.07</v>
      </c>
    </row>
    <row r="996" spans="1:9" x14ac:dyDescent="0.2">
      <c r="A996" s="11">
        <v>46011</v>
      </c>
      <c r="B996" t="s">
        <v>7</v>
      </c>
      <c r="C996" t="s">
        <v>1404</v>
      </c>
      <c r="D996" t="s">
        <v>1405</v>
      </c>
      <c r="E996" t="s">
        <v>640</v>
      </c>
      <c r="F996" t="s">
        <v>5</v>
      </c>
      <c r="G996">
        <v>13</v>
      </c>
      <c r="H996">
        <v>880532.38</v>
      </c>
      <c r="I996">
        <v>276.33999999999997</v>
      </c>
    </row>
    <row r="997" spans="1:9" x14ac:dyDescent="0.2">
      <c r="A997" s="11">
        <v>46011</v>
      </c>
      <c r="B997" t="s">
        <v>10</v>
      </c>
      <c r="C997" t="s">
        <v>195</v>
      </c>
      <c r="D997" t="s">
        <v>1408</v>
      </c>
      <c r="E997" t="s">
        <v>364</v>
      </c>
      <c r="F997" t="s">
        <v>14</v>
      </c>
      <c r="G997">
        <v>19</v>
      </c>
      <c r="H997">
        <v>997868.79</v>
      </c>
      <c r="I997">
        <v>313.17</v>
      </c>
    </row>
    <row r="998" spans="1:9" x14ac:dyDescent="0.2">
      <c r="A998" s="11">
        <v>46011</v>
      </c>
      <c r="B998" t="s">
        <v>10</v>
      </c>
      <c r="C998" t="s">
        <v>195</v>
      </c>
      <c r="D998" t="s">
        <v>1408</v>
      </c>
      <c r="E998" t="s">
        <v>1409</v>
      </c>
      <c r="F998" t="s">
        <v>5</v>
      </c>
      <c r="G998">
        <v>11</v>
      </c>
      <c r="H998">
        <v>769755.69</v>
      </c>
      <c r="I998">
        <v>241.58</v>
      </c>
    </row>
    <row r="999" spans="1:9" x14ac:dyDescent="0.2">
      <c r="A999" s="11">
        <v>46011</v>
      </c>
      <c r="B999" t="s">
        <v>7</v>
      </c>
      <c r="C999" t="s">
        <v>1410</v>
      </c>
      <c r="D999" t="s">
        <v>1411</v>
      </c>
      <c r="E999" t="s">
        <v>101</v>
      </c>
      <c r="F999" t="s">
        <v>16</v>
      </c>
      <c r="G999">
        <v>8</v>
      </c>
      <c r="H999">
        <v>1046394.24</v>
      </c>
      <c r="I999">
        <v>328.39</v>
      </c>
    </row>
    <row r="1000" spans="1:9" x14ac:dyDescent="0.2">
      <c r="A1000" s="11">
        <v>46011</v>
      </c>
      <c r="B1000" t="s">
        <v>7</v>
      </c>
      <c r="C1000" t="s">
        <v>1410</v>
      </c>
      <c r="D1000" t="s">
        <v>1411</v>
      </c>
      <c r="E1000" t="s">
        <v>1412</v>
      </c>
      <c r="F1000" t="s">
        <v>14</v>
      </c>
      <c r="G1000">
        <v>10</v>
      </c>
      <c r="H1000">
        <v>395751.8</v>
      </c>
      <c r="I1000">
        <v>124.2</v>
      </c>
    </row>
    <row r="1001" spans="1:9" x14ac:dyDescent="0.2">
      <c r="A1001" s="11">
        <v>46011</v>
      </c>
      <c r="B1001" t="s">
        <v>11</v>
      </c>
      <c r="C1001" t="s">
        <v>1413</v>
      </c>
      <c r="D1001" t="s">
        <v>1414</v>
      </c>
      <c r="E1001" t="s">
        <v>345</v>
      </c>
      <c r="F1001" t="s">
        <v>22</v>
      </c>
      <c r="G1001">
        <v>3</v>
      </c>
      <c r="H1001">
        <v>87462</v>
      </c>
      <c r="I1001">
        <v>27.45</v>
      </c>
    </row>
    <row r="1002" spans="1:9" x14ac:dyDescent="0.2">
      <c r="A1002" s="11">
        <v>46011</v>
      </c>
      <c r="B1002" t="s">
        <v>11</v>
      </c>
      <c r="C1002" t="s">
        <v>1413</v>
      </c>
      <c r="D1002" t="s">
        <v>1414</v>
      </c>
      <c r="E1002" t="s">
        <v>141</v>
      </c>
      <c r="F1002" t="s">
        <v>5</v>
      </c>
      <c r="G1002">
        <v>12</v>
      </c>
      <c r="H1002">
        <v>914515.68</v>
      </c>
      <c r="I1002">
        <v>287.01</v>
      </c>
    </row>
    <row r="1003" spans="1:9" x14ac:dyDescent="0.2">
      <c r="A1003" s="11">
        <v>46011</v>
      </c>
      <c r="B1003" t="s">
        <v>11</v>
      </c>
      <c r="C1003" t="s">
        <v>1413</v>
      </c>
      <c r="D1003" t="s">
        <v>1414</v>
      </c>
      <c r="E1003" t="s">
        <v>997</v>
      </c>
      <c r="F1003" t="s">
        <v>22</v>
      </c>
      <c r="G1003">
        <v>33</v>
      </c>
      <c r="H1003">
        <v>1847918.82</v>
      </c>
      <c r="I1003">
        <v>579.94000000000005</v>
      </c>
    </row>
    <row r="1004" spans="1:9" x14ac:dyDescent="0.2">
      <c r="A1004" s="11">
        <v>46011</v>
      </c>
      <c r="B1004" t="s">
        <v>11</v>
      </c>
      <c r="C1004" t="s">
        <v>1413</v>
      </c>
      <c r="D1004" t="s">
        <v>1414</v>
      </c>
      <c r="E1004" t="s">
        <v>192</v>
      </c>
      <c r="F1004" t="s">
        <v>22</v>
      </c>
      <c r="G1004">
        <v>4</v>
      </c>
      <c r="H1004">
        <v>222244.6</v>
      </c>
      <c r="I1004">
        <v>69.75</v>
      </c>
    </row>
    <row r="1005" spans="1:9" x14ac:dyDescent="0.2">
      <c r="A1005" s="11">
        <v>46011</v>
      </c>
      <c r="B1005" t="s">
        <v>8</v>
      </c>
      <c r="C1005" t="s">
        <v>1415</v>
      </c>
      <c r="D1005" t="s">
        <v>1416</v>
      </c>
      <c r="E1005" t="s">
        <v>1141</v>
      </c>
      <c r="F1005" t="s">
        <v>16</v>
      </c>
      <c r="G1005">
        <v>51</v>
      </c>
      <c r="H1005">
        <v>4837231.68</v>
      </c>
      <c r="I1005">
        <v>1518.09</v>
      </c>
    </row>
    <row r="1006" spans="1:9" x14ac:dyDescent="0.2">
      <c r="A1006" s="11">
        <v>46011</v>
      </c>
      <c r="B1006" t="s">
        <v>8</v>
      </c>
      <c r="C1006" t="s">
        <v>1415</v>
      </c>
      <c r="D1006" t="s">
        <v>1416</v>
      </c>
      <c r="E1006" t="s">
        <v>1365</v>
      </c>
      <c r="F1006" t="s">
        <v>14</v>
      </c>
      <c r="G1006">
        <v>9</v>
      </c>
      <c r="H1006">
        <v>776400.66</v>
      </c>
      <c r="I1006">
        <v>243.66</v>
      </c>
    </row>
    <row r="1007" spans="1:9" x14ac:dyDescent="0.2">
      <c r="A1007" s="11">
        <v>46011</v>
      </c>
      <c r="B1007" t="s">
        <v>8</v>
      </c>
      <c r="C1007" t="s">
        <v>1415</v>
      </c>
      <c r="D1007" t="s">
        <v>1416</v>
      </c>
      <c r="E1007" t="s">
        <v>1406</v>
      </c>
      <c r="F1007" t="s">
        <v>20</v>
      </c>
      <c r="G1007">
        <v>26</v>
      </c>
      <c r="H1007">
        <v>5001638.2</v>
      </c>
      <c r="I1007">
        <v>1569.69</v>
      </c>
    </row>
    <row r="1008" spans="1:9" x14ac:dyDescent="0.2">
      <c r="A1008" s="11">
        <v>46011</v>
      </c>
      <c r="B1008" t="s">
        <v>8</v>
      </c>
      <c r="C1008" t="s">
        <v>1415</v>
      </c>
      <c r="D1008" t="s">
        <v>1416</v>
      </c>
      <c r="E1008" t="s">
        <v>1417</v>
      </c>
      <c r="F1008" t="s">
        <v>20</v>
      </c>
      <c r="G1008">
        <v>6</v>
      </c>
      <c r="H1008">
        <v>1388158.68</v>
      </c>
      <c r="I1008">
        <v>435.65</v>
      </c>
    </row>
    <row r="1009" spans="1:9" x14ac:dyDescent="0.2">
      <c r="A1009" s="11">
        <v>46011</v>
      </c>
      <c r="B1009" t="s">
        <v>9</v>
      </c>
      <c r="C1009" t="s">
        <v>876</v>
      </c>
      <c r="D1009" t="s">
        <v>1418</v>
      </c>
      <c r="E1009" t="s">
        <v>650</v>
      </c>
      <c r="F1009" t="s">
        <v>20</v>
      </c>
      <c r="G1009">
        <v>7</v>
      </c>
      <c r="H1009">
        <v>750050.91</v>
      </c>
      <c r="I1009">
        <v>235.39</v>
      </c>
    </row>
    <row r="1010" spans="1:9" x14ac:dyDescent="0.2">
      <c r="A1010" s="11">
        <v>46011</v>
      </c>
      <c r="B1010" t="s">
        <v>9</v>
      </c>
      <c r="C1010" t="s">
        <v>876</v>
      </c>
      <c r="D1010" t="s">
        <v>1418</v>
      </c>
      <c r="E1010" t="s">
        <v>1419</v>
      </c>
      <c r="F1010" t="s">
        <v>18</v>
      </c>
      <c r="G1010">
        <v>13</v>
      </c>
      <c r="H1010">
        <v>708245.46</v>
      </c>
      <c r="I1010">
        <v>222.27</v>
      </c>
    </row>
    <row r="1011" spans="1:9" x14ac:dyDescent="0.2">
      <c r="A1011" s="11">
        <v>46011</v>
      </c>
      <c r="B1011" t="s">
        <v>9</v>
      </c>
      <c r="C1011" t="s">
        <v>876</v>
      </c>
      <c r="D1011" t="s">
        <v>1418</v>
      </c>
      <c r="E1011" t="s">
        <v>328</v>
      </c>
      <c r="F1011" t="s">
        <v>22</v>
      </c>
      <c r="G1011">
        <v>14</v>
      </c>
      <c r="H1011">
        <v>799973.02</v>
      </c>
      <c r="I1011">
        <v>251.06</v>
      </c>
    </row>
    <row r="1012" spans="1:9" x14ac:dyDescent="0.2">
      <c r="A1012" s="11">
        <v>46011</v>
      </c>
      <c r="B1012" t="s">
        <v>9</v>
      </c>
      <c r="C1012" t="s">
        <v>876</v>
      </c>
      <c r="D1012" t="s">
        <v>1418</v>
      </c>
      <c r="E1012" t="s">
        <v>1420</v>
      </c>
      <c r="F1012" t="s">
        <v>5</v>
      </c>
      <c r="G1012">
        <v>5</v>
      </c>
      <c r="H1012">
        <v>356053.5</v>
      </c>
      <c r="I1012">
        <v>111.74</v>
      </c>
    </row>
    <row r="1013" spans="1:9" x14ac:dyDescent="0.2">
      <c r="A1013" s="11">
        <v>46011</v>
      </c>
      <c r="B1013" t="s">
        <v>8</v>
      </c>
      <c r="C1013" t="s">
        <v>1421</v>
      </c>
      <c r="D1013" t="s">
        <v>1422</v>
      </c>
      <c r="E1013" t="s">
        <v>588</v>
      </c>
      <c r="F1013" t="s">
        <v>18</v>
      </c>
      <c r="G1013">
        <v>30</v>
      </c>
      <c r="H1013">
        <v>2577522.2999999998</v>
      </c>
      <c r="I1013">
        <v>808.92</v>
      </c>
    </row>
    <row r="1014" spans="1:9" x14ac:dyDescent="0.2">
      <c r="A1014" s="11">
        <v>46011</v>
      </c>
      <c r="B1014" t="s">
        <v>6</v>
      </c>
      <c r="C1014" t="s">
        <v>1423</v>
      </c>
      <c r="D1014" t="s">
        <v>1424</v>
      </c>
      <c r="E1014" t="s">
        <v>1170</v>
      </c>
      <c r="F1014" t="s">
        <v>16</v>
      </c>
      <c r="G1014">
        <v>15</v>
      </c>
      <c r="H1014">
        <v>871819.65</v>
      </c>
      <c r="I1014">
        <v>273.61</v>
      </c>
    </row>
    <row r="1015" spans="1:9" x14ac:dyDescent="0.2">
      <c r="A1015" s="11">
        <v>46011</v>
      </c>
      <c r="B1015" t="s">
        <v>6</v>
      </c>
      <c r="C1015" t="s">
        <v>1423</v>
      </c>
      <c r="D1015" t="s">
        <v>1424</v>
      </c>
      <c r="E1015" t="s">
        <v>1425</v>
      </c>
      <c r="F1015" t="s">
        <v>16</v>
      </c>
      <c r="G1015">
        <v>60</v>
      </c>
      <c r="H1015">
        <v>7159605</v>
      </c>
      <c r="I1015">
        <v>2246.9299999999998</v>
      </c>
    </row>
    <row r="1016" spans="1:9" x14ac:dyDescent="0.2">
      <c r="A1016" s="11">
        <v>46011</v>
      </c>
      <c r="B1016" t="s">
        <v>6</v>
      </c>
      <c r="C1016" t="s">
        <v>1423</v>
      </c>
      <c r="D1016" t="s">
        <v>1424</v>
      </c>
      <c r="E1016" t="s">
        <v>1426</v>
      </c>
      <c r="F1016" t="s">
        <v>20</v>
      </c>
      <c r="G1016">
        <v>7</v>
      </c>
      <c r="H1016">
        <v>573327.65</v>
      </c>
      <c r="I1016">
        <v>179.93</v>
      </c>
    </row>
    <row r="1017" spans="1:9" x14ac:dyDescent="0.2">
      <c r="A1017" s="11">
        <v>46011</v>
      </c>
      <c r="B1017" t="s">
        <v>8</v>
      </c>
      <c r="C1017" t="s">
        <v>1427</v>
      </c>
      <c r="D1017" t="s">
        <v>1428</v>
      </c>
      <c r="E1017" t="s">
        <v>1293</v>
      </c>
      <c r="F1017" t="s">
        <v>14</v>
      </c>
      <c r="G1017">
        <v>9</v>
      </c>
      <c r="H1017">
        <v>475562.79</v>
      </c>
      <c r="I1017">
        <v>149.25</v>
      </c>
    </row>
    <row r="1018" spans="1:9" x14ac:dyDescent="0.2">
      <c r="A1018" s="11">
        <v>46011</v>
      </c>
      <c r="B1018" t="s">
        <v>8</v>
      </c>
      <c r="C1018" t="s">
        <v>1427</v>
      </c>
      <c r="D1018" t="s">
        <v>1428</v>
      </c>
      <c r="E1018" t="s">
        <v>1290</v>
      </c>
      <c r="F1018" t="s">
        <v>18</v>
      </c>
      <c r="G1018">
        <v>27</v>
      </c>
      <c r="H1018">
        <v>2146541.58</v>
      </c>
      <c r="I1018">
        <v>673.66</v>
      </c>
    </row>
    <row r="1019" spans="1:9" x14ac:dyDescent="0.2">
      <c r="A1019" s="11">
        <v>46011</v>
      </c>
      <c r="B1019" t="s">
        <v>8</v>
      </c>
      <c r="C1019" t="s">
        <v>1427</v>
      </c>
      <c r="D1019" t="s">
        <v>1428</v>
      </c>
      <c r="E1019" t="s">
        <v>664</v>
      </c>
      <c r="F1019" t="s">
        <v>20</v>
      </c>
      <c r="G1019">
        <v>28</v>
      </c>
      <c r="H1019">
        <v>5082829.6399999997</v>
      </c>
      <c r="I1019">
        <v>1595.17</v>
      </c>
    </row>
    <row r="1020" spans="1:9" x14ac:dyDescent="0.2">
      <c r="A1020" s="11">
        <v>46011</v>
      </c>
      <c r="B1020" t="s">
        <v>8</v>
      </c>
      <c r="C1020" t="s">
        <v>1427</v>
      </c>
      <c r="D1020" t="s">
        <v>1428</v>
      </c>
      <c r="E1020" t="s">
        <v>188</v>
      </c>
      <c r="F1020" t="s">
        <v>22</v>
      </c>
      <c r="G1020">
        <v>13</v>
      </c>
      <c r="H1020">
        <v>667656.21</v>
      </c>
      <c r="I1020">
        <v>209.53</v>
      </c>
    </row>
    <row r="1021" spans="1:9" x14ac:dyDescent="0.2">
      <c r="A1021" s="11">
        <v>46011</v>
      </c>
      <c r="B1021" t="s">
        <v>8</v>
      </c>
      <c r="C1021" t="s">
        <v>1427</v>
      </c>
      <c r="D1021" t="s">
        <v>1428</v>
      </c>
      <c r="E1021" t="s">
        <v>1185</v>
      </c>
      <c r="F1021" t="s">
        <v>20</v>
      </c>
      <c r="G1021">
        <v>9</v>
      </c>
      <c r="H1021">
        <v>1052494.3799999999</v>
      </c>
      <c r="I1021">
        <v>330.31</v>
      </c>
    </row>
    <row r="1022" spans="1:9" x14ac:dyDescent="0.2">
      <c r="A1022" s="11">
        <v>46011</v>
      </c>
      <c r="B1022" t="s">
        <v>10</v>
      </c>
      <c r="C1022" t="s">
        <v>844</v>
      </c>
      <c r="D1022" t="s">
        <v>1429</v>
      </c>
      <c r="E1022" t="s">
        <v>225</v>
      </c>
      <c r="F1022" t="s">
        <v>16</v>
      </c>
      <c r="G1022">
        <v>17</v>
      </c>
      <c r="H1022">
        <v>1226734.45</v>
      </c>
      <c r="I1022">
        <v>384.99</v>
      </c>
    </row>
    <row r="1023" spans="1:9" x14ac:dyDescent="0.2">
      <c r="A1023" s="11">
        <v>46011</v>
      </c>
      <c r="B1023" t="s">
        <v>12</v>
      </c>
      <c r="C1023" t="s">
        <v>1430</v>
      </c>
      <c r="D1023" t="s">
        <v>1431</v>
      </c>
      <c r="E1023" t="s">
        <v>211</v>
      </c>
      <c r="F1023" t="s">
        <v>16</v>
      </c>
      <c r="G1023">
        <v>8</v>
      </c>
      <c r="H1023">
        <v>588884.07999999996</v>
      </c>
      <c r="I1023">
        <v>184.81</v>
      </c>
    </row>
    <row r="1024" spans="1:9" x14ac:dyDescent="0.2">
      <c r="A1024" s="11">
        <v>46011</v>
      </c>
      <c r="B1024" t="s">
        <v>12</v>
      </c>
      <c r="C1024" t="s">
        <v>1430</v>
      </c>
      <c r="D1024" t="s">
        <v>1431</v>
      </c>
      <c r="E1024" t="s">
        <v>739</v>
      </c>
      <c r="F1024" t="s">
        <v>18</v>
      </c>
      <c r="G1024">
        <v>13</v>
      </c>
      <c r="H1024">
        <v>834731.56</v>
      </c>
      <c r="I1024">
        <v>261.97000000000003</v>
      </c>
    </row>
    <row r="1025" spans="1:9" x14ac:dyDescent="0.2">
      <c r="A1025" s="11">
        <v>46011</v>
      </c>
      <c r="B1025" t="s">
        <v>12</v>
      </c>
      <c r="C1025" t="s">
        <v>1430</v>
      </c>
      <c r="D1025" t="s">
        <v>1431</v>
      </c>
      <c r="E1025" t="s">
        <v>1432</v>
      </c>
      <c r="F1025" t="s">
        <v>14</v>
      </c>
      <c r="G1025">
        <v>9</v>
      </c>
      <c r="H1025">
        <v>882868.77</v>
      </c>
      <c r="I1025">
        <v>277.07</v>
      </c>
    </row>
    <row r="1026" spans="1:9" x14ac:dyDescent="0.2">
      <c r="A1026" s="11">
        <v>46011</v>
      </c>
      <c r="B1026" t="s">
        <v>12</v>
      </c>
      <c r="C1026" t="s">
        <v>1430</v>
      </c>
      <c r="D1026" t="s">
        <v>1431</v>
      </c>
      <c r="E1026" t="s">
        <v>1269</v>
      </c>
      <c r="F1026" t="s">
        <v>20</v>
      </c>
      <c r="G1026">
        <v>13</v>
      </c>
      <c r="H1026">
        <v>2663392.0299999998</v>
      </c>
      <c r="I1026">
        <v>835.87</v>
      </c>
    </row>
    <row r="1027" spans="1:9" x14ac:dyDescent="0.2">
      <c r="A1027" s="11">
        <v>46011</v>
      </c>
      <c r="B1027" t="s">
        <v>10</v>
      </c>
      <c r="C1027" t="s">
        <v>1433</v>
      </c>
      <c r="D1027" t="s">
        <v>1434</v>
      </c>
      <c r="E1027" t="s">
        <v>1256</v>
      </c>
      <c r="F1027" t="s">
        <v>16</v>
      </c>
      <c r="G1027">
        <v>46</v>
      </c>
      <c r="H1027">
        <v>5762399.2999999998</v>
      </c>
      <c r="I1027">
        <v>1808.44</v>
      </c>
    </row>
    <row r="1028" spans="1:9" x14ac:dyDescent="0.2">
      <c r="A1028" s="11">
        <v>46011</v>
      </c>
      <c r="B1028" t="s">
        <v>10</v>
      </c>
      <c r="C1028" t="s">
        <v>1433</v>
      </c>
      <c r="D1028" t="s">
        <v>1434</v>
      </c>
      <c r="E1028" t="s">
        <v>1377</v>
      </c>
      <c r="F1028" t="s">
        <v>18</v>
      </c>
      <c r="G1028">
        <v>2</v>
      </c>
      <c r="H1028">
        <v>168910.24</v>
      </c>
      <c r="I1028">
        <v>53.01</v>
      </c>
    </row>
    <row r="1029" spans="1:9" x14ac:dyDescent="0.2">
      <c r="A1029" s="11">
        <v>46011</v>
      </c>
      <c r="B1029" t="s">
        <v>9</v>
      </c>
      <c r="C1029" t="s">
        <v>1435</v>
      </c>
      <c r="D1029" t="s">
        <v>1436</v>
      </c>
      <c r="E1029" t="s">
        <v>187</v>
      </c>
      <c r="F1029" t="s">
        <v>5</v>
      </c>
      <c r="G1029">
        <v>13</v>
      </c>
      <c r="H1029">
        <v>403506.22</v>
      </c>
      <c r="I1029">
        <v>126.63</v>
      </c>
    </row>
    <row r="1030" spans="1:9" x14ac:dyDescent="0.2">
      <c r="A1030" s="11">
        <v>46011</v>
      </c>
      <c r="B1030" t="s">
        <v>7</v>
      </c>
      <c r="C1030" t="s">
        <v>1437</v>
      </c>
      <c r="D1030" t="s">
        <v>1438</v>
      </c>
      <c r="E1030" t="s">
        <v>664</v>
      </c>
      <c r="F1030" t="s">
        <v>20</v>
      </c>
      <c r="G1030">
        <v>18</v>
      </c>
      <c r="H1030">
        <v>3258261.18</v>
      </c>
      <c r="I1030">
        <v>1022.56</v>
      </c>
    </row>
    <row r="1031" spans="1:9" x14ac:dyDescent="0.2">
      <c r="A1031" s="11">
        <v>46011</v>
      </c>
      <c r="B1031" t="s">
        <v>7</v>
      </c>
      <c r="C1031" t="s">
        <v>1437</v>
      </c>
      <c r="D1031" t="s">
        <v>1438</v>
      </c>
      <c r="E1031" t="s">
        <v>202</v>
      </c>
      <c r="F1031" t="s">
        <v>5</v>
      </c>
      <c r="G1031">
        <v>20</v>
      </c>
      <c r="H1031">
        <v>1223392.3999999999</v>
      </c>
      <c r="I1031">
        <v>383.94</v>
      </c>
    </row>
    <row r="1032" spans="1:9" x14ac:dyDescent="0.2">
      <c r="A1032" s="11">
        <v>46011</v>
      </c>
      <c r="B1032" t="s">
        <v>7</v>
      </c>
      <c r="C1032" t="s">
        <v>1437</v>
      </c>
      <c r="D1032" t="s">
        <v>1438</v>
      </c>
      <c r="E1032" t="s">
        <v>1439</v>
      </c>
      <c r="F1032" t="s">
        <v>16</v>
      </c>
      <c r="G1032">
        <v>8</v>
      </c>
      <c r="H1032">
        <v>1162977.76</v>
      </c>
      <c r="I1032">
        <v>364.98</v>
      </c>
    </row>
    <row r="1033" spans="1:9" x14ac:dyDescent="0.2">
      <c r="A1033" s="11">
        <v>46011</v>
      </c>
      <c r="B1033" t="s">
        <v>11</v>
      </c>
      <c r="C1033" t="s">
        <v>343</v>
      </c>
      <c r="D1033" t="s">
        <v>1440</v>
      </c>
      <c r="E1033" t="s">
        <v>1441</v>
      </c>
      <c r="F1033" t="s">
        <v>22</v>
      </c>
      <c r="G1033">
        <v>5</v>
      </c>
      <c r="H1033">
        <v>293992.09999999998</v>
      </c>
      <c r="I1033">
        <v>92.26</v>
      </c>
    </row>
    <row r="1034" spans="1:9" x14ac:dyDescent="0.2">
      <c r="A1034" s="11">
        <v>46011</v>
      </c>
      <c r="B1034" t="s">
        <v>11</v>
      </c>
      <c r="C1034" t="s">
        <v>343</v>
      </c>
      <c r="D1034" t="s">
        <v>1440</v>
      </c>
      <c r="E1034" t="s">
        <v>610</v>
      </c>
      <c r="F1034" t="s">
        <v>16</v>
      </c>
      <c r="G1034">
        <v>4</v>
      </c>
      <c r="H1034">
        <v>616490.16</v>
      </c>
      <c r="I1034">
        <v>193.48</v>
      </c>
    </row>
    <row r="1035" spans="1:9" x14ac:dyDescent="0.2">
      <c r="A1035" s="11">
        <v>46011</v>
      </c>
      <c r="B1035" t="s">
        <v>11</v>
      </c>
      <c r="C1035" t="s">
        <v>343</v>
      </c>
      <c r="D1035" t="s">
        <v>1440</v>
      </c>
      <c r="E1035" t="s">
        <v>68</v>
      </c>
      <c r="F1035" t="s">
        <v>5</v>
      </c>
      <c r="G1035">
        <v>12</v>
      </c>
      <c r="H1035">
        <v>602072.04</v>
      </c>
      <c r="I1035">
        <v>188.95</v>
      </c>
    </row>
    <row r="1036" spans="1:9" x14ac:dyDescent="0.2">
      <c r="A1036" s="11">
        <v>46011</v>
      </c>
      <c r="B1036" t="s">
        <v>11</v>
      </c>
      <c r="C1036" t="s">
        <v>343</v>
      </c>
      <c r="D1036" t="s">
        <v>1440</v>
      </c>
      <c r="E1036" t="s">
        <v>1442</v>
      </c>
      <c r="F1036" t="s">
        <v>22</v>
      </c>
      <c r="G1036">
        <v>9</v>
      </c>
      <c r="H1036">
        <v>281402.73</v>
      </c>
      <c r="I1036">
        <v>88.31</v>
      </c>
    </row>
    <row r="1037" spans="1:9" x14ac:dyDescent="0.2">
      <c r="A1037" s="11">
        <v>46011</v>
      </c>
      <c r="B1037" t="s">
        <v>11</v>
      </c>
      <c r="C1037" t="s">
        <v>343</v>
      </c>
      <c r="D1037" t="s">
        <v>1440</v>
      </c>
      <c r="E1037" t="s">
        <v>1078</v>
      </c>
      <c r="F1037" t="s">
        <v>18</v>
      </c>
      <c r="G1037">
        <v>19</v>
      </c>
      <c r="H1037">
        <v>844517.7</v>
      </c>
      <c r="I1037">
        <v>265.04000000000002</v>
      </c>
    </row>
    <row r="1038" spans="1:9" x14ac:dyDescent="0.2">
      <c r="A1038" s="11">
        <v>46011</v>
      </c>
      <c r="B1038" t="s">
        <v>6</v>
      </c>
      <c r="C1038" t="s">
        <v>1443</v>
      </c>
      <c r="D1038" t="s">
        <v>1444</v>
      </c>
      <c r="E1038" t="s">
        <v>1445</v>
      </c>
      <c r="F1038" t="s">
        <v>16</v>
      </c>
      <c r="G1038">
        <v>6</v>
      </c>
      <c r="H1038">
        <v>677399.04000000004</v>
      </c>
      <c r="I1038">
        <v>212.59</v>
      </c>
    </row>
    <row r="1039" spans="1:9" x14ac:dyDescent="0.2">
      <c r="A1039" s="11">
        <v>46011</v>
      </c>
      <c r="B1039" t="s">
        <v>6</v>
      </c>
      <c r="C1039" t="s">
        <v>1443</v>
      </c>
      <c r="D1039" t="s">
        <v>1444</v>
      </c>
      <c r="E1039" t="s">
        <v>870</v>
      </c>
      <c r="F1039" t="s">
        <v>14</v>
      </c>
      <c r="G1039">
        <v>30</v>
      </c>
      <c r="H1039">
        <v>2002298.7</v>
      </c>
      <c r="I1039">
        <v>628.39</v>
      </c>
    </row>
    <row r="1040" spans="1:9" x14ac:dyDescent="0.2">
      <c r="A1040" s="11">
        <v>46011</v>
      </c>
      <c r="B1040" t="s">
        <v>6</v>
      </c>
      <c r="C1040" t="s">
        <v>1443</v>
      </c>
      <c r="D1040" t="s">
        <v>1444</v>
      </c>
      <c r="E1040" t="s">
        <v>170</v>
      </c>
      <c r="F1040" t="s">
        <v>22</v>
      </c>
      <c r="G1040">
        <v>22</v>
      </c>
      <c r="H1040">
        <v>1233519.1000000001</v>
      </c>
      <c r="I1040">
        <v>387.12</v>
      </c>
    </row>
    <row r="1041" spans="1:9" x14ac:dyDescent="0.2">
      <c r="A1041" s="11">
        <v>46011</v>
      </c>
      <c r="B1041" t="s">
        <v>6</v>
      </c>
      <c r="C1041" t="s">
        <v>1443</v>
      </c>
      <c r="D1041" t="s">
        <v>1444</v>
      </c>
      <c r="E1041" t="s">
        <v>1104</v>
      </c>
      <c r="F1041" t="s">
        <v>5</v>
      </c>
      <c r="G1041">
        <v>8</v>
      </c>
      <c r="H1041">
        <v>476706.16</v>
      </c>
      <c r="I1041">
        <v>149.61000000000001</v>
      </c>
    </row>
    <row r="1042" spans="1:9" x14ac:dyDescent="0.2">
      <c r="A1042" s="11">
        <v>46011</v>
      </c>
      <c r="B1042" t="s">
        <v>7</v>
      </c>
      <c r="C1042" t="s">
        <v>1404</v>
      </c>
      <c r="D1042" t="s">
        <v>1446</v>
      </c>
      <c r="E1042" t="s">
        <v>1447</v>
      </c>
      <c r="F1042" t="s">
        <v>16</v>
      </c>
      <c r="G1042">
        <v>9</v>
      </c>
      <c r="H1042">
        <v>1163669.67</v>
      </c>
      <c r="I1042">
        <v>365.2</v>
      </c>
    </row>
    <row r="1043" spans="1:9" x14ac:dyDescent="0.2">
      <c r="A1043" s="11">
        <v>46011</v>
      </c>
      <c r="B1043" t="s">
        <v>7</v>
      </c>
      <c r="C1043" t="s">
        <v>1404</v>
      </c>
      <c r="D1043" t="s">
        <v>1446</v>
      </c>
      <c r="E1043" t="s">
        <v>1232</v>
      </c>
      <c r="F1043" t="s">
        <v>22</v>
      </c>
      <c r="G1043">
        <v>38</v>
      </c>
      <c r="H1043">
        <v>1615617.12</v>
      </c>
      <c r="I1043">
        <v>507.04</v>
      </c>
    </row>
    <row r="1044" spans="1:9" x14ac:dyDescent="0.2">
      <c r="A1044" s="11">
        <v>46011</v>
      </c>
      <c r="B1044" t="s">
        <v>6</v>
      </c>
      <c r="C1044" t="s">
        <v>1448</v>
      </c>
      <c r="D1044" t="s">
        <v>1449</v>
      </c>
      <c r="E1044" t="s">
        <v>1450</v>
      </c>
      <c r="F1044" t="s">
        <v>5</v>
      </c>
      <c r="G1044">
        <v>25</v>
      </c>
      <c r="H1044">
        <v>1581049.5</v>
      </c>
      <c r="I1044">
        <v>496.19</v>
      </c>
    </row>
    <row r="1045" spans="1:9" x14ac:dyDescent="0.2">
      <c r="A1045" s="11">
        <v>46011</v>
      </c>
      <c r="B1045" t="s">
        <v>6</v>
      </c>
      <c r="C1045" t="s">
        <v>1448</v>
      </c>
      <c r="D1045" t="s">
        <v>1449</v>
      </c>
      <c r="E1045" t="s">
        <v>1451</v>
      </c>
      <c r="F1045" t="s">
        <v>22</v>
      </c>
      <c r="G1045">
        <v>13</v>
      </c>
      <c r="H1045">
        <v>741951.08</v>
      </c>
      <c r="I1045">
        <v>232.85</v>
      </c>
    </row>
    <row r="1046" spans="1:9" x14ac:dyDescent="0.2">
      <c r="A1046" s="11">
        <v>46011</v>
      </c>
      <c r="B1046" t="s">
        <v>6</v>
      </c>
      <c r="C1046" t="s">
        <v>1448</v>
      </c>
      <c r="D1046" t="s">
        <v>1449</v>
      </c>
      <c r="E1046" t="s">
        <v>150</v>
      </c>
      <c r="F1046" t="s">
        <v>14</v>
      </c>
      <c r="G1046">
        <v>51</v>
      </c>
      <c r="H1046">
        <v>4508074.62</v>
      </c>
      <c r="I1046">
        <v>1414.79</v>
      </c>
    </row>
    <row r="1047" spans="1:9" x14ac:dyDescent="0.2">
      <c r="A1047" s="11">
        <v>46011</v>
      </c>
      <c r="B1047" t="s">
        <v>8</v>
      </c>
      <c r="C1047" t="s">
        <v>1452</v>
      </c>
      <c r="D1047" t="s">
        <v>1453</v>
      </c>
      <c r="E1047" t="s">
        <v>810</v>
      </c>
      <c r="F1047" t="s">
        <v>22</v>
      </c>
      <c r="G1047">
        <v>20</v>
      </c>
      <c r="H1047">
        <v>504159.2</v>
      </c>
      <c r="I1047">
        <v>158.22</v>
      </c>
    </row>
    <row r="1048" spans="1:9" x14ac:dyDescent="0.2">
      <c r="A1048" s="11">
        <v>46012</v>
      </c>
      <c r="B1048" t="s">
        <v>10</v>
      </c>
      <c r="C1048" t="s">
        <v>1454</v>
      </c>
      <c r="D1048" t="s">
        <v>1455</v>
      </c>
      <c r="E1048" t="s">
        <v>159</v>
      </c>
      <c r="F1048" t="s">
        <v>5</v>
      </c>
      <c r="G1048">
        <v>5</v>
      </c>
      <c r="H1048">
        <v>282021.75</v>
      </c>
      <c r="I1048">
        <v>88.51</v>
      </c>
    </row>
    <row r="1049" spans="1:9" x14ac:dyDescent="0.2">
      <c r="A1049" s="11">
        <v>46012</v>
      </c>
      <c r="B1049" t="s">
        <v>6</v>
      </c>
      <c r="C1049" t="s">
        <v>1233</v>
      </c>
      <c r="D1049" t="s">
        <v>1456</v>
      </c>
      <c r="E1049" t="s">
        <v>1457</v>
      </c>
      <c r="F1049" t="s">
        <v>16</v>
      </c>
      <c r="G1049">
        <v>19</v>
      </c>
      <c r="H1049">
        <v>1279616.56</v>
      </c>
      <c r="I1049">
        <v>401.59</v>
      </c>
    </row>
    <row r="1050" spans="1:9" x14ac:dyDescent="0.2">
      <c r="A1050" s="11">
        <v>46012</v>
      </c>
      <c r="B1050" t="s">
        <v>8</v>
      </c>
      <c r="C1050" t="s">
        <v>1458</v>
      </c>
      <c r="D1050" t="s">
        <v>1459</v>
      </c>
      <c r="E1050" t="s">
        <v>1460</v>
      </c>
      <c r="F1050" t="s">
        <v>14</v>
      </c>
      <c r="G1050">
        <v>18</v>
      </c>
      <c r="H1050">
        <v>1518672.06</v>
      </c>
      <c r="I1050">
        <v>476.61</v>
      </c>
    </row>
    <row r="1051" spans="1:9" x14ac:dyDescent="0.2">
      <c r="A1051" s="11">
        <v>46012</v>
      </c>
      <c r="B1051" t="s">
        <v>8</v>
      </c>
      <c r="C1051" t="s">
        <v>1458</v>
      </c>
      <c r="D1051" t="s">
        <v>1459</v>
      </c>
      <c r="E1051" t="s">
        <v>289</v>
      </c>
      <c r="F1051" t="s">
        <v>22</v>
      </c>
      <c r="G1051">
        <v>28</v>
      </c>
      <c r="H1051">
        <v>1660935.08</v>
      </c>
      <c r="I1051">
        <v>521.26</v>
      </c>
    </row>
    <row r="1052" spans="1:9" x14ac:dyDescent="0.2">
      <c r="A1052" s="11">
        <v>46012</v>
      </c>
      <c r="B1052" t="s">
        <v>9</v>
      </c>
      <c r="C1052" t="s">
        <v>146</v>
      </c>
      <c r="D1052" t="s">
        <v>1461</v>
      </c>
      <c r="E1052" t="s">
        <v>1419</v>
      </c>
      <c r="F1052" t="s">
        <v>18</v>
      </c>
      <c r="G1052">
        <v>47</v>
      </c>
      <c r="H1052">
        <v>2701536.5</v>
      </c>
      <c r="I1052">
        <v>847.84</v>
      </c>
    </row>
    <row r="1053" spans="1:9" x14ac:dyDescent="0.2">
      <c r="A1053" s="11">
        <v>46012</v>
      </c>
      <c r="B1053" t="s">
        <v>9</v>
      </c>
      <c r="C1053" t="s">
        <v>146</v>
      </c>
      <c r="D1053" t="s">
        <v>1461</v>
      </c>
      <c r="E1053" t="s">
        <v>736</v>
      </c>
      <c r="F1053" t="s">
        <v>22</v>
      </c>
      <c r="G1053">
        <v>15</v>
      </c>
      <c r="H1053">
        <v>345437.7</v>
      </c>
      <c r="I1053">
        <v>108.41</v>
      </c>
    </row>
    <row r="1054" spans="1:9" x14ac:dyDescent="0.2">
      <c r="A1054" s="11">
        <v>46012</v>
      </c>
      <c r="B1054" t="s">
        <v>9</v>
      </c>
      <c r="C1054" t="s">
        <v>146</v>
      </c>
      <c r="D1054" t="s">
        <v>1461</v>
      </c>
      <c r="E1054" t="s">
        <v>739</v>
      </c>
      <c r="F1054" t="s">
        <v>18</v>
      </c>
      <c r="G1054">
        <v>19</v>
      </c>
      <c r="H1054">
        <v>1217023.1499999999</v>
      </c>
      <c r="I1054">
        <v>381.94</v>
      </c>
    </row>
    <row r="1055" spans="1:9" x14ac:dyDescent="0.2">
      <c r="A1055" s="11">
        <v>46012</v>
      </c>
      <c r="B1055" t="s">
        <v>9</v>
      </c>
      <c r="C1055" t="s">
        <v>146</v>
      </c>
      <c r="D1055" t="s">
        <v>1461</v>
      </c>
      <c r="E1055" t="s">
        <v>1462</v>
      </c>
      <c r="F1055" t="s">
        <v>20</v>
      </c>
      <c r="G1055">
        <v>41</v>
      </c>
      <c r="H1055">
        <v>8763486.3699999992</v>
      </c>
      <c r="I1055">
        <v>2750.29</v>
      </c>
    </row>
    <row r="1056" spans="1:9" x14ac:dyDescent="0.2">
      <c r="A1056" s="11">
        <v>46012</v>
      </c>
      <c r="B1056" t="s">
        <v>9</v>
      </c>
      <c r="C1056" t="s">
        <v>1463</v>
      </c>
      <c r="D1056" t="s">
        <v>1464</v>
      </c>
      <c r="E1056" t="s">
        <v>1465</v>
      </c>
      <c r="F1056" t="s">
        <v>16</v>
      </c>
      <c r="G1056">
        <v>7</v>
      </c>
      <c r="H1056">
        <v>531301.68000000005</v>
      </c>
      <c r="I1056">
        <v>166.74</v>
      </c>
    </row>
    <row r="1057" spans="1:9" x14ac:dyDescent="0.2">
      <c r="A1057" s="11">
        <v>46012</v>
      </c>
      <c r="B1057" t="s">
        <v>9</v>
      </c>
      <c r="C1057" t="s">
        <v>1463</v>
      </c>
      <c r="D1057" t="s">
        <v>1464</v>
      </c>
      <c r="E1057" t="s">
        <v>683</v>
      </c>
      <c r="F1057" t="s">
        <v>18</v>
      </c>
      <c r="G1057">
        <v>5</v>
      </c>
      <c r="H1057">
        <v>307703.8</v>
      </c>
      <c r="I1057">
        <v>96.57</v>
      </c>
    </row>
    <row r="1058" spans="1:9" x14ac:dyDescent="0.2">
      <c r="A1058" s="11">
        <v>46012</v>
      </c>
      <c r="B1058" t="s">
        <v>9</v>
      </c>
      <c r="C1058" t="s">
        <v>1463</v>
      </c>
      <c r="D1058" t="s">
        <v>1464</v>
      </c>
      <c r="E1058" t="s">
        <v>1466</v>
      </c>
      <c r="F1058" t="s">
        <v>18</v>
      </c>
      <c r="G1058">
        <v>11</v>
      </c>
      <c r="H1058">
        <v>968457.49</v>
      </c>
      <c r="I1058">
        <v>303.94</v>
      </c>
    </row>
    <row r="1059" spans="1:9" x14ac:dyDescent="0.2">
      <c r="A1059" s="11">
        <v>46012</v>
      </c>
      <c r="B1059" t="s">
        <v>9</v>
      </c>
      <c r="C1059" t="s">
        <v>1463</v>
      </c>
      <c r="D1059" t="s">
        <v>1464</v>
      </c>
      <c r="E1059" t="s">
        <v>758</v>
      </c>
      <c r="F1059" t="s">
        <v>14</v>
      </c>
      <c r="G1059">
        <v>17</v>
      </c>
      <c r="H1059">
        <v>1188235.74</v>
      </c>
      <c r="I1059">
        <v>372.91</v>
      </c>
    </row>
    <row r="1060" spans="1:9" x14ac:dyDescent="0.2">
      <c r="A1060" s="11">
        <v>46012</v>
      </c>
      <c r="B1060" t="s">
        <v>8</v>
      </c>
      <c r="C1060" t="s">
        <v>1467</v>
      </c>
      <c r="D1060" t="s">
        <v>1468</v>
      </c>
      <c r="E1060" t="s">
        <v>229</v>
      </c>
      <c r="F1060" t="s">
        <v>18</v>
      </c>
      <c r="G1060">
        <v>26</v>
      </c>
      <c r="H1060">
        <v>1261809.6399999999</v>
      </c>
      <c r="I1060">
        <v>396</v>
      </c>
    </row>
    <row r="1061" spans="1:9" x14ac:dyDescent="0.2">
      <c r="A1061" s="11">
        <v>46012</v>
      </c>
      <c r="B1061" t="s">
        <v>8</v>
      </c>
      <c r="C1061" t="s">
        <v>1467</v>
      </c>
      <c r="D1061" t="s">
        <v>1468</v>
      </c>
      <c r="E1061" t="s">
        <v>393</v>
      </c>
      <c r="F1061" t="s">
        <v>5</v>
      </c>
      <c r="G1061">
        <v>20</v>
      </c>
      <c r="H1061">
        <v>1345487.6</v>
      </c>
      <c r="I1061">
        <v>422.26</v>
      </c>
    </row>
    <row r="1062" spans="1:9" x14ac:dyDescent="0.2">
      <c r="A1062" s="11">
        <v>46012</v>
      </c>
      <c r="B1062" t="s">
        <v>8</v>
      </c>
      <c r="C1062" t="s">
        <v>1467</v>
      </c>
      <c r="D1062" t="s">
        <v>1468</v>
      </c>
      <c r="E1062" t="s">
        <v>1380</v>
      </c>
      <c r="F1062" t="s">
        <v>22</v>
      </c>
      <c r="G1062">
        <v>12</v>
      </c>
      <c r="H1062">
        <v>303683.52</v>
      </c>
      <c r="I1062">
        <v>95.31</v>
      </c>
    </row>
    <row r="1063" spans="1:9" x14ac:dyDescent="0.2">
      <c r="A1063" s="11">
        <v>46012</v>
      </c>
      <c r="B1063" t="s">
        <v>9</v>
      </c>
      <c r="C1063" t="s">
        <v>1469</v>
      </c>
      <c r="D1063" t="s">
        <v>1470</v>
      </c>
      <c r="E1063" t="s">
        <v>281</v>
      </c>
      <c r="F1063" t="s">
        <v>14</v>
      </c>
      <c r="G1063">
        <v>48</v>
      </c>
      <c r="H1063">
        <v>2049659.04</v>
      </c>
      <c r="I1063">
        <v>643.25</v>
      </c>
    </row>
    <row r="1064" spans="1:9" x14ac:dyDescent="0.2">
      <c r="A1064" s="11">
        <v>46012</v>
      </c>
      <c r="B1064" t="s">
        <v>11</v>
      </c>
      <c r="C1064" t="s">
        <v>1471</v>
      </c>
      <c r="D1064" t="s">
        <v>1472</v>
      </c>
      <c r="E1064" t="s">
        <v>371</v>
      </c>
      <c r="F1064" t="s">
        <v>5</v>
      </c>
      <c r="G1064">
        <v>10</v>
      </c>
      <c r="H1064">
        <v>725954.7</v>
      </c>
      <c r="I1064">
        <v>227.83</v>
      </c>
    </row>
    <row r="1065" spans="1:9" x14ac:dyDescent="0.2">
      <c r="A1065" s="11">
        <v>46012</v>
      </c>
      <c r="B1065" t="s">
        <v>11</v>
      </c>
      <c r="C1065" t="s">
        <v>1471</v>
      </c>
      <c r="D1065" t="s">
        <v>1472</v>
      </c>
      <c r="E1065" t="s">
        <v>1473</v>
      </c>
      <c r="F1065" t="s">
        <v>20</v>
      </c>
      <c r="G1065">
        <v>36</v>
      </c>
      <c r="H1065">
        <v>8517085.1999999993</v>
      </c>
      <c r="I1065">
        <v>2672.96</v>
      </c>
    </row>
    <row r="1066" spans="1:9" x14ac:dyDescent="0.2">
      <c r="A1066" s="11">
        <v>46012</v>
      </c>
      <c r="B1066" t="s">
        <v>11</v>
      </c>
      <c r="C1066" t="s">
        <v>1471</v>
      </c>
      <c r="D1066" t="s">
        <v>1472</v>
      </c>
      <c r="E1066" t="s">
        <v>1474</v>
      </c>
      <c r="F1066" t="s">
        <v>22</v>
      </c>
      <c r="G1066">
        <v>46</v>
      </c>
      <c r="H1066">
        <v>1941453</v>
      </c>
      <c r="I1066">
        <v>609.29999999999995</v>
      </c>
    </row>
    <row r="1067" spans="1:9" x14ac:dyDescent="0.2">
      <c r="A1067" s="11">
        <v>46012</v>
      </c>
      <c r="B1067" t="s">
        <v>11</v>
      </c>
      <c r="C1067" t="s">
        <v>1471</v>
      </c>
      <c r="D1067" t="s">
        <v>1472</v>
      </c>
      <c r="E1067" t="s">
        <v>670</v>
      </c>
      <c r="F1067" t="s">
        <v>18</v>
      </c>
      <c r="G1067">
        <v>9</v>
      </c>
      <c r="H1067">
        <v>480423.96</v>
      </c>
      <c r="I1067">
        <v>150.77000000000001</v>
      </c>
    </row>
    <row r="1068" spans="1:9" x14ac:dyDescent="0.2">
      <c r="A1068" s="11">
        <v>46012</v>
      </c>
      <c r="B1068" t="s">
        <v>8</v>
      </c>
      <c r="C1068" t="s">
        <v>1307</v>
      </c>
      <c r="D1068" t="s">
        <v>1475</v>
      </c>
      <c r="E1068" t="s">
        <v>368</v>
      </c>
      <c r="F1068" t="s">
        <v>20</v>
      </c>
      <c r="G1068">
        <v>11</v>
      </c>
      <c r="H1068">
        <v>1385343.63</v>
      </c>
      <c r="I1068">
        <v>434.77</v>
      </c>
    </row>
    <row r="1069" spans="1:9" x14ac:dyDescent="0.2">
      <c r="A1069" s="11">
        <v>46012</v>
      </c>
      <c r="B1069" t="s">
        <v>11</v>
      </c>
      <c r="C1069" t="s">
        <v>1476</v>
      </c>
      <c r="D1069" t="s">
        <v>1477</v>
      </c>
      <c r="E1069" t="s">
        <v>1270</v>
      </c>
      <c r="F1069" t="s">
        <v>18</v>
      </c>
      <c r="G1069">
        <v>22</v>
      </c>
      <c r="H1069">
        <v>1135698.3</v>
      </c>
      <c r="I1069">
        <v>356.42</v>
      </c>
    </row>
    <row r="1070" spans="1:9" x14ac:dyDescent="0.2">
      <c r="A1070" s="11">
        <v>46012</v>
      </c>
      <c r="B1070" t="s">
        <v>11</v>
      </c>
      <c r="C1070" t="s">
        <v>778</v>
      </c>
      <c r="D1070" t="s">
        <v>1478</v>
      </c>
      <c r="E1070" t="s">
        <v>312</v>
      </c>
      <c r="F1070" t="s">
        <v>22</v>
      </c>
      <c r="G1070">
        <v>13</v>
      </c>
      <c r="H1070">
        <v>367883.88</v>
      </c>
      <c r="I1070">
        <v>115.45</v>
      </c>
    </row>
    <row r="1071" spans="1:9" x14ac:dyDescent="0.2">
      <c r="A1071" s="11">
        <v>46012</v>
      </c>
      <c r="B1071" t="s">
        <v>7</v>
      </c>
      <c r="C1071" t="s">
        <v>623</v>
      </c>
      <c r="D1071" t="s">
        <v>1479</v>
      </c>
      <c r="E1071" t="s">
        <v>638</v>
      </c>
      <c r="F1071" t="s">
        <v>14</v>
      </c>
      <c r="G1071">
        <v>2</v>
      </c>
      <c r="H1071">
        <v>137692.35999999999</v>
      </c>
      <c r="I1071">
        <v>43.21</v>
      </c>
    </row>
    <row r="1072" spans="1:9" x14ac:dyDescent="0.2">
      <c r="A1072" s="11">
        <v>46012</v>
      </c>
      <c r="B1072" t="s">
        <v>7</v>
      </c>
      <c r="C1072" t="s">
        <v>623</v>
      </c>
      <c r="D1072" t="s">
        <v>1479</v>
      </c>
      <c r="E1072" t="s">
        <v>1480</v>
      </c>
      <c r="F1072" t="s">
        <v>14</v>
      </c>
      <c r="G1072">
        <v>10</v>
      </c>
      <c r="H1072">
        <v>514485.7</v>
      </c>
      <c r="I1072">
        <v>161.46</v>
      </c>
    </row>
    <row r="1073" spans="1:9" x14ac:dyDescent="0.2">
      <c r="A1073" s="11">
        <v>46012</v>
      </c>
      <c r="B1073" t="s">
        <v>7</v>
      </c>
      <c r="C1073" t="s">
        <v>623</v>
      </c>
      <c r="D1073" t="s">
        <v>1479</v>
      </c>
      <c r="E1073" t="s">
        <v>1481</v>
      </c>
      <c r="F1073" t="s">
        <v>18</v>
      </c>
      <c r="G1073">
        <v>7</v>
      </c>
      <c r="H1073">
        <v>381534.93</v>
      </c>
      <c r="I1073">
        <v>119.74</v>
      </c>
    </row>
    <row r="1074" spans="1:9" x14ac:dyDescent="0.2">
      <c r="A1074" s="11">
        <v>46012</v>
      </c>
      <c r="B1074" t="s">
        <v>6</v>
      </c>
      <c r="C1074" t="s">
        <v>1482</v>
      </c>
      <c r="D1074" t="s">
        <v>1483</v>
      </c>
      <c r="E1074" t="s">
        <v>1450</v>
      </c>
      <c r="F1074" t="s">
        <v>5</v>
      </c>
      <c r="G1074">
        <v>15</v>
      </c>
      <c r="H1074">
        <v>949424.55</v>
      </c>
      <c r="I1074">
        <v>297.95999999999998</v>
      </c>
    </row>
    <row r="1075" spans="1:9" x14ac:dyDescent="0.2">
      <c r="A1075" s="11">
        <v>46012</v>
      </c>
      <c r="B1075" t="s">
        <v>12</v>
      </c>
      <c r="C1075" t="s">
        <v>1484</v>
      </c>
      <c r="D1075" t="s">
        <v>1485</v>
      </c>
      <c r="E1075" t="s">
        <v>575</v>
      </c>
      <c r="F1075" t="s">
        <v>16</v>
      </c>
      <c r="G1075">
        <v>13</v>
      </c>
      <c r="H1075">
        <v>2123658.16</v>
      </c>
      <c r="I1075">
        <v>666.48</v>
      </c>
    </row>
    <row r="1076" spans="1:9" x14ac:dyDescent="0.2">
      <c r="A1076" s="11">
        <v>46012</v>
      </c>
      <c r="B1076" t="s">
        <v>6</v>
      </c>
      <c r="C1076" t="s">
        <v>1486</v>
      </c>
      <c r="D1076" t="s">
        <v>1487</v>
      </c>
      <c r="E1076" t="s">
        <v>637</v>
      </c>
      <c r="F1076" t="s">
        <v>5</v>
      </c>
      <c r="G1076">
        <v>27</v>
      </c>
      <c r="H1076">
        <v>1341437.76</v>
      </c>
      <c r="I1076">
        <v>420.99</v>
      </c>
    </row>
    <row r="1077" spans="1:9" x14ac:dyDescent="0.2">
      <c r="A1077" s="11">
        <v>46012</v>
      </c>
      <c r="B1077" t="s">
        <v>6</v>
      </c>
      <c r="C1077" t="s">
        <v>1486</v>
      </c>
      <c r="D1077" t="s">
        <v>1487</v>
      </c>
      <c r="E1077" t="s">
        <v>772</v>
      </c>
      <c r="F1077" t="s">
        <v>14</v>
      </c>
      <c r="G1077">
        <v>2</v>
      </c>
      <c r="H1077">
        <v>113391.03999999999</v>
      </c>
      <c r="I1077">
        <v>35.590000000000003</v>
      </c>
    </row>
    <row r="1078" spans="1:9" x14ac:dyDescent="0.2">
      <c r="A1078" s="11">
        <v>46012</v>
      </c>
      <c r="B1078" t="s">
        <v>6</v>
      </c>
      <c r="C1078" t="s">
        <v>1486</v>
      </c>
      <c r="D1078" t="s">
        <v>1487</v>
      </c>
      <c r="E1078" t="s">
        <v>742</v>
      </c>
      <c r="F1078" t="s">
        <v>18</v>
      </c>
      <c r="G1078">
        <v>6</v>
      </c>
      <c r="H1078">
        <v>420343.08</v>
      </c>
      <c r="I1078">
        <v>131.91999999999999</v>
      </c>
    </row>
    <row r="1079" spans="1:9" x14ac:dyDescent="0.2">
      <c r="A1079" s="11">
        <v>46012</v>
      </c>
      <c r="B1079" t="s">
        <v>11</v>
      </c>
      <c r="C1079" t="s">
        <v>1488</v>
      </c>
      <c r="D1079" t="s">
        <v>1489</v>
      </c>
      <c r="E1079" t="s">
        <v>1490</v>
      </c>
      <c r="F1079" t="s">
        <v>14</v>
      </c>
      <c r="G1079">
        <v>18</v>
      </c>
      <c r="H1079">
        <v>1507495.5</v>
      </c>
      <c r="I1079">
        <v>473.1</v>
      </c>
    </row>
    <row r="1080" spans="1:9" x14ac:dyDescent="0.2">
      <c r="A1080" s="11">
        <v>46012</v>
      </c>
      <c r="B1080" t="s">
        <v>11</v>
      </c>
      <c r="C1080" t="s">
        <v>1488</v>
      </c>
      <c r="D1080" t="s">
        <v>1489</v>
      </c>
      <c r="E1080" t="s">
        <v>1491</v>
      </c>
      <c r="F1080" t="s">
        <v>16</v>
      </c>
      <c r="G1080">
        <v>25</v>
      </c>
      <c r="H1080">
        <v>2228355.75</v>
      </c>
      <c r="I1080">
        <v>699.34</v>
      </c>
    </row>
    <row r="1081" spans="1:9" x14ac:dyDescent="0.2">
      <c r="A1081" s="11">
        <v>46012</v>
      </c>
      <c r="B1081" t="s">
        <v>7</v>
      </c>
      <c r="C1081" t="s">
        <v>1492</v>
      </c>
      <c r="D1081" t="s">
        <v>1493</v>
      </c>
      <c r="E1081" t="s">
        <v>870</v>
      </c>
      <c r="F1081" t="s">
        <v>14</v>
      </c>
      <c r="G1081">
        <v>12</v>
      </c>
      <c r="H1081">
        <v>780965.76</v>
      </c>
      <c r="I1081">
        <v>245.09</v>
      </c>
    </row>
    <row r="1082" spans="1:9" x14ac:dyDescent="0.2">
      <c r="A1082" s="11">
        <v>46012</v>
      </c>
      <c r="B1082" t="s">
        <v>12</v>
      </c>
      <c r="C1082" t="s">
        <v>1194</v>
      </c>
      <c r="D1082" t="s">
        <v>1494</v>
      </c>
      <c r="E1082" t="s">
        <v>215</v>
      </c>
      <c r="F1082" t="s">
        <v>18</v>
      </c>
      <c r="G1082">
        <v>4</v>
      </c>
      <c r="H1082">
        <v>373883.36</v>
      </c>
      <c r="I1082">
        <v>117.34</v>
      </c>
    </row>
    <row r="1083" spans="1:9" x14ac:dyDescent="0.2">
      <c r="A1083" s="11">
        <v>46012</v>
      </c>
      <c r="B1083" t="s">
        <v>12</v>
      </c>
      <c r="C1083" t="s">
        <v>1194</v>
      </c>
      <c r="D1083" t="s">
        <v>1494</v>
      </c>
      <c r="E1083" t="s">
        <v>657</v>
      </c>
      <c r="F1083" t="s">
        <v>22</v>
      </c>
      <c r="G1083">
        <v>13</v>
      </c>
      <c r="H1083">
        <v>480697.49</v>
      </c>
      <c r="I1083">
        <v>150.86000000000001</v>
      </c>
    </row>
    <row r="1084" spans="1:9" x14ac:dyDescent="0.2">
      <c r="A1084" s="11">
        <v>46012</v>
      </c>
      <c r="B1084" t="s">
        <v>12</v>
      </c>
      <c r="C1084" t="s">
        <v>1495</v>
      </c>
      <c r="D1084" t="s">
        <v>1496</v>
      </c>
      <c r="E1084" t="s">
        <v>588</v>
      </c>
      <c r="F1084" t="s">
        <v>18</v>
      </c>
      <c r="G1084">
        <v>16</v>
      </c>
      <c r="H1084">
        <v>1349970.4</v>
      </c>
      <c r="I1084">
        <v>423.67</v>
      </c>
    </row>
    <row r="1085" spans="1:9" x14ac:dyDescent="0.2">
      <c r="A1085" s="11">
        <v>46012</v>
      </c>
      <c r="B1085" t="s">
        <v>12</v>
      </c>
      <c r="C1085" t="s">
        <v>1497</v>
      </c>
      <c r="D1085" t="s">
        <v>1498</v>
      </c>
      <c r="E1085" t="s">
        <v>312</v>
      </c>
      <c r="F1085" t="s">
        <v>22</v>
      </c>
      <c r="G1085">
        <v>2</v>
      </c>
      <c r="H1085">
        <v>56956.66</v>
      </c>
      <c r="I1085">
        <v>17.87</v>
      </c>
    </row>
    <row r="1086" spans="1:9" x14ac:dyDescent="0.2">
      <c r="A1086" s="11">
        <v>46012</v>
      </c>
      <c r="B1086" t="s">
        <v>7</v>
      </c>
      <c r="C1086" t="s">
        <v>1499</v>
      </c>
      <c r="D1086" t="s">
        <v>1500</v>
      </c>
      <c r="E1086" t="s">
        <v>1064</v>
      </c>
      <c r="F1086" t="s">
        <v>14</v>
      </c>
      <c r="G1086">
        <v>5</v>
      </c>
      <c r="H1086">
        <v>279308.90000000002</v>
      </c>
      <c r="I1086">
        <v>87.66</v>
      </c>
    </row>
    <row r="1087" spans="1:9" x14ac:dyDescent="0.2">
      <c r="A1087" s="11">
        <v>46012</v>
      </c>
      <c r="B1087" t="s">
        <v>7</v>
      </c>
      <c r="C1087" t="s">
        <v>1499</v>
      </c>
      <c r="D1087" t="s">
        <v>1500</v>
      </c>
      <c r="E1087" t="s">
        <v>954</v>
      </c>
      <c r="F1087" t="s">
        <v>16</v>
      </c>
      <c r="G1087">
        <v>24</v>
      </c>
      <c r="H1087">
        <v>3428903.04</v>
      </c>
      <c r="I1087">
        <v>1076.1099999999999</v>
      </c>
    </row>
    <row r="1088" spans="1:9" x14ac:dyDescent="0.2">
      <c r="A1088" s="11">
        <v>46012</v>
      </c>
      <c r="B1088" t="s">
        <v>7</v>
      </c>
      <c r="C1088" t="s">
        <v>1499</v>
      </c>
      <c r="D1088" t="s">
        <v>1500</v>
      </c>
      <c r="E1088" t="s">
        <v>717</v>
      </c>
      <c r="F1088" t="s">
        <v>22</v>
      </c>
      <c r="G1088">
        <v>4</v>
      </c>
      <c r="H1088">
        <v>251931.16</v>
      </c>
      <c r="I1088">
        <v>79.06</v>
      </c>
    </row>
    <row r="1089" spans="1:9" x14ac:dyDescent="0.2">
      <c r="A1089" s="11">
        <v>46012</v>
      </c>
      <c r="B1089" t="s">
        <v>12</v>
      </c>
      <c r="C1089" t="s">
        <v>1501</v>
      </c>
      <c r="D1089" t="s">
        <v>1502</v>
      </c>
      <c r="E1089" t="s">
        <v>1503</v>
      </c>
      <c r="F1089" t="s">
        <v>14</v>
      </c>
      <c r="G1089">
        <v>28</v>
      </c>
      <c r="H1089">
        <v>2242793</v>
      </c>
      <c r="I1089">
        <v>703.87</v>
      </c>
    </row>
    <row r="1090" spans="1:9" x14ac:dyDescent="0.2">
      <c r="A1090" s="11">
        <v>46013</v>
      </c>
      <c r="B1090" t="s">
        <v>11</v>
      </c>
      <c r="C1090" t="s">
        <v>295</v>
      </c>
      <c r="D1090" t="s">
        <v>1504</v>
      </c>
      <c r="E1090" t="s">
        <v>939</v>
      </c>
      <c r="F1090" t="s">
        <v>5</v>
      </c>
      <c r="G1090">
        <v>8</v>
      </c>
      <c r="H1090">
        <v>484652</v>
      </c>
      <c r="I1090">
        <v>152.1</v>
      </c>
    </row>
    <row r="1091" spans="1:9" x14ac:dyDescent="0.2">
      <c r="A1091" s="11">
        <v>46013</v>
      </c>
      <c r="B1091" t="s">
        <v>9</v>
      </c>
      <c r="C1091" t="s">
        <v>1191</v>
      </c>
      <c r="D1091" t="s">
        <v>1505</v>
      </c>
      <c r="E1091" t="s">
        <v>1506</v>
      </c>
      <c r="F1091" t="s">
        <v>5</v>
      </c>
      <c r="G1091">
        <v>9</v>
      </c>
      <c r="H1091">
        <v>300151.17</v>
      </c>
      <c r="I1091">
        <v>94.2</v>
      </c>
    </row>
    <row r="1092" spans="1:9" x14ac:dyDescent="0.2">
      <c r="A1092" s="11">
        <v>46013</v>
      </c>
      <c r="B1092" t="s">
        <v>9</v>
      </c>
      <c r="C1092" t="s">
        <v>1191</v>
      </c>
      <c r="D1092" t="s">
        <v>1505</v>
      </c>
      <c r="E1092" t="s">
        <v>275</v>
      </c>
      <c r="F1092" t="s">
        <v>18</v>
      </c>
      <c r="G1092">
        <v>39</v>
      </c>
      <c r="H1092">
        <v>3268364.97</v>
      </c>
      <c r="I1092">
        <v>1025.73</v>
      </c>
    </row>
    <row r="1093" spans="1:9" x14ac:dyDescent="0.2">
      <c r="A1093" s="11">
        <v>46013</v>
      </c>
      <c r="B1093" t="s">
        <v>9</v>
      </c>
      <c r="C1093" t="s">
        <v>1191</v>
      </c>
      <c r="D1093" t="s">
        <v>1505</v>
      </c>
      <c r="E1093" t="s">
        <v>1366</v>
      </c>
      <c r="F1093" t="s">
        <v>22</v>
      </c>
      <c r="G1093">
        <v>51</v>
      </c>
      <c r="H1093">
        <v>2290210.59</v>
      </c>
      <c r="I1093">
        <v>718.75</v>
      </c>
    </row>
    <row r="1094" spans="1:9" x14ac:dyDescent="0.2">
      <c r="A1094" s="11">
        <v>46013</v>
      </c>
      <c r="B1094" t="s">
        <v>9</v>
      </c>
      <c r="C1094" t="s">
        <v>1191</v>
      </c>
      <c r="D1094" t="s">
        <v>1505</v>
      </c>
      <c r="E1094" t="s">
        <v>42</v>
      </c>
      <c r="F1094" t="s">
        <v>22</v>
      </c>
      <c r="G1094">
        <v>17</v>
      </c>
      <c r="H1094">
        <v>821981.11</v>
      </c>
      <c r="I1094">
        <v>257.97000000000003</v>
      </c>
    </row>
    <row r="1095" spans="1:9" x14ac:dyDescent="0.2">
      <c r="A1095" s="11">
        <v>46013</v>
      </c>
      <c r="B1095" t="s">
        <v>10</v>
      </c>
      <c r="C1095" t="s">
        <v>1507</v>
      </c>
      <c r="D1095" t="s">
        <v>1508</v>
      </c>
      <c r="E1095" t="s">
        <v>246</v>
      </c>
      <c r="F1095" t="s">
        <v>14</v>
      </c>
      <c r="G1095">
        <v>15</v>
      </c>
      <c r="H1095">
        <v>510785.25</v>
      </c>
      <c r="I1095">
        <v>160.30000000000001</v>
      </c>
    </row>
    <row r="1096" spans="1:9" x14ac:dyDescent="0.2">
      <c r="A1096" s="11">
        <v>46013</v>
      </c>
      <c r="B1096" t="s">
        <v>10</v>
      </c>
      <c r="C1096" t="s">
        <v>1507</v>
      </c>
      <c r="D1096" t="s">
        <v>1508</v>
      </c>
      <c r="E1096" t="s">
        <v>1462</v>
      </c>
      <c r="F1096" t="s">
        <v>20</v>
      </c>
      <c r="G1096">
        <v>16</v>
      </c>
      <c r="H1096">
        <v>3307773.76</v>
      </c>
      <c r="I1096">
        <v>1038.0899999999999</v>
      </c>
    </row>
    <row r="1097" spans="1:9" x14ac:dyDescent="0.2">
      <c r="A1097" s="11">
        <v>46013</v>
      </c>
      <c r="B1097" t="s">
        <v>9</v>
      </c>
      <c r="C1097" t="s">
        <v>124</v>
      </c>
      <c r="D1097" t="s">
        <v>1509</v>
      </c>
      <c r="E1097" t="s">
        <v>560</v>
      </c>
      <c r="F1097" t="s">
        <v>18</v>
      </c>
      <c r="G1097">
        <v>44</v>
      </c>
      <c r="H1097">
        <v>4497174.88</v>
      </c>
      <c r="I1097">
        <v>1411.37</v>
      </c>
    </row>
    <row r="1098" spans="1:9" x14ac:dyDescent="0.2">
      <c r="A1098" s="11">
        <v>46013</v>
      </c>
      <c r="B1098" t="s">
        <v>9</v>
      </c>
      <c r="C1098" t="s">
        <v>124</v>
      </c>
      <c r="D1098" t="s">
        <v>1509</v>
      </c>
      <c r="E1098" t="s">
        <v>1441</v>
      </c>
      <c r="F1098" t="s">
        <v>22</v>
      </c>
      <c r="G1098">
        <v>31</v>
      </c>
      <c r="H1098">
        <v>1861799.24</v>
      </c>
      <c r="I1098">
        <v>584.29999999999995</v>
      </c>
    </row>
    <row r="1099" spans="1:9" x14ac:dyDescent="0.2">
      <c r="A1099" s="11">
        <v>46013</v>
      </c>
      <c r="B1099" t="s">
        <v>9</v>
      </c>
      <c r="C1099" t="s">
        <v>124</v>
      </c>
      <c r="D1099" t="s">
        <v>1509</v>
      </c>
      <c r="E1099" t="s">
        <v>759</v>
      </c>
      <c r="F1099" t="s">
        <v>5</v>
      </c>
      <c r="G1099">
        <v>4</v>
      </c>
      <c r="H1099">
        <v>146292.04</v>
      </c>
      <c r="I1099">
        <v>45.91</v>
      </c>
    </row>
    <row r="1100" spans="1:9" x14ac:dyDescent="0.2">
      <c r="A1100" s="11">
        <v>46013</v>
      </c>
      <c r="B1100" t="s">
        <v>6</v>
      </c>
      <c r="C1100" t="s">
        <v>1510</v>
      </c>
      <c r="D1100" t="s">
        <v>1511</v>
      </c>
      <c r="E1100" t="s">
        <v>209</v>
      </c>
      <c r="F1100" t="s">
        <v>20</v>
      </c>
      <c r="G1100">
        <v>27</v>
      </c>
      <c r="H1100">
        <v>4547270.07</v>
      </c>
      <c r="I1100">
        <v>1427.09</v>
      </c>
    </row>
    <row r="1101" spans="1:9" x14ac:dyDescent="0.2">
      <c r="A1101" s="11">
        <v>46013</v>
      </c>
      <c r="B1101" t="s">
        <v>6</v>
      </c>
      <c r="C1101" t="s">
        <v>1510</v>
      </c>
      <c r="D1101" t="s">
        <v>1511</v>
      </c>
      <c r="E1101" t="s">
        <v>1512</v>
      </c>
      <c r="F1101" t="s">
        <v>22</v>
      </c>
      <c r="G1101">
        <v>15</v>
      </c>
      <c r="H1101">
        <v>786103.5</v>
      </c>
      <c r="I1101">
        <v>246.71</v>
      </c>
    </row>
    <row r="1102" spans="1:9" x14ac:dyDescent="0.2">
      <c r="A1102" s="11">
        <v>46013</v>
      </c>
      <c r="B1102" t="s">
        <v>9</v>
      </c>
      <c r="C1102" t="s">
        <v>1513</v>
      </c>
      <c r="D1102" t="s">
        <v>1514</v>
      </c>
      <c r="E1102" t="s">
        <v>560</v>
      </c>
      <c r="F1102" t="s">
        <v>18</v>
      </c>
      <c r="G1102">
        <v>79</v>
      </c>
      <c r="H1102">
        <v>7957721.3499999996</v>
      </c>
      <c r="I1102">
        <v>2497.41</v>
      </c>
    </row>
    <row r="1103" spans="1:9" x14ac:dyDescent="0.2">
      <c r="A1103" s="11">
        <v>46013</v>
      </c>
      <c r="B1103" t="s">
        <v>9</v>
      </c>
      <c r="C1103" t="s">
        <v>1513</v>
      </c>
      <c r="D1103" t="s">
        <v>1514</v>
      </c>
      <c r="E1103" t="s">
        <v>834</v>
      </c>
      <c r="F1103" t="s">
        <v>18</v>
      </c>
      <c r="G1103">
        <v>33</v>
      </c>
      <c r="H1103">
        <v>2764848.9</v>
      </c>
      <c r="I1103">
        <v>867.71</v>
      </c>
    </row>
    <row r="1104" spans="1:9" x14ac:dyDescent="0.2">
      <c r="A1104" s="11">
        <v>46013</v>
      </c>
      <c r="B1104" t="s">
        <v>9</v>
      </c>
      <c r="C1104" t="s">
        <v>1513</v>
      </c>
      <c r="D1104" t="s">
        <v>1514</v>
      </c>
      <c r="E1104" t="s">
        <v>520</v>
      </c>
      <c r="F1104" t="s">
        <v>14</v>
      </c>
      <c r="G1104">
        <v>42</v>
      </c>
      <c r="H1104">
        <v>1629277.02</v>
      </c>
      <c r="I1104">
        <v>511.32</v>
      </c>
    </row>
    <row r="1105" spans="1:9" x14ac:dyDescent="0.2">
      <c r="A1105" s="11">
        <v>46013</v>
      </c>
      <c r="B1105" t="s">
        <v>12</v>
      </c>
      <c r="C1105" t="s">
        <v>1515</v>
      </c>
      <c r="D1105" t="s">
        <v>1516</v>
      </c>
      <c r="E1105" t="s">
        <v>148</v>
      </c>
      <c r="F1105" t="s">
        <v>20</v>
      </c>
      <c r="G1105">
        <v>9</v>
      </c>
      <c r="H1105">
        <v>1424379.33</v>
      </c>
      <c r="I1105">
        <v>447.02</v>
      </c>
    </row>
    <row r="1106" spans="1:9" x14ac:dyDescent="0.2">
      <c r="A1106" s="11">
        <v>46013</v>
      </c>
      <c r="B1106" t="s">
        <v>12</v>
      </c>
      <c r="C1106" t="s">
        <v>1515</v>
      </c>
      <c r="D1106" t="s">
        <v>1516</v>
      </c>
      <c r="E1106" t="s">
        <v>656</v>
      </c>
      <c r="F1106" t="s">
        <v>5</v>
      </c>
      <c r="G1106">
        <v>3</v>
      </c>
      <c r="H1106">
        <v>78731.88</v>
      </c>
      <c r="I1106">
        <v>24.71</v>
      </c>
    </row>
    <row r="1107" spans="1:9" x14ac:dyDescent="0.2">
      <c r="A1107" s="11">
        <v>46013</v>
      </c>
      <c r="B1107" t="s">
        <v>9</v>
      </c>
      <c r="C1107" t="s">
        <v>1517</v>
      </c>
      <c r="D1107" t="s">
        <v>1518</v>
      </c>
      <c r="E1107" t="s">
        <v>656</v>
      </c>
      <c r="F1107" t="s">
        <v>5</v>
      </c>
      <c r="G1107">
        <v>16</v>
      </c>
      <c r="H1107">
        <v>427435.52000000002</v>
      </c>
      <c r="I1107">
        <v>134.13999999999999</v>
      </c>
    </row>
    <row r="1108" spans="1:9" x14ac:dyDescent="0.2">
      <c r="A1108" s="11">
        <v>46013</v>
      </c>
      <c r="B1108" t="s">
        <v>9</v>
      </c>
      <c r="C1108" t="s">
        <v>1517</v>
      </c>
      <c r="D1108" t="s">
        <v>1518</v>
      </c>
      <c r="E1108" t="s">
        <v>1519</v>
      </c>
      <c r="F1108" t="s">
        <v>20</v>
      </c>
      <c r="G1108">
        <v>21</v>
      </c>
      <c r="H1108">
        <v>5141027.6399999997</v>
      </c>
      <c r="I1108">
        <v>1613.43</v>
      </c>
    </row>
    <row r="1109" spans="1:9" x14ac:dyDescent="0.2">
      <c r="A1109" s="11">
        <v>46013</v>
      </c>
      <c r="B1109" t="s">
        <v>7</v>
      </c>
      <c r="C1109" t="s">
        <v>1520</v>
      </c>
      <c r="D1109" t="s">
        <v>1521</v>
      </c>
      <c r="E1109" t="s">
        <v>1522</v>
      </c>
      <c r="F1109" t="s">
        <v>5</v>
      </c>
      <c r="G1109">
        <v>26</v>
      </c>
      <c r="H1109">
        <v>1362516.22</v>
      </c>
      <c r="I1109">
        <v>427.6</v>
      </c>
    </row>
    <row r="1110" spans="1:9" x14ac:dyDescent="0.2">
      <c r="A1110" s="11">
        <v>46013</v>
      </c>
      <c r="B1110" t="s">
        <v>10</v>
      </c>
      <c r="C1110" t="s">
        <v>1523</v>
      </c>
      <c r="D1110" t="s">
        <v>1524</v>
      </c>
      <c r="E1110" t="s">
        <v>1374</v>
      </c>
      <c r="F1110" t="s">
        <v>18</v>
      </c>
      <c r="G1110">
        <v>28</v>
      </c>
      <c r="H1110">
        <v>3267861.8</v>
      </c>
      <c r="I1110">
        <v>1025.57</v>
      </c>
    </row>
    <row r="1111" spans="1:9" x14ac:dyDescent="0.2">
      <c r="A1111" s="11">
        <v>46013</v>
      </c>
      <c r="B1111" t="s">
        <v>10</v>
      </c>
      <c r="C1111" t="s">
        <v>1523</v>
      </c>
      <c r="D1111" t="s">
        <v>1524</v>
      </c>
      <c r="E1111" t="s">
        <v>1406</v>
      </c>
      <c r="F1111" t="s">
        <v>20</v>
      </c>
      <c r="G1111">
        <v>10</v>
      </c>
      <c r="H1111">
        <v>1842590.9</v>
      </c>
      <c r="I1111">
        <v>578.27</v>
      </c>
    </row>
    <row r="1112" spans="1:9" x14ac:dyDescent="0.2">
      <c r="A1112" s="11">
        <v>46013</v>
      </c>
      <c r="B1112" t="s">
        <v>10</v>
      </c>
      <c r="C1112" t="s">
        <v>1523</v>
      </c>
      <c r="D1112" t="s">
        <v>1524</v>
      </c>
      <c r="E1112" t="s">
        <v>170</v>
      </c>
      <c r="F1112" t="s">
        <v>22</v>
      </c>
      <c r="G1112">
        <v>9</v>
      </c>
      <c r="H1112">
        <v>473436.27</v>
      </c>
      <c r="I1112">
        <v>148.58000000000001</v>
      </c>
    </row>
    <row r="1113" spans="1:9" x14ac:dyDescent="0.2">
      <c r="A1113" s="11">
        <v>46013</v>
      </c>
      <c r="B1113" t="s">
        <v>11</v>
      </c>
      <c r="C1113" t="s">
        <v>1525</v>
      </c>
      <c r="D1113" t="s">
        <v>1526</v>
      </c>
      <c r="E1113" t="s">
        <v>660</v>
      </c>
      <c r="F1113" t="s">
        <v>18</v>
      </c>
      <c r="G1113">
        <v>18</v>
      </c>
      <c r="H1113">
        <v>2030644.08</v>
      </c>
      <c r="I1113">
        <v>637.29</v>
      </c>
    </row>
    <row r="1114" spans="1:9" x14ac:dyDescent="0.2">
      <c r="A1114" s="11">
        <v>46013</v>
      </c>
      <c r="B1114" t="s">
        <v>11</v>
      </c>
      <c r="C1114" t="s">
        <v>1525</v>
      </c>
      <c r="D1114" t="s">
        <v>1526</v>
      </c>
      <c r="E1114" t="s">
        <v>902</v>
      </c>
      <c r="F1114" t="s">
        <v>5</v>
      </c>
      <c r="G1114">
        <v>16</v>
      </c>
      <c r="H1114">
        <v>625225.43999999994</v>
      </c>
      <c r="I1114">
        <v>196.22</v>
      </c>
    </row>
    <row r="1115" spans="1:9" x14ac:dyDescent="0.2">
      <c r="A1115" s="11">
        <v>46013</v>
      </c>
      <c r="B1115" t="s">
        <v>10</v>
      </c>
      <c r="C1115" t="s">
        <v>1527</v>
      </c>
      <c r="D1115" t="s">
        <v>1528</v>
      </c>
      <c r="E1115" t="s">
        <v>1263</v>
      </c>
      <c r="F1115" t="s">
        <v>5</v>
      </c>
      <c r="G1115">
        <v>20</v>
      </c>
      <c r="H1115">
        <v>780813.6</v>
      </c>
      <c r="I1115">
        <v>245.05</v>
      </c>
    </row>
    <row r="1116" spans="1:9" x14ac:dyDescent="0.2">
      <c r="A1116" s="11">
        <v>46013</v>
      </c>
      <c r="B1116" t="s">
        <v>10</v>
      </c>
      <c r="C1116" t="s">
        <v>1527</v>
      </c>
      <c r="D1116" t="s">
        <v>1528</v>
      </c>
      <c r="E1116" t="s">
        <v>460</v>
      </c>
      <c r="F1116" t="s">
        <v>14</v>
      </c>
      <c r="G1116">
        <v>13</v>
      </c>
      <c r="H1116">
        <v>803416.25</v>
      </c>
      <c r="I1116">
        <v>252.14</v>
      </c>
    </row>
    <row r="1117" spans="1:9" x14ac:dyDescent="0.2">
      <c r="A1117" s="11">
        <v>46013</v>
      </c>
      <c r="B1117" t="s">
        <v>6</v>
      </c>
      <c r="C1117" t="s">
        <v>1529</v>
      </c>
      <c r="D1117" t="s">
        <v>1530</v>
      </c>
      <c r="E1117" t="s">
        <v>1531</v>
      </c>
      <c r="F1117" t="s">
        <v>14</v>
      </c>
      <c r="G1117">
        <v>23</v>
      </c>
      <c r="H1117">
        <v>1287434.8899999999</v>
      </c>
      <c r="I1117">
        <v>404.04</v>
      </c>
    </row>
    <row r="1118" spans="1:9" x14ac:dyDescent="0.2">
      <c r="A1118" s="11">
        <v>46013</v>
      </c>
      <c r="B1118" t="s">
        <v>7</v>
      </c>
      <c r="C1118" t="s">
        <v>848</v>
      </c>
      <c r="D1118" t="s">
        <v>1532</v>
      </c>
      <c r="E1118" t="s">
        <v>1533</v>
      </c>
      <c r="F1118" t="s">
        <v>14</v>
      </c>
      <c r="G1118">
        <v>29</v>
      </c>
      <c r="H1118">
        <v>2175069.02</v>
      </c>
      <c r="I1118">
        <v>682.61</v>
      </c>
    </row>
    <row r="1119" spans="1:9" x14ac:dyDescent="0.2">
      <c r="A1119" s="11">
        <v>46013</v>
      </c>
      <c r="B1119" t="s">
        <v>12</v>
      </c>
      <c r="C1119" t="s">
        <v>808</v>
      </c>
      <c r="D1119" t="s">
        <v>1534</v>
      </c>
      <c r="E1119" t="s">
        <v>636</v>
      </c>
      <c r="F1119" t="s">
        <v>22</v>
      </c>
      <c r="G1119">
        <v>13</v>
      </c>
      <c r="H1119">
        <v>506934.61</v>
      </c>
      <c r="I1119">
        <v>159.09</v>
      </c>
    </row>
    <row r="1120" spans="1:9" x14ac:dyDescent="0.2">
      <c r="A1120" s="11">
        <v>46013</v>
      </c>
      <c r="B1120" t="s">
        <v>12</v>
      </c>
      <c r="C1120" t="s">
        <v>808</v>
      </c>
      <c r="D1120" t="s">
        <v>1534</v>
      </c>
      <c r="E1120" t="s">
        <v>337</v>
      </c>
      <c r="F1120" t="s">
        <v>20</v>
      </c>
      <c r="G1120">
        <v>9</v>
      </c>
      <c r="H1120">
        <v>867968.73</v>
      </c>
      <c r="I1120">
        <v>272.39999999999998</v>
      </c>
    </row>
    <row r="1121" spans="1:9" x14ac:dyDescent="0.2">
      <c r="A1121" s="11">
        <v>46013</v>
      </c>
      <c r="B1121" t="s">
        <v>12</v>
      </c>
      <c r="C1121" t="s">
        <v>808</v>
      </c>
      <c r="D1121" t="s">
        <v>1534</v>
      </c>
      <c r="E1121" t="s">
        <v>1535</v>
      </c>
      <c r="F1121" t="s">
        <v>20</v>
      </c>
      <c r="G1121">
        <v>11</v>
      </c>
      <c r="H1121">
        <v>1036088.57</v>
      </c>
      <c r="I1121">
        <v>325.16000000000003</v>
      </c>
    </row>
    <row r="1122" spans="1:9" x14ac:dyDescent="0.2">
      <c r="A1122" s="11">
        <v>46013</v>
      </c>
      <c r="B1122" t="s">
        <v>10</v>
      </c>
      <c r="C1122" t="s">
        <v>1303</v>
      </c>
      <c r="D1122" t="s">
        <v>1536</v>
      </c>
      <c r="E1122" t="s">
        <v>111</v>
      </c>
      <c r="F1122" t="s">
        <v>18</v>
      </c>
      <c r="G1122">
        <v>9</v>
      </c>
      <c r="H1122">
        <v>886721.76</v>
      </c>
      <c r="I1122">
        <v>278.27999999999997</v>
      </c>
    </row>
    <row r="1123" spans="1:9" x14ac:dyDescent="0.2">
      <c r="A1123" s="11">
        <v>46014</v>
      </c>
      <c r="B1123" t="s">
        <v>12</v>
      </c>
      <c r="C1123" t="s">
        <v>1384</v>
      </c>
      <c r="D1123" t="s">
        <v>1537</v>
      </c>
      <c r="E1123" t="s">
        <v>1316</v>
      </c>
      <c r="F1123" t="s">
        <v>5</v>
      </c>
      <c r="G1123">
        <v>14</v>
      </c>
      <c r="H1123">
        <v>478245.18</v>
      </c>
      <c r="I1123">
        <v>150.09</v>
      </c>
    </row>
    <row r="1124" spans="1:9" x14ac:dyDescent="0.2">
      <c r="A1124" s="11">
        <v>46014</v>
      </c>
      <c r="B1124" t="s">
        <v>12</v>
      </c>
      <c r="C1124" t="s">
        <v>1384</v>
      </c>
      <c r="D1124" t="s">
        <v>1537</v>
      </c>
      <c r="E1124" t="s">
        <v>401</v>
      </c>
      <c r="F1124" t="s">
        <v>22</v>
      </c>
      <c r="G1124">
        <v>29</v>
      </c>
      <c r="H1124">
        <v>1576455.66</v>
      </c>
      <c r="I1124">
        <v>494.75</v>
      </c>
    </row>
    <row r="1125" spans="1:9" x14ac:dyDescent="0.2">
      <c r="A1125" s="11">
        <v>46014</v>
      </c>
      <c r="B1125" t="s">
        <v>12</v>
      </c>
      <c r="C1125" t="s">
        <v>1384</v>
      </c>
      <c r="D1125" t="s">
        <v>1537</v>
      </c>
      <c r="E1125" t="s">
        <v>222</v>
      </c>
      <c r="F1125" t="s">
        <v>18</v>
      </c>
      <c r="G1125">
        <v>10</v>
      </c>
      <c r="H1125">
        <v>1233897.7</v>
      </c>
      <c r="I1125">
        <v>387.24</v>
      </c>
    </row>
    <row r="1126" spans="1:9" x14ac:dyDescent="0.2">
      <c r="A1126" s="11">
        <v>46014</v>
      </c>
      <c r="B1126" t="s">
        <v>12</v>
      </c>
      <c r="C1126" t="s">
        <v>1538</v>
      </c>
      <c r="D1126" t="s">
        <v>1539</v>
      </c>
      <c r="E1126" t="s">
        <v>621</v>
      </c>
      <c r="F1126" t="s">
        <v>14</v>
      </c>
      <c r="G1126">
        <v>8</v>
      </c>
      <c r="H1126">
        <v>527900</v>
      </c>
      <c r="I1126">
        <v>165.67</v>
      </c>
    </row>
    <row r="1127" spans="1:9" x14ac:dyDescent="0.2">
      <c r="A1127" s="11">
        <v>46014</v>
      </c>
      <c r="B1127" t="s">
        <v>12</v>
      </c>
      <c r="C1127" t="s">
        <v>1538</v>
      </c>
      <c r="D1127" t="s">
        <v>1539</v>
      </c>
      <c r="E1127" t="s">
        <v>640</v>
      </c>
      <c r="F1127" t="s">
        <v>5</v>
      </c>
      <c r="G1127">
        <v>18</v>
      </c>
      <c r="H1127">
        <v>1198839.6000000001</v>
      </c>
      <c r="I1127">
        <v>376.24</v>
      </c>
    </row>
    <row r="1128" spans="1:9" x14ac:dyDescent="0.2">
      <c r="A1128" s="11">
        <v>46014</v>
      </c>
      <c r="B1128" t="s">
        <v>6</v>
      </c>
      <c r="C1128" t="s">
        <v>1495</v>
      </c>
      <c r="D1128" t="s">
        <v>1540</v>
      </c>
      <c r="E1128" t="s">
        <v>1541</v>
      </c>
      <c r="F1128" t="s">
        <v>20</v>
      </c>
      <c r="G1128">
        <v>6</v>
      </c>
      <c r="H1128">
        <v>850209.6</v>
      </c>
      <c r="I1128">
        <v>266.83</v>
      </c>
    </row>
    <row r="1129" spans="1:9" x14ac:dyDescent="0.2">
      <c r="A1129" s="11">
        <v>46014</v>
      </c>
      <c r="B1129" t="s">
        <v>6</v>
      </c>
      <c r="C1129" t="s">
        <v>1495</v>
      </c>
      <c r="D1129" t="s">
        <v>1540</v>
      </c>
      <c r="E1129" t="s">
        <v>1179</v>
      </c>
      <c r="F1129" t="s">
        <v>14</v>
      </c>
      <c r="G1129">
        <v>16</v>
      </c>
      <c r="H1129">
        <v>1094157.92</v>
      </c>
      <c r="I1129">
        <v>343.38</v>
      </c>
    </row>
    <row r="1130" spans="1:9" x14ac:dyDescent="0.2">
      <c r="A1130" s="11">
        <v>46014</v>
      </c>
      <c r="B1130" t="s">
        <v>6</v>
      </c>
      <c r="C1130" t="s">
        <v>1542</v>
      </c>
      <c r="D1130" t="s">
        <v>1543</v>
      </c>
      <c r="E1130" t="s">
        <v>199</v>
      </c>
      <c r="F1130" t="s">
        <v>22</v>
      </c>
      <c r="G1130">
        <v>15</v>
      </c>
      <c r="H1130">
        <v>899610.75</v>
      </c>
      <c r="I1130">
        <v>282.33</v>
      </c>
    </row>
    <row r="1131" spans="1:9" x14ac:dyDescent="0.2">
      <c r="A1131" s="11">
        <v>46014</v>
      </c>
      <c r="B1131" t="s">
        <v>6</v>
      </c>
      <c r="C1131" t="s">
        <v>1542</v>
      </c>
      <c r="D1131" t="s">
        <v>1543</v>
      </c>
      <c r="E1131" t="s">
        <v>966</v>
      </c>
      <c r="F1131" t="s">
        <v>16</v>
      </c>
      <c r="G1131">
        <v>41</v>
      </c>
      <c r="H1131">
        <v>2137221.35</v>
      </c>
      <c r="I1131">
        <v>670.73</v>
      </c>
    </row>
    <row r="1132" spans="1:9" x14ac:dyDescent="0.2">
      <c r="A1132" s="11">
        <v>46014</v>
      </c>
      <c r="B1132" t="s">
        <v>6</v>
      </c>
      <c r="C1132" t="s">
        <v>1542</v>
      </c>
      <c r="D1132" t="s">
        <v>1543</v>
      </c>
      <c r="E1132" t="s">
        <v>1544</v>
      </c>
      <c r="F1132" t="s">
        <v>20</v>
      </c>
      <c r="G1132">
        <v>17</v>
      </c>
      <c r="H1132">
        <v>2477113.1800000002</v>
      </c>
      <c r="I1132">
        <v>777.4</v>
      </c>
    </row>
    <row r="1133" spans="1:9" x14ac:dyDescent="0.2">
      <c r="A1133" s="11">
        <v>46014</v>
      </c>
      <c r="B1133" t="s">
        <v>6</v>
      </c>
      <c r="C1133" t="s">
        <v>1542</v>
      </c>
      <c r="D1133" t="s">
        <v>1543</v>
      </c>
      <c r="E1133" t="s">
        <v>1545</v>
      </c>
      <c r="F1133" t="s">
        <v>16</v>
      </c>
      <c r="G1133">
        <v>11</v>
      </c>
      <c r="H1133">
        <v>1295552.28</v>
      </c>
      <c r="I1133">
        <v>406.59</v>
      </c>
    </row>
    <row r="1134" spans="1:9" x14ac:dyDescent="0.2">
      <c r="A1134" s="11">
        <v>46014</v>
      </c>
      <c r="B1134" t="s">
        <v>6</v>
      </c>
      <c r="C1134" t="s">
        <v>1542</v>
      </c>
      <c r="D1134" t="s">
        <v>1543</v>
      </c>
      <c r="E1134" t="s">
        <v>1546</v>
      </c>
      <c r="F1134" t="s">
        <v>5</v>
      </c>
      <c r="G1134">
        <v>21</v>
      </c>
      <c r="H1134">
        <v>1426055.61</v>
      </c>
      <c r="I1134">
        <v>447.55</v>
      </c>
    </row>
    <row r="1135" spans="1:9" x14ac:dyDescent="0.2">
      <c r="A1135" s="11">
        <v>46014</v>
      </c>
      <c r="B1135" t="s">
        <v>10</v>
      </c>
      <c r="C1135" t="s">
        <v>195</v>
      </c>
      <c r="D1135" t="s">
        <v>1547</v>
      </c>
      <c r="E1135" t="s">
        <v>1548</v>
      </c>
      <c r="F1135" t="s">
        <v>22</v>
      </c>
      <c r="G1135">
        <v>19</v>
      </c>
      <c r="H1135">
        <v>489816.96</v>
      </c>
      <c r="I1135">
        <v>153.72</v>
      </c>
    </row>
    <row r="1136" spans="1:9" x14ac:dyDescent="0.2">
      <c r="A1136" s="11">
        <v>46014</v>
      </c>
      <c r="B1136" t="s">
        <v>10</v>
      </c>
      <c r="C1136" t="s">
        <v>195</v>
      </c>
      <c r="D1136" t="s">
        <v>1547</v>
      </c>
      <c r="E1136" t="s">
        <v>712</v>
      </c>
      <c r="F1136" t="s">
        <v>5</v>
      </c>
      <c r="G1136">
        <v>6</v>
      </c>
      <c r="H1136">
        <v>187359.9</v>
      </c>
      <c r="I1136">
        <v>58.8</v>
      </c>
    </row>
    <row r="1137" spans="1:9" x14ac:dyDescent="0.2">
      <c r="A1137" s="11">
        <v>46014</v>
      </c>
      <c r="B1137" t="s">
        <v>10</v>
      </c>
      <c r="C1137" t="s">
        <v>195</v>
      </c>
      <c r="D1137" t="s">
        <v>1547</v>
      </c>
      <c r="E1137" t="s">
        <v>1549</v>
      </c>
      <c r="F1137" t="s">
        <v>16</v>
      </c>
      <c r="G1137">
        <v>14</v>
      </c>
      <c r="H1137">
        <v>1802472.28</v>
      </c>
      <c r="I1137">
        <v>565.67999999999995</v>
      </c>
    </row>
    <row r="1138" spans="1:9" x14ac:dyDescent="0.2">
      <c r="A1138" s="11">
        <v>46014</v>
      </c>
      <c r="B1138" t="s">
        <v>7</v>
      </c>
      <c r="C1138" t="s">
        <v>295</v>
      </c>
      <c r="D1138" t="s">
        <v>1550</v>
      </c>
      <c r="E1138" t="s">
        <v>312</v>
      </c>
      <c r="F1138" t="s">
        <v>22</v>
      </c>
      <c r="G1138">
        <v>8</v>
      </c>
      <c r="H1138">
        <v>232435.44</v>
      </c>
      <c r="I1138">
        <v>72.95</v>
      </c>
    </row>
    <row r="1139" spans="1:9" x14ac:dyDescent="0.2">
      <c r="A1139" s="11">
        <v>46014</v>
      </c>
      <c r="B1139" t="s">
        <v>11</v>
      </c>
      <c r="C1139" t="s">
        <v>1551</v>
      </c>
      <c r="D1139" t="s">
        <v>1552</v>
      </c>
      <c r="E1139" t="s">
        <v>1553</v>
      </c>
      <c r="F1139" t="s">
        <v>5</v>
      </c>
      <c r="G1139">
        <v>12</v>
      </c>
      <c r="H1139">
        <v>471739.44</v>
      </c>
      <c r="I1139">
        <v>148.05000000000001</v>
      </c>
    </row>
    <row r="1140" spans="1:9" x14ac:dyDescent="0.2">
      <c r="A1140" s="11">
        <v>46014</v>
      </c>
      <c r="B1140" t="s">
        <v>11</v>
      </c>
      <c r="C1140" t="s">
        <v>1554</v>
      </c>
      <c r="D1140" t="s">
        <v>1555</v>
      </c>
      <c r="E1140" t="s">
        <v>1556</v>
      </c>
      <c r="F1140" t="s">
        <v>14</v>
      </c>
      <c r="G1140">
        <v>6</v>
      </c>
      <c r="H1140">
        <v>234262.32</v>
      </c>
      <c r="I1140">
        <v>73.52</v>
      </c>
    </row>
    <row r="1141" spans="1:9" x14ac:dyDescent="0.2">
      <c r="A1141" s="11">
        <v>46014</v>
      </c>
      <c r="B1141" t="s">
        <v>11</v>
      </c>
      <c r="C1141" t="s">
        <v>1554</v>
      </c>
      <c r="D1141" t="s">
        <v>1555</v>
      </c>
      <c r="E1141" t="s">
        <v>1285</v>
      </c>
      <c r="F1141" t="s">
        <v>22</v>
      </c>
      <c r="G1141">
        <v>7</v>
      </c>
      <c r="H1141">
        <v>150419.43</v>
      </c>
      <c r="I1141">
        <v>47.21</v>
      </c>
    </row>
    <row r="1142" spans="1:9" x14ac:dyDescent="0.2">
      <c r="A1142" s="11">
        <v>46014</v>
      </c>
      <c r="B1142" t="s">
        <v>11</v>
      </c>
      <c r="C1142" t="s">
        <v>1554</v>
      </c>
      <c r="D1142" t="s">
        <v>1555</v>
      </c>
      <c r="E1142" t="s">
        <v>622</v>
      </c>
      <c r="F1142" t="s">
        <v>16</v>
      </c>
      <c r="G1142">
        <v>11</v>
      </c>
      <c r="H1142">
        <v>1744010.62</v>
      </c>
      <c r="I1142">
        <v>547.33000000000004</v>
      </c>
    </row>
    <row r="1143" spans="1:9" x14ac:dyDescent="0.2">
      <c r="A1143" s="11">
        <v>46014</v>
      </c>
      <c r="B1143" t="s">
        <v>9</v>
      </c>
      <c r="C1143" t="s">
        <v>1557</v>
      </c>
      <c r="D1143" t="s">
        <v>1558</v>
      </c>
      <c r="E1143" t="s">
        <v>1559</v>
      </c>
      <c r="F1143" t="s">
        <v>22</v>
      </c>
      <c r="G1143">
        <v>42</v>
      </c>
      <c r="H1143">
        <v>1771473.48</v>
      </c>
      <c r="I1143">
        <v>555.95000000000005</v>
      </c>
    </row>
    <row r="1144" spans="1:9" x14ac:dyDescent="0.2">
      <c r="A1144" s="11">
        <v>46014</v>
      </c>
      <c r="B1144" t="s">
        <v>9</v>
      </c>
      <c r="C1144" t="s">
        <v>1557</v>
      </c>
      <c r="D1144" t="s">
        <v>1558</v>
      </c>
      <c r="E1144" t="s">
        <v>86</v>
      </c>
      <c r="F1144" t="s">
        <v>18</v>
      </c>
      <c r="G1144">
        <v>32</v>
      </c>
      <c r="H1144">
        <v>2015800.64</v>
      </c>
      <c r="I1144">
        <v>632.63</v>
      </c>
    </row>
    <row r="1145" spans="1:9" x14ac:dyDescent="0.2">
      <c r="A1145" s="11">
        <v>46014</v>
      </c>
      <c r="B1145" t="s">
        <v>10</v>
      </c>
      <c r="C1145" t="s">
        <v>1560</v>
      </c>
      <c r="D1145" t="s">
        <v>1561</v>
      </c>
      <c r="E1145" t="s">
        <v>997</v>
      </c>
      <c r="F1145" t="s">
        <v>22</v>
      </c>
      <c r="G1145">
        <v>7</v>
      </c>
      <c r="H1145">
        <v>389950.96</v>
      </c>
      <c r="I1145">
        <v>122.38</v>
      </c>
    </row>
    <row r="1146" spans="1:9" x14ac:dyDescent="0.2">
      <c r="A1146" s="11">
        <v>46014</v>
      </c>
      <c r="B1146" t="s">
        <v>10</v>
      </c>
      <c r="C1146" t="s">
        <v>1562</v>
      </c>
      <c r="D1146" t="s">
        <v>1563</v>
      </c>
      <c r="E1146" t="s">
        <v>353</v>
      </c>
      <c r="F1146" t="s">
        <v>22</v>
      </c>
      <c r="G1146">
        <v>10</v>
      </c>
      <c r="H1146">
        <v>474037.3</v>
      </c>
      <c r="I1146">
        <v>148.77000000000001</v>
      </c>
    </row>
    <row r="1147" spans="1:9" x14ac:dyDescent="0.2">
      <c r="A1147" s="11">
        <v>46014</v>
      </c>
      <c r="B1147" t="s">
        <v>10</v>
      </c>
      <c r="C1147" t="s">
        <v>1562</v>
      </c>
      <c r="D1147" t="s">
        <v>1563</v>
      </c>
      <c r="E1147" t="s">
        <v>1564</v>
      </c>
      <c r="F1147" t="s">
        <v>5</v>
      </c>
      <c r="G1147">
        <v>5</v>
      </c>
      <c r="H1147">
        <v>225572.45</v>
      </c>
      <c r="I1147">
        <v>70.790000000000006</v>
      </c>
    </row>
    <row r="1148" spans="1:9" x14ac:dyDescent="0.2">
      <c r="A1148" s="11">
        <v>46014</v>
      </c>
      <c r="B1148" t="s">
        <v>10</v>
      </c>
      <c r="C1148" t="s">
        <v>1562</v>
      </c>
      <c r="D1148" t="s">
        <v>1563</v>
      </c>
      <c r="E1148" t="s">
        <v>1565</v>
      </c>
      <c r="F1148" t="s">
        <v>20</v>
      </c>
      <c r="G1148">
        <v>52</v>
      </c>
      <c r="H1148">
        <v>6297691.4000000004</v>
      </c>
      <c r="I1148">
        <v>1976.43</v>
      </c>
    </row>
    <row r="1149" spans="1:9" x14ac:dyDescent="0.2">
      <c r="A1149" s="11">
        <v>46014</v>
      </c>
      <c r="B1149" t="s">
        <v>10</v>
      </c>
      <c r="C1149" t="s">
        <v>1562</v>
      </c>
      <c r="D1149" t="s">
        <v>1563</v>
      </c>
      <c r="E1149" t="s">
        <v>684</v>
      </c>
      <c r="F1149" t="s">
        <v>5</v>
      </c>
      <c r="G1149">
        <v>53</v>
      </c>
      <c r="H1149">
        <v>2994524.91</v>
      </c>
      <c r="I1149">
        <v>939.79</v>
      </c>
    </row>
    <row r="1150" spans="1:9" x14ac:dyDescent="0.2">
      <c r="A1150" s="11">
        <v>46014</v>
      </c>
      <c r="B1150" t="s">
        <v>10</v>
      </c>
      <c r="C1150" t="s">
        <v>1402</v>
      </c>
      <c r="D1150" t="s">
        <v>1566</v>
      </c>
      <c r="E1150" t="s">
        <v>203</v>
      </c>
      <c r="F1150" t="s">
        <v>18</v>
      </c>
      <c r="G1150">
        <v>2</v>
      </c>
      <c r="H1150">
        <v>103655.88</v>
      </c>
      <c r="I1150">
        <v>32.53</v>
      </c>
    </row>
    <row r="1151" spans="1:9" x14ac:dyDescent="0.2">
      <c r="A1151" s="11">
        <v>46014</v>
      </c>
      <c r="B1151" t="s">
        <v>10</v>
      </c>
      <c r="C1151" t="s">
        <v>1402</v>
      </c>
      <c r="D1151" t="s">
        <v>1566</v>
      </c>
      <c r="E1151" t="s">
        <v>371</v>
      </c>
      <c r="F1151" t="s">
        <v>5</v>
      </c>
      <c r="G1151">
        <v>42</v>
      </c>
      <c r="H1151">
        <v>3041535.42</v>
      </c>
      <c r="I1151">
        <v>954.54</v>
      </c>
    </row>
    <row r="1152" spans="1:9" x14ac:dyDescent="0.2">
      <c r="A1152" s="11">
        <v>46014</v>
      </c>
      <c r="B1152" t="s">
        <v>12</v>
      </c>
      <c r="C1152" t="s">
        <v>840</v>
      </c>
      <c r="D1152" t="s">
        <v>1567</v>
      </c>
      <c r="E1152" t="s">
        <v>1568</v>
      </c>
      <c r="F1152" t="s">
        <v>18</v>
      </c>
      <c r="G1152">
        <v>21</v>
      </c>
      <c r="H1152">
        <v>1280278.02</v>
      </c>
      <c r="I1152">
        <v>401.8</v>
      </c>
    </row>
    <row r="1153" spans="1:9" x14ac:dyDescent="0.2">
      <c r="A1153" s="11">
        <v>46014</v>
      </c>
      <c r="B1153" t="s">
        <v>12</v>
      </c>
      <c r="C1153" t="s">
        <v>840</v>
      </c>
      <c r="D1153" t="s">
        <v>1567</v>
      </c>
      <c r="E1153" t="s">
        <v>505</v>
      </c>
      <c r="F1153" t="s">
        <v>20</v>
      </c>
      <c r="G1153">
        <v>8</v>
      </c>
      <c r="H1153">
        <v>1073373.28</v>
      </c>
      <c r="I1153">
        <v>336.86</v>
      </c>
    </row>
    <row r="1154" spans="1:9" x14ac:dyDescent="0.2">
      <c r="A1154" s="11">
        <v>46014</v>
      </c>
      <c r="B1154" t="s">
        <v>9</v>
      </c>
      <c r="C1154" t="s">
        <v>1569</v>
      </c>
      <c r="D1154" t="s">
        <v>1570</v>
      </c>
      <c r="E1154" t="s">
        <v>1060</v>
      </c>
      <c r="F1154" t="s">
        <v>5</v>
      </c>
      <c r="G1154">
        <v>8</v>
      </c>
      <c r="H1154">
        <v>346817.28000000003</v>
      </c>
      <c r="I1154">
        <v>108.84</v>
      </c>
    </row>
    <row r="1155" spans="1:9" x14ac:dyDescent="0.2">
      <c r="A1155" s="11">
        <v>46014</v>
      </c>
      <c r="B1155" t="s">
        <v>9</v>
      </c>
      <c r="C1155" t="s">
        <v>1569</v>
      </c>
      <c r="D1155" t="s">
        <v>1570</v>
      </c>
      <c r="E1155" t="s">
        <v>419</v>
      </c>
      <c r="F1155" t="s">
        <v>18</v>
      </c>
      <c r="G1155">
        <v>12</v>
      </c>
      <c r="H1155">
        <v>1435423.32</v>
      </c>
      <c r="I1155">
        <v>450.49</v>
      </c>
    </row>
    <row r="1156" spans="1:9" x14ac:dyDescent="0.2">
      <c r="A1156" s="11">
        <v>46014</v>
      </c>
      <c r="B1156" t="s">
        <v>8</v>
      </c>
      <c r="C1156" t="s">
        <v>1283</v>
      </c>
      <c r="D1156" t="s">
        <v>1571</v>
      </c>
      <c r="E1156" t="s">
        <v>975</v>
      </c>
      <c r="F1156" t="s">
        <v>22</v>
      </c>
      <c r="G1156">
        <v>20</v>
      </c>
      <c r="H1156">
        <v>654559.19999999995</v>
      </c>
      <c r="I1156">
        <v>205.42</v>
      </c>
    </row>
    <row r="1157" spans="1:9" x14ac:dyDescent="0.2">
      <c r="A1157" s="11">
        <v>46014</v>
      </c>
      <c r="B1157" t="s">
        <v>8</v>
      </c>
      <c r="C1157" t="s">
        <v>1283</v>
      </c>
      <c r="D1157" t="s">
        <v>1571</v>
      </c>
      <c r="E1157" t="s">
        <v>669</v>
      </c>
      <c r="F1157" t="s">
        <v>16</v>
      </c>
      <c r="G1157">
        <v>5</v>
      </c>
      <c r="H1157">
        <v>529022.30000000005</v>
      </c>
      <c r="I1157">
        <v>166.03</v>
      </c>
    </row>
    <row r="1158" spans="1:9" x14ac:dyDescent="0.2">
      <c r="A1158" s="11">
        <v>46014</v>
      </c>
      <c r="B1158" t="s">
        <v>8</v>
      </c>
      <c r="C1158" t="s">
        <v>1283</v>
      </c>
      <c r="D1158" t="s">
        <v>1571</v>
      </c>
      <c r="E1158" t="s">
        <v>1572</v>
      </c>
      <c r="F1158" t="s">
        <v>16</v>
      </c>
      <c r="G1158">
        <v>32</v>
      </c>
      <c r="H1158">
        <v>2461944.96</v>
      </c>
      <c r="I1158">
        <v>772.64</v>
      </c>
    </row>
    <row r="1159" spans="1:9" x14ac:dyDescent="0.2">
      <c r="A1159" s="11">
        <v>46014</v>
      </c>
      <c r="B1159" t="s">
        <v>8</v>
      </c>
      <c r="C1159" t="s">
        <v>1283</v>
      </c>
      <c r="D1159" t="s">
        <v>1571</v>
      </c>
      <c r="E1159" t="s">
        <v>1573</v>
      </c>
      <c r="F1159" t="s">
        <v>18</v>
      </c>
      <c r="G1159">
        <v>10</v>
      </c>
      <c r="H1159">
        <v>1082578.1000000001</v>
      </c>
      <c r="I1159">
        <v>339.75</v>
      </c>
    </row>
    <row r="1160" spans="1:9" x14ac:dyDescent="0.2">
      <c r="A1160" s="11">
        <v>46014</v>
      </c>
      <c r="B1160" t="s">
        <v>7</v>
      </c>
      <c r="C1160" t="s">
        <v>1574</v>
      </c>
      <c r="D1160" t="s">
        <v>1575</v>
      </c>
      <c r="E1160" t="s">
        <v>489</v>
      </c>
      <c r="F1160" t="s">
        <v>5</v>
      </c>
      <c r="G1160">
        <v>12</v>
      </c>
      <c r="H1160">
        <v>529299.84</v>
      </c>
      <c r="I1160">
        <v>166.11</v>
      </c>
    </row>
    <row r="1161" spans="1:9" x14ac:dyDescent="0.2">
      <c r="A1161" s="11">
        <v>46014</v>
      </c>
      <c r="B1161" t="s">
        <v>9</v>
      </c>
      <c r="C1161" t="s">
        <v>1576</v>
      </c>
      <c r="D1161" t="s">
        <v>1577</v>
      </c>
      <c r="E1161" t="s">
        <v>1578</v>
      </c>
      <c r="F1161" t="s">
        <v>22</v>
      </c>
      <c r="G1161">
        <v>30</v>
      </c>
      <c r="H1161">
        <v>1205409.8999999999</v>
      </c>
      <c r="I1161">
        <v>378.3</v>
      </c>
    </row>
    <row r="1162" spans="1:9" x14ac:dyDescent="0.2">
      <c r="A1162" s="11">
        <v>46014</v>
      </c>
      <c r="B1162" t="s">
        <v>9</v>
      </c>
      <c r="C1162" t="s">
        <v>1576</v>
      </c>
      <c r="D1162" t="s">
        <v>1577</v>
      </c>
      <c r="E1162" t="s">
        <v>1579</v>
      </c>
      <c r="F1162" t="s">
        <v>18</v>
      </c>
      <c r="G1162">
        <v>16</v>
      </c>
      <c r="H1162">
        <v>629619.84</v>
      </c>
      <c r="I1162">
        <v>197.6</v>
      </c>
    </row>
    <row r="1163" spans="1:9" x14ac:dyDescent="0.2">
      <c r="A1163" s="11">
        <v>46014</v>
      </c>
      <c r="B1163" t="s">
        <v>7</v>
      </c>
      <c r="C1163" t="s">
        <v>1580</v>
      </c>
      <c r="D1163" t="s">
        <v>1581</v>
      </c>
      <c r="E1163" t="s">
        <v>1460</v>
      </c>
      <c r="F1163" t="s">
        <v>14</v>
      </c>
      <c r="G1163">
        <v>23</v>
      </c>
      <c r="H1163">
        <v>1949812.35</v>
      </c>
      <c r="I1163">
        <v>611.91999999999996</v>
      </c>
    </row>
    <row r="1164" spans="1:9" x14ac:dyDescent="0.2">
      <c r="A1164" s="11">
        <v>46014</v>
      </c>
      <c r="B1164" t="s">
        <v>6</v>
      </c>
      <c r="C1164" t="s">
        <v>1582</v>
      </c>
      <c r="D1164" t="s">
        <v>1583</v>
      </c>
      <c r="E1164" t="s">
        <v>632</v>
      </c>
      <c r="F1164" t="s">
        <v>20</v>
      </c>
      <c r="G1164">
        <v>20</v>
      </c>
      <c r="H1164">
        <v>4271735.8</v>
      </c>
      <c r="I1164">
        <v>1340.62</v>
      </c>
    </row>
    <row r="1165" spans="1:9" x14ac:dyDescent="0.2">
      <c r="A1165" s="11">
        <v>46014</v>
      </c>
      <c r="B1165" t="s">
        <v>6</v>
      </c>
      <c r="C1165" t="s">
        <v>1582</v>
      </c>
      <c r="D1165" t="s">
        <v>1583</v>
      </c>
      <c r="E1165" t="s">
        <v>1014</v>
      </c>
      <c r="F1165" t="s">
        <v>16</v>
      </c>
      <c r="G1165">
        <v>5</v>
      </c>
      <c r="H1165">
        <v>694829.9</v>
      </c>
      <c r="I1165">
        <v>218.06</v>
      </c>
    </row>
    <row r="1166" spans="1:9" x14ac:dyDescent="0.2">
      <c r="A1166" s="11">
        <v>46014</v>
      </c>
      <c r="B1166" t="s">
        <v>6</v>
      </c>
      <c r="C1166" t="s">
        <v>1582</v>
      </c>
      <c r="D1166" t="s">
        <v>1583</v>
      </c>
      <c r="E1166" t="s">
        <v>734</v>
      </c>
      <c r="F1166" t="s">
        <v>14</v>
      </c>
      <c r="G1166">
        <v>8</v>
      </c>
      <c r="H1166">
        <v>340407.68</v>
      </c>
      <c r="I1166">
        <v>106.83</v>
      </c>
    </row>
    <row r="1167" spans="1:9" x14ac:dyDescent="0.2">
      <c r="A1167" s="11">
        <v>46014</v>
      </c>
      <c r="B1167" t="s">
        <v>6</v>
      </c>
      <c r="C1167" t="s">
        <v>1582</v>
      </c>
      <c r="D1167" t="s">
        <v>1583</v>
      </c>
      <c r="E1167" t="s">
        <v>347</v>
      </c>
      <c r="F1167" t="s">
        <v>16</v>
      </c>
      <c r="G1167">
        <v>38</v>
      </c>
      <c r="H1167">
        <v>4781570.4000000004</v>
      </c>
      <c r="I1167">
        <v>1500.62</v>
      </c>
    </row>
    <row r="1168" spans="1:9" x14ac:dyDescent="0.2">
      <c r="A1168" s="11">
        <v>46014</v>
      </c>
      <c r="B1168" t="s">
        <v>6</v>
      </c>
      <c r="C1168" t="s">
        <v>1582</v>
      </c>
      <c r="D1168" t="s">
        <v>1583</v>
      </c>
      <c r="E1168" t="s">
        <v>1242</v>
      </c>
      <c r="F1168" t="s">
        <v>18</v>
      </c>
      <c r="G1168">
        <v>40</v>
      </c>
      <c r="H1168">
        <v>4246756.4000000004</v>
      </c>
      <c r="I1168">
        <v>1332.78</v>
      </c>
    </row>
    <row r="1169" spans="1:9" x14ac:dyDescent="0.2">
      <c r="A1169" s="11">
        <v>46015</v>
      </c>
      <c r="B1169" t="s">
        <v>7</v>
      </c>
      <c r="C1169" t="s">
        <v>1584</v>
      </c>
      <c r="D1169" t="s">
        <v>1585</v>
      </c>
      <c r="E1169" t="s">
        <v>1586</v>
      </c>
      <c r="F1169" t="s">
        <v>18</v>
      </c>
      <c r="G1169">
        <v>25</v>
      </c>
      <c r="H1169">
        <v>3051779.25</v>
      </c>
      <c r="I1169">
        <v>957.75</v>
      </c>
    </row>
    <row r="1170" spans="1:9" x14ac:dyDescent="0.2">
      <c r="A1170" s="11">
        <v>46015</v>
      </c>
      <c r="B1170" t="s">
        <v>10</v>
      </c>
      <c r="C1170" t="s">
        <v>946</v>
      </c>
      <c r="D1170" t="s">
        <v>1587</v>
      </c>
      <c r="E1170" t="s">
        <v>1158</v>
      </c>
      <c r="F1170" t="s">
        <v>18</v>
      </c>
      <c r="G1170">
        <v>6</v>
      </c>
      <c r="H1170">
        <v>390099.9</v>
      </c>
      <c r="I1170">
        <v>122.43</v>
      </c>
    </row>
    <row r="1171" spans="1:9" x14ac:dyDescent="0.2">
      <c r="A1171" s="11">
        <v>46015</v>
      </c>
      <c r="B1171" t="s">
        <v>10</v>
      </c>
      <c r="C1171" t="s">
        <v>946</v>
      </c>
      <c r="D1171" t="s">
        <v>1587</v>
      </c>
      <c r="E1171" t="s">
        <v>856</v>
      </c>
      <c r="F1171" t="s">
        <v>18</v>
      </c>
      <c r="G1171">
        <v>6</v>
      </c>
      <c r="H1171">
        <v>433440.06</v>
      </c>
      <c r="I1171">
        <v>136.03</v>
      </c>
    </row>
    <row r="1172" spans="1:9" x14ac:dyDescent="0.2">
      <c r="A1172" s="11">
        <v>46015</v>
      </c>
      <c r="B1172" t="s">
        <v>10</v>
      </c>
      <c r="C1172" t="s">
        <v>946</v>
      </c>
      <c r="D1172" t="s">
        <v>1587</v>
      </c>
      <c r="E1172" t="s">
        <v>333</v>
      </c>
      <c r="F1172" t="s">
        <v>18</v>
      </c>
      <c r="G1172">
        <v>3</v>
      </c>
      <c r="H1172">
        <v>263211.78000000003</v>
      </c>
      <c r="I1172">
        <v>82.61</v>
      </c>
    </row>
    <row r="1173" spans="1:9" x14ac:dyDescent="0.2">
      <c r="A1173" s="11">
        <v>46015</v>
      </c>
      <c r="B1173" t="s">
        <v>10</v>
      </c>
      <c r="C1173" t="s">
        <v>946</v>
      </c>
      <c r="D1173" t="s">
        <v>1587</v>
      </c>
      <c r="E1173" t="s">
        <v>882</v>
      </c>
      <c r="F1173" t="s">
        <v>18</v>
      </c>
      <c r="G1173">
        <v>8</v>
      </c>
      <c r="H1173">
        <v>637807.68000000005</v>
      </c>
      <c r="I1173">
        <v>200.17</v>
      </c>
    </row>
    <row r="1174" spans="1:9" x14ac:dyDescent="0.2">
      <c r="A1174" s="11">
        <v>46015</v>
      </c>
      <c r="B1174" t="s">
        <v>10</v>
      </c>
      <c r="C1174" t="s">
        <v>946</v>
      </c>
      <c r="D1174" t="s">
        <v>1587</v>
      </c>
      <c r="E1174" t="s">
        <v>1588</v>
      </c>
      <c r="F1174" t="s">
        <v>18</v>
      </c>
      <c r="G1174">
        <v>4</v>
      </c>
      <c r="H1174">
        <v>323322.84000000003</v>
      </c>
      <c r="I1174">
        <v>101.47</v>
      </c>
    </row>
    <row r="1175" spans="1:9" x14ac:dyDescent="0.2">
      <c r="A1175" s="11">
        <v>46015</v>
      </c>
      <c r="B1175" t="s">
        <v>9</v>
      </c>
      <c r="C1175" t="s">
        <v>1589</v>
      </c>
      <c r="D1175" t="s">
        <v>1590</v>
      </c>
      <c r="E1175" t="s">
        <v>397</v>
      </c>
      <c r="F1175" t="s">
        <v>16</v>
      </c>
      <c r="G1175">
        <v>9</v>
      </c>
      <c r="H1175">
        <v>1323195.3899999999</v>
      </c>
      <c r="I1175">
        <v>415.26</v>
      </c>
    </row>
    <row r="1176" spans="1:9" x14ac:dyDescent="0.2">
      <c r="A1176" s="11">
        <v>46015</v>
      </c>
      <c r="B1176" t="s">
        <v>6</v>
      </c>
      <c r="C1176" t="s">
        <v>1591</v>
      </c>
      <c r="D1176" t="s">
        <v>1592</v>
      </c>
      <c r="E1176" t="s">
        <v>174</v>
      </c>
      <c r="F1176" t="s">
        <v>5</v>
      </c>
      <c r="G1176">
        <v>19</v>
      </c>
      <c r="H1176">
        <v>1309924.98</v>
      </c>
      <c r="I1176">
        <v>411.1</v>
      </c>
    </row>
    <row r="1177" spans="1:9" x14ac:dyDescent="0.2">
      <c r="A1177" s="11">
        <v>46015</v>
      </c>
      <c r="B1177" t="s">
        <v>7</v>
      </c>
      <c r="C1177" t="s">
        <v>1593</v>
      </c>
      <c r="D1177" t="s">
        <v>1594</v>
      </c>
      <c r="E1177" t="s">
        <v>1506</v>
      </c>
      <c r="F1177" t="s">
        <v>5</v>
      </c>
      <c r="G1177">
        <v>10</v>
      </c>
      <c r="H1177">
        <v>334783.7</v>
      </c>
      <c r="I1177">
        <v>105.07</v>
      </c>
    </row>
    <row r="1178" spans="1:9" x14ac:dyDescent="0.2">
      <c r="A1178" s="11">
        <v>46015</v>
      </c>
      <c r="B1178" t="s">
        <v>7</v>
      </c>
      <c r="C1178" t="s">
        <v>1593</v>
      </c>
      <c r="D1178" t="s">
        <v>1594</v>
      </c>
      <c r="E1178" t="s">
        <v>1457</v>
      </c>
      <c r="F1178" t="s">
        <v>16</v>
      </c>
      <c r="G1178">
        <v>92</v>
      </c>
      <c r="H1178">
        <v>6066215.04</v>
      </c>
      <c r="I1178">
        <v>1903.79</v>
      </c>
    </row>
    <row r="1179" spans="1:9" x14ac:dyDescent="0.2">
      <c r="A1179" s="11">
        <v>46015</v>
      </c>
      <c r="B1179" t="s">
        <v>7</v>
      </c>
      <c r="C1179" t="s">
        <v>1593</v>
      </c>
      <c r="D1179" t="s">
        <v>1594</v>
      </c>
      <c r="E1179" t="s">
        <v>353</v>
      </c>
      <c r="F1179" t="s">
        <v>22</v>
      </c>
      <c r="G1179">
        <v>45</v>
      </c>
      <c r="H1179">
        <v>2151322.65</v>
      </c>
      <c r="I1179">
        <v>675.16</v>
      </c>
    </row>
    <row r="1180" spans="1:9" x14ac:dyDescent="0.2">
      <c r="A1180" s="11">
        <v>46015</v>
      </c>
      <c r="B1180" t="s">
        <v>7</v>
      </c>
      <c r="C1180" t="s">
        <v>1593</v>
      </c>
      <c r="D1180" t="s">
        <v>1594</v>
      </c>
      <c r="E1180" t="s">
        <v>739</v>
      </c>
      <c r="F1180" t="s">
        <v>18</v>
      </c>
      <c r="G1180">
        <v>16</v>
      </c>
      <c r="H1180">
        <v>1074173.28</v>
      </c>
      <c r="I1180">
        <v>337.11</v>
      </c>
    </row>
    <row r="1181" spans="1:9" x14ac:dyDescent="0.2">
      <c r="A1181" s="11">
        <v>46015</v>
      </c>
      <c r="B1181" t="s">
        <v>7</v>
      </c>
      <c r="C1181" t="s">
        <v>1593</v>
      </c>
      <c r="D1181" t="s">
        <v>1594</v>
      </c>
      <c r="E1181" t="s">
        <v>1595</v>
      </c>
      <c r="F1181" t="s">
        <v>14</v>
      </c>
      <c r="G1181">
        <v>9</v>
      </c>
      <c r="H1181">
        <v>732455.64</v>
      </c>
      <c r="I1181">
        <v>229.87</v>
      </c>
    </row>
    <row r="1182" spans="1:9" x14ac:dyDescent="0.2">
      <c r="A1182" s="11">
        <v>46015</v>
      </c>
      <c r="B1182" t="s">
        <v>12</v>
      </c>
      <c r="C1182" t="s">
        <v>981</v>
      </c>
      <c r="D1182" t="s">
        <v>1596</v>
      </c>
      <c r="E1182" t="s">
        <v>679</v>
      </c>
      <c r="F1182" t="s">
        <v>22</v>
      </c>
      <c r="G1182">
        <v>20</v>
      </c>
      <c r="H1182">
        <v>1098404.6000000001</v>
      </c>
      <c r="I1182">
        <v>344.72</v>
      </c>
    </row>
    <row r="1183" spans="1:9" x14ac:dyDescent="0.2">
      <c r="A1183" s="11">
        <v>46015</v>
      </c>
      <c r="B1183" t="s">
        <v>12</v>
      </c>
      <c r="C1183" t="s">
        <v>981</v>
      </c>
      <c r="D1183" t="s">
        <v>1596</v>
      </c>
      <c r="E1183" t="s">
        <v>206</v>
      </c>
      <c r="F1183" t="s">
        <v>16</v>
      </c>
      <c r="G1183">
        <v>14</v>
      </c>
      <c r="H1183">
        <v>1214150.7</v>
      </c>
      <c r="I1183">
        <v>381.04</v>
      </c>
    </row>
    <row r="1184" spans="1:9" x14ac:dyDescent="0.2">
      <c r="A1184" s="11">
        <v>46015</v>
      </c>
      <c r="B1184" t="s">
        <v>12</v>
      </c>
      <c r="C1184" t="s">
        <v>981</v>
      </c>
      <c r="D1184" t="s">
        <v>1596</v>
      </c>
      <c r="E1184" t="s">
        <v>559</v>
      </c>
      <c r="F1184" t="s">
        <v>18</v>
      </c>
      <c r="G1184">
        <v>13</v>
      </c>
      <c r="H1184">
        <v>517571.47</v>
      </c>
      <c r="I1184">
        <v>162.43</v>
      </c>
    </row>
    <row r="1185" spans="1:9" x14ac:dyDescent="0.2">
      <c r="A1185" s="11">
        <v>46015</v>
      </c>
      <c r="B1185" t="s">
        <v>12</v>
      </c>
      <c r="C1185" t="s">
        <v>981</v>
      </c>
      <c r="D1185" t="s">
        <v>1596</v>
      </c>
      <c r="E1185" t="s">
        <v>1597</v>
      </c>
      <c r="F1185" t="s">
        <v>16</v>
      </c>
      <c r="G1185">
        <v>9</v>
      </c>
      <c r="H1185">
        <v>1126248.1200000001</v>
      </c>
      <c r="I1185">
        <v>353.46</v>
      </c>
    </row>
    <row r="1186" spans="1:9" x14ac:dyDescent="0.2">
      <c r="A1186" s="11">
        <v>46015</v>
      </c>
      <c r="B1186" t="s">
        <v>10</v>
      </c>
      <c r="C1186" t="s">
        <v>1598</v>
      </c>
      <c r="D1186" t="s">
        <v>1599</v>
      </c>
      <c r="E1186" t="s">
        <v>1600</v>
      </c>
      <c r="F1186" t="s">
        <v>18</v>
      </c>
      <c r="G1186">
        <v>17</v>
      </c>
      <c r="H1186">
        <v>2128620.4900000002</v>
      </c>
      <c r="I1186">
        <v>668.04</v>
      </c>
    </row>
    <row r="1187" spans="1:9" x14ac:dyDescent="0.2">
      <c r="A1187" s="11">
        <v>46015</v>
      </c>
      <c r="B1187" t="s">
        <v>10</v>
      </c>
      <c r="C1187" t="s">
        <v>1598</v>
      </c>
      <c r="D1187" t="s">
        <v>1599</v>
      </c>
      <c r="E1187" t="s">
        <v>394</v>
      </c>
      <c r="F1187" t="s">
        <v>5</v>
      </c>
      <c r="G1187">
        <v>21</v>
      </c>
      <c r="H1187">
        <v>775961.13</v>
      </c>
      <c r="I1187">
        <v>243.52</v>
      </c>
    </row>
    <row r="1188" spans="1:9" x14ac:dyDescent="0.2">
      <c r="A1188" s="11">
        <v>46015</v>
      </c>
      <c r="B1188" t="s">
        <v>10</v>
      </c>
      <c r="C1188" t="s">
        <v>1598</v>
      </c>
      <c r="D1188" t="s">
        <v>1599</v>
      </c>
      <c r="E1188" t="s">
        <v>426</v>
      </c>
      <c r="F1188" t="s">
        <v>14</v>
      </c>
      <c r="G1188">
        <v>7</v>
      </c>
      <c r="H1188">
        <v>500602.27</v>
      </c>
      <c r="I1188">
        <v>157.11000000000001</v>
      </c>
    </row>
    <row r="1189" spans="1:9" x14ac:dyDescent="0.2">
      <c r="A1189" s="11">
        <v>46015</v>
      </c>
      <c r="B1189" t="s">
        <v>10</v>
      </c>
      <c r="C1189" t="s">
        <v>1598</v>
      </c>
      <c r="D1189" t="s">
        <v>1599</v>
      </c>
      <c r="E1189" t="s">
        <v>76</v>
      </c>
      <c r="F1189" t="s">
        <v>18</v>
      </c>
      <c r="G1189">
        <v>13</v>
      </c>
      <c r="H1189">
        <v>761628.66</v>
      </c>
      <c r="I1189">
        <v>239.03</v>
      </c>
    </row>
    <row r="1190" spans="1:9" x14ac:dyDescent="0.2">
      <c r="A1190" s="11">
        <v>46015</v>
      </c>
      <c r="B1190" t="s">
        <v>10</v>
      </c>
      <c r="C1190" t="s">
        <v>937</v>
      </c>
      <c r="D1190" t="s">
        <v>1601</v>
      </c>
      <c r="E1190" t="s">
        <v>987</v>
      </c>
      <c r="F1190" t="s">
        <v>16</v>
      </c>
      <c r="G1190">
        <v>16</v>
      </c>
      <c r="H1190">
        <v>1435217.28</v>
      </c>
      <c r="I1190">
        <v>450.42</v>
      </c>
    </row>
    <row r="1191" spans="1:9" x14ac:dyDescent="0.2">
      <c r="A1191" s="11">
        <v>46015</v>
      </c>
      <c r="B1191" t="s">
        <v>10</v>
      </c>
      <c r="C1191" t="s">
        <v>937</v>
      </c>
      <c r="D1191" t="s">
        <v>1601</v>
      </c>
      <c r="E1191" t="s">
        <v>1531</v>
      </c>
      <c r="F1191" t="s">
        <v>14</v>
      </c>
      <c r="G1191">
        <v>5</v>
      </c>
      <c r="H1191">
        <v>288010.7</v>
      </c>
      <c r="I1191">
        <v>90.39</v>
      </c>
    </row>
    <row r="1192" spans="1:9" x14ac:dyDescent="0.2">
      <c r="A1192" s="11">
        <v>46015</v>
      </c>
      <c r="B1192" t="s">
        <v>10</v>
      </c>
      <c r="C1192" t="s">
        <v>937</v>
      </c>
      <c r="D1192" t="s">
        <v>1601</v>
      </c>
      <c r="E1192" t="s">
        <v>56</v>
      </c>
      <c r="F1192" t="s">
        <v>5</v>
      </c>
      <c r="G1192">
        <v>13</v>
      </c>
      <c r="H1192">
        <v>459766.58</v>
      </c>
      <c r="I1192">
        <v>144.29</v>
      </c>
    </row>
    <row r="1193" spans="1:9" x14ac:dyDescent="0.2">
      <c r="A1193" s="11">
        <v>46015</v>
      </c>
      <c r="B1193" t="s">
        <v>10</v>
      </c>
      <c r="C1193" t="s">
        <v>937</v>
      </c>
      <c r="D1193" t="s">
        <v>1601</v>
      </c>
      <c r="E1193" t="s">
        <v>1602</v>
      </c>
      <c r="F1193" t="s">
        <v>22</v>
      </c>
      <c r="G1193">
        <v>79</v>
      </c>
      <c r="H1193">
        <v>3655363.97</v>
      </c>
      <c r="I1193">
        <v>1147.18</v>
      </c>
    </row>
    <row r="1194" spans="1:9" x14ac:dyDescent="0.2">
      <c r="A1194" s="11">
        <v>46015</v>
      </c>
      <c r="B1194" t="s">
        <v>6</v>
      </c>
      <c r="C1194" t="s">
        <v>1603</v>
      </c>
      <c r="D1194" t="s">
        <v>1604</v>
      </c>
      <c r="E1194" t="s">
        <v>186</v>
      </c>
      <c r="F1194" t="s">
        <v>22</v>
      </c>
      <c r="G1194">
        <v>57</v>
      </c>
      <c r="H1194">
        <v>2436544.7999999998</v>
      </c>
      <c r="I1194">
        <v>764.67</v>
      </c>
    </row>
    <row r="1195" spans="1:9" x14ac:dyDescent="0.2">
      <c r="A1195" s="11">
        <v>46015</v>
      </c>
      <c r="B1195" t="s">
        <v>6</v>
      </c>
      <c r="C1195" t="s">
        <v>1603</v>
      </c>
      <c r="D1195" t="s">
        <v>1604</v>
      </c>
      <c r="E1195" t="s">
        <v>465</v>
      </c>
      <c r="F1195" t="s">
        <v>16</v>
      </c>
      <c r="G1195">
        <v>19</v>
      </c>
      <c r="H1195">
        <v>1851459.56</v>
      </c>
      <c r="I1195">
        <v>581.04999999999995</v>
      </c>
    </row>
    <row r="1196" spans="1:9" x14ac:dyDescent="0.2">
      <c r="A1196" s="11">
        <v>46015</v>
      </c>
      <c r="B1196" t="s">
        <v>6</v>
      </c>
      <c r="C1196" t="s">
        <v>1603</v>
      </c>
      <c r="D1196" t="s">
        <v>1604</v>
      </c>
      <c r="E1196" t="s">
        <v>1605</v>
      </c>
      <c r="F1196" t="s">
        <v>18</v>
      </c>
      <c r="G1196">
        <v>3</v>
      </c>
      <c r="H1196">
        <v>245639.16</v>
      </c>
      <c r="I1196">
        <v>77.09</v>
      </c>
    </row>
    <row r="1197" spans="1:9" x14ac:dyDescent="0.2">
      <c r="A1197" s="11">
        <v>46015</v>
      </c>
      <c r="B1197" t="s">
        <v>6</v>
      </c>
      <c r="C1197" t="s">
        <v>1603</v>
      </c>
      <c r="D1197" t="s">
        <v>1604</v>
      </c>
      <c r="E1197" t="s">
        <v>1279</v>
      </c>
      <c r="F1197" t="s">
        <v>18</v>
      </c>
      <c r="G1197">
        <v>23</v>
      </c>
      <c r="H1197">
        <v>2644593.13</v>
      </c>
      <c r="I1197">
        <v>829.97</v>
      </c>
    </row>
    <row r="1198" spans="1:9" x14ac:dyDescent="0.2">
      <c r="A1198" s="11">
        <v>46015</v>
      </c>
      <c r="B1198" t="s">
        <v>6</v>
      </c>
      <c r="C1198" t="s">
        <v>1603</v>
      </c>
      <c r="D1198" t="s">
        <v>1604</v>
      </c>
      <c r="E1198" t="s">
        <v>476</v>
      </c>
      <c r="F1198" t="s">
        <v>18</v>
      </c>
      <c r="G1198">
        <v>43</v>
      </c>
      <c r="H1198">
        <v>1810759.67</v>
      </c>
      <c r="I1198">
        <v>568.28</v>
      </c>
    </row>
    <row r="1199" spans="1:9" x14ac:dyDescent="0.2">
      <c r="A1199" s="11">
        <v>46015</v>
      </c>
      <c r="B1199" t="s">
        <v>12</v>
      </c>
      <c r="C1199" t="s">
        <v>1435</v>
      </c>
      <c r="D1199" t="s">
        <v>1606</v>
      </c>
      <c r="E1199" t="s">
        <v>394</v>
      </c>
      <c r="F1199" t="s">
        <v>5</v>
      </c>
      <c r="G1199">
        <v>27</v>
      </c>
      <c r="H1199">
        <v>952447.95</v>
      </c>
      <c r="I1199">
        <v>298.91000000000003</v>
      </c>
    </row>
    <row r="1200" spans="1:9" x14ac:dyDescent="0.2">
      <c r="A1200" s="11">
        <v>46015</v>
      </c>
      <c r="B1200" t="s">
        <v>12</v>
      </c>
      <c r="C1200" t="s">
        <v>1435</v>
      </c>
      <c r="D1200" t="s">
        <v>1606</v>
      </c>
      <c r="E1200" t="s">
        <v>340</v>
      </c>
      <c r="F1200" t="s">
        <v>16</v>
      </c>
      <c r="G1200">
        <v>33</v>
      </c>
      <c r="H1200">
        <v>4941552</v>
      </c>
      <c r="I1200">
        <v>1550.83</v>
      </c>
    </row>
    <row r="1201" spans="1:9" x14ac:dyDescent="0.2">
      <c r="A1201" s="11">
        <v>46015</v>
      </c>
      <c r="B1201" t="s">
        <v>6</v>
      </c>
      <c r="C1201" t="s">
        <v>1607</v>
      </c>
      <c r="D1201" t="s">
        <v>1608</v>
      </c>
      <c r="E1201" t="s">
        <v>81</v>
      </c>
      <c r="F1201" t="s">
        <v>14</v>
      </c>
      <c r="G1201">
        <v>13</v>
      </c>
      <c r="H1201">
        <v>924666.21</v>
      </c>
      <c r="I1201">
        <v>290.19</v>
      </c>
    </row>
    <row r="1202" spans="1:9" x14ac:dyDescent="0.2">
      <c r="A1202" s="11">
        <v>46015</v>
      </c>
      <c r="B1202" t="s">
        <v>6</v>
      </c>
      <c r="C1202" t="s">
        <v>1607</v>
      </c>
      <c r="D1202" t="s">
        <v>1608</v>
      </c>
      <c r="E1202" t="s">
        <v>1196</v>
      </c>
      <c r="F1202" t="s">
        <v>18</v>
      </c>
      <c r="G1202">
        <v>2</v>
      </c>
      <c r="H1202">
        <v>103376.94</v>
      </c>
      <c r="I1202">
        <v>32.44</v>
      </c>
    </row>
    <row r="1203" spans="1:9" x14ac:dyDescent="0.2">
      <c r="A1203" s="11">
        <v>46015</v>
      </c>
      <c r="B1203" t="s">
        <v>9</v>
      </c>
      <c r="C1203" t="s">
        <v>1609</v>
      </c>
      <c r="D1203" t="s">
        <v>1610</v>
      </c>
      <c r="E1203" t="s">
        <v>939</v>
      </c>
      <c r="F1203" t="s">
        <v>5</v>
      </c>
      <c r="G1203">
        <v>8</v>
      </c>
      <c r="H1203">
        <v>469442.4</v>
      </c>
      <c r="I1203">
        <v>147.33000000000001</v>
      </c>
    </row>
    <row r="1204" spans="1:9" x14ac:dyDescent="0.2">
      <c r="A1204" s="11">
        <v>46015</v>
      </c>
      <c r="B1204" t="s">
        <v>9</v>
      </c>
      <c r="C1204" t="s">
        <v>1609</v>
      </c>
      <c r="D1204" t="s">
        <v>1610</v>
      </c>
      <c r="E1204" t="s">
        <v>551</v>
      </c>
      <c r="F1204" t="s">
        <v>22</v>
      </c>
      <c r="G1204">
        <v>8</v>
      </c>
      <c r="H1204">
        <v>422973.36</v>
      </c>
      <c r="I1204">
        <v>132.74</v>
      </c>
    </row>
    <row r="1205" spans="1:9" x14ac:dyDescent="0.2">
      <c r="A1205" s="11">
        <v>46015</v>
      </c>
      <c r="B1205" t="s">
        <v>9</v>
      </c>
      <c r="C1205" t="s">
        <v>1609</v>
      </c>
      <c r="D1205" t="s">
        <v>1610</v>
      </c>
      <c r="E1205" t="s">
        <v>794</v>
      </c>
      <c r="F1205" t="s">
        <v>16</v>
      </c>
      <c r="G1205">
        <v>2</v>
      </c>
      <c r="H1205">
        <v>227379.52</v>
      </c>
      <c r="I1205">
        <v>71.36</v>
      </c>
    </row>
    <row r="1206" spans="1:9" x14ac:dyDescent="0.2">
      <c r="A1206" s="11">
        <v>46015</v>
      </c>
      <c r="B1206" t="s">
        <v>9</v>
      </c>
      <c r="C1206" t="s">
        <v>1609</v>
      </c>
      <c r="D1206" t="s">
        <v>1610</v>
      </c>
      <c r="E1206" t="s">
        <v>1611</v>
      </c>
      <c r="F1206" t="s">
        <v>14</v>
      </c>
      <c r="G1206">
        <v>11</v>
      </c>
      <c r="H1206">
        <v>844576.37</v>
      </c>
      <c r="I1206">
        <v>265.06</v>
      </c>
    </row>
    <row r="1207" spans="1:9" x14ac:dyDescent="0.2">
      <c r="A1207" s="11">
        <v>46015</v>
      </c>
      <c r="B1207" t="s">
        <v>9</v>
      </c>
      <c r="C1207" t="s">
        <v>1609</v>
      </c>
      <c r="D1207" t="s">
        <v>1610</v>
      </c>
      <c r="E1207" t="s">
        <v>1420</v>
      </c>
      <c r="F1207" t="s">
        <v>5</v>
      </c>
      <c r="G1207">
        <v>15</v>
      </c>
      <c r="H1207">
        <v>1074221.3999999999</v>
      </c>
      <c r="I1207">
        <v>337.13</v>
      </c>
    </row>
    <row r="1208" spans="1:9" x14ac:dyDescent="0.2">
      <c r="A1208" s="11">
        <v>46015</v>
      </c>
      <c r="B1208" t="s">
        <v>10</v>
      </c>
      <c r="C1208" t="s">
        <v>1448</v>
      </c>
      <c r="D1208" t="s">
        <v>1612</v>
      </c>
      <c r="E1208" t="s">
        <v>375</v>
      </c>
      <c r="F1208" t="s">
        <v>22</v>
      </c>
      <c r="G1208">
        <v>16</v>
      </c>
      <c r="H1208">
        <v>724555.68</v>
      </c>
      <c r="I1208">
        <v>227.39</v>
      </c>
    </row>
    <row r="1209" spans="1:9" x14ac:dyDescent="0.2">
      <c r="A1209" s="11">
        <v>46015</v>
      </c>
      <c r="B1209" t="s">
        <v>10</v>
      </c>
      <c r="C1209" t="s">
        <v>1448</v>
      </c>
      <c r="D1209" t="s">
        <v>1612</v>
      </c>
      <c r="E1209" t="s">
        <v>530</v>
      </c>
      <c r="F1209" t="s">
        <v>16</v>
      </c>
      <c r="G1209">
        <v>91</v>
      </c>
      <c r="H1209">
        <v>13108161.43</v>
      </c>
      <c r="I1209">
        <v>4113.8</v>
      </c>
    </row>
    <row r="1210" spans="1:9" x14ac:dyDescent="0.2">
      <c r="A1210" s="11">
        <v>46015</v>
      </c>
      <c r="B1210" t="s">
        <v>10</v>
      </c>
      <c r="C1210" t="s">
        <v>1448</v>
      </c>
      <c r="D1210" t="s">
        <v>1612</v>
      </c>
      <c r="E1210" t="s">
        <v>1613</v>
      </c>
      <c r="F1210" t="s">
        <v>14</v>
      </c>
      <c r="G1210">
        <v>12</v>
      </c>
      <c r="H1210">
        <v>591778.31999999995</v>
      </c>
      <c r="I1210">
        <v>185.72</v>
      </c>
    </row>
    <row r="1211" spans="1:9" x14ac:dyDescent="0.2">
      <c r="A1211" s="11">
        <v>46015</v>
      </c>
      <c r="B1211" t="s">
        <v>10</v>
      </c>
      <c r="C1211" t="s">
        <v>1448</v>
      </c>
      <c r="D1211" t="s">
        <v>1612</v>
      </c>
      <c r="E1211" t="s">
        <v>1614</v>
      </c>
      <c r="F1211" t="s">
        <v>22</v>
      </c>
      <c r="G1211">
        <v>4</v>
      </c>
      <c r="H1211">
        <v>95575.52</v>
      </c>
      <c r="I1211">
        <v>29.99</v>
      </c>
    </row>
    <row r="1212" spans="1:9" x14ac:dyDescent="0.2">
      <c r="A1212" s="11">
        <v>46015</v>
      </c>
      <c r="B1212" t="s">
        <v>10</v>
      </c>
      <c r="C1212" t="s">
        <v>1448</v>
      </c>
      <c r="D1212" t="s">
        <v>1612</v>
      </c>
      <c r="E1212" t="s">
        <v>1406</v>
      </c>
      <c r="F1212" t="s">
        <v>20</v>
      </c>
      <c r="G1212">
        <v>10</v>
      </c>
      <c r="H1212">
        <v>1954233.9</v>
      </c>
      <c r="I1212">
        <v>613.30999999999995</v>
      </c>
    </row>
    <row r="1213" spans="1:9" x14ac:dyDescent="0.2">
      <c r="A1213" s="11">
        <v>46015</v>
      </c>
      <c r="B1213" t="s">
        <v>12</v>
      </c>
      <c r="C1213" t="s">
        <v>1615</v>
      </c>
      <c r="D1213" t="s">
        <v>1616</v>
      </c>
      <c r="E1213" t="s">
        <v>588</v>
      </c>
      <c r="F1213" t="s">
        <v>18</v>
      </c>
      <c r="G1213">
        <v>7</v>
      </c>
      <c r="H1213">
        <v>621703.25</v>
      </c>
      <c r="I1213">
        <v>195.11</v>
      </c>
    </row>
    <row r="1214" spans="1:9" x14ac:dyDescent="0.2">
      <c r="A1214" s="11">
        <v>46015</v>
      </c>
      <c r="B1214" t="s">
        <v>9</v>
      </c>
      <c r="C1214" t="s">
        <v>421</v>
      </c>
      <c r="D1214" t="s">
        <v>1617</v>
      </c>
      <c r="E1214" t="s">
        <v>656</v>
      </c>
      <c r="F1214" t="s">
        <v>5</v>
      </c>
      <c r="G1214">
        <v>7</v>
      </c>
      <c r="H1214">
        <v>180449.15</v>
      </c>
      <c r="I1214">
        <v>56.63</v>
      </c>
    </row>
    <row r="1215" spans="1:9" x14ac:dyDescent="0.2">
      <c r="A1215" s="11">
        <v>46015</v>
      </c>
      <c r="B1215" t="s">
        <v>9</v>
      </c>
      <c r="C1215" t="s">
        <v>421</v>
      </c>
      <c r="D1215" t="s">
        <v>1617</v>
      </c>
      <c r="E1215" t="s">
        <v>1546</v>
      </c>
      <c r="F1215" t="s">
        <v>5</v>
      </c>
      <c r="G1215">
        <v>8</v>
      </c>
      <c r="H1215">
        <v>530288.56000000006</v>
      </c>
      <c r="I1215">
        <v>166.42</v>
      </c>
    </row>
    <row r="1216" spans="1:9" x14ac:dyDescent="0.2">
      <c r="A1216" s="11">
        <v>46015</v>
      </c>
      <c r="B1216" t="s">
        <v>9</v>
      </c>
      <c r="C1216" t="s">
        <v>421</v>
      </c>
      <c r="D1216" t="s">
        <v>1617</v>
      </c>
      <c r="E1216" t="s">
        <v>867</v>
      </c>
      <c r="F1216" t="s">
        <v>18</v>
      </c>
      <c r="G1216">
        <v>7</v>
      </c>
      <c r="H1216">
        <v>797659.59</v>
      </c>
      <c r="I1216">
        <v>250.33</v>
      </c>
    </row>
    <row r="1217" spans="1:9" x14ac:dyDescent="0.2">
      <c r="A1217" s="11">
        <v>46015</v>
      </c>
      <c r="B1217" t="s">
        <v>9</v>
      </c>
      <c r="C1217" t="s">
        <v>421</v>
      </c>
      <c r="D1217" t="s">
        <v>1617</v>
      </c>
      <c r="E1217" t="s">
        <v>1618</v>
      </c>
      <c r="F1217" t="s">
        <v>22</v>
      </c>
      <c r="G1217">
        <v>16</v>
      </c>
      <c r="H1217">
        <v>792458.56</v>
      </c>
      <c r="I1217">
        <v>248.7</v>
      </c>
    </row>
    <row r="1218" spans="1:9" x14ac:dyDescent="0.2">
      <c r="A1218" s="11">
        <v>46015</v>
      </c>
      <c r="B1218" t="s">
        <v>9</v>
      </c>
      <c r="C1218" t="s">
        <v>421</v>
      </c>
      <c r="D1218" t="s">
        <v>1617</v>
      </c>
      <c r="E1218" t="s">
        <v>959</v>
      </c>
      <c r="F1218" t="s">
        <v>18</v>
      </c>
      <c r="G1218">
        <v>6</v>
      </c>
      <c r="H1218">
        <v>599123.64</v>
      </c>
      <c r="I1218">
        <v>188.03</v>
      </c>
    </row>
    <row r="1219" spans="1:9" x14ac:dyDescent="0.2">
      <c r="A1219" s="11">
        <v>46015</v>
      </c>
      <c r="B1219" t="s">
        <v>8</v>
      </c>
      <c r="C1219" t="s">
        <v>106</v>
      </c>
      <c r="D1219" t="s">
        <v>1619</v>
      </c>
      <c r="E1219" t="s">
        <v>743</v>
      </c>
      <c r="F1219" t="s">
        <v>14</v>
      </c>
      <c r="G1219">
        <v>20</v>
      </c>
      <c r="H1219">
        <v>1774338.6</v>
      </c>
      <c r="I1219">
        <v>556.85</v>
      </c>
    </row>
    <row r="1220" spans="1:9" x14ac:dyDescent="0.2">
      <c r="A1220" s="11">
        <v>46015</v>
      </c>
      <c r="B1220" t="s">
        <v>8</v>
      </c>
      <c r="C1220" t="s">
        <v>106</v>
      </c>
      <c r="D1220" t="s">
        <v>1619</v>
      </c>
      <c r="E1220" t="s">
        <v>1611</v>
      </c>
      <c r="F1220" t="s">
        <v>14</v>
      </c>
      <c r="G1220">
        <v>17</v>
      </c>
      <c r="H1220">
        <v>1330788.22</v>
      </c>
      <c r="I1220">
        <v>417.65</v>
      </c>
    </row>
    <row r="1221" spans="1:9" x14ac:dyDescent="0.2">
      <c r="A1221" s="11">
        <v>46015</v>
      </c>
      <c r="B1221" t="s">
        <v>6</v>
      </c>
      <c r="C1221" t="s">
        <v>1620</v>
      </c>
      <c r="D1221" t="s">
        <v>1621</v>
      </c>
      <c r="E1221" t="s">
        <v>486</v>
      </c>
      <c r="F1221" t="s">
        <v>16</v>
      </c>
      <c r="G1221">
        <v>15</v>
      </c>
      <c r="H1221">
        <v>1245761.7</v>
      </c>
      <c r="I1221">
        <v>390.96</v>
      </c>
    </row>
    <row r="1222" spans="1:9" x14ac:dyDescent="0.2">
      <c r="A1222" s="11">
        <v>46015</v>
      </c>
      <c r="B1222" t="s">
        <v>6</v>
      </c>
      <c r="C1222" t="s">
        <v>1620</v>
      </c>
      <c r="D1222" t="s">
        <v>1621</v>
      </c>
      <c r="E1222" t="s">
        <v>510</v>
      </c>
      <c r="F1222" t="s">
        <v>14</v>
      </c>
      <c r="G1222">
        <v>7</v>
      </c>
      <c r="H1222">
        <v>450863.56</v>
      </c>
      <c r="I1222">
        <v>141.5</v>
      </c>
    </row>
    <row r="1223" spans="1:9" x14ac:dyDescent="0.2">
      <c r="A1223" s="11">
        <v>46015</v>
      </c>
      <c r="B1223" t="s">
        <v>10</v>
      </c>
      <c r="C1223" t="s">
        <v>212</v>
      </c>
      <c r="D1223" t="s">
        <v>1622</v>
      </c>
      <c r="E1223" t="s">
        <v>1100</v>
      </c>
      <c r="F1223" t="s">
        <v>22</v>
      </c>
      <c r="G1223">
        <v>15</v>
      </c>
      <c r="H1223">
        <v>316618.8</v>
      </c>
      <c r="I1223">
        <v>99.37</v>
      </c>
    </row>
    <row r="1224" spans="1:9" x14ac:dyDescent="0.2">
      <c r="A1224" s="11">
        <v>46015</v>
      </c>
      <c r="B1224" t="s">
        <v>10</v>
      </c>
      <c r="C1224" t="s">
        <v>212</v>
      </c>
      <c r="D1224" t="s">
        <v>1622</v>
      </c>
      <c r="E1224" t="s">
        <v>199</v>
      </c>
      <c r="F1224" t="s">
        <v>22</v>
      </c>
      <c r="G1224">
        <v>4</v>
      </c>
      <c r="H1224">
        <v>236132.92</v>
      </c>
      <c r="I1224">
        <v>74.11</v>
      </c>
    </row>
    <row r="1225" spans="1:9" x14ac:dyDescent="0.2">
      <c r="A1225" s="11">
        <v>46015</v>
      </c>
      <c r="B1225" t="s">
        <v>10</v>
      </c>
      <c r="C1225" t="s">
        <v>212</v>
      </c>
      <c r="D1225" t="s">
        <v>1622</v>
      </c>
      <c r="E1225" t="s">
        <v>1623</v>
      </c>
      <c r="F1225" t="s">
        <v>20</v>
      </c>
      <c r="G1225">
        <v>18</v>
      </c>
      <c r="H1225">
        <v>4117572</v>
      </c>
      <c r="I1225">
        <v>1292.24</v>
      </c>
    </row>
    <row r="1226" spans="1:9" x14ac:dyDescent="0.2">
      <c r="A1226" s="11">
        <v>46015</v>
      </c>
      <c r="B1226" t="s">
        <v>12</v>
      </c>
      <c r="C1226" t="s">
        <v>1624</v>
      </c>
      <c r="D1226" t="s">
        <v>1625</v>
      </c>
      <c r="E1226" t="s">
        <v>1626</v>
      </c>
      <c r="F1226" t="s">
        <v>20</v>
      </c>
      <c r="G1226">
        <v>12</v>
      </c>
      <c r="H1226">
        <v>2192925.36</v>
      </c>
      <c r="I1226">
        <v>688.22</v>
      </c>
    </row>
    <row r="1227" spans="1:9" x14ac:dyDescent="0.2">
      <c r="A1227" s="11">
        <v>46015</v>
      </c>
      <c r="B1227" t="s">
        <v>12</v>
      </c>
      <c r="C1227" t="s">
        <v>1624</v>
      </c>
      <c r="D1227" t="s">
        <v>1625</v>
      </c>
      <c r="E1227" t="s">
        <v>1627</v>
      </c>
      <c r="F1227" t="s">
        <v>5</v>
      </c>
      <c r="G1227">
        <v>39</v>
      </c>
      <c r="H1227">
        <v>1761053.97</v>
      </c>
      <c r="I1227">
        <v>552.67999999999995</v>
      </c>
    </row>
    <row r="1228" spans="1:9" x14ac:dyDescent="0.2">
      <c r="A1228" s="11">
        <v>46015</v>
      </c>
      <c r="B1228" t="s">
        <v>11</v>
      </c>
      <c r="C1228" t="s">
        <v>292</v>
      </c>
      <c r="D1228" t="s">
        <v>1628</v>
      </c>
      <c r="E1228" t="s">
        <v>564</v>
      </c>
      <c r="F1228" t="s">
        <v>14</v>
      </c>
      <c r="G1228">
        <v>45</v>
      </c>
      <c r="H1228">
        <v>1650949.65</v>
      </c>
      <c r="I1228">
        <v>518.13</v>
      </c>
    </row>
    <row r="1229" spans="1:9" x14ac:dyDescent="0.2">
      <c r="A1229" s="11">
        <v>46015</v>
      </c>
      <c r="B1229" t="s">
        <v>11</v>
      </c>
      <c r="C1229" t="s">
        <v>292</v>
      </c>
      <c r="D1229" t="s">
        <v>1628</v>
      </c>
      <c r="E1229" t="s">
        <v>828</v>
      </c>
      <c r="F1229" t="s">
        <v>18</v>
      </c>
      <c r="G1229">
        <v>7</v>
      </c>
      <c r="H1229">
        <v>639732.38</v>
      </c>
      <c r="I1229">
        <v>200.77</v>
      </c>
    </row>
    <row r="1230" spans="1:9" x14ac:dyDescent="0.2">
      <c r="A1230" s="11">
        <v>46015</v>
      </c>
      <c r="B1230" t="s">
        <v>6</v>
      </c>
      <c r="C1230" t="s">
        <v>1629</v>
      </c>
      <c r="D1230" t="s">
        <v>1630</v>
      </c>
      <c r="E1230" t="s">
        <v>38</v>
      </c>
      <c r="F1230" t="s">
        <v>18</v>
      </c>
      <c r="G1230">
        <v>9</v>
      </c>
      <c r="H1230">
        <v>1025580.69</v>
      </c>
      <c r="I1230">
        <v>321.86</v>
      </c>
    </row>
    <row r="1231" spans="1:9" x14ac:dyDescent="0.2">
      <c r="A1231" s="11">
        <v>46015</v>
      </c>
      <c r="B1231" t="s">
        <v>6</v>
      </c>
      <c r="C1231" t="s">
        <v>1629</v>
      </c>
      <c r="D1231" t="s">
        <v>1630</v>
      </c>
      <c r="E1231" t="s">
        <v>1572</v>
      </c>
      <c r="F1231" t="s">
        <v>16</v>
      </c>
      <c r="G1231">
        <v>30</v>
      </c>
      <c r="H1231">
        <v>2257836.9</v>
      </c>
      <c r="I1231">
        <v>708.59</v>
      </c>
    </row>
    <row r="1232" spans="1:9" x14ac:dyDescent="0.2">
      <c r="A1232" s="11">
        <v>46015</v>
      </c>
      <c r="B1232" t="s">
        <v>6</v>
      </c>
      <c r="C1232" t="s">
        <v>1629</v>
      </c>
      <c r="D1232" t="s">
        <v>1630</v>
      </c>
      <c r="E1232" t="s">
        <v>1631</v>
      </c>
      <c r="F1232" t="s">
        <v>20</v>
      </c>
      <c r="G1232">
        <v>8</v>
      </c>
      <c r="H1232">
        <v>845929.04</v>
      </c>
      <c r="I1232">
        <v>265.48</v>
      </c>
    </row>
    <row r="1233" spans="1:9" x14ac:dyDescent="0.2">
      <c r="A1233" s="11">
        <v>46015</v>
      </c>
      <c r="B1233" t="s">
        <v>6</v>
      </c>
      <c r="C1233" t="s">
        <v>1629</v>
      </c>
      <c r="D1233" t="s">
        <v>1630</v>
      </c>
      <c r="E1233" t="s">
        <v>329</v>
      </c>
      <c r="F1233" t="s">
        <v>16</v>
      </c>
      <c r="G1233">
        <v>47</v>
      </c>
      <c r="H1233">
        <v>6655090.96</v>
      </c>
      <c r="I1233">
        <v>2088.6</v>
      </c>
    </row>
    <row r="1234" spans="1:9" x14ac:dyDescent="0.2">
      <c r="A1234" s="11">
        <v>46015</v>
      </c>
      <c r="B1234" t="s">
        <v>6</v>
      </c>
      <c r="C1234" t="s">
        <v>1629</v>
      </c>
      <c r="D1234" t="s">
        <v>1630</v>
      </c>
      <c r="E1234" t="s">
        <v>1632</v>
      </c>
      <c r="F1234" t="s">
        <v>16</v>
      </c>
      <c r="G1234">
        <v>49</v>
      </c>
      <c r="H1234">
        <v>4660169.01</v>
      </c>
      <c r="I1234">
        <v>1462.52</v>
      </c>
    </row>
    <row r="1235" spans="1:9" x14ac:dyDescent="0.2">
      <c r="A1235" s="11">
        <v>46015</v>
      </c>
      <c r="B1235" t="s">
        <v>8</v>
      </c>
      <c r="C1235" t="s">
        <v>1633</v>
      </c>
      <c r="D1235" t="s">
        <v>1634</v>
      </c>
      <c r="E1235" t="s">
        <v>1635</v>
      </c>
      <c r="F1235" t="s">
        <v>20</v>
      </c>
      <c r="G1235">
        <v>10</v>
      </c>
      <c r="H1235">
        <v>2341567.7999999998</v>
      </c>
      <c r="I1235">
        <v>734.87</v>
      </c>
    </row>
    <row r="1236" spans="1:9" x14ac:dyDescent="0.2">
      <c r="A1236" s="11">
        <v>46015</v>
      </c>
      <c r="B1236" t="s">
        <v>8</v>
      </c>
      <c r="C1236" t="s">
        <v>1633</v>
      </c>
      <c r="D1236" t="s">
        <v>1634</v>
      </c>
      <c r="E1236" t="s">
        <v>1636</v>
      </c>
      <c r="F1236" t="s">
        <v>20</v>
      </c>
      <c r="G1236">
        <v>19</v>
      </c>
      <c r="H1236">
        <v>3115004.78</v>
      </c>
      <c r="I1236">
        <v>977.6</v>
      </c>
    </row>
    <row r="1237" spans="1:9" x14ac:dyDescent="0.2">
      <c r="A1237" s="11">
        <v>46015</v>
      </c>
      <c r="B1237" t="s">
        <v>8</v>
      </c>
      <c r="C1237" t="s">
        <v>1633</v>
      </c>
      <c r="D1237" t="s">
        <v>1634</v>
      </c>
      <c r="E1237" t="s">
        <v>1490</v>
      </c>
      <c r="F1237" t="s">
        <v>14</v>
      </c>
      <c r="G1237">
        <v>16</v>
      </c>
      <c r="H1237">
        <v>1340392.6399999999</v>
      </c>
      <c r="I1237">
        <v>420.66</v>
      </c>
    </row>
    <row r="1238" spans="1:9" x14ac:dyDescent="0.2">
      <c r="A1238" s="11">
        <v>46015</v>
      </c>
      <c r="B1238" t="s">
        <v>7</v>
      </c>
      <c r="C1238" t="s">
        <v>1637</v>
      </c>
      <c r="D1238" t="s">
        <v>1638</v>
      </c>
      <c r="E1238" t="s">
        <v>355</v>
      </c>
      <c r="F1238" t="s">
        <v>18</v>
      </c>
      <c r="G1238">
        <v>21</v>
      </c>
      <c r="H1238">
        <v>1166866.68</v>
      </c>
      <c r="I1238">
        <v>366.2</v>
      </c>
    </row>
    <row r="1239" spans="1:9" x14ac:dyDescent="0.2">
      <c r="A1239" s="11">
        <v>46015</v>
      </c>
      <c r="B1239" t="s">
        <v>7</v>
      </c>
      <c r="C1239" t="s">
        <v>1637</v>
      </c>
      <c r="D1239" t="s">
        <v>1638</v>
      </c>
      <c r="E1239" t="s">
        <v>794</v>
      </c>
      <c r="F1239" t="s">
        <v>16</v>
      </c>
      <c r="G1239">
        <v>1</v>
      </c>
      <c r="H1239">
        <v>107343.25</v>
      </c>
      <c r="I1239">
        <v>33.69</v>
      </c>
    </row>
    <row r="1240" spans="1:9" x14ac:dyDescent="0.2">
      <c r="A1240" s="11">
        <v>46016</v>
      </c>
      <c r="B1240" t="s">
        <v>12</v>
      </c>
      <c r="C1240" t="s">
        <v>1639</v>
      </c>
      <c r="D1240" t="s">
        <v>1640</v>
      </c>
      <c r="E1240" t="s">
        <v>1641</v>
      </c>
      <c r="F1240" t="s">
        <v>5</v>
      </c>
      <c r="G1240">
        <v>13</v>
      </c>
      <c r="H1240">
        <v>450748.35</v>
      </c>
      <c r="I1240">
        <v>141.46</v>
      </c>
    </row>
    <row r="1241" spans="1:9" x14ac:dyDescent="0.2">
      <c r="A1241" s="11">
        <v>46016</v>
      </c>
      <c r="B1241" t="s">
        <v>12</v>
      </c>
      <c r="C1241" t="s">
        <v>1639</v>
      </c>
      <c r="D1241" t="s">
        <v>1640</v>
      </c>
      <c r="E1241" t="s">
        <v>594</v>
      </c>
      <c r="F1241" t="s">
        <v>22</v>
      </c>
      <c r="G1241">
        <v>10</v>
      </c>
      <c r="H1241">
        <v>322995.5</v>
      </c>
      <c r="I1241">
        <v>101.37</v>
      </c>
    </row>
    <row r="1242" spans="1:9" x14ac:dyDescent="0.2">
      <c r="A1242" s="11">
        <v>46016</v>
      </c>
      <c r="B1242" t="s">
        <v>12</v>
      </c>
      <c r="C1242" t="s">
        <v>1639</v>
      </c>
      <c r="D1242" t="s">
        <v>1640</v>
      </c>
      <c r="E1242" t="s">
        <v>752</v>
      </c>
      <c r="F1242" t="s">
        <v>20</v>
      </c>
      <c r="G1242">
        <v>17</v>
      </c>
      <c r="H1242">
        <v>1407866.73</v>
      </c>
      <c r="I1242">
        <v>441.84</v>
      </c>
    </row>
    <row r="1243" spans="1:9" x14ac:dyDescent="0.2">
      <c r="A1243" s="11">
        <v>46016</v>
      </c>
      <c r="B1243" t="s">
        <v>12</v>
      </c>
      <c r="C1243" t="s">
        <v>1639</v>
      </c>
      <c r="D1243" t="s">
        <v>1640</v>
      </c>
      <c r="E1243" t="s">
        <v>1642</v>
      </c>
      <c r="F1243" t="s">
        <v>5</v>
      </c>
      <c r="G1243">
        <v>15</v>
      </c>
      <c r="H1243">
        <v>1053591.6000000001</v>
      </c>
      <c r="I1243">
        <v>330.65</v>
      </c>
    </row>
    <row r="1244" spans="1:9" x14ac:dyDescent="0.2">
      <c r="A1244" s="11">
        <v>46016</v>
      </c>
      <c r="B1244" t="s">
        <v>12</v>
      </c>
      <c r="C1244" t="s">
        <v>773</v>
      </c>
      <c r="D1244" t="s">
        <v>1643</v>
      </c>
      <c r="E1244" t="s">
        <v>565</v>
      </c>
      <c r="F1244" t="s">
        <v>5</v>
      </c>
      <c r="G1244">
        <v>23</v>
      </c>
      <c r="H1244">
        <v>1598642.14</v>
      </c>
      <c r="I1244">
        <v>501.71</v>
      </c>
    </row>
    <row r="1245" spans="1:9" x14ac:dyDescent="0.2">
      <c r="A1245" s="11">
        <v>46016</v>
      </c>
      <c r="B1245" t="s">
        <v>12</v>
      </c>
      <c r="C1245" t="s">
        <v>773</v>
      </c>
      <c r="D1245" t="s">
        <v>1643</v>
      </c>
      <c r="E1245" t="s">
        <v>1644</v>
      </c>
      <c r="F1245" t="s">
        <v>20</v>
      </c>
      <c r="G1245">
        <v>19</v>
      </c>
      <c r="H1245">
        <v>3541230.26</v>
      </c>
      <c r="I1245">
        <v>1111.3599999999999</v>
      </c>
    </row>
    <row r="1246" spans="1:9" x14ac:dyDescent="0.2">
      <c r="A1246" s="11">
        <v>46016</v>
      </c>
      <c r="B1246" t="s">
        <v>9</v>
      </c>
      <c r="C1246" t="s">
        <v>1645</v>
      </c>
      <c r="D1246" t="s">
        <v>1646</v>
      </c>
      <c r="E1246" t="s">
        <v>76</v>
      </c>
      <c r="F1246" t="s">
        <v>18</v>
      </c>
      <c r="G1246">
        <v>38</v>
      </c>
      <c r="H1246">
        <v>2119529.42</v>
      </c>
      <c r="I1246">
        <v>665.18</v>
      </c>
    </row>
    <row r="1247" spans="1:9" x14ac:dyDescent="0.2">
      <c r="A1247" s="11">
        <v>46016</v>
      </c>
      <c r="B1247" t="s">
        <v>9</v>
      </c>
      <c r="C1247" t="s">
        <v>180</v>
      </c>
      <c r="D1247" t="s">
        <v>1647</v>
      </c>
      <c r="E1247" t="s">
        <v>254</v>
      </c>
      <c r="F1247" t="s">
        <v>18</v>
      </c>
      <c r="G1247">
        <v>28</v>
      </c>
      <c r="H1247">
        <v>2051624.96</v>
      </c>
      <c r="I1247">
        <v>643.87</v>
      </c>
    </row>
    <row r="1248" spans="1:9" x14ac:dyDescent="0.2">
      <c r="A1248" s="11">
        <v>46016</v>
      </c>
      <c r="B1248" t="s">
        <v>9</v>
      </c>
      <c r="C1248" t="s">
        <v>180</v>
      </c>
      <c r="D1248" t="s">
        <v>1647</v>
      </c>
      <c r="E1248" t="s">
        <v>1374</v>
      </c>
      <c r="F1248" t="s">
        <v>18</v>
      </c>
      <c r="G1248">
        <v>45</v>
      </c>
      <c r="H1248">
        <v>5275055.7</v>
      </c>
      <c r="I1248">
        <v>1655.5</v>
      </c>
    </row>
    <row r="1249" spans="1:9" x14ac:dyDescent="0.2">
      <c r="A1249" s="11">
        <v>46016</v>
      </c>
      <c r="B1249" t="s">
        <v>9</v>
      </c>
      <c r="C1249" t="s">
        <v>180</v>
      </c>
      <c r="D1249" t="s">
        <v>1647</v>
      </c>
      <c r="E1249" t="s">
        <v>1648</v>
      </c>
      <c r="F1249" t="s">
        <v>20</v>
      </c>
      <c r="G1249">
        <v>9</v>
      </c>
      <c r="H1249">
        <v>2081812.41</v>
      </c>
      <c r="I1249">
        <v>653.35</v>
      </c>
    </row>
    <row r="1250" spans="1:9" x14ac:dyDescent="0.2">
      <c r="A1250" s="11">
        <v>46016</v>
      </c>
      <c r="B1250" t="s">
        <v>9</v>
      </c>
      <c r="C1250" t="s">
        <v>180</v>
      </c>
      <c r="D1250" t="s">
        <v>1647</v>
      </c>
      <c r="E1250" t="s">
        <v>1649</v>
      </c>
      <c r="F1250" t="s">
        <v>22</v>
      </c>
      <c r="G1250">
        <v>16</v>
      </c>
      <c r="H1250">
        <v>639284.64</v>
      </c>
      <c r="I1250">
        <v>200.63</v>
      </c>
    </row>
    <row r="1251" spans="1:9" x14ac:dyDescent="0.2">
      <c r="A1251" s="11">
        <v>46016</v>
      </c>
      <c r="B1251" t="s">
        <v>8</v>
      </c>
      <c r="C1251" t="s">
        <v>1650</v>
      </c>
      <c r="D1251" t="s">
        <v>1651</v>
      </c>
      <c r="E1251" t="s">
        <v>988</v>
      </c>
      <c r="F1251" t="s">
        <v>16</v>
      </c>
      <c r="G1251">
        <v>13</v>
      </c>
      <c r="H1251">
        <v>1564636.84</v>
      </c>
      <c r="I1251">
        <v>491.04</v>
      </c>
    </row>
    <row r="1252" spans="1:9" x14ac:dyDescent="0.2">
      <c r="A1252" s="11">
        <v>46016</v>
      </c>
      <c r="B1252" t="s">
        <v>8</v>
      </c>
      <c r="C1252" t="s">
        <v>1650</v>
      </c>
      <c r="D1252" t="s">
        <v>1651</v>
      </c>
      <c r="E1252" t="s">
        <v>1121</v>
      </c>
      <c r="F1252" t="s">
        <v>22</v>
      </c>
      <c r="G1252">
        <v>15</v>
      </c>
      <c r="H1252">
        <v>402782.4</v>
      </c>
      <c r="I1252">
        <v>126.41</v>
      </c>
    </row>
    <row r="1253" spans="1:9" x14ac:dyDescent="0.2">
      <c r="A1253" s="11">
        <v>46016</v>
      </c>
      <c r="B1253" t="s">
        <v>8</v>
      </c>
      <c r="C1253" t="s">
        <v>1650</v>
      </c>
      <c r="D1253" t="s">
        <v>1651</v>
      </c>
      <c r="E1253" t="s">
        <v>202</v>
      </c>
      <c r="F1253" t="s">
        <v>5</v>
      </c>
      <c r="G1253">
        <v>5</v>
      </c>
      <c r="H1253">
        <v>323702.75</v>
      </c>
      <c r="I1253">
        <v>101.59</v>
      </c>
    </row>
    <row r="1254" spans="1:9" x14ac:dyDescent="0.2">
      <c r="A1254" s="11">
        <v>46016</v>
      </c>
      <c r="B1254" t="s">
        <v>8</v>
      </c>
      <c r="C1254" t="s">
        <v>1650</v>
      </c>
      <c r="D1254" t="s">
        <v>1651</v>
      </c>
      <c r="E1254" t="s">
        <v>1641</v>
      </c>
      <c r="F1254" t="s">
        <v>5</v>
      </c>
      <c r="G1254">
        <v>2</v>
      </c>
      <c r="H1254">
        <v>72849.399999999994</v>
      </c>
      <c r="I1254">
        <v>22.86</v>
      </c>
    </row>
    <row r="1255" spans="1:9" x14ac:dyDescent="0.2">
      <c r="A1255" s="11">
        <v>46016</v>
      </c>
      <c r="B1255" t="s">
        <v>8</v>
      </c>
      <c r="C1255" t="s">
        <v>1650</v>
      </c>
      <c r="D1255" t="s">
        <v>1651</v>
      </c>
      <c r="E1255" t="s">
        <v>873</v>
      </c>
      <c r="F1255" t="s">
        <v>22</v>
      </c>
      <c r="G1255">
        <v>11</v>
      </c>
      <c r="H1255">
        <v>370610.57</v>
      </c>
      <c r="I1255">
        <v>116.31</v>
      </c>
    </row>
    <row r="1256" spans="1:9" x14ac:dyDescent="0.2">
      <c r="A1256" s="11">
        <v>46016</v>
      </c>
      <c r="B1256" t="s">
        <v>9</v>
      </c>
      <c r="C1256" t="s">
        <v>1171</v>
      </c>
      <c r="D1256" t="s">
        <v>1652</v>
      </c>
      <c r="E1256" t="s">
        <v>492</v>
      </c>
      <c r="F1256" t="s">
        <v>22</v>
      </c>
      <c r="G1256">
        <v>12</v>
      </c>
      <c r="H1256">
        <v>293471.52</v>
      </c>
      <c r="I1256">
        <v>92.1</v>
      </c>
    </row>
    <row r="1257" spans="1:9" x14ac:dyDescent="0.2">
      <c r="A1257" s="11">
        <v>46016</v>
      </c>
      <c r="B1257" t="s">
        <v>7</v>
      </c>
      <c r="C1257" t="s">
        <v>1653</v>
      </c>
      <c r="D1257" t="s">
        <v>1654</v>
      </c>
      <c r="E1257" t="s">
        <v>150</v>
      </c>
      <c r="F1257" t="s">
        <v>14</v>
      </c>
      <c r="G1257">
        <v>44</v>
      </c>
      <c r="H1257">
        <v>3927352</v>
      </c>
      <c r="I1257">
        <v>1232.54</v>
      </c>
    </row>
    <row r="1258" spans="1:9" x14ac:dyDescent="0.2">
      <c r="A1258" s="11">
        <v>46016</v>
      </c>
      <c r="B1258" t="s">
        <v>7</v>
      </c>
      <c r="C1258" t="s">
        <v>1653</v>
      </c>
      <c r="D1258" t="s">
        <v>1654</v>
      </c>
      <c r="E1258" t="s">
        <v>1655</v>
      </c>
      <c r="F1258" t="s">
        <v>22</v>
      </c>
      <c r="G1258">
        <v>29</v>
      </c>
      <c r="H1258">
        <v>1670328.66</v>
      </c>
      <c r="I1258">
        <v>524.21</v>
      </c>
    </row>
    <row r="1259" spans="1:9" x14ac:dyDescent="0.2">
      <c r="A1259" s="11">
        <v>46016</v>
      </c>
      <c r="B1259" t="s">
        <v>6</v>
      </c>
      <c r="C1259" t="s">
        <v>1645</v>
      </c>
      <c r="D1259" t="s">
        <v>1656</v>
      </c>
      <c r="E1259" t="s">
        <v>253</v>
      </c>
      <c r="F1259" t="s">
        <v>5</v>
      </c>
      <c r="G1259">
        <v>10</v>
      </c>
      <c r="H1259">
        <v>545456.19999999995</v>
      </c>
      <c r="I1259">
        <v>171.18</v>
      </c>
    </row>
    <row r="1260" spans="1:9" x14ac:dyDescent="0.2">
      <c r="A1260" s="11">
        <v>46016</v>
      </c>
      <c r="B1260" t="s">
        <v>6</v>
      </c>
      <c r="C1260" t="s">
        <v>1645</v>
      </c>
      <c r="D1260" t="s">
        <v>1656</v>
      </c>
      <c r="E1260" t="s">
        <v>1657</v>
      </c>
      <c r="F1260" t="s">
        <v>5</v>
      </c>
      <c r="G1260">
        <v>15</v>
      </c>
      <c r="H1260">
        <v>1039287.15</v>
      </c>
      <c r="I1260">
        <v>326.16000000000003</v>
      </c>
    </row>
    <row r="1261" spans="1:9" x14ac:dyDescent="0.2">
      <c r="A1261" s="11">
        <v>46016</v>
      </c>
      <c r="B1261" t="s">
        <v>6</v>
      </c>
      <c r="C1261" t="s">
        <v>1645</v>
      </c>
      <c r="D1261" t="s">
        <v>1656</v>
      </c>
      <c r="E1261" t="s">
        <v>1658</v>
      </c>
      <c r="F1261" t="s">
        <v>18</v>
      </c>
      <c r="G1261">
        <v>13</v>
      </c>
      <c r="H1261">
        <v>672048.91</v>
      </c>
      <c r="I1261">
        <v>210.91</v>
      </c>
    </row>
    <row r="1262" spans="1:9" x14ac:dyDescent="0.2">
      <c r="A1262" s="11">
        <v>46016</v>
      </c>
      <c r="B1262" t="s">
        <v>9</v>
      </c>
      <c r="C1262" t="s">
        <v>1171</v>
      </c>
      <c r="D1262" t="s">
        <v>1659</v>
      </c>
      <c r="E1262" t="s">
        <v>1419</v>
      </c>
      <c r="F1262" t="s">
        <v>18</v>
      </c>
      <c r="G1262">
        <v>13</v>
      </c>
      <c r="H1262">
        <v>691972.71</v>
      </c>
      <c r="I1262">
        <v>217.17</v>
      </c>
    </row>
    <row r="1263" spans="1:9" x14ac:dyDescent="0.2">
      <c r="A1263" s="11">
        <v>46016</v>
      </c>
      <c r="B1263" t="s">
        <v>12</v>
      </c>
      <c r="C1263" t="s">
        <v>1660</v>
      </c>
      <c r="D1263" t="s">
        <v>1661</v>
      </c>
      <c r="E1263" t="s">
        <v>867</v>
      </c>
      <c r="F1263" t="s">
        <v>18</v>
      </c>
      <c r="G1263">
        <v>7</v>
      </c>
      <c r="H1263">
        <v>800427.04</v>
      </c>
      <c r="I1263">
        <v>251.2</v>
      </c>
    </row>
    <row r="1264" spans="1:9" x14ac:dyDescent="0.2">
      <c r="A1264" s="11">
        <v>46016</v>
      </c>
      <c r="B1264" t="s">
        <v>12</v>
      </c>
      <c r="C1264" t="s">
        <v>1660</v>
      </c>
      <c r="D1264" t="s">
        <v>1661</v>
      </c>
      <c r="E1264" t="s">
        <v>1642</v>
      </c>
      <c r="F1264" t="s">
        <v>5</v>
      </c>
      <c r="G1264">
        <v>22</v>
      </c>
      <c r="H1264">
        <v>1543765.96</v>
      </c>
      <c r="I1264">
        <v>484.49</v>
      </c>
    </row>
    <row r="1265" spans="1:9" x14ac:dyDescent="0.2">
      <c r="A1265" s="11">
        <v>46016</v>
      </c>
      <c r="B1265" t="s">
        <v>12</v>
      </c>
      <c r="C1265" t="s">
        <v>1660</v>
      </c>
      <c r="D1265" t="s">
        <v>1661</v>
      </c>
      <c r="E1265" t="s">
        <v>856</v>
      </c>
      <c r="F1265" t="s">
        <v>18</v>
      </c>
      <c r="G1265">
        <v>30</v>
      </c>
      <c r="H1265">
        <v>2178809.7000000002</v>
      </c>
      <c r="I1265">
        <v>683.79</v>
      </c>
    </row>
    <row r="1266" spans="1:9" x14ac:dyDescent="0.2">
      <c r="A1266" s="11">
        <v>46016</v>
      </c>
      <c r="B1266" t="s">
        <v>7</v>
      </c>
      <c r="C1266" t="s">
        <v>69</v>
      </c>
      <c r="D1266" t="s">
        <v>1662</v>
      </c>
      <c r="E1266" t="s">
        <v>797</v>
      </c>
      <c r="F1266" t="s">
        <v>14</v>
      </c>
      <c r="G1266">
        <v>35</v>
      </c>
      <c r="H1266">
        <v>2097657.7999999998</v>
      </c>
      <c r="I1266">
        <v>658.32</v>
      </c>
    </row>
    <row r="1267" spans="1:9" x14ac:dyDescent="0.2">
      <c r="A1267" s="11">
        <v>46016</v>
      </c>
      <c r="B1267" t="s">
        <v>7</v>
      </c>
      <c r="C1267" t="s">
        <v>69</v>
      </c>
      <c r="D1267" t="s">
        <v>1662</v>
      </c>
      <c r="E1267" t="s">
        <v>942</v>
      </c>
      <c r="F1267" t="s">
        <v>22</v>
      </c>
      <c r="G1267">
        <v>5</v>
      </c>
      <c r="H1267">
        <v>188637.45</v>
      </c>
      <c r="I1267">
        <v>59.2</v>
      </c>
    </row>
    <row r="1268" spans="1:9" x14ac:dyDescent="0.2">
      <c r="A1268" s="11">
        <v>46016</v>
      </c>
      <c r="B1268" t="s">
        <v>7</v>
      </c>
      <c r="C1268" t="s">
        <v>69</v>
      </c>
      <c r="D1268" t="s">
        <v>1662</v>
      </c>
      <c r="E1268" t="s">
        <v>64</v>
      </c>
      <c r="F1268" t="s">
        <v>18</v>
      </c>
      <c r="G1268">
        <v>8</v>
      </c>
      <c r="H1268">
        <v>608389.19999999995</v>
      </c>
      <c r="I1268">
        <v>190.93</v>
      </c>
    </row>
    <row r="1269" spans="1:9" x14ac:dyDescent="0.2">
      <c r="A1269" s="11">
        <v>46016</v>
      </c>
      <c r="B1269" t="s">
        <v>7</v>
      </c>
      <c r="C1269" t="s">
        <v>69</v>
      </c>
      <c r="D1269" t="s">
        <v>1662</v>
      </c>
      <c r="E1269" t="s">
        <v>920</v>
      </c>
      <c r="F1269" t="s">
        <v>14</v>
      </c>
      <c r="G1269">
        <v>47</v>
      </c>
      <c r="H1269">
        <v>4514081.63</v>
      </c>
      <c r="I1269">
        <v>1416.68</v>
      </c>
    </row>
    <row r="1270" spans="1:9" x14ac:dyDescent="0.2">
      <c r="A1270" s="11">
        <v>46016</v>
      </c>
      <c r="B1270" t="s">
        <v>7</v>
      </c>
      <c r="C1270" t="s">
        <v>69</v>
      </c>
      <c r="D1270" t="s">
        <v>1662</v>
      </c>
      <c r="E1270" t="s">
        <v>222</v>
      </c>
      <c r="F1270" t="s">
        <v>18</v>
      </c>
      <c r="G1270">
        <v>30</v>
      </c>
      <c r="H1270">
        <v>3612662.4</v>
      </c>
      <c r="I1270">
        <v>1133.78</v>
      </c>
    </row>
    <row r="1271" spans="1:9" x14ac:dyDescent="0.2">
      <c r="A1271" s="11">
        <v>46016</v>
      </c>
      <c r="B1271" t="s">
        <v>8</v>
      </c>
      <c r="C1271" t="s">
        <v>1331</v>
      </c>
      <c r="D1271" t="s">
        <v>1663</v>
      </c>
      <c r="E1271" t="s">
        <v>498</v>
      </c>
      <c r="F1271" t="s">
        <v>22</v>
      </c>
      <c r="G1271">
        <v>7</v>
      </c>
      <c r="H1271">
        <v>395743.04</v>
      </c>
      <c r="I1271">
        <v>124.2</v>
      </c>
    </row>
    <row r="1272" spans="1:9" x14ac:dyDescent="0.2">
      <c r="A1272" s="11">
        <v>46016</v>
      </c>
      <c r="B1272" t="s">
        <v>8</v>
      </c>
      <c r="C1272" t="s">
        <v>1331</v>
      </c>
      <c r="D1272" t="s">
        <v>1663</v>
      </c>
      <c r="E1272" t="s">
        <v>1462</v>
      </c>
      <c r="F1272" t="s">
        <v>20</v>
      </c>
      <c r="G1272">
        <v>22</v>
      </c>
      <c r="H1272">
        <v>4784176.54</v>
      </c>
      <c r="I1272">
        <v>1501.44</v>
      </c>
    </row>
    <row r="1273" spans="1:9" x14ac:dyDescent="0.2">
      <c r="A1273" s="11">
        <v>46016</v>
      </c>
      <c r="B1273" t="s">
        <v>8</v>
      </c>
      <c r="C1273" t="s">
        <v>1331</v>
      </c>
      <c r="D1273" t="s">
        <v>1663</v>
      </c>
      <c r="E1273" t="s">
        <v>1057</v>
      </c>
      <c r="F1273" t="s">
        <v>18</v>
      </c>
      <c r="G1273">
        <v>26</v>
      </c>
      <c r="H1273">
        <v>2510383.7200000002</v>
      </c>
      <c r="I1273">
        <v>787.85</v>
      </c>
    </row>
    <row r="1274" spans="1:9" x14ac:dyDescent="0.2">
      <c r="A1274" s="11">
        <v>46016</v>
      </c>
      <c r="B1274" t="s">
        <v>7</v>
      </c>
      <c r="C1274" t="s">
        <v>1664</v>
      </c>
      <c r="D1274" t="s">
        <v>1665</v>
      </c>
      <c r="E1274" t="s">
        <v>1666</v>
      </c>
      <c r="F1274" t="s">
        <v>20</v>
      </c>
      <c r="G1274">
        <v>18</v>
      </c>
      <c r="H1274">
        <v>2940526.44</v>
      </c>
      <c r="I1274">
        <v>922.84</v>
      </c>
    </row>
    <row r="1275" spans="1:9" x14ac:dyDescent="0.2">
      <c r="A1275" s="11">
        <v>46016</v>
      </c>
      <c r="B1275" t="s">
        <v>7</v>
      </c>
      <c r="C1275" t="s">
        <v>1667</v>
      </c>
      <c r="D1275" t="s">
        <v>1668</v>
      </c>
      <c r="E1275" t="s">
        <v>235</v>
      </c>
      <c r="F1275" t="s">
        <v>16</v>
      </c>
      <c r="G1275">
        <v>25</v>
      </c>
      <c r="H1275">
        <v>3061916.5</v>
      </c>
      <c r="I1275">
        <v>960.94</v>
      </c>
    </row>
    <row r="1276" spans="1:9" x14ac:dyDescent="0.2">
      <c r="A1276" s="11">
        <v>46016</v>
      </c>
      <c r="B1276" t="s">
        <v>7</v>
      </c>
      <c r="C1276" t="s">
        <v>1667</v>
      </c>
      <c r="D1276" t="s">
        <v>1668</v>
      </c>
      <c r="E1276" t="s">
        <v>64</v>
      </c>
      <c r="F1276" t="s">
        <v>18</v>
      </c>
      <c r="G1276">
        <v>15</v>
      </c>
      <c r="H1276">
        <v>1108685.8500000001</v>
      </c>
      <c r="I1276">
        <v>347.94</v>
      </c>
    </row>
    <row r="1277" spans="1:9" x14ac:dyDescent="0.2">
      <c r="A1277" s="11">
        <v>46016</v>
      </c>
      <c r="B1277" t="s">
        <v>7</v>
      </c>
      <c r="C1277" t="s">
        <v>1667</v>
      </c>
      <c r="D1277" t="s">
        <v>1668</v>
      </c>
      <c r="E1277" t="s">
        <v>1293</v>
      </c>
      <c r="F1277" t="s">
        <v>14</v>
      </c>
      <c r="G1277">
        <v>11</v>
      </c>
      <c r="H1277">
        <v>576622.42000000004</v>
      </c>
      <c r="I1277">
        <v>180.96</v>
      </c>
    </row>
    <row r="1278" spans="1:9" x14ac:dyDescent="0.2">
      <c r="A1278" s="11">
        <v>46016</v>
      </c>
      <c r="B1278" t="s">
        <v>6</v>
      </c>
      <c r="C1278" t="s">
        <v>1212</v>
      </c>
      <c r="D1278" t="s">
        <v>1669</v>
      </c>
      <c r="E1278" t="s">
        <v>622</v>
      </c>
      <c r="F1278" t="s">
        <v>16</v>
      </c>
      <c r="G1278">
        <v>21</v>
      </c>
      <c r="H1278">
        <v>3464583.36</v>
      </c>
      <c r="I1278">
        <v>1087.31</v>
      </c>
    </row>
    <row r="1279" spans="1:9" x14ac:dyDescent="0.2">
      <c r="A1279" s="11">
        <v>46016</v>
      </c>
      <c r="B1279" t="s">
        <v>6</v>
      </c>
      <c r="C1279" t="s">
        <v>1212</v>
      </c>
      <c r="D1279" t="s">
        <v>1669</v>
      </c>
      <c r="E1279" t="s">
        <v>533</v>
      </c>
      <c r="F1279" t="s">
        <v>22</v>
      </c>
      <c r="G1279">
        <v>68</v>
      </c>
      <c r="H1279">
        <v>3361686.08</v>
      </c>
      <c r="I1279">
        <v>1055.01</v>
      </c>
    </row>
    <row r="1280" spans="1:9" x14ac:dyDescent="0.2">
      <c r="A1280" s="11">
        <v>46016</v>
      </c>
      <c r="B1280" t="s">
        <v>9</v>
      </c>
      <c r="C1280" t="s">
        <v>690</v>
      </c>
      <c r="D1280" t="s">
        <v>1670</v>
      </c>
      <c r="E1280" t="s">
        <v>1671</v>
      </c>
      <c r="F1280" t="s">
        <v>18</v>
      </c>
      <c r="G1280">
        <v>23</v>
      </c>
      <c r="H1280">
        <v>2553906.2000000002</v>
      </c>
      <c r="I1280">
        <v>801.5</v>
      </c>
    </row>
    <row r="1281" spans="1:9" x14ac:dyDescent="0.2">
      <c r="A1281" s="11">
        <v>46016</v>
      </c>
      <c r="B1281" t="s">
        <v>9</v>
      </c>
      <c r="C1281" t="s">
        <v>690</v>
      </c>
      <c r="D1281" t="s">
        <v>1670</v>
      </c>
      <c r="E1281" t="s">
        <v>1672</v>
      </c>
      <c r="F1281" t="s">
        <v>18</v>
      </c>
      <c r="G1281">
        <v>42</v>
      </c>
      <c r="H1281">
        <v>1763172.6</v>
      </c>
      <c r="I1281">
        <v>553.34</v>
      </c>
    </row>
    <row r="1282" spans="1:9" x14ac:dyDescent="0.2">
      <c r="A1282" s="11">
        <v>46016</v>
      </c>
      <c r="B1282" t="s">
        <v>9</v>
      </c>
      <c r="C1282" t="s">
        <v>690</v>
      </c>
      <c r="D1282" t="s">
        <v>1670</v>
      </c>
      <c r="E1282" t="s">
        <v>1673</v>
      </c>
      <c r="F1282" t="s">
        <v>22</v>
      </c>
      <c r="G1282">
        <v>22</v>
      </c>
      <c r="H1282">
        <v>1029584.82</v>
      </c>
      <c r="I1282">
        <v>323.12</v>
      </c>
    </row>
    <row r="1283" spans="1:9" x14ac:dyDescent="0.2">
      <c r="A1283" s="11">
        <v>46016</v>
      </c>
      <c r="B1283" t="s">
        <v>11</v>
      </c>
      <c r="C1283" t="s">
        <v>1674</v>
      </c>
      <c r="D1283" t="s">
        <v>1675</v>
      </c>
      <c r="E1283" t="s">
        <v>902</v>
      </c>
      <c r="F1283" t="s">
        <v>5</v>
      </c>
      <c r="G1283">
        <v>2</v>
      </c>
      <c r="H1283">
        <v>78035.759999999995</v>
      </c>
      <c r="I1283">
        <v>24.49</v>
      </c>
    </row>
    <row r="1284" spans="1:9" x14ac:dyDescent="0.2">
      <c r="A1284" s="11">
        <v>46016</v>
      </c>
      <c r="B1284" t="s">
        <v>12</v>
      </c>
      <c r="C1284" t="s">
        <v>167</v>
      </c>
      <c r="D1284" t="s">
        <v>1676</v>
      </c>
      <c r="E1284" t="s">
        <v>839</v>
      </c>
      <c r="F1284" t="s">
        <v>22</v>
      </c>
      <c r="G1284">
        <v>13</v>
      </c>
      <c r="H1284">
        <v>371465.9</v>
      </c>
      <c r="I1284">
        <v>116.58</v>
      </c>
    </row>
    <row r="1285" spans="1:9" x14ac:dyDescent="0.2">
      <c r="A1285" s="11">
        <v>46016</v>
      </c>
      <c r="B1285" t="s">
        <v>12</v>
      </c>
      <c r="C1285" t="s">
        <v>167</v>
      </c>
      <c r="D1285" t="s">
        <v>1676</v>
      </c>
      <c r="E1285" t="s">
        <v>1600</v>
      </c>
      <c r="F1285" t="s">
        <v>18</v>
      </c>
      <c r="G1285">
        <v>14</v>
      </c>
      <c r="H1285">
        <v>1711763.48</v>
      </c>
      <c r="I1285">
        <v>537.21</v>
      </c>
    </row>
    <row r="1286" spans="1:9" x14ac:dyDescent="0.2">
      <c r="A1286" s="11">
        <v>46016</v>
      </c>
      <c r="B1286" t="s">
        <v>12</v>
      </c>
      <c r="C1286" t="s">
        <v>1677</v>
      </c>
      <c r="D1286" t="s">
        <v>1678</v>
      </c>
      <c r="E1286" t="s">
        <v>1679</v>
      </c>
      <c r="F1286" t="s">
        <v>18</v>
      </c>
      <c r="G1286">
        <v>7</v>
      </c>
      <c r="H1286">
        <v>276212.78999999998</v>
      </c>
      <c r="I1286">
        <v>86.69</v>
      </c>
    </row>
    <row r="1287" spans="1:9" x14ac:dyDescent="0.2">
      <c r="A1287" s="11">
        <v>46016</v>
      </c>
      <c r="B1287" t="s">
        <v>12</v>
      </c>
      <c r="C1287" t="s">
        <v>1677</v>
      </c>
      <c r="D1287" t="s">
        <v>1678</v>
      </c>
      <c r="E1287" t="s">
        <v>1241</v>
      </c>
      <c r="F1287" t="s">
        <v>22</v>
      </c>
      <c r="G1287">
        <v>16</v>
      </c>
      <c r="H1287">
        <v>850148.96</v>
      </c>
      <c r="I1287">
        <v>266.81</v>
      </c>
    </row>
    <row r="1288" spans="1:9" x14ac:dyDescent="0.2">
      <c r="A1288" s="11">
        <v>46016</v>
      </c>
      <c r="B1288" t="s">
        <v>12</v>
      </c>
      <c r="C1288" t="s">
        <v>1677</v>
      </c>
      <c r="D1288" t="s">
        <v>1678</v>
      </c>
      <c r="E1288" t="s">
        <v>1367</v>
      </c>
      <c r="F1288" t="s">
        <v>20</v>
      </c>
      <c r="G1288">
        <v>14</v>
      </c>
      <c r="H1288">
        <v>1210803.1599999999</v>
      </c>
      <c r="I1288">
        <v>379.99</v>
      </c>
    </row>
    <row r="1289" spans="1:9" x14ac:dyDescent="0.2">
      <c r="A1289" s="11">
        <v>46016</v>
      </c>
      <c r="B1289" t="s">
        <v>10</v>
      </c>
      <c r="C1289" t="s">
        <v>260</v>
      </c>
      <c r="D1289" t="s">
        <v>1680</v>
      </c>
      <c r="E1289" t="s">
        <v>759</v>
      </c>
      <c r="F1289" t="s">
        <v>5</v>
      </c>
      <c r="G1289">
        <v>15</v>
      </c>
      <c r="H1289">
        <v>568887.30000000005</v>
      </c>
      <c r="I1289">
        <v>178.54</v>
      </c>
    </row>
    <row r="1290" spans="1:9" x14ac:dyDescent="0.2">
      <c r="A1290" s="11">
        <v>46016</v>
      </c>
      <c r="B1290" t="s">
        <v>10</v>
      </c>
      <c r="C1290" t="s">
        <v>260</v>
      </c>
      <c r="D1290" t="s">
        <v>1680</v>
      </c>
      <c r="E1290" t="s">
        <v>630</v>
      </c>
      <c r="F1290" t="s">
        <v>5</v>
      </c>
      <c r="G1290">
        <v>13</v>
      </c>
      <c r="H1290">
        <v>951293.33</v>
      </c>
      <c r="I1290">
        <v>298.55</v>
      </c>
    </row>
    <row r="1291" spans="1:9" x14ac:dyDescent="0.2">
      <c r="A1291" s="11">
        <v>46016</v>
      </c>
      <c r="B1291" t="s">
        <v>10</v>
      </c>
      <c r="C1291" t="s">
        <v>260</v>
      </c>
      <c r="D1291" t="s">
        <v>1680</v>
      </c>
      <c r="E1291" t="s">
        <v>1681</v>
      </c>
      <c r="F1291" t="s">
        <v>16</v>
      </c>
      <c r="G1291">
        <v>74</v>
      </c>
      <c r="H1291">
        <v>6704454.0199999996</v>
      </c>
      <c r="I1291">
        <v>2104.09</v>
      </c>
    </row>
    <row r="1292" spans="1:9" x14ac:dyDescent="0.2">
      <c r="A1292" s="11">
        <v>46016</v>
      </c>
      <c r="B1292" t="s">
        <v>10</v>
      </c>
      <c r="C1292" t="s">
        <v>260</v>
      </c>
      <c r="D1292" t="s">
        <v>1680</v>
      </c>
      <c r="E1292" t="s">
        <v>1506</v>
      </c>
      <c r="F1292" t="s">
        <v>5</v>
      </c>
      <c r="G1292">
        <v>6</v>
      </c>
      <c r="H1292">
        <v>189001.86</v>
      </c>
      <c r="I1292">
        <v>59.32</v>
      </c>
    </row>
    <row r="1293" spans="1:9" x14ac:dyDescent="0.2">
      <c r="A1293" s="11">
        <v>46016</v>
      </c>
      <c r="B1293" t="s">
        <v>10</v>
      </c>
      <c r="C1293" t="s">
        <v>260</v>
      </c>
      <c r="D1293" t="s">
        <v>1680</v>
      </c>
      <c r="E1293" t="s">
        <v>1682</v>
      </c>
      <c r="F1293" t="s">
        <v>18</v>
      </c>
      <c r="G1293">
        <v>9</v>
      </c>
      <c r="H1293">
        <v>1013986.44</v>
      </c>
      <c r="I1293">
        <v>318.22000000000003</v>
      </c>
    </row>
    <row r="1294" spans="1:9" x14ac:dyDescent="0.2">
      <c r="A1294" s="11">
        <v>46016</v>
      </c>
      <c r="B1294" t="s">
        <v>11</v>
      </c>
      <c r="C1294" t="s">
        <v>1683</v>
      </c>
      <c r="D1294" t="s">
        <v>1684</v>
      </c>
      <c r="E1294" t="s">
        <v>1685</v>
      </c>
      <c r="F1294" t="s">
        <v>18</v>
      </c>
      <c r="G1294">
        <v>11</v>
      </c>
      <c r="H1294">
        <v>923429.54</v>
      </c>
      <c r="I1294">
        <v>289.8</v>
      </c>
    </row>
    <row r="1295" spans="1:9" x14ac:dyDescent="0.2">
      <c r="A1295" s="11">
        <v>46016</v>
      </c>
      <c r="B1295" t="s">
        <v>11</v>
      </c>
      <c r="C1295" t="s">
        <v>1683</v>
      </c>
      <c r="D1295" t="s">
        <v>1684</v>
      </c>
      <c r="E1295" t="s">
        <v>1642</v>
      </c>
      <c r="F1295" t="s">
        <v>5</v>
      </c>
      <c r="G1295">
        <v>23</v>
      </c>
      <c r="H1295">
        <v>1585174.26</v>
      </c>
      <c r="I1295">
        <v>497.48</v>
      </c>
    </row>
    <row r="1296" spans="1:9" x14ac:dyDescent="0.2">
      <c r="A1296" s="11">
        <v>46016</v>
      </c>
      <c r="B1296" t="s">
        <v>11</v>
      </c>
      <c r="C1296" t="s">
        <v>1683</v>
      </c>
      <c r="D1296" t="s">
        <v>1684</v>
      </c>
      <c r="E1296" t="s">
        <v>1626</v>
      </c>
      <c r="F1296" t="s">
        <v>20</v>
      </c>
      <c r="G1296">
        <v>31</v>
      </c>
      <c r="H1296">
        <v>5674340.4400000004</v>
      </c>
      <c r="I1296">
        <v>1780.81</v>
      </c>
    </row>
    <row r="1297" spans="1:9" x14ac:dyDescent="0.2">
      <c r="A1297" s="11">
        <v>46016</v>
      </c>
      <c r="B1297" t="s">
        <v>11</v>
      </c>
      <c r="C1297" t="s">
        <v>1683</v>
      </c>
      <c r="D1297" t="s">
        <v>1684</v>
      </c>
      <c r="E1297" t="s">
        <v>1686</v>
      </c>
      <c r="F1297" t="s">
        <v>18</v>
      </c>
      <c r="G1297">
        <v>12</v>
      </c>
      <c r="H1297">
        <v>1105620.24</v>
      </c>
      <c r="I1297">
        <v>346.98</v>
      </c>
    </row>
    <row r="1298" spans="1:9" x14ac:dyDescent="0.2">
      <c r="A1298" s="11">
        <v>46016</v>
      </c>
      <c r="B1298" t="s">
        <v>10</v>
      </c>
      <c r="C1298" t="s">
        <v>1687</v>
      </c>
      <c r="D1298" t="s">
        <v>1688</v>
      </c>
      <c r="E1298" t="s">
        <v>465</v>
      </c>
      <c r="F1298" t="s">
        <v>16</v>
      </c>
      <c r="G1298">
        <v>22</v>
      </c>
      <c r="H1298">
        <v>2166169.7200000002</v>
      </c>
      <c r="I1298">
        <v>679.82</v>
      </c>
    </row>
    <row r="1299" spans="1:9" x14ac:dyDescent="0.2">
      <c r="A1299" s="11">
        <v>46016</v>
      </c>
      <c r="B1299" t="s">
        <v>10</v>
      </c>
      <c r="C1299" t="s">
        <v>1687</v>
      </c>
      <c r="D1299" t="s">
        <v>1688</v>
      </c>
      <c r="E1299" t="s">
        <v>1689</v>
      </c>
      <c r="F1299" t="s">
        <v>22</v>
      </c>
      <c r="G1299">
        <v>18</v>
      </c>
      <c r="H1299">
        <v>404959.68</v>
      </c>
      <c r="I1299">
        <v>127.09</v>
      </c>
    </row>
    <row r="1300" spans="1:9" x14ac:dyDescent="0.2">
      <c r="A1300" s="11">
        <v>46016</v>
      </c>
      <c r="B1300" t="s">
        <v>10</v>
      </c>
      <c r="C1300" t="s">
        <v>1687</v>
      </c>
      <c r="D1300" t="s">
        <v>1688</v>
      </c>
      <c r="E1300" t="s">
        <v>890</v>
      </c>
      <c r="F1300" t="s">
        <v>5</v>
      </c>
      <c r="G1300">
        <v>27</v>
      </c>
      <c r="H1300">
        <v>1825332.84</v>
      </c>
      <c r="I1300">
        <v>572.85</v>
      </c>
    </row>
    <row r="1301" spans="1:9" x14ac:dyDescent="0.2">
      <c r="A1301" s="11">
        <v>46016</v>
      </c>
      <c r="B1301" t="s">
        <v>6</v>
      </c>
      <c r="C1301" t="s">
        <v>643</v>
      </c>
      <c r="D1301" t="s">
        <v>1690</v>
      </c>
      <c r="E1301" t="s">
        <v>1691</v>
      </c>
      <c r="F1301" t="s">
        <v>14</v>
      </c>
      <c r="G1301">
        <v>47</v>
      </c>
      <c r="H1301">
        <v>1857337.54</v>
      </c>
      <c r="I1301">
        <v>582.9</v>
      </c>
    </row>
    <row r="1302" spans="1:9" x14ac:dyDescent="0.2">
      <c r="A1302" s="11">
        <v>46016</v>
      </c>
      <c r="B1302" t="s">
        <v>6</v>
      </c>
      <c r="C1302" t="s">
        <v>643</v>
      </c>
      <c r="D1302" t="s">
        <v>1690</v>
      </c>
      <c r="E1302" t="s">
        <v>1256</v>
      </c>
      <c r="F1302" t="s">
        <v>16</v>
      </c>
      <c r="G1302">
        <v>32</v>
      </c>
      <c r="H1302">
        <v>4050022.3999999999</v>
      </c>
      <c r="I1302">
        <v>1271.04</v>
      </c>
    </row>
    <row r="1303" spans="1:9" x14ac:dyDescent="0.2">
      <c r="A1303" s="11">
        <v>46016</v>
      </c>
      <c r="B1303" t="s">
        <v>6</v>
      </c>
      <c r="C1303" t="s">
        <v>643</v>
      </c>
      <c r="D1303" t="s">
        <v>1690</v>
      </c>
      <c r="E1303" t="s">
        <v>304</v>
      </c>
      <c r="F1303" t="s">
        <v>5</v>
      </c>
      <c r="G1303">
        <v>49</v>
      </c>
      <c r="H1303">
        <v>3780880.67</v>
      </c>
      <c r="I1303">
        <v>1186.57</v>
      </c>
    </row>
    <row r="1304" spans="1:9" x14ac:dyDescent="0.2">
      <c r="A1304" s="11">
        <v>46016</v>
      </c>
      <c r="B1304" t="s">
        <v>12</v>
      </c>
      <c r="C1304" t="s">
        <v>605</v>
      </c>
      <c r="D1304" t="s">
        <v>1692</v>
      </c>
      <c r="E1304" t="s">
        <v>648</v>
      </c>
      <c r="F1304" t="s">
        <v>18</v>
      </c>
      <c r="G1304">
        <v>8</v>
      </c>
      <c r="H1304">
        <v>601829.28</v>
      </c>
      <c r="I1304">
        <v>188.87</v>
      </c>
    </row>
    <row r="1305" spans="1:9" x14ac:dyDescent="0.2">
      <c r="A1305" s="11">
        <v>46017</v>
      </c>
      <c r="B1305" t="s">
        <v>7</v>
      </c>
      <c r="C1305" t="s">
        <v>1693</v>
      </c>
      <c r="D1305" t="s">
        <v>1694</v>
      </c>
      <c r="E1305" t="s">
        <v>1175</v>
      </c>
      <c r="F1305" t="s">
        <v>22</v>
      </c>
      <c r="G1305">
        <v>9</v>
      </c>
      <c r="H1305">
        <v>426419.55</v>
      </c>
      <c r="I1305">
        <v>133.83000000000001</v>
      </c>
    </row>
    <row r="1306" spans="1:9" x14ac:dyDescent="0.2">
      <c r="A1306" s="11">
        <v>46017</v>
      </c>
      <c r="B1306" t="s">
        <v>7</v>
      </c>
      <c r="C1306" t="s">
        <v>1693</v>
      </c>
      <c r="D1306" t="s">
        <v>1694</v>
      </c>
      <c r="E1306" t="s">
        <v>1695</v>
      </c>
      <c r="F1306" t="s">
        <v>16</v>
      </c>
      <c r="G1306">
        <v>15</v>
      </c>
      <c r="H1306">
        <v>1266095.55</v>
      </c>
      <c r="I1306">
        <v>397.34</v>
      </c>
    </row>
    <row r="1307" spans="1:9" x14ac:dyDescent="0.2">
      <c r="A1307" s="11">
        <v>46017</v>
      </c>
      <c r="B1307" t="s">
        <v>7</v>
      </c>
      <c r="C1307" t="s">
        <v>506</v>
      </c>
      <c r="D1307" t="s">
        <v>1696</v>
      </c>
      <c r="E1307" t="s">
        <v>816</v>
      </c>
      <c r="F1307" t="s">
        <v>20</v>
      </c>
      <c r="G1307">
        <v>31</v>
      </c>
      <c r="H1307">
        <v>3541407.45</v>
      </c>
      <c r="I1307">
        <v>1111.42</v>
      </c>
    </row>
    <row r="1308" spans="1:9" x14ac:dyDescent="0.2">
      <c r="A1308" s="11">
        <v>46017</v>
      </c>
      <c r="B1308" t="s">
        <v>12</v>
      </c>
      <c r="C1308" t="s">
        <v>1562</v>
      </c>
      <c r="D1308" t="s">
        <v>1697</v>
      </c>
      <c r="E1308" t="s">
        <v>1698</v>
      </c>
      <c r="F1308" t="s">
        <v>5</v>
      </c>
      <c r="G1308">
        <v>30</v>
      </c>
      <c r="H1308">
        <v>1330007.3999999999</v>
      </c>
      <c r="I1308">
        <v>417.4</v>
      </c>
    </row>
    <row r="1309" spans="1:9" x14ac:dyDescent="0.2">
      <c r="A1309" s="11">
        <v>46017</v>
      </c>
      <c r="B1309" t="s">
        <v>12</v>
      </c>
      <c r="C1309" t="s">
        <v>1562</v>
      </c>
      <c r="D1309" t="s">
        <v>1697</v>
      </c>
      <c r="E1309" t="s">
        <v>1329</v>
      </c>
      <c r="F1309" t="s">
        <v>20</v>
      </c>
      <c r="G1309">
        <v>45</v>
      </c>
      <c r="H1309">
        <v>9769253.4000000004</v>
      </c>
      <c r="I1309">
        <v>3065.93</v>
      </c>
    </row>
    <row r="1310" spans="1:9" x14ac:dyDescent="0.2">
      <c r="A1310" s="11">
        <v>46017</v>
      </c>
      <c r="B1310" t="s">
        <v>12</v>
      </c>
      <c r="C1310" t="s">
        <v>1562</v>
      </c>
      <c r="D1310" t="s">
        <v>1697</v>
      </c>
      <c r="E1310" t="s">
        <v>466</v>
      </c>
      <c r="F1310" t="s">
        <v>20</v>
      </c>
      <c r="G1310">
        <v>11</v>
      </c>
      <c r="H1310">
        <v>2062398.91</v>
      </c>
      <c r="I1310">
        <v>647.25</v>
      </c>
    </row>
    <row r="1311" spans="1:9" x14ac:dyDescent="0.2">
      <c r="A1311" s="11">
        <v>46017</v>
      </c>
      <c r="B1311" t="s">
        <v>12</v>
      </c>
      <c r="C1311" t="s">
        <v>1562</v>
      </c>
      <c r="D1311" t="s">
        <v>1697</v>
      </c>
      <c r="E1311" t="s">
        <v>304</v>
      </c>
      <c r="F1311" t="s">
        <v>5</v>
      </c>
      <c r="G1311">
        <v>25</v>
      </c>
      <c r="H1311">
        <v>1866592.5</v>
      </c>
      <c r="I1311">
        <v>585.79999999999995</v>
      </c>
    </row>
    <row r="1312" spans="1:9" x14ac:dyDescent="0.2">
      <c r="A1312" s="11">
        <v>46017</v>
      </c>
      <c r="B1312" t="s">
        <v>10</v>
      </c>
      <c r="C1312" t="s">
        <v>1144</v>
      </c>
      <c r="D1312" t="s">
        <v>1699</v>
      </c>
      <c r="E1312" t="s">
        <v>725</v>
      </c>
      <c r="F1312" t="s">
        <v>22</v>
      </c>
      <c r="G1312">
        <v>5</v>
      </c>
      <c r="H1312">
        <v>150404.79999999999</v>
      </c>
      <c r="I1312">
        <v>47.2</v>
      </c>
    </row>
    <row r="1313" spans="1:9" x14ac:dyDescent="0.2">
      <c r="A1313" s="11">
        <v>46017</v>
      </c>
      <c r="B1313" t="s">
        <v>10</v>
      </c>
      <c r="C1313" t="s">
        <v>1144</v>
      </c>
      <c r="D1313" t="s">
        <v>1699</v>
      </c>
      <c r="E1313" t="s">
        <v>1432</v>
      </c>
      <c r="F1313" t="s">
        <v>14</v>
      </c>
      <c r="G1313">
        <v>16</v>
      </c>
      <c r="H1313">
        <v>1701138.88</v>
      </c>
      <c r="I1313">
        <v>533.88</v>
      </c>
    </row>
    <row r="1314" spans="1:9" x14ac:dyDescent="0.2">
      <c r="A1314" s="11">
        <v>46017</v>
      </c>
      <c r="B1314" t="s">
        <v>6</v>
      </c>
      <c r="C1314" t="s">
        <v>861</v>
      </c>
      <c r="D1314" t="s">
        <v>1700</v>
      </c>
      <c r="E1314" t="s">
        <v>1701</v>
      </c>
      <c r="F1314" t="s">
        <v>20</v>
      </c>
      <c r="G1314">
        <v>5</v>
      </c>
      <c r="H1314">
        <v>1141703.75</v>
      </c>
      <c r="I1314">
        <v>358.31</v>
      </c>
    </row>
    <row r="1315" spans="1:9" x14ac:dyDescent="0.2">
      <c r="A1315" s="11">
        <v>46017</v>
      </c>
      <c r="B1315" t="s">
        <v>10</v>
      </c>
      <c r="C1315" t="s">
        <v>1086</v>
      </c>
      <c r="D1315" t="s">
        <v>1702</v>
      </c>
      <c r="E1315" t="s">
        <v>347</v>
      </c>
      <c r="F1315" t="s">
        <v>16</v>
      </c>
      <c r="G1315">
        <v>12</v>
      </c>
      <c r="H1315">
        <v>1488338.4</v>
      </c>
      <c r="I1315">
        <v>467.09</v>
      </c>
    </row>
    <row r="1316" spans="1:9" x14ac:dyDescent="0.2">
      <c r="A1316" s="11">
        <v>46017</v>
      </c>
      <c r="B1316" t="s">
        <v>10</v>
      </c>
      <c r="C1316" t="s">
        <v>1086</v>
      </c>
      <c r="D1316" t="s">
        <v>1702</v>
      </c>
      <c r="E1316" t="s">
        <v>368</v>
      </c>
      <c r="F1316" t="s">
        <v>20</v>
      </c>
      <c r="G1316">
        <v>12</v>
      </c>
      <c r="H1316">
        <v>1552602</v>
      </c>
      <c r="I1316">
        <v>487.26</v>
      </c>
    </row>
    <row r="1317" spans="1:9" x14ac:dyDescent="0.2">
      <c r="A1317" s="11">
        <v>46017</v>
      </c>
      <c r="B1317" t="s">
        <v>9</v>
      </c>
      <c r="C1317" t="s">
        <v>1507</v>
      </c>
      <c r="D1317" t="s">
        <v>1703</v>
      </c>
      <c r="E1317" t="s">
        <v>497</v>
      </c>
      <c r="F1317" t="s">
        <v>20</v>
      </c>
      <c r="G1317">
        <v>23</v>
      </c>
      <c r="H1317">
        <v>3483271.34</v>
      </c>
      <c r="I1317">
        <v>1093.17</v>
      </c>
    </row>
    <row r="1318" spans="1:9" x14ac:dyDescent="0.2">
      <c r="A1318" s="11">
        <v>46017</v>
      </c>
      <c r="B1318" t="s">
        <v>10</v>
      </c>
      <c r="C1318" t="s">
        <v>1331</v>
      </c>
      <c r="D1318" t="s">
        <v>1704</v>
      </c>
      <c r="E1318" t="s">
        <v>1394</v>
      </c>
      <c r="F1318" t="s">
        <v>5</v>
      </c>
      <c r="G1318">
        <v>18</v>
      </c>
      <c r="H1318">
        <v>874814.94</v>
      </c>
      <c r="I1318">
        <v>274.55</v>
      </c>
    </row>
    <row r="1319" spans="1:9" x14ac:dyDescent="0.2">
      <c r="A1319" s="11">
        <v>46017</v>
      </c>
      <c r="B1319" t="s">
        <v>10</v>
      </c>
      <c r="C1319" t="s">
        <v>1331</v>
      </c>
      <c r="D1319" t="s">
        <v>1704</v>
      </c>
      <c r="E1319" t="s">
        <v>140</v>
      </c>
      <c r="F1319" t="s">
        <v>5</v>
      </c>
      <c r="G1319">
        <v>17</v>
      </c>
      <c r="H1319">
        <v>800937.32</v>
      </c>
      <c r="I1319">
        <v>251.36</v>
      </c>
    </row>
    <row r="1320" spans="1:9" x14ac:dyDescent="0.2">
      <c r="A1320" s="11">
        <v>46017</v>
      </c>
      <c r="B1320" t="s">
        <v>10</v>
      </c>
      <c r="C1320" t="s">
        <v>1331</v>
      </c>
      <c r="D1320" t="s">
        <v>1704</v>
      </c>
      <c r="E1320" t="s">
        <v>672</v>
      </c>
      <c r="F1320" t="s">
        <v>18</v>
      </c>
      <c r="G1320">
        <v>9</v>
      </c>
      <c r="H1320">
        <v>542628.72</v>
      </c>
      <c r="I1320">
        <v>170.3</v>
      </c>
    </row>
    <row r="1321" spans="1:9" x14ac:dyDescent="0.2">
      <c r="A1321" s="11">
        <v>46017</v>
      </c>
      <c r="B1321" t="s">
        <v>10</v>
      </c>
      <c r="C1321" t="s">
        <v>1331</v>
      </c>
      <c r="D1321" t="s">
        <v>1704</v>
      </c>
      <c r="E1321" t="s">
        <v>725</v>
      </c>
      <c r="F1321" t="s">
        <v>22</v>
      </c>
      <c r="G1321">
        <v>30</v>
      </c>
      <c r="H1321">
        <v>922597.5</v>
      </c>
      <c r="I1321">
        <v>289.54000000000002</v>
      </c>
    </row>
    <row r="1322" spans="1:9" x14ac:dyDescent="0.2">
      <c r="A1322" s="11">
        <v>46017</v>
      </c>
      <c r="B1322" t="s">
        <v>6</v>
      </c>
      <c r="C1322" t="s">
        <v>1705</v>
      </c>
      <c r="D1322" t="s">
        <v>1706</v>
      </c>
      <c r="E1322" t="s">
        <v>36</v>
      </c>
      <c r="F1322" t="s">
        <v>5</v>
      </c>
      <c r="G1322">
        <v>22</v>
      </c>
      <c r="H1322">
        <v>818910.18</v>
      </c>
      <c r="I1322">
        <v>257</v>
      </c>
    </row>
    <row r="1323" spans="1:9" x14ac:dyDescent="0.2">
      <c r="A1323" s="11">
        <v>46017</v>
      </c>
      <c r="B1323" t="s">
        <v>6</v>
      </c>
      <c r="C1323" t="s">
        <v>1705</v>
      </c>
      <c r="D1323" t="s">
        <v>1706</v>
      </c>
      <c r="E1323" t="s">
        <v>1623</v>
      </c>
      <c r="F1323" t="s">
        <v>20</v>
      </c>
      <c r="G1323">
        <v>13</v>
      </c>
      <c r="H1323">
        <v>2969712.2</v>
      </c>
      <c r="I1323">
        <v>932</v>
      </c>
    </row>
    <row r="1324" spans="1:9" x14ac:dyDescent="0.2">
      <c r="A1324" s="11">
        <v>46017</v>
      </c>
      <c r="B1324" t="s">
        <v>6</v>
      </c>
      <c r="C1324" t="s">
        <v>1705</v>
      </c>
      <c r="D1324" t="s">
        <v>1706</v>
      </c>
      <c r="E1324" t="s">
        <v>1044</v>
      </c>
      <c r="F1324" t="s">
        <v>5</v>
      </c>
      <c r="G1324">
        <v>23</v>
      </c>
      <c r="H1324">
        <v>1490059.14</v>
      </c>
      <c r="I1324">
        <v>467.63</v>
      </c>
    </row>
    <row r="1325" spans="1:9" x14ac:dyDescent="0.2">
      <c r="A1325" s="11">
        <v>46017</v>
      </c>
      <c r="B1325" t="s">
        <v>6</v>
      </c>
      <c r="C1325" t="s">
        <v>1707</v>
      </c>
      <c r="D1325" t="s">
        <v>1708</v>
      </c>
      <c r="E1325" t="s">
        <v>1709</v>
      </c>
      <c r="F1325" t="s">
        <v>20</v>
      </c>
      <c r="G1325">
        <v>18</v>
      </c>
      <c r="H1325">
        <v>1552895.82</v>
      </c>
      <c r="I1325">
        <v>487.35</v>
      </c>
    </row>
    <row r="1326" spans="1:9" x14ac:dyDescent="0.2">
      <c r="A1326" s="11">
        <v>46017</v>
      </c>
      <c r="B1326" t="s">
        <v>6</v>
      </c>
      <c r="C1326" t="s">
        <v>1710</v>
      </c>
      <c r="D1326" t="s">
        <v>1711</v>
      </c>
      <c r="E1326" t="s">
        <v>1712</v>
      </c>
      <c r="F1326" t="s">
        <v>18</v>
      </c>
      <c r="G1326">
        <v>3</v>
      </c>
      <c r="H1326">
        <v>328373.13</v>
      </c>
      <c r="I1326">
        <v>103.05</v>
      </c>
    </row>
    <row r="1327" spans="1:9" x14ac:dyDescent="0.2">
      <c r="A1327" s="11">
        <v>46017</v>
      </c>
      <c r="B1327" t="s">
        <v>9</v>
      </c>
      <c r="C1327" t="s">
        <v>1615</v>
      </c>
      <c r="D1327" t="s">
        <v>1713</v>
      </c>
      <c r="E1327" t="s">
        <v>1412</v>
      </c>
      <c r="F1327" t="s">
        <v>14</v>
      </c>
      <c r="G1327">
        <v>18</v>
      </c>
      <c r="H1327">
        <v>684498.78</v>
      </c>
      <c r="I1327">
        <v>214.82</v>
      </c>
    </row>
    <row r="1328" spans="1:9" x14ac:dyDescent="0.2">
      <c r="A1328" s="11">
        <v>46017</v>
      </c>
      <c r="B1328" t="s">
        <v>9</v>
      </c>
      <c r="C1328" t="s">
        <v>1615</v>
      </c>
      <c r="D1328" t="s">
        <v>1713</v>
      </c>
      <c r="E1328" t="s">
        <v>1095</v>
      </c>
      <c r="F1328" t="s">
        <v>20</v>
      </c>
      <c r="G1328">
        <v>26</v>
      </c>
      <c r="H1328">
        <v>6122814.6200000001</v>
      </c>
      <c r="I1328">
        <v>1921.55</v>
      </c>
    </row>
    <row r="1329" spans="1:9" x14ac:dyDescent="0.2">
      <c r="A1329" s="11">
        <v>46017</v>
      </c>
      <c r="B1329" t="s">
        <v>9</v>
      </c>
      <c r="C1329" t="s">
        <v>1615</v>
      </c>
      <c r="D1329" t="s">
        <v>1713</v>
      </c>
      <c r="E1329" t="s">
        <v>1506</v>
      </c>
      <c r="F1329" t="s">
        <v>5</v>
      </c>
      <c r="G1329">
        <v>6</v>
      </c>
      <c r="H1329">
        <v>198010.8</v>
      </c>
      <c r="I1329">
        <v>62.14</v>
      </c>
    </row>
    <row r="1330" spans="1:9" x14ac:dyDescent="0.2">
      <c r="A1330" s="11">
        <v>46017</v>
      </c>
      <c r="B1330" t="s">
        <v>9</v>
      </c>
      <c r="C1330" t="s">
        <v>1615</v>
      </c>
      <c r="D1330" t="s">
        <v>1713</v>
      </c>
      <c r="E1330" t="s">
        <v>192</v>
      </c>
      <c r="F1330" t="s">
        <v>22</v>
      </c>
      <c r="G1330">
        <v>23</v>
      </c>
      <c r="H1330">
        <v>1195327.25</v>
      </c>
      <c r="I1330">
        <v>375.14</v>
      </c>
    </row>
    <row r="1331" spans="1:9" x14ac:dyDescent="0.2">
      <c r="A1331" s="11">
        <v>46017</v>
      </c>
      <c r="B1331" t="s">
        <v>12</v>
      </c>
      <c r="C1331" t="s">
        <v>1230</v>
      </c>
      <c r="D1331" t="s">
        <v>1714</v>
      </c>
      <c r="E1331" t="s">
        <v>1715</v>
      </c>
      <c r="F1331" t="s">
        <v>22</v>
      </c>
      <c r="G1331">
        <v>19</v>
      </c>
      <c r="H1331">
        <v>1122320.69</v>
      </c>
      <c r="I1331">
        <v>352.22</v>
      </c>
    </row>
    <row r="1332" spans="1:9" x14ac:dyDescent="0.2">
      <c r="A1332" s="11">
        <v>46017</v>
      </c>
      <c r="B1332" t="s">
        <v>10</v>
      </c>
      <c r="C1332" t="s">
        <v>1716</v>
      </c>
      <c r="D1332" t="s">
        <v>1717</v>
      </c>
      <c r="E1332" t="s">
        <v>1014</v>
      </c>
      <c r="F1332" t="s">
        <v>16</v>
      </c>
      <c r="G1332">
        <v>8</v>
      </c>
      <c r="H1332">
        <v>1129975.52</v>
      </c>
      <c r="I1332">
        <v>354.63</v>
      </c>
    </row>
    <row r="1333" spans="1:9" x14ac:dyDescent="0.2">
      <c r="A1333" s="11">
        <v>46017</v>
      </c>
      <c r="B1333" t="s">
        <v>10</v>
      </c>
      <c r="C1333" t="s">
        <v>1716</v>
      </c>
      <c r="D1333" t="s">
        <v>1717</v>
      </c>
      <c r="E1333" t="s">
        <v>1718</v>
      </c>
      <c r="F1333" t="s">
        <v>5</v>
      </c>
      <c r="G1333">
        <v>31</v>
      </c>
      <c r="H1333">
        <v>821591.76</v>
      </c>
      <c r="I1333">
        <v>257.83999999999997</v>
      </c>
    </row>
    <row r="1334" spans="1:9" x14ac:dyDescent="0.2">
      <c r="A1334" s="11">
        <v>46017</v>
      </c>
      <c r="B1334" t="s">
        <v>10</v>
      </c>
      <c r="C1334" t="s">
        <v>1716</v>
      </c>
      <c r="D1334" t="s">
        <v>1717</v>
      </c>
      <c r="E1334" t="s">
        <v>1719</v>
      </c>
      <c r="F1334" t="s">
        <v>5</v>
      </c>
      <c r="G1334">
        <v>50</v>
      </c>
      <c r="H1334">
        <v>3239108</v>
      </c>
      <c r="I1334">
        <v>1016.54</v>
      </c>
    </row>
    <row r="1335" spans="1:9" x14ac:dyDescent="0.2">
      <c r="A1335" s="11">
        <v>46017</v>
      </c>
      <c r="B1335" t="s">
        <v>10</v>
      </c>
      <c r="C1335" t="s">
        <v>1716</v>
      </c>
      <c r="D1335" t="s">
        <v>1717</v>
      </c>
      <c r="E1335" t="s">
        <v>759</v>
      </c>
      <c r="F1335" t="s">
        <v>5</v>
      </c>
      <c r="G1335">
        <v>37</v>
      </c>
      <c r="H1335">
        <v>1427293.13</v>
      </c>
      <c r="I1335">
        <v>447.93</v>
      </c>
    </row>
    <row r="1336" spans="1:9" x14ac:dyDescent="0.2">
      <c r="A1336" s="11">
        <v>46017</v>
      </c>
      <c r="B1336" t="s">
        <v>8</v>
      </c>
      <c r="C1336" t="s">
        <v>180</v>
      </c>
      <c r="D1336" t="s">
        <v>1720</v>
      </c>
      <c r="E1336" t="s">
        <v>418</v>
      </c>
      <c r="F1336" t="s">
        <v>20</v>
      </c>
      <c r="G1336">
        <v>14</v>
      </c>
      <c r="H1336">
        <v>3118147.34</v>
      </c>
      <c r="I1336">
        <v>978.58</v>
      </c>
    </row>
    <row r="1337" spans="1:9" x14ac:dyDescent="0.2">
      <c r="A1337" s="11">
        <v>46017</v>
      </c>
      <c r="B1337" t="s">
        <v>8</v>
      </c>
      <c r="C1337" t="s">
        <v>1721</v>
      </c>
      <c r="D1337" t="s">
        <v>1722</v>
      </c>
      <c r="E1337" t="s">
        <v>657</v>
      </c>
      <c r="F1337" t="s">
        <v>22</v>
      </c>
      <c r="G1337">
        <v>9</v>
      </c>
      <c r="H1337">
        <v>350407.8</v>
      </c>
      <c r="I1337">
        <v>109.97</v>
      </c>
    </row>
    <row r="1338" spans="1:9" x14ac:dyDescent="0.2">
      <c r="A1338" s="11">
        <v>46017</v>
      </c>
      <c r="B1338" t="s">
        <v>10</v>
      </c>
      <c r="C1338" t="s">
        <v>1723</v>
      </c>
      <c r="D1338" t="s">
        <v>1724</v>
      </c>
      <c r="E1338" t="s">
        <v>756</v>
      </c>
      <c r="F1338" t="s">
        <v>5</v>
      </c>
      <c r="G1338">
        <v>6</v>
      </c>
      <c r="H1338">
        <v>309646.56</v>
      </c>
      <c r="I1338">
        <v>97.18</v>
      </c>
    </row>
    <row r="1339" spans="1:9" x14ac:dyDescent="0.2">
      <c r="A1339" s="11">
        <v>46017</v>
      </c>
      <c r="B1339" t="s">
        <v>10</v>
      </c>
      <c r="C1339" t="s">
        <v>1723</v>
      </c>
      <c r="D1339" t="s">
        <v>1724</v>
      </c>
      <c r="E1339" t="s">
        <v>1725</v>
      </c>
      <c r="F1339" t="s">
        <v>16</v>
      </c>
      <c r="G1339">
        <v>15</v>
      </c>
      <c r="H1339">
        <v>2338631.85</v>
      </c>
      <c r="I1339">
        <v>733.94</v>
      </c>
    </row>
    <row r="1340" spans="1:9" x14ac:dyDescent="0.2">
      <c r="A1340" s="11">
        <v>46017</v>
      </c>
      <c r="B1340" t="s">
        <v>10</v>
      </c>
      <c r="C1340" t="s">
        <v>1705</v>
      </c>
      <c r="D1340" t="s">
        <v>1726</v>
      </c>
      <c r="E1340" t="s">
        <v>1727</v>
      </c>
      <c r="F1340" t="s">
        <v>18</v>
      </c>
      <c r="G1340">
        <v>8</v>
      </c>
      <c r="H1340">
        <v>734047.28</v>
      </c>
      <c r="I1340">
        <v>230.37</v>
      </c>
    </row>
    <row r="1341" spans="1:9" x14ac:dyDescent="0.2">
      <c r="A1341" s="11">
        <v>46017</v>
      </c>
      <c r="B1341" t="s">
        <v>10</v>
      </c>
      <c r="C1341" t="s">
        <v>1705</v>
      </c>
      <c r="D1341" t="s">
        <v>1726</v>
      </c>
      <c r="E1341" t="s">
        <v>1728</v>
      </c>
      <c r="F1341" t="s">
        <v>5</v>
      </c>
      <c r="G1341">
        <v>17</v>
      </c>
      <c r="H1341">
        <v>876421.74</v>
      </c>
      <c r="I1341">
        <v>275.05</v>
      </c>
    </row>
    <row r="1342" spans="1:9" x14ac:dyDescent="0.2">
      <c r="A1342" s="11">
        <v>46017</v>
      </c>
      <c r="B1342" t="s">
        <v>10</v>
      </c>
      <c r="C1342" t="s">
        <v>1705</v>
      </c>
      <c r="D1342" t="s">
        <v>1726</v>
      </c>
      <c r="E1342" t="s">
        <v>1122</v>
      </c>
      <c r="F1342" t="s">
        <v>18</v>
      </c>
      <c r="G1342">
        <v>25</v>
      </c>
      <c r="H1342">
        <v>2339520.25</v>
      </c>
      <c r="I1342">
        <v>734.22</v>
      </c>
    </row>
    <row r="1343" spans="1:9" x14ac:dyDescent="0.2">
      <c r="A1343" s="11">
        <v>46017</v>
      </c>
      <c r="B1343" t="s">
        <v>10</v>
      </c>
      <c r="C1343" t="s">
        <v>1705</v>
      </c>
      <c r="D1343" t="s">
        <v>1726</v>
      </c>
      <c r="E1343" t="s">
        <v>731</v>
      </c>
      <c r="F1343" t="s">
        <v>18</v>
      </c>
      <c r="G1343">
        <v>7</v>
      </c>
      <c r="H1343">
        <v>422778.65</v>
      </c>
      <c r="I1343">
        <v>132.68</v>
      </c>
    </row>
    <row r="1344" spans="1:9" x14ac:dyDescent="0.2">
      <c r="A1344" s="11">
        <v>46017</v>
      </c>
      <c r="B1344" t="s">
        <v>7</v>
      </c>
      <c r="C1344" t="s">
        <v>1729</v>
      </c>
      <c r="D1344" t="s">
        <v>1730</v>
      </c>
      <c r="E1344" t="s">
        <v>1618</v>
      </c>
      <c r="F1344" t="s">
        <v>22</v>
      </c>
      <c r="G1344">
        <v>17</v>
      </c>
      <c r="H1344">
        <v>880080.82</v>
      </c>
      <c r="I1344">
        <v>276.2</v>
      </c>
    </row>
    <row r="1345" spans="1:9" x14ac:dyDescent="0.2">
      <c r="A1345" s="11">
        <v>46017</v>
      </c>
      <c r="B1345" t="s">
        <v>7</v>
      </c>
      <c r="C1345" t="s">
        <v>1729</v>
      </c>
      <c r="D1345" t="s">
        <v>1730</v>
      </c>
      <c r="E1345" t="s">
        <v>1731</v>
      </c>
      <c r="F1345" t="s">
        <v>20</v>
      </c>
      <c r="G1345">
        <v>14</v>
      </c>
      <c r="H1345">
        <v>2379453.16</v>
      </c>
      <c r="I1345">
        <v>746.76</v>
      </c>
    </row>
    <row r="1346" spans="1:9" x14ac:dyDescent="0.2">
      <c r="A1346" s="11">
        <v>46017</v>
      </c>
      <c r="B1346" t="s">
        <v>7</v>
      </c>
      <c r="C1346" t="s">
        <v>1729</v>
      </c>
      <c r="D1346" t="s">
        <v>1730</v>
      </c>
      <c r="E1346" t="s">
        <v>1732</v>
      </c>
      <c r="F1346" t="s">
        <v>20</v>
      </c>
      <c r="G1346">
        <v>50</v>
      </c>
      <c r="H1346">
        <v>9200102.5</v>
      </c>
      <c r="I1346">
        <v>2887.31</v>
      </c>
    </row>
    <row r="1347" spans="1:9" x14ac:dyDescent="0.2">
      <c r="A1347" s="11">
        <v>46018</v>
      </c>
      <c r="B1347" t="s">
        <v>6</v>
      </c>
      <c r="C1347" t="s">
        <v>957</v>
      </c>
      <c r="D1347" t="s">
        <v>1733</v>
      </c>
      <c r="E1347" t="s">
        <v>1175</v>
      </c>
      <c r="F1347" t="s">
        <v>22</v>
      </c>
      <c r="G1347">
        <v>6</v>
      </c>
      <c r="H1347">
        <v>267432.78000000003</v>
      </c>
      <c r="I1347">
        <v>83.93</v>
      </c>
    </row>
    <row r="1348" spans="1:9" x14ac:dyDescent="0.2">
      <c r="A1348" s="11">
        <v>46018</v>
      </c>
      <c r="B1348" t="s">
        <v>6</v>
      </c>
      <c r="C1348" t="s">
        <v>957</v>
      </c>
      <c r="D1348" t="s">
        <v>1733</v>
      </c>
      <c r="E1348" t="s">
        <v>731</v>
      </c>
      <c r="F1348" t="s">
        <v>18</v>
      </c>
      <c r="G1348">
        <v>18</v>
      </c>
      <c r="H1348">
        <v>1051297.56</v>
      </c>
      <c r="I1348">
        <v>329.93</v>
      </c>
    </row>
    <row r="1349" spans="1:9" x14ac:dyDescent="0.2">
      <c r="A1349" s="11">
        <v>46018</v>
      </c>
      <c r="B1349" t="s">
        <v>6</v>
      </c>
      <c r="C1349" t="s">
        <v>957</v>
      </c>
      <c r="D1349" t="s">
        <v>1733</v>
      </c>
      <c r="E1349" t="s">
        <v>303</v>
      </c>
      <c r="F1349" t="s">
        <v>16</v>
      </c>
      <c r="G1349">
        <v>11</v>
      </c>
      <c r="H1349">
        <v>972543.88</v>
      </c>
      <c r="I1349">
        <v>305.22000000000003</v>
      </c>
    </row>
    <row r="1350" spans="1:9" x14ac:dyDescent="0.2">
      <c r="A1350" s="11">
        <v>46018</v>
      </c>
      <c r="B1350" t="s">
        <v>6</v>
      </c>
      <c r="C1350" t="s">
        <v>957</v>
      </c>
      <c r="D1350" t="s">
        <v>1733</v>
      </c>
      <c r="E1350" t="s">
        <v>254</v>
      </c>
      <c r="F1350" t="s">
        <v>18</v>
      </c>
      <c r="G1350">
        <v>17</v>
      </c>
      <c r="H1350">
        <v>1253817.32</v>
      </c>
      <c r="I1350">
        <v>393.49</v>
      </c>
    </row>
    <row r="1351" spans="1:9" x14ac:dyDescent="0.2">
      <c r="A1351" s="11">
        <v>46018</v>
      </c>
      <c r="B1351" t="s">
        <v>6</v>
      </c>
      <c r="C1351" t="s">
        <v>957</v>
      </c>
      <c r="D1351" t="s">
        <v>1733</v>
      </c>
      <c r="E1351" t="s">
        <v>86</v>
      </c>
      <c r="F1351" t="s">
        <v>18</v>
      </c>
      <c r="G1351">
        <v>35</v>
      </c>
      <c r="H1351">
        <v>2127979.35</v>
      </c>
      <c r="I1351">
        <v>667.83</v>
      </c>
    </row>
    <row r="1352" spans="1:9" x14ac:dyDescent="0.2">
      <c r="A1352" s="11">
        <v>46018</v>
      </c>
      <c r="B1352" t="s">
        <v>8</v>
      </c>
      <c r="C1352" t="s">
        <v>1734</v>
      </c>
      <c r="D1352" t="s">
        <v>1735</v>
      </c>
      <c r="E1352" t="s">
        <v>1672</v>
      </c>
      <c r="F1352" t="s">
        <v>18</v>
      </c>
      <c r="G1352">
        <v>9</v>
      </c>
      <c r="H1352">
        <v>363218.31</v>
      </c>
      <c r="I1352">
        <v>113.99</v>
      </c>
    </row>
    <row r="1353" spans="1:9" x14ac:dyDescent="0.2">
      <c r="A1353" s="11">
        <v>46018</v>
      </c>
      <c r="B1353" t="s">
        <v>8</v>
      </c>
      <c r="C1353" t="s">
        <v>1734</v>
      </c>
      <c r="D1353" t="s">
        <v>1735</v>
      </c>
      <c r="E1353" t="s">
        <v>1736</v>
      </c>
      <c r="F1353" t="s">
        <v>22</v>
      </c>
      <c r="G1353">
        <v>43</v>
      </c>
      <c r="H1353">
        <v>1457919.3</v>
      </c>
      <c r="I1353">
        <v>457.55</v>
      </c>
    </row>
    <row r="1354" spans="1:9" x14ac:dyDescent="0.2">
      <c r="A1354" s="11">
        <v>46018</v>
      </c>
      <c r="B1354" t="s">
        <v>8</v>
      </c>
      <c r="C1354" t="s">
        <v>1734</v>
      </c>
      <c r="D1354" t="s">
        <v>1735</v>
      </c>
      <c r="E1354" t="s">
        <v>461</v>
      </c>
      <c r="F1354" t="s">
        <v>5</v>
      </c>
      <c r="G1354">
        <v>7</v>
      </c>
      <c r="H1354">
        <v>213619.77</v>
      </c>
      <c r="I1354">
        <v>67.040000000000006</v>
      </c>
    </row>
    <row r="1355" spans="1:9" x14ac:dyDescent="0.2">
      <c r="A1355" s="11">
        <v>46018</v>
      </c>
      <c r="B1355" t="s">
        <v>8</v>
      </c>
      <c r="C1355" t="s">
        <v>1734</v>
      </c>
      <c r="D1355" t="s">
        <v>1735</v>
      </c>
      <c r="E1355" t="s">
        <v>1151</v>
      </c>
      <c r="F1355" t="s">
        <v>22</v>
      </c>
      <c r="G1355">
        <v>5</v>
      </c>
      <c r="H1355">
        <v>155366.45000000001</v>
      </c>
      <c r="I1355">
        <v>48.76</v>
      </c>
    </row>
    <row r="1356" spans="1:9" x14ac:dyDescent="0.2">
      <c r="A1356" s="11">
        <v>46018</v>
      </c>
      <c r="B1356" t="s">
        <v>12</v>
      </c>
      <c r="C1356" t="s">
        <v>1395</v>
      </c>
      <c r="D1356" t="s">
        <v>1737</v>
      </c>
      <c r="E1356" t="s">
        <v>377</v>
      </c>
      <c r="F1356" t="s">
        <v>22</v>
      </c>
      <c r="G1356">
        <v>18</v>
      </c>
      <c r="H1356">
        <v>676332.18</v>
      </c>
      <c r="I1356">
        <v>212.26</v>
      </c>
    </row>
    <row r="1357" spans="1:9" x14ac:dyDescent="0.2">
      <c r="A1357" s="11">
        <v>46018</v>
      </c>
      <c r="B1357" t="s">
        <v>12</v>
      </c>
      <c r="C1357" t="s">
        <v>1738</v>
      </c>
      <c r="D1357" t="s">
        <v>1739</v>
      </c>
      <c r="E1357" t="s">
        <v>656</v>
      </c>
      <c r="F1357" t="s">
        <v>5</v>
      </c>
      <c r="G1357">
        <v>21</v>
      </c>
      <c r="H1357">
        <v>579647.04</v>
      </c>
      <c r="I1357">
        <v>181.91</v>
      </c>
    </row>
    <row r="1358" spans="1:9" x14ac:dyDescent="0.2">
      <c r="A1358" s="11">
        <v>46018</v>
      </c>
      <c r="B1358" t="s">
        <v>6</v>
      </c>
      <c r="C1358" t="s">
        <v>334</v>
      </c>
      <c r="D1358" t="s">
        <v>1740</v>
      </c>
      <c r="E1358" t="s">
        <v>192</v>
      </c>
      <c r="F1358" t="s">
        <v>22</v>
      </c>
      <c r="G1358">
        <v>40</v>
      </c>
      <c r="H1358">
        <v>2155546.7999999998</v>
      </c>
      <c r="I1358">
        <v>676.49</v>
      </c>
    </row>
    <row r="1359" spans="1:9" x14ac:dyDescent="0.2">
      <c r="A1359" s="11">
        <v>46018</v>
      </c>
      <c r="B1359" t="s">
        <v>6</v>
      </c>
      <c r="C1359" t="s">
        <v>334</v>
      </c>
      <c r="D1359" t="s">
        <v>1740</v>
      </c>
      <c r="E1359" t="s">
        <v>1614</v>
      </c>
      <c r="F1359" t="s">
        <v>22</v>
      </c>
      <c r="G1359">
        <v>29</v>
      </c>
      <c r="H1359">
        <v>712120.52</v>
      </c>
      <c r="I1359">
        <v>223.49</v>
      </c>
    </row>
    <row r="1360" spans="1:9" x14ac:dyDescent="0.2">
      <c r="A1360" s="11">
        <v>46018</v>
      </c>
      <c r="B1360" t="s">
        <v>6</v>
      </c>
      <c r="C1360" t="s">
        <v>334</v>
      </c>
      <c r="D1360" t="s">
        <v>1740</v>
      </c>
      <c r="E1360" t="s">
        <v>749</v>
      </c>
      <c r="F1360" t="s">
        <v>20</v>
      </c>
      <c r="G1360">
        <v>7</v>
      </c>
      <c r="H1360">
        <v>1263111.78</v>
      </c>
      <c r="I1360">
        <v>396.41</v>
      </c>
    </row>
    <row r="1361" spans="1:9" x14ac:dyDescent="0.2">
      <c r="A1361" s="11">
        <v>46018</v>
      </c>
      <c r="B1361" t="s">
        <v>7</v>
      </c>
      <c r="C1361" t="s">
        <v>1191</v>
      </c>
      <c r="D1361" t="s">
        <v>1741</v>
      </c>
      <c r="E1361" t="s">
        <v>1579</v>
      </c>
      <c r="F1361" t="s">
        <v>18</v>
      </c>
      <c r="G1361">
        <v>16</v>
      </c>
      <c r="H1361">
        <v>657347.52</v>
      </c>
      <c r="I1361">
        <v>206.3</v>
      </c>
    </row>
    <row r="1362" spans="1:9" x14ac:dyDescent="0.2">
      <c r="A1362" s="11">
        <v>46018</v>
      </c>
      <c r="B1362" t="s">
        <v>7</v>
      </c>
      <c r="C1362" t="s">
        <v>1191</v>
      </c>
      <c r="D1362" t="s">
        <v>1741</v>
      </c>
      <c r="E1362" t="s">
        <v>1151</v>
      </c>
      <c r="F1362" t="s">
        <v>22</v>
      </c>
      <c r="G1362">
        <v>25</v>
      </c>
      <c r="H1362">
        <v>827905.25</v>
      </c>
      <c r="I1362">
        <v>259.83</v>
      </c>
    </row>
    <row r="1363" spans="1:9" x14ac:dyDescent="0.2">
      <c r="A1363" s="11">
        <v>46018</v>
      </c>
      <c r="B1363" t="s">
        <v>7</v>
      </c>
      <c r="C1363" t="s">
        <v>1288</v>
      </c>
      <c r="D1363" t="s">
        <v>1742</v>
      </c>
      <c r="E1363" t="s">
        <v>1533</v>
      </c>
      <c r="F1363" t="s">
        <v>14</v>
      </c>
      <c r="G1363">
        <v>12</v>
      </c>
      <c r="H1363">
        <v>950510.4</v>
      </c>
      <c r="I1363">
        <v>298.3</v>
      </c>
    </row>
    <row r="1364" spans="1:9" x14ac:dyDescent="0.2">
      <c r="A1364" s="11">
        <v>46018</v>
      </c>
      <c r="B1364" t="s">
        <v>7</v>
      </c>
      <c r="C1364" t="s">
        <v>1288</v>
      </c>
      <c r="D1364" t="s">
        <v>1742</v>
      </c>
      <c r="E1364" t="s">
        <v>1371</v>
      </c>
      <c r="F1364" t="s">
        <v>18</v>
      </c>
      <c r="G1364">
        <v>26</v>
      </c>
      <c r="H1364">
        <v>999061.96</v>
      </c>
      <c r="I1364">
        <v>313.54000000000002</v>
      </c>
    </row>
    <row r="1365" spans="1:9" x14ac:dyDescent="0.2">
      <c r="A1365" s="11">
        <v>46018</v>
      </c>
      <c r="B1365" t="s">
        <v>8</v>
      </c>
      <c r="C1365" t="s">
        <v>1743</v>
      </c>
      <c r="D1365" t="s">
        <v>1744</v>
      </c>
      <c r="E1365" t="s">
        <v>1745</v>
      </c>
      <c r="F1365" t="s">
        <v>14</v>
      </c>
      <c r="G1365">
        <v>7</v>
      </c>
      <c r="H1365">
        <v>529245.71</v>
      </c>
      <c r="I1365">
        <v>166.1</v>
      </c>
    </row>
    <row r="1366" spans="1:9" x14ac:dyDescent="0.2">
      <c r="A1366" s="11">
        <v>46018</v>
      </c>
      <c r="B1366" t="s">
        <v>8</v>
      </c>
      <c r="C1366" t="s">
        <v>1746</v>
      </c>
      <c r="D1366" t="s">
        <v>1747</v>
      </c>
      <c r="E1366" t="s">
        <v>1193</v>
      </c>
      <c r="F1366" t="s">
        <v>22</v>
      </c>
      <c r="G1366">
        <v>48</v>
      </c>
      <c r="H1366">
        <v>2891564.16</v>
      </c>
      <c r="I1366">
        <v>907.47</v>
      </c>
    </row>
    <row r="1367" spans="1:9" x14ac:dyDescent="0.2">
      <c r="A1367" s="11">
        <v>46018</v>
      </c>
      <c r="B1367" t="s">
        <v>8</v>
      </c>
      <c r="C1367" t="s">
        <v>1746</v>
      </c>
      <c r="D1367" t="s">
        <v>1747</v>
      </c>
      <c r="E1367" t="s">
        <v>582</v>
      </c>
      <c r="F1367" t="s">
        <v>20</v>
      </c>
      <c r="G1367">
        <v>19</v>
      </c>
      <c r="H1367">
        <v>4559145.76</v>
      </c>
      <c r="I1367">
        <v>1430.82</v>
      </c>
    </row>
    <row r="1368" spans="1:9" x14ac:dyDescent="0.2">
      <c r="A1368" s="11">
        <v>46018</v>
      </c>
      <c r="B1368" t="s">
        <v>7</v>
      </c>
      <c r="C1368" t="s">
        <v>981</v>
      </c>
      <c r="D1368" t="s">
        <v>1748</v>
      </c>
      <c r="E1368" t="s">
        <v>1749</v>
      </c>
      <c r="F1368" t="s">
        <v>20</v>
      </c>
      <c r="G1368">
        <v>5</v>
      </c>
      <c r="H1368">
        <v>561604.6</v>
      </c>
      <c r="I1368">
        <v>176.25</v>
      </c>
    </row>
    <row r="1369" spans="1:9" x14ac:dyDescent="0.2">
      <c r="A1369" s="11">
        <v>46018</v>
      </c>
      <c r="B1369" t="s">
        <v>7</v>
      </c>
      <c r="C1369" t="s">
        <v>981</v>
      </c>
      <c r="D1369" t="s">
        <v>1748</v>
      </c>
      <c r="E1369" t="s">
        <v>253</v>
      </c>
      <c r="F1369" t="s">
        <v>5</v>
      </c>
      <c r="G1369">
        <v>11</v>
      </c>
      <c r="H1369">
        <v>584471.57999999996</v>
      </c>
      <c r="I1369">
        <v>183.43</v>
      </c>
    </row>
    <row r="1370" spans="1:9" x14ac:dyDescent="0.2">
      <c r="A1370" s="11">
        <v>46018</v>
      </c>
      <c r="B1370" t="s">
        <v>7</v>
      </c>
      <c r="C1370" t="s">
        <v>981</v>
      </c>
      <c r="D1370" t="s">
        <v>1748</v>
      </c>
      <c r="E1370" t="s">
        <v>353</v>
      </c>
      <c r="F1370" t="s">
        <v>22</v>
      </c>
      <c r="G1370">
        <v>38</v>
      </c>
      <c r="H1370">
        <v>1802523.16</v>
      </c>
      <c r="I1370">
        <v>565.69000000000005</v>
      </c>
    </row>
    <row r="1371" spans="1:9" x14ac:dyDescent="0.2">
      <c r="A1371" s="11">
        <v>46018</v>
      </c>
      <c r="B1371" t="s">
        <v>6</v>
      </c>
      <c r="C1371" t="s">
        <v>1750</v>
      </c>
      <c r="D1371" t="s">
        <v>1751</v>
      </c>
      <c r="E1371" t="s">
        <v>1752</v>
      </c>
      <c r="F1371" t="s">
        <v>22</v>
      </c>
      <c r="G1371">
        <v>5</v>
      </c>
      <c r="H1371">
        <v>266349</v>
      </c>
      <c r="I1371">
        <v>83.59</v>
      </c>
    </row>
    <row r="1372" spans="1:9" x14ac:dyDescent="0.2">
      <c r="A1372" s="11">
        <v>46018</v>
      </c>
      <c r="B1372" t="s">
        <v>6</v>
      </c>
      <c r="C1372" t="s">
        <v>1750</v>
      </c>
      <c r="D1372" t="s">
        <v>1751</v>
      </c>
      <c r="E1372" t="s">
        <v>759</v>
      </c>
      <c r="F1372" t="s">
        <v>5</v>
      </c>
      <c r="G1372">
        <v>2</v>
      </c>
      <c r="H1372">
        <v>77475.960000000006</v>
      </c>
      <c r="I1372">
        <v>24.31</v>
      </c>
    </row>
    <row r="1373" spans="1:9" x14ac:dyDescent="0.2">
      <c r="A1373" s="11">
        <v>46018</v>
      </c>
      <c r="B1373" t="s">
        <v>12</v>
      </c>
      <c r="C1373" t="s">
        <v>470</v>
      </c>
      <c r="D1373" t="s">
        <v>1753</v>
      </c>
      <c r="E1373" t="s">
        <v>1754</v>
      </c>
      <c r="F1373" t="s">
        <v>16</v>
      </c>
      <c r="G1373">
        <v>116</v>
      </c>
      <c r="H1373">
        <v>9883510.8800000008</v>
      </c>
      <c r="I1373">
        <v>3101.79</v>
      </c>
    </row>
    <row r="1374" spans="1:9" x14ac:dyDescent="0.2">
      <c r="A1374" s="11">
        <v>46018</v>
      </c>
      <c r="B1374" t="s">
        <v>12</v>
      </c>
      <c r="C1374" t="s">
        <v>470</v>
      </c>
      <c r="D1374" t="s">
        <v>1753</v>
      </c>
      <c r="E1374" t="s">
        <v>587</v>
      </c>
      <c r="F1374" t="s">
        <v>22</v>
      </c>
      <c r="G1374">
        <v>5</v>
      </c>
      <c r="H1374">
        <v>278464.09999999998</v>
      </c>
      <c r="I1374">
        <v>87.39</v>
      </c>
    </row>
    <row r="1375" spans="1:9" x14ac:dyDescent="0.2">
      <c r="A1375" s="11">
        <v>46018</v>
      </c>
      <c r="B1375" t="s">
        <v>12</v>
      </c>
      <c r="C1375" t="s">
        <v>470</v>
      </c>
      <c r="D1375" t="s">
        <v>1753</v>
      </c>
      <c r="E1375" t="s">
        <v>1512</v>
      </c>
      <c r="F1375" t="s">
        <v>22</v>
      </c>
      <c r="G1375">
        <v>7</v>
      </c>
      <c r="H1375">
        <v>357291.83</v>
      </c>
      <c r="I1375">
        <v>112.13</v>
      </c>
    </row>
    <row r="1376" spans="1:9" x14ac:dyDescent="0.2">
      <c r="A1376" s="11">
        <v>46018</v>
      </c>
      <c r="B1376" t="s">
        <v>12</v>
      </c>
      <c r="C1376" t="s">
        <v>470</v>
      </c>
      <c r="D1376" t="s">
        <v>1753</v>
      </c>
      <c r="E1376" t="s">
        <v>637</v>
      </c>
      <c r="F1376" t="s">
        <v>5</v>
      </c>
      <c r="G1376">
        <v>19</v>
      </c>
      <c r="H1376">
        <v>915345.14</v>
      </c>
      <c r="I1376">
        <v>287.27</v>
      </c>
    </row>
    <row r="1377" spans="1:9" x14ac:dyDescent="0.2">
      <c r="A1377" s="11">
        <v>46018</v>
      </c>
      <c r="B1377" t="s">
        <v>12</v>
      </c>
      <c r="C1377" t="s">
        <v>470</v>
      </c>
      <c r="D1377" t="s">
        <v>1753</v>
      </c>
      <c r="E1377" t="s">
        <v>377</v>
      </c>
      <c r="F1377" t="s">
        <v>22</v>
      </c>
      <c r="G1377">
        <v>10</v>
      </c>
      <c r="H1377">
        <v>397096.1</v>
      </c>
      <c r="I1377">
        <v>124.62</v>
      </c>
    </row>
    <row r="1378" spans="1:9" x14ac:dyDescent="0.2">
      <c r="A1378" s="11">
        <v>46018</v>
      </c>
      <c r="B1378" t="s">
        <v>7</v>
      </c>
      <c r="C1378" t="s">
        <v>761</v>
      </c>
      <c r="D1378" t="s">
        <v>1755</v>
      </c>
      <c r="E1378" t="s">
        <v>645</v>
      </c>
      <c r="F1378" t="s">
        <v>16</v>
      </c>
      <c r="G1378">
        <v>20</v>
      </c>
      <c r="H1378">
        <v>1041798.4</v>
      </c>
      <c r="I1378">
        <v>326.95</v>
      </c>
    </row>
    <row r="1379" spans="1:9" x14ac:dyDescent="0.2">
      <c r="A1379" s="11">
        <v>46018</v>
      </c>
      <c r="B1379" t="s">
        <v>7</v>
      </c>
      <c r="C1379" t="s">
        <v>761</v>
      </c>
      <c r="D1379" t="s">
        <v>1755</v>
      </c>
      <c r="E1379" t="s">
        <v>372</v>
      </c>
      <c r="F1379" t="s">
        <v>5</v>
      </c>
      <c r="G1379">
        <v>41</v>
      </c>
      <c r="H1379">
        <v>1696693.16</v>
      </c>
      <c r="I1379">
        <v>532.48</v>
      </c>
    </row>
    <row r="1380" spans="1:9" x14ac:dyDescent="0.2">
      <c r="A1380" s="11">
        <v>46018</v>
      </c>
      <c r="B1380" t="s">
        <v>7</v>
      </c>
      <c r="C1380" t="s">
        <v>1756</v>
      </c>
      <c r="D1380" t="s">
        <v>1757</v>
      </c>
      <c r="E1380" t="s">
        <v>755</v>
      </c>
      <c r="F1380" t="s">
        <v>18</v>
      </c>
      <c r="G1380">
        <v>48</v>
      </c>
      <c r="H1380">
        <v>5007638.88</v>
      </c>
      <c r="I1380">
        <v>1571.57</v>
      </c>
    </row>
    <row r="1381" spans="1:9" x14ac:dyDescent="0.2">
      <c r="A1381" s="11">
        <v>46018</v>
      </c>
      <c r="B1381" t="s">
        <v>6</v>
      </c>
      <c r="C1381" t="s">
        <v>977</v>
      </c>
      <c r="D1381" t="s">
        <v>1758</v>
      </c>
      <c r="E1381" t="s">
        <v>1759</v>
      </c>
      <c r="F1381" t="s">
        <v>16</v>
      </c>
      <c r="G1381">
        <v>8</v>
      </c>
      <c r="H1381">
        <v>909094.32</v>
      </c>
      <c r="I1381">
        <v>285.31</v>
      </c>
    </row>
    <row r="1382" spans="1:9" x14ac:dyDescent="0.2">
      <c r="A1382" s="11">
        <v>46018</v>
      </c>
      <c r="B1382" t="s">
        <v>9</v>
      </c>
      <c r="C1382" t="s">
        <v>1760</v>
      </c>
      <c r="D1382" t="s">
        <v>1761</v>
      </c>
      <c r="E1382" t="s">
        <v>1545</v>
      </c>
      <c r="F1382" t="s">
        <v>16</v>
      </c>
      <c r="G1382">
        <v>10</v>
      </c>
      <c r="H1382">
        <v>1187797.1000000001</v>
      </c>
      <c r="I1382">
        <v>372.77</v>
      </c>
    </row>
    <row r="1383" spans="1:9" x14ac:dyDescent="0.2">
      <c r="A1383" s="11">
        <v>46018</v>
      </c>
      <c r="B1383" t="s">
        <v>9</v>
      </c>
      <c r="C1383" t="s">
        <v>1760</v>
      </c>
      <c r="D1383" t="s">
        <v>1761</v>
      </c>
      <c r="E1383" t="s">
        <v>1425</v>
      </c>
      <c r="F1383" t="s">
        <v>16</v>
      </c>
      <c r="G1383">
        <v>9</v>
      </c>
      <c r="H1383">
        <v>1060881.03</v>
      </c>
      <c r="I1383">
        <v>332.94</v>
      </c>
    </row>
    <row r="1384" spans="1:9" x14ac:dyDescent="0.2">
      <c r="A1384" s="11">
        <v>46018</v>
      </c>
      <c r="B1384" t="s">
        <v>9</v>
      </c>
      <c r="C1384" t="s">
        <v>1760</v>
      </c>
      <c r="D1384" t="s">
        <v>1761</v>
      </c>
      <c r="E1384" t="s">
        <v>327</v>
      </c>
      <c r="F1384" t="s">
        <v>14</v>
      </c>
      <c r="G1384">
        <v>7</v>
      </c>
      <c r="H1384">
        <v>242134.83</v>
      </c>
      <c r="I1384">
        <v>75.989999999999995</v>
      </c>
    </row>
    <row r="1385" spans="1:9" x14ac:dyDescent="0.2">
      <c r="A1385" s="11">
        <v>46018</v>
      </c>
      <c r="B1385" t="s">
        <v>8</v>
      </c>
      <c r="C1385" t="s">
        <v>1016</v>
      </c>
      <c r="D1385" t="s">
        <v>1762</v>
      </c>
      <c r="E1385" t="s">
        <v>1763</v>
      </c>
      <c r="F1385" t="s">
        <v>18</v>
      </c>
      <c r="G1385">
        <v>8</v>
      </c>
      <c r="H1385">
        <v>728974.96</v>
      </c>
      <c r="I1385">
        <v>228.78</v>
      </c>
    </row>
    <row r="1386" spans="1:9" x14ac:dyDescent="0.2">
      <c r="A1386" s="11">
        <v>46018</v>
      </c>
      <c r="B1386" t="s">
        <v>8</v>
      </c>
      <c r="C1386" t="s">
        <v>1016</v>
      </c>
      <c r="D1386" t="s">
        <v>1762</v>
      </c>
      <c r="E1386" t="s">
        <v>588</v>
      </c>
      <c r="F1386" t="s">
        <v>18</v>
      </c>
      <c r="G1386">
        <v>14</v>
      </c>
      <c r="H1386">
        <v>1202926.48</v>
      </c>
      <c r="I1386">
        <v>377.52</v>
      </c>
    </row>
    <row r="1387" spans="1:9" x14ac:dyDescent="0.2">
      <c r="A1387" s="11">
        <v>46018</v>
      </c>
      <c r="B1387" t="s">
        <v>8</v>
      </c>
      <c r="C1387" t="s">
        <v>1764</v>
      </c>
      <c r="D1387" t="s">
        <v>1765</v>
      </c>
      <c r="E1387" t="s">
        <v>1207</v>
      </c>
      <c r="F1387" t="s">
        <v>22</v>
      </c>
      <c r="G1387">
        <v>17</v>
      </c>
      <c r="H1387">
        <v>835815.71</v>
      </c>
      <c r="I1387">
        <v>262.31</v>
      </c>
    </row>
    <row r="1388" spans="1:9" x14ac:dyDescent="0.2">
      <c r="A1388" s="11">
        <v>46018</v>
      </c>
      <c r="B1388" t="s">
        <v>11</v>
      </c>
      <c r="C1388" t="s">
        <v>1766</v>
      </c>
      <c r="D1388" t="s">
        <v>1767</v>
      </c>
      <c r="E1388" t="s">
        <v>254</v>
      </c>
      <c r="F1388" t="s">
        <v>18</v>
      </c>
      <c r="G1388">
        <v>22</v>
      </c>
      <c r="H1388">
        <v>1562309.32</v>
      </c>
      <c r="I1388">
        <v>490.31</v>
      </c>
    </row>
    <row r="1389" spans="1:9" x14ac:dyDescent="0.2">
      <c r="A1389" s="11">
        <v>46018</v>
      </c>
      <c r="B1389" t="s">
        <v>10</v>
      </c>
      <c r="C1389" t="s">
        <v>1768</v>
      </c>
      <c r="D1389" t="s">
        <v>1769</v>
      </c>
      <c r="E1389" t="s">
        <v>301</v>
      </c>
      <c r="F1389" t="s">
        <v>22</v>
      </c>
      <c r="G1389">
        <v>14</v>
      </c>
      <c r="H1389">
        <v>598703.42000000004</v>
      </c>
      <c r="I1389">
        <v>187.89</v>
      </c>
    </row>
    <row r="1390" spans="1:9" x14ac:dyDescent="0.2">
      <c r="A1390" s="11">
        <v>46018</v>
      </c>
      <c r="B1390" t="s">
        <v>10</v>
      </c>
      <c r="C1390" t="s">
        <v>1768</v>
      </c>
      <c r="D1390" t="s">
        <v>1769</v>
      </c>
      <c r="E1390" t="s">
        <v>1586</v>
      </c>
      <c r="F1390" t="s">
        <v>18</v>
      </c>
      <c r="G1390">
        <v>19</v>
      </c>
      <c r="H1390">
        <v>2293795.33</v>
      </c>
      <c r="I1390">
        <v>719.87</v>
      </c>
    </row>
    <row r="1391" spans="1:9" x14ac:dyDescent="0.2">
      <c r="A1391" s="11">
        <v>46018</v>
      </c>
      <c r="B1391" t="s">
        <v>10</v>
      </c>
      <c r="C1391" t="s">
        <v>1768</v>
      </c>
      <c r="D1391" t="s">
        <v>1769</v>
      </c>
      <c r="E1391" t="s">
        <v>645</v>
      </c>
      <c r="F1391" t="s">
        <v>16</v>
      </c>
      <c r="G1391">
        <v>22</v>
      </c>
      <c r="H1391">
        <v>1180892.68</v>
      </c>
      <c r="I1391">
        <v>370.61</v>
      </c>
    </row>
    <row r="1392" spans="1:9" x14ac:dyDescent="0.2">
      <c r="A1392" s="11">
        <v>46018</v>
      </c>
      <c r="B1392" t="s">
        <v>10</v>
      </c>
      <c r="C1392" t="s">
        <v>1768</v>
      </c>
      <c r="D1392" t="s">
        <v>1769</v>
      </c>
      <c r="E1392" t="s">
        <v>441</v>
      </c>
      <c r="F1392" t="s">
        <v>5</v>
      </c>
      <c r="G1392">
        <v>11</v>
      </c>
      <c r="H1392">
        <v>331179.75</v>
      </c>
      <c r="I1392">
        <v>103.94</v>
      </c>
    </row>
    <row r="1393" spans="1:9" x14ac:dyDescent="0.2">
      <c r="A1393" s="11">
        <v>46018</v>
      </c>
      <c r="B1393" t="s">
        <v>10</v>
      </c>
      <c r="C1393" t="s">
        <v>1770</v>
      </c>
      <c r="D1393" t="s">
        <v>1771</v>
      </c>
      <c r="E1393" t="s">
        <v>1772</v>
      </c>
      <c r="F1393" t="s">
        <v>14</v>
      </c>
      <c r="G1393">
        <v>26</v>
      </c>
      <c r="H1393">
        <v>1697523.88</v>
      </c>
      <c r="I1393">
        <v>532.74</v>
      </c>
    </row>
    <row r="1394" spans="1:9" x14ac:dyDescent="0.2">
      <c r="A1394" s="11">
        <v>46018</v>
      </c>
      <c r="B1394" t="s">
        <v>10</v>
      </c>
      <c r="C1394" t="s">
        <v>1770</v>
      </c>
      <c r="D1394" t="s">
        <v>1771</v>
      </c>
      <c r="E1394" t="s">
        <v>1211</v>
      </c>
      <c r="F1394" t="s">
        <v>5</v>
      </c>
      <c r="G1394">
        <v>4</v>
      </c>
      <c r="H1394">
        <v>272271.03999999998</v>
      </c>
      <c r="I1394">
        <v>85.45</v>
      </c>
    </row>
    <row r="1395" spans="1:9" x14ac:dyDescent="0.2">
      <c r="A1395" s="11">
        <v>46018</v>
      </c>
      <c r="B1395" t="s">
        <v>10</v>
      </c>
      <c r="C1395" t="s">
        <v>1770</v>
      </c>
      <c r="D1395" t="s">
        <v>1771</v>
      </c>
      <c r="E1395" t="s">
        <v>358</v>
      </c>
      <c r="F1395" t="s">
        <v>18</v>
      </c>
      <c r="G1395">
        <v>77</v>
      </c>
      <c r="H1395">
        <v>6005748.9800000004</v>
      </c>
      <c r="I1395">
        <v>1884.81</v>
      </c>
    </row>
    <row r="1396" spans="1:9" x14ac:dyDescent="0.2">
      <c r="A1396" s="11">
        <v>46018</v>
      </c>
      <c r="B1396" t="s">
        <v>10</v>
      </c>
      <c r="C1396" t="s">
        <v>1770</v>
      </c>
      <c r="D1396" t="s">
        <v>1771</v>
      </c>
      <c r="E1396" t="s">
        <v>1043</v>
      </c>
      <c r="F1396" t="s">
        <v>22</v>
      </c>
      <c r="G1396">
        <v>11</v>
      </c>
      <c r="H1396">
        <v>375306.69</v>
      </c>
      <c r="I1396">
        <v>117.78</v>
      </c>
    </row>
    <row r="1397" spans="1:9" x14ac:dyDescent="0.2">
      <c r="A1397" s="11">
        <v>46018</v>
      </c>
      <c r="B1397" t="s">
        <v>10</v>
      </c>
      <c r="C1397" t="s">
        <v>1770</v>
      </c>
      <c r="D1397" t="s">
        <v>1771</v>
      </c>
      <c r="E1397" t="s">
        <v>1773</v>
      </c>
      <c r="F1397" t="s">
        <v>14</v>
      </c>
      <c r="G1397">
        <v>10</v>
      </c>
      <c r="H1397">
        <v>824086.7</v>
      </c>
      <c r="I1397">
        <v>258.63</v>
      </c>
    </row>
    <row r="1398" spans="1:9" x14ac:dyDescent="0.2">
      <c r="A1398" s="11">
        <v>46019</v>
      </c>
      <c r="B1398" t="s">
        <v>7</v>
      </c>
      <c r="C1398" t="s">
        <v>1774</v>
      </c>
      <c r="D1398" t="s">
        <v>1775</v>
      </c>
      <c r="E1398" t="s">
        <v>115</v>
      </c>
      <c r="F1398" t="s">
        <v>14</v>
      </c>
      <c r="G1398">
        <v>11</v>
      </c>
      <c r="H1398">
        <v>613196.65</v>
      </c>
      <c r="I1398">
        <v>192.44</v>
      </c>
    </row>
    <row r="1399" spans="1:9" x14ac:dyDescent="0.2">
      <c r="A1399" s="11">
        <v>46019</v>
      </c>
      <c r="B1399" t="s">
        <v>7</v>
      </c>
      <c r="C1399" t="s">
        <v>1774</v>
      </c>
      <c r="D1399" t="s">
        <v>1775</v>
      </c>
      <c r="E1399" t="s">
        <v>1776</v>
      </c>
      <c r="F1399" t="s">
        <v>18</v>
      </c>
      <c r="G1399">
        <v>19</v>
      </c>
      <c r="H1399">
        <v>2027558.59</v>
      </c>
      <c r="I1399">
        <v>636.32000000000005</v>
      </c>
    </row>
    <row r="1400" spans="1:9" x14ac:dyDescent="0.2">
      <c r="A1400" s="11">
        <v>46019</v>
      </c>
      <c r="B1400" t="s">
        <v>8</v>
      </c>
      <c r="C1400" t="s">
        <v>1777</v>
      </c>
      <c r="D1400" t="s">
        <v>1778</v>
      </c>
      <c r="E1400" t="s">
        <v>1779</v>
      </c>
      <c r="F1400" t="s">
        <v>5</v>
      </c>
      <c r="G1400">
        <v>15</v>
      </c>
      <c r="H1400">
        <v>480665.7</v>
      </c>
      <c r="I1400">
        <v>150.85</v>
      </c>
    </row>
    <row r="1401" spans="1:9" x14ac:dyDescent="0.2">
      <c r="A1401" s="11">
        <v>46019</v>
      </c>
      <c r="B1401" t="s">
        <v>9</v>
      </c>
      <c r="C1401" t="s">
        <v>1780</v>
      </c>
      <c r="D1401" t="s">
        <v>1781</v>
      </c>
      <c r="E1401" t="s">
        <v>1725</v>
      </c>
      <c r="F1401" t="s">
        <v>16</v>
      </c>
      <c r="G1401">
        <v>2</v>
      </c>
      <c r="H1401">
        <v>302019.20000000001</v>
      </c>
      <c r="I1401">
        <v>94.78</v>
      </c>
    </row>
    <row r="1402" spans="1:9" x14ac:dyDescent="0.2">
      <c r="A1402" s="11">
        <v>46019</v>
      </c>
      <c r="B1402" t="s">
        <v>9</v>
      </c>
      <c r="C1402" t="s">
        <v>1780</v>
      </c>
      <c r="D1402" t="s">
        <v>1781</v>
      </c>
      <c r="E1402" t="s">
        <v>291</v>
      </c>
      <c r="F1402" t="s">
        <v>18</v>
      </c>
      <c r="G1402">
        <v>5</v>
      </c>
      <c r="H1402">
        <v>350543.35</v>
      </c>
      <c r="I1402">
        <v>110.01</v>
      </c>
    </row>
    <row r="1403" spans="1:9" x14ac:dyDescent="0.2">
      <c r="A1403" s="11">
        <v>46019</v>
      </c>
      <c r="B1403" t="s">
        <v>9</v>
      </c>
      <c r="C1403" t="s">
        <v>1780</v>
      </c>
      <c r="D1403" t="s">
        <v>1781</v>
      </c>
      <c r="E1403" t="s">
        <v>37</v>
      </c>
      <c r="F1403" t="s">
        <v>5</v>
      </c>
      <c r="G1403">
        <v>9</v>
      </c>
      <c r="H1403">
        <v>368471.79</v>
      </c>
      <c r="I1403">
        <v>115.64</v>
      </c>
    </row>
    <row r="1404" spans="1:9" x14ac:dyDescent="0.2">
      <c r="A1404" s="11">
        <v>46019</v>
      </c>
      <c r="B1404" t="s">
        <v>9</v>
      </c>
      <c r="C1404" t="s">
        <v>1780</v>
      </c>
      <c r="D1404" t="s">
        <v>1781</v>
      </c>
      <c r="E1404" t="s">
        <v>1728</v>
      </c>
      <c r="F1404" t="s">
        <v>5</v>
      </c>
      <c r="G1404">
        <v>14</v>
      </c>
      <c r="H1404">
        <v>723881.48</v>
      </c>
      <c r="I1404">
        <v>227.18</v>
      </c>
    </row>
    <row r="1405" spans="1:9" x14ac:dyDescent="0.2">
      <c r="A1405" s="11">
        <v>46019</v>
      </c>
      <c r="B1405" t="s">
        <v>10</v>
      </c>
      <c r="C1405" t="s">
        <v>518</v>
      </c>
      <c r="D1405" t="s">
        <v>1782</v>
      </c>
      <c r="E1405" t="s">
        <v>629</v>
      </c>
      <c r="F1405" t="s">
        <v>22</v>
      </c>
      <c r="G1405">
        <v>7</v>
      </c>
      <c r="H1405">
        <v>250516.91</v>
      </c>
      <c r="I1405">
        <v>78.62</v>
      </c>
    </row>
    <row r="1406" spans="1:9" x14ac:dyDescent="0.2">
      <c r="A1406" s="11">
        <v>46019</v>
      </c>
      <c r="B1406" t="s">
        <v>10</v>
      </c>
      <c r="C1406" t="s">
        <v>518</v>
      </c>
      <c r="D1406" t="s">
        <v>1782</v>
      </c>
      <c r="E1406" t="s">
        <v>1300</v>
      </c>
      <c r="F1406" t="s">
        <v>22</v>
      </c>
      <c r="G1406">
        <v>16</v>
      </c>
      <c r="H1406">
        <v>1045825.6</v>
      </c>
      <c r="I1406">
        <v>328.22</v>
      </c>
    </row>
    <row r="1407" spans="1:9" x14ac:dyDescent="0.2">
      <c r="A1407" s="11">
        <v>46019</v>
      </c>
      <c r="B1407" t="s">
        <v>6</v>
      </c>
      <c r="C1407" t="s">
        <v>1783</v>
      </c>
      <c r="D1407" t="s">
        <v>1784</v>
      </c>
      <c r="E1407" t="s">
        <v>863</v>
      </c>
      <c r="F1407" t="s">
        <v>5</v>
      </c>
      <c r="G1407">
        <v>5</v>
      </c>
      <c r="H1407">
        <v>361864.4</v>
      </c>
      <c r="I1407">
        <v>113.57</v>
      </c>
    </row>
    <row r="1408" spans="1:9" x14ac:dyDescent="0.2">
      <c r="A1408" s="11">
        <v>46019</v>
      </c>
      <c r="B1408" t="s">
        <v>6</v>
      </c>
      <c r="C1408" t="s">
        <v>685</v>
      </c>
      <c r="D1408" t="s">
        <v>1785</v>
      </c>
      <c r="E1408" t="s">
        <v>758</v>
      </c>
      <c r="F1408" t="s">
        <v>14</v>
      </c>
      <c r="G1408">
        <v>5</v>
      </c>
      <c r="H1408">
        <v>361386</v>
      </c>
      <c r="I1408">
        <v>113.42</v>
      </c>
    </row>
    <row r="1409" spans="1:9" x14ac:dyDescent="0.2">
      <c r="A1409" s="11">
        <v>46019</v>
      </c>
      <c r="B1409" t="s">
        <v>6</v>
      </c>
      <c r="C1409" t="s">
        <v>1786</v>
      </c>
      <c r="D1409" t="s">
        <v>1787</v>
      </c>
      <c r="E1409" t="s">
        <v>393</v>
      </c>
      <c r="F1409" t="s">
        <v>5</v>
      </c>
      <c r="G1409">
        <v>44</v>
      </c>
      <c r="H1409">
        <v>3172222.24</v>
      </c>
      <c r="I1409">
        <v>995.55</v>
      </c>
    </row>
    <row r="1410" spans="1:9" x14ac:dyDescent="0.2">
      <c r="A1410" s="11">
        <v>46019</v>
      </c>
      <c r="B1410" t="s">
        <v>9</v>
      </c>
      <c r="C1410" t="s">
        <v>1710</v>
      </c>
      <c r="D1410" t="s">
        <v>1788</v>
      </c>
      <c r="E1410" t="s">
        <v>1432</v>
      </c>
      <c r="F1410" t="s">
        <v>14</v>
      </c>
      <c r="G1410">
        <v>14</v>
      </c>
      <c r="H1410">
        <v>1489838.56</v>
      </c>
      <c r="I1410">
        <v>467.56</v>
      </c>
    </row>
    <row r="1411" spans="1:9" x14ac:dyDescent="0.2">
      <c r="A1411" s="11">
        <v>46019</v>
      </c>
      <c r="B1411" t="s">
        <v>9</v>
      </c>
      <c r="C1411" t="s">
        <v>1710</v>
      </c>
      <c r="D1411" t="s">
        <v>1788</v>
      </c>
      <c r="E1411" t="s">
        <v>867</v>
      </c>
      <c r="F1411" t="s">
        <v>18</v>
      </c>
      <c r="G1411">
        <v>34</v>
      </c>
      <c r="H1411">
        <v>3803432.78</v>
      </c>
      <c r="I1411">
        <v>1193.6500000000001</v>
      </c>
    </row>
    <row r="1412" spans="1:9" x14ac:dyDescent="0.2">
      <c r="A1412" s="11">
        <v>46019</v>
      </c>
      <c r="B1412" t="s">
        <v>9</v>
      </c>
      <c r="C1412" t="s">
        <v>1710</v>
      </c>
      <c r="D1412" t="s">
        <v>1788</v>
      </c>
      <c r="E1412" t="s">
        <v>601</v>
      </c>
      <c r="F1412" t="s">
        <v>18</v>
      </c>
      <c r="G1412">
        <v>6</v>
      </c>
      <c r="H1412">
        <v>574364.52</v>
      </c>
      <c r="I1412">
        <v>180.26</v>
      </c>
    </row>
    <row r="1413" spans="1:9" x14ac:dyDescent="0.2">
      <c r="A1413" s="11">
        <v>46019</v>
      </c>
      <c r="B1413" t="s">
        <v>8</v>
      </c>
      <c r="C1413" t="s">
        <v>1789</v>
      </c>
      <c r="D1413" t="s">
        <v>1790</v>
      </c>
      <c r="E1413" t="s">
        <v>340</v>
      </c>
      <c r="F1413" t="s">
        <v>16</v>
      </c>
      <c r="G1413">
        <v>24</v>
      </c>
      <c r="H1413">
        <v>3525162.72</v>
      </c>
      <c r="I1413">
        <v>1106.32</v>
      </c>
    </row>
    <row r="1414" spans="1:9" x14ac:dyDescent="0.2">
      <c r="A1414" s="11">
        <v>46019</v>
      </c>
      <c r="B1414" t="s">
        <v>8</v>
      </c>
      <c r="C1414" t="s">
        <v>1789</v>
      </c>
      <c r="D1414" t="s">
        <v>1790</v>
      </c>
      <c r="E1414" t="s">
        <v>1791</v>
      </c>
      <c r="F1414" t="s">
        <v>5</v>
      </c>
      <c r="G1414">
        <v>6</v>
      </c>
      <c r="H1414">
        <v>362708.58</v>
      </c>
      <c r="I1414">
        <v>113.83</v>
      </c>
    </row>
    <row r="1415" spans="1:9" x14ac:dyDescent="0.2">
      <c r="A1415" s="11">
        <v>46019</v>
      </c>
      <c r="B1415" t="s">
        <v>8</v>
      </c>
      <c r="C1415" t="s">
        <v>1789</v>
      </c>
      <c r="D1415" t="s">
        <v>1790</v>
      </c>
      <c r="E1415" t="s">
        <v>1792</v>
      </c>
      <c r="F1415" t="s">
        <v>20</v>
      </c>
      <c r="G1415">
        <v>10</v>
      </c>
      <c r="H1415">
        <v>2126382.1</v>
      </c>
      <c r="I1415">
        <v>667.33</v>
      </c>
    </row>
    <row r="1416" spans="1:9" x14ac:dyDescent="0.2">
      <c r="A1416" s="11">
        <v>46019</v>
      </c>
      <c r="B1416" t="s">
        <v>8</v>
      </c>
      <c r="C1416" t="s">
        <v>1789</v>
      </c>
      <c r="D1416" t="s">
        <v>1790</v>
      </c>
      <c r="E1416" t="s">
        <v>893</v>
      </c>
      <c r="F1416" t="s">
        <v>5</v>
      </c>
      <c r="G1416">
        <v>8</v>
      </c>
      <c r="H1416">
        <v>565819.19999999995</v>
      </c>
      <c r="I1416">
        <v>177.57</v>
      </c>
    </row>
    <row r="1417" spans="1:9" x14ac:dyDescent="0.2">
      <c r="A1417" s="11">
        <v>46019</v>
      </c>
      <c r="B1417" t="s">
        <v>10</v>
      </c>
      <c r="C1417" t="s">
        <v>1793</v>
      </c>
      <c r="D1417" t="s">
        <v>1794</v>
      </c>
      <c r="E1417" t="s">
        <v>119</v>
      </c>
      <c r="F1417" t="s">
        <v>5</v>
      </c>
      <c r="G1417">
        <v>9</v>
      </c>
      <c r="H1417">
        <v>632903.85</v>
      </c>
      <c r="I1417">
        <v>198.63</v>
      </c>
    </row>
    <row r="1418" spans="1:9" x14ac:dyDescent="0.2">
      <c r="A1418" s="11">
        <v>46019</v>
      </c>
      <c r="B1418" t="s">
        <v>10</v>
      </c>
      <c r="C1418" t="s">
        <v>1793</v>
      </c>
      <c r="D1418" t="s">
        <v>1794</v>
      </c>
      <c r="E1418" t="s">
        <v>776</v>
      </c>
      <c r="F1418" t="s">
        <v>5</v>
      </c>
      <c r="G1418">
        <v>33</v>
      </c>
      <c r="H1418">
        <v>1232964.81</v>
      </c>
      <c r="I1418">
        <v>386.95</v>
      </c>
    </row>
    <row r="1419" spans="1:9" x14ac:dyDescent="0.2">
      <c r="A1419" s="11">
        <v>46019</v>
      </c>
      <c r="B1419" t="s">
        <v>10</v>
      </c>
      <c r="C1419" t="s">
        <v>1793</v>
      </c>
      <c r="D1419" t="s">
        <v>1794</v>
      </c>
      <c r="E1419" t="s">
        <v>466</v>
      </c>
      <c r="F1419" t="s">
        <v>20</v>
      </c>
      <c r="G1419">
        <v>4</v>
      </c>
      <c r="H1419">
        <v>757778.28</v>
      </c>
      <c r="I1419">
        <v>237.82</v>
      </c>
    </row>
    <row r="1420" spans="1:9" x14ac:dyDescent="0.2">
      <c r="A1420" s="11">
        <v>46019</v>
      </c>
      <c r="B1420" t="s">
        <v>10</v>
      </c>
      <c r="C1420" t="s">
        <v>1793</v>
      </c>
      <c r="D1420" t="s">
        <v>1794</v>
      </c>
      <c r="E1420" t="s">
        <v>1336</v>
      </c>
      <c r="F1420" t="s">
        <v>14</v>
      </c>
      <c r="G1420">
        <v>20</v>
      </c>
      <c r="H1420">
        <v>1240377.3999999999</v>
      </c>
      <c r="I1420">
        <v>389.27</v>
      </c>
    </row>
    <row r="1421" spans="1:9" x14ac:dyDescent="0.2">
      <c r="A1421" s="11">
        <v>46019</v>
      </c>
      <c r="B1421" t="s">
        <v>12</v>
      </c>
      <c r="C1421" t="s">
        <v>1795</v>
      </c>
      <c r="D1421" t="s">
        <v>1796</v>
      </c>
      <c r="E1421" t="s">
        <v>777</v>
      </c>
      <c r="F1421" t="s">
        <v>18</v>
      </c>
      <c r="G1421">
        <v>12</v>
      </c>
      <c r="H1421">
        <v>1132672.8</v>
      </c>
      <c r="I1421">
        <v>355.47</v>
      </c>
    </row>
    <row r="1422" spans="1:9" x14ac:dyDescent="0.2">
      <c r="A1422" s="11">
        <v>46019</v>
      </c>
      <c r="B1422" t="s">
        <v>12</v>
      </c>
      <c r="C1422" t="s">
        <v>1795</v>
      </c>
      <c r="D1422" t="s">
        <v>1796</v>
      </c>
      <c r="E1422" t="s">
        <v>1311</v>
      </c>
      <c r="F1422" t="s">
        <v>16</v>
      </c>
      <c r="G1422">
        <v>3</v>
      </c>
      <c r="H1422">
        <v>403541.25</v>
      </c>
      <c r="I1422">
        <v>126.65</v>
      </c>
    </row>
    <row r="1423" spans="1:9" x14ac:dyDescent="0.2">
      <c r="A1423" s="11">
        <v>46019</v>
      </c>
      <c r="B1423" t="s">
        <v>12</v>
      </c>
      <c r="C1423" t="s">
        <v>1795</v>
      </c>
      <c r="D1423" t="s">
        <v>1796</v>
      </c>
      <c r="E1423" t="s">
        <v>459</v>
      </c>
      <c r="F1423" t="s">
        <v>14</v>
      </c>
      <c r="G1423">
        <v>12</v>
      </c>
      <c r="H1423">
        <v>604245</v>
      </c>
      <c r="I1423">
        <v>189.63</v>
      </c>
    </row>
    <row r="1424" spans="1:9" x14ac:dyDescent="0.2">
      <c r="A1424" s="11">
        <v>46019</v>
      </c>
      <c r="B1424" t="s">
        <v>8</v>
      </c>
      <c r="C1424" t="s">
        <v>1756</v>
      </c>
      <c r="D1424" t="s">
        <v>1797</v>
      </c>
      <c r="E1424" t="s">
        <v>1236</v>
      </c>
      <c r="F1424" t="s">
        <v>16</v>
      </c>
      <c r="G1424">
        <v>17</v>
      </c>
      <c r="H1424">
        <v>1600080.8</v>
      </c>
      <c r="I1424">
        <v>502.16</v>
      </c>
    </row>
    <row r="1425" spans="1:9" x14ac:dyDescent="0.2">
      <c r="A1425" s="11">
        <v>46019</v>
      </c>
      <c r="B1425" t="s">
        <v>8</v>
      </c>
      <c r="C1425" t="s">
        <v>1756</v>
      </c>
      <c r="D1425" t="s">
        <v>1797</v>
      </c>
      <c r="E1425" t="s">
        <v>452</v>
      </c>
      <c r="F1425" t="s">
        <v>18</v>
      </c>
      <c r="G1425">
        <v>12</v>
      </c>
      <c r="H1425">
        <v>1154781</v>
      </c>
      <c r="I1425">
        <v>362.41</v>
      </c>
    </row>
    <row r="1426" spans="1:9" x14ac:dyDescent="0.2">
      <c r="A1426" s="11">
        <v>46019</v>
      </c>
      <c r="B1426" t="s">
        <v>8</v>
      </c>
      <c r="C1426" t="s">
        <v>1756</v>
      </c>
      <c r="D1426" t="s">
        <v>1797</v>
      </c>
      <c r="E1426" t="s">
        <v>924</v>
      </c>
      <c r="F1426" t="s">
        <v>14</v>
      </c>
      <c r="G1426">
        <v>10</v>
      </c>
      <c r="H1426">
        <v>741868.2</v>
      </c>
      <c r="I1426">
        <v>232.82</v>
      </c>
    </row>
    <row r="1427" spans="1:9" x14ac:dyDescent="0.2">
      <c r="A1427" s="11">
        <v>46019</v>
      </c>
      <c r="B1427" t="s">
        <v>8</v>
      </c>
      <c r="C1427" t="s">
        <v>1756</v>
      </c>
      <c r="D1427" t="s">
        <v>1797</v>
      </c>
      <c r="E1427" t="s">
        <v>250</v>
      </c>
      <c r="F1427" t="s">
        <v>16</v>
      </c>
      <c r="G1427">
        <v>41</v>
      </c>
      <c r="H1427">
        <v>5930454.0199999996</v>
      </c>
      <c r="I1427">
        <v>1861.18</v>
      </c>
    </row>
    <row r="1428" spans="1:9" x14ac:dyDescent="0.2">
      <c r="A1428" s="11">
        <v>46019</v>
      </c>
      <c r="B1428" t="s">
        <v>9</v>
      </c>
      <c r="C1428" t="s">
        <v>1798</v>
      </c>
      <c r="D1428" t="s">
        <v>1799</v>
      </c>
      <c r="E1428" t="s">
        <v>1800</v>
      </c>
      <c r="F1428" t="s">
        <v>20</v>
      </c>
      <c r="G1428">
        <v>9</v>
      </c>
      <c r="H1428">
        <v>1696573.26</v>
      </c>
      <c r="I1428">
        <v>532.44000000000005</v>
      </c>
    </row>
    <row r="1429" spans="1:9" x14ac:dyDescent="0.2">
      <c r="A1429" s="11">
        <v>46019</v>
      </c>
      <c r="B1429" t="s">
        <v>9</v>
      </c>
      <c r="C1429" t="s">
        <v>1798</v>
      </c>
      <c r="D1429" t="s">
        <v>1799</v>
      </c>
      <c r="E1429" t="s">
        <v>1801</v>
      </c>
      <c r="F1429" t="s">
        <v>22</v>
      </c>
      <c r="G1429">
        <v>5</v>
      </c>
      <c r="H1429">
        <v>252756.5</v>
      </c>
      <c r="I1429">
        <v>79.319999999999993</v>
      </c>
    </row>
    <row r="1430" spans="1:9" x14ac:dyDescent="0.2">
      <c r="A1430" s="11">
        <v>46019</v>
      </c>
      <c r="B1430" t="s">
        <v>9</v>
      </c>
      <c r="C1430" t="s">
        <v>1798</v>
      </c>
      <c r="D1430" t="s">
        <v>1799</v>
      </c>
      <c r="E1430" t="s">
        <v>1503</v>
      </c>
      <c r="F1430" t="s">
        <v>14</v>
      </c>
      <c r="G1430">
        <v>7</v>
      </c>
      <c r="H1430">
        <v>563193.26</v>
      </c>
      <c r="I1430">
        <v>176.75</v>
      </c>
    </row>
    <row r="1431" spans="1:9" x14ac:dyDescent="0.2">
      <c r="A1431" s="11">
        <v>46019</v>
      </c>
      <c r="B1431" t="s">
        <v>10</v>
      </c>
      <c r="C1431" t="s">
        <v>1802</v>
      </c>
      <c r="D1431" t="s">
        <v>1803</v>
      </c>
      <c r="E1431" t="s">
        <v>1179</v>
      </c>
      <c r="F1431" t="s">
        <v>14</v>
      </c>
      <c r="G1431">
        <v>19</v>
      </c>
      <c r="H1431">
        <v>1305453.71</v>
      </c>
      <c r="I1431">
        <v>409.7</v>
      </c>
    </row>
    <row r="1432" spans="1:9" x14ac:dyDescent="0.2">
      <c r="A1432" s="11">
        <v>46019</v>
      </c>
      <c r="B1432" t="s">
        <v>10</v>
      </c>
      <c r="C1432" t="s">
        <v>1802</v>
      </c>
      <c r="D1432" t="s">
        <v>1803</v>
      </c>
      <c r="E1432" t="s">
        <v>1037</v>
      </c>
      <c r="F1432" t="s">
        <v>18</v>
      </c>
      <c r="G1432">
        <v>11</v>
      </c>
      <c r="H1432">
        <v>1340274.43</v>
      </c>
      <c r="I1432">
        <v>420.62</v>
      </c>
    </row>
    <row r="1433" spans="1:9" x14ac:dyDescent="0.2">
      <c r="A1433" s="11">
        <v>46019</v>
      </c>
      <c r="B1433" t="s">
        <v>10</v>
      </c>
      <c r="C1433" t="s">
        <v>1804</v>
      </c>
      <c r="D1433" t="s">
        <v>1805</v>
      </c>
      <c r="E1433" t="s">
        <v>649</v>
      </c>
      <c r="F1433" t="s">
        <v>14</v>
      </c>
      <c r="G1433">
        <v>11</v>
      </c>
      <c r="H1433">
        <v>1037995.2</v>
      </c>
      <c r="I1433">
        <v>325.76</v>
      </c>
    </row>
    <row r="1434" spans="1:9" x14ac:dyDescent="0.2">
      <c r="A1434" s="11">
        <v>46019</v>
      </c>
      <c r="B1434" t="s">
        <v>10</v>
      </c>
      <c r="C1434" t="s">
        <v>1804</v>
      </c>
      <c r="D1434" t="s">
        <v>1805</v>
      </c>
      <c r="E1434" t="s">
        <v>1258</v>
      </c>
      <c r="F1434" t="s">
        <v>16</v>
      </c>
      <c r="G1434">
        <v>29</v>
      </c>
      <c r="H1434">
        <v>2933699.74</v>
      </c>
      <c r="I1434">
        <v>920.7</v>
      </c>
    </row>
    <row r="1435" spans="1:9" x14ac:dyDescent="0.2">
      <c r="A1435" s="11">
        <v>46019</v>
      </c>
      <c r="B1435" t="s">
        <v>10</v>
      </c>
      <c r="C1435" t="s">
        <v>1804</v>
      </c>
      <c r="D1435" t="s">
        <v>1805</v>
      </c>
      <c r="E1435" t="s">
        <v>653</v>
      </c>
      <c r="F1435" t="s">
        <v>14</v>
      </c>
      <c r="G1435">
        <v>2</v>
      </c>
      <c r="H1435">
        <v>108017.24</v>
      </c>
      <c r="I1435">
        <v>33.9</v>
      </c>
    </row>
    <row r="1436" spans="1:9" x14ac:dyDescent="0.2">
      <c r="A1436" s="11">
        <v>46019</v>
      </c>
      <c r="B1436" t="s">
        <v>10</v>
      </c>
      <c r="C1436" t="s">
        <v>1804</v>
      </c>
      <c r="D1436" t="s">
        <v>1805</v>
      </c>
      <c r="E1436" t="s">
        <v>1626</v>
      </c>
      <c r="F1436" t="s">
        <v>20</v>
      </c>
      <c r="G1436">
        <v>8</v>
      </c>
      <c r="H1436">
        <v>1444285.68</v>
      </c>
      <c r="I1436">
        <v>453.27</v>
      </c>
    </row>
    <row r="1437" spans="1:9" x14ac:dyDescent="0.2">
      <c r="A1437" s="11">
        <v>46019</v>
      </c>
      <c r="B1437" t="s">
        <v>11</v>
      </c>
      <c r="C1437" t="s">
        <v>1609</v>
      </c>
      <c r="D1437" t="s">
        <v>1806</v>
      </c>
      <c r="E1437" t="s">
        <v>80</v>
      </c>
      <c r="F1437" t="s">
        <v>18</v>
      </c>
      <c r="G1437">
        <v>8</v>
      </c>
      <c r="H1437">
        <v>467348.8</v>
      </c>
      <c r="I1437">
        <v>146.66999999999999</v>
      </c>
    </row>
    <row r="1438" spans="1:9" x14ac:dyDescent="0.2">
      <c r="A1438" s="11">
        <v>46019</v>
      </c>
      <c r="B1438" t="s">
        <v>12</v>
      </c>
      <c r="C1438" t="s">
        <v>1554</v>
      </c>
      <c r="D1438" t="s">
        <v>1807</v>
      </c>
      <c r="E1438" t="s">
        <v>312</v>
      </c>
      <c r="F1438" t="s">
        <v>22</v>
      </c>
      <c r="G1438">
        <v>6</v>
      </c>
      <c r="H1438">
        <v>178394.22</v>
      </c>
      <c r="I1438">
        <v>55.99</v>
      </c>
    </row>
    <row r="1439" spans="1:9" x14ac:dyDescent="0.2">
      <c r="A1439" s="11">
        <v>46019</v>
      </c>
      <c r="B1439" t="s">
        <v>12</v>
      </c>
      <c r="C1439" t="s">
        <v>1554</v>
      </c>
      <c r="D1439" t="s">
        <v>1807</v>
      </c>
      <c r="E1439" t="s">
        <v>1808</v>
      </c>
      <c r="F1439" t="s">
        <v>5</v>
      </c>
      <c r="G1439">
        <v>16</v>
      </c>
      <c r="H1439">
        <v>656568</v>
      </c>
      <c r="I1439">
        <v>206.05</v>
      </c>
    </row>
    <row r="1440" spans="1:9" x14ac:dyDescent="0.2">
      <c r="A1440" s="11">
        <v>46019</v>
      </c>
      <c r="B1440" t="s">
        <v>12</v>
      </c>
      <c r="C1440" t="s">
        <v>1554</v>
      </c>
      <c r="D1440" t="s">
        <v>1807</v>
      </c>
      <c r="E1440" t="s">
        <v>734</v>
      </c>
      <c r="F1440" t="s">
        <v>14</v>
      </c>
      <c r="G1440">
        <v>6</v>
      </c>
      <c r="H1440">
        <v>274762.98</v>
      </c>
      <c r="I1440">
        <v>86.23</v>
      </c>
    </row>
    <row r="1441" spans="1:9" x14ac:dyDescent="0.2">
      <c r="A1441" s="11">
        <v>46019</v>
      </c>
      <c r="B1441" t="s">
        <v>12</v>
      </c>
      <c r="C1441" t="s">
        <v>1554</v>
      </c>
      <c r="D1441" t="s">
        <v>1807</v>
      </c>
      <c r="E1441" t="s">
        <v>670</v>
      </c>
      <c r="F1441" t="s">
        <v>18</v>
      </c>
      <c r="G1441">
        <v>49</v>
      </c>
      <c r="H1441">
        <v>2509415.9300000002</v>
      </c>
      <c r="I1441">
        <v>787.54</v>
      </c>
    </row>
    <row r="1442" spans="1:9" x14ac:dyDescent="0.2">
      <c r="A1442" s="11">
        <v>46019</v>
      </c>
      <c r="B1442" t="s">
        <v>12</v>
      </c>
      <c r="C1442" t="s">
        <v>1554</v>
      </c>
      <c r="D1442" t="s">
        <v>1807</v>
      </c>
      <c r="E1442" t="s">
        <v>1809</v>
      </c>
      <c r="F1442" t="s">
        <v>18</v>
      </c>
      <c r="G1442">
        <v>4</v>
      </c>
      <c r="H1442">
        <v>293958.52</v>
      </c>
      <c r="I1442">
        <v>92.25</v>
      </c>
    </row>
    <row r="1443" spans="1:9" x14ac:dyDescent="0.2">
      <c r="A1443" s="11">
        <v>46019</v>
      </c>
      <c r="B1443" t="s">
        <v>6</v>
      </c>
      <c r="C1443" t="s">
        <v>1810</v>
      </c>
      <c r="D1443" t="s">
        <v>1811</v>
      </c>
      <c r="E1443" t="s">
        <v>354</v>
      </c>
      <c r="F1443" t="s">
        <v>5</v>
      </c>
      <c r="G1443">
        <v>2</v>
      </c>
      <c r="H1443">
        <v>118979.34</v>
      </c>
      <c r="I1443">
        <v>37.340000000000003</v>
      </c>
    </row>
    <row r="1444" spans="1:9" x14ac:dyDescent="0.2">
      <c r="A1444" s="11">
        <v>46019</v>
      </c>
      <c r="B1444" t="s">
        <v>8</v>
      </c>
      <c r="C1444" t="s">
        <v>1812</v>
      </c>
      <c r="D1444" t="s">
        <v>1813</v>
      </c>
      <c r="E1444" t="s">
        <v>1814</v>
      </c>
      <c r="F1444" t="s">
        <v>18</v>
      </c>
      <c r="G1444">
        <v>67</v>
      </c>
      <c r="H1444">
        <v>5471242.7800000003</v>
      </c>
      <c r="I1444">
        <v>1717.07</v>
      </c>
    </row>
    <row r="1445" spans="1:9" x14ac:dyDescent="0.2">
      <c r="A1445" s="11">
        <v>46019</v>
      </c>
      <c r="B1445" t="s">
        <v>8</v>
      </c>
      <c r="C1445" t="s">
        <v>1812</v>
      </c>
      <c r="D1445" t="s">
        <v>1813</v>
      </c>
      <c r="E1445" t="s">
        <v>730</v>
      </c>
      <c r="F1445" t="s">
        <v>22</v>
      </c>
      <c r="G1445">
        <v>23</v>
      </c>
      <c r="H1445">
        <v>1197444.17</v>
      </c>
      <c r="I1445">
        <v>375.8</v>
      </c>
    </row>
    <row r="1446" spans="1:9" x14ac:dyDescent="0.2">
      <c r="A1446" s="11">
        <v>46019</v>
      </c>
      <c r="B1446" t="s">
        <v>9</v>
      </c>
      <c r="C1446" t="s">
        <v>1388</v>
      </c>
      <c r="D1446" t="s">
        <v>1815</v>
      </c>
      <c r="E1446" t="s">
        <v>1040</v>
      </c>
      <c r="F1446" t="s">
        <v>5</v>
      </c>
      <c r="G1446">
        <v>19</v>
      </c>
      <c r="H1446">
        <v>655996.09</v>
      </c>
      <c r="I1446">
        <v>205.87</v>
      </c>
    </row>
    <row r="1447" spans="1:9" x14ac:dyDescent="0.2">
      <c r="A1447" s="11">
        <v>46019</v>
      </c>
      <c r="B1447" t="s">
        <v>9</v>
      </c>
      <c r="C1447" t="s">
        <v>1388</v>
      </c>
      <c r="D1447" t="s">
        <v>1815</v>
      </c>
      <c r="E1447" t="s">
        <v>648</v>
      </c>
      <c r="F1447" t="s">
        <v>18</v>
      </c>
      <c r="G1447">
        <v>34</v>
      </c>
      <c r="H1447">
        <v>2466621.46</v>
      </c>
      <c r="I1447">
        <v>774.11</v>
      </c>
    </row>
    <row r="1448" spans="1:9" x14ac:dyDescent="0.2">
      <c r="A1448" s="11">
        <v>46019</v>
      </c>
      <c r="B1448" t="s">
        <v>9</v>
      </c>
      <c r="C1448" t="s">
        <v>1388</v>
      </c>
      <c r="D1448" t="s">
        <v>1815</v>
      </c>
      <c r="E1448" t="s">
        <v>1816</v>
      </c>
      <c r="F1448" t="s">
        <v>22</v>
      </c>
      <c r="G1448">
        <v>23</v>
      </c>
      <c r="H1448">
        <v>1314539.24</v>
      </c>
      <c r="I1448">
        <v>412.55</v>
      </c>
    </row>
    <row r="1449" spans="1:9" x14ac:dyDescent="0.2">
      <c r="A1449" s="11">
        <v>46019</v>
      </c>
      <c r="B1449" t="s">
        <v>8</v>
      </c>
      <c r="C1449" t="s">
        <v>1817</v>
      </c>
      <c r="D1449" t="s">
        <v>1818</v>
      </c>
      <c r="E1449" t="s">
        <v>211</v>
      </c>
      <c r="F1449" t="s">
        <v>16</v>
      </c>
      <c r="G1449">
        <v>15</v>
      </c>
      <c r="H1449">
        <v>1189809.3</v>
      </c>
      <c r="I1449">
        <v>373.4</v>
      </c>
    </row>
    <row r="1450" spans="1:9" x14ac:dyDescent="0.2">
      <c r="A1450" s="11">
        <v>46019</v>
      </c>
      <c r="B1450" t="s">
        <v>8</v>
      </c>
      <c r="C1450" t="s">
        <v>1817</v>
      </c>
      <c r="D1450" t="s">
        <v>1818</v>
      </c>
      <c r="E1450" t="s">
        <v>693</v>
      </c>
      <c r="F1450" t="s">
        <v>18</v>
      </c>
      <c r="G1450">
        <v>3</v>
      </c>
      <c r="H1450">
        <v>289405.5</v>
      </c>
      <c r="I1450">
        <v>90.83</v>
      </c>
    </row>
    <row r="1451" spans="1:9" x14ac:dyDescent="0.2">
      <c r="A1451" s="11">
        <v>46019</v>
      </c>
      <c r="B1451" t="s">
        <v>8</v>
      </c>
      <c r="C1451" t="s">
        <v>1817</v>
      </c>
      <c r="D1451" t="s">
        <v>1818</v>
      </c>
      <c r="E1451" t="s">
        <v>1819</v>
      </c>
      <c r="F1451" t="s">
        <v>18</v>
      </c>
      <c r="G1451">
        <v>46</v>
      </c>
      <c r="H1451">
        <v>2387302.48</v>
      </c>
      <c r="I1451">
        <v>749.22</v>
      </c>
    </row>
    <row r="1452" spans="1:9" x14ac:dyDescent="0.2">
      <c r="A1452" s="11">
        <v>46019</v>
      </c>
      <c r="B1452" t="s">
        <v>9</v>
      </c>
      <c r="C1452" t="s">
        <v>1102</v>
      </c>
      <c r="D1452" t="s">
        <v>1820</v>
      </c>
      <c r="E1452" t="s">
        <v>493</v>
      </c>
      <c r="F1452" t="s">
        <v>22</v>
      </c>
      <c r="G1452">
        <v>10</v>
      </c>
      <c r="H1452">
        <v>574870.9</v>
      </c>
      <c r="I1452">
        <v>180.41</v>
      </c>
    </row>
    <row r="1453" spans="1:9" x14ac:dyDescent="0.2">
      <c r="A1453" s="11">
        <v>46019</v>
      </c>
      <c r="B1453" t="s">
        <v>9</v>
      </c>
      <c r="C1453" t="s">
        <v>1102</v>
      </c>
      <c r="D1453" t="s">
        <v>1820</v>
      </c>
      <c r="E1453" t="s">
        <v>68</v>
      </c>
      <c r="F1453" t="s">
        <v>5</v>
      </c>
      <c r="G1453">
        <v>50</v>
      </c>
      <c r="H1453">
        <v>2484251.5</v>
      </c>
      <c r="I1453">
        <v>779.64</v>
      </c>
    </row>
    <row r="1454" spans="1:9" x14ac:dyDescent="0.2">
      <c r="A1454" s="11">
        <v>46019</v>
      </c>
      <c r="B1454" t="s">
        <v>8</v>
      </c>
      <c r="C1454" t="s">
        <v>1331</v>
      </c>
      <c r="D1454" t="s">
        <v>1821</v>
      </c>
      <c r="E1454" t="s">
        <v>1341</v>
      </c>
      <c r="F1454" t="s">
        <v>22</v>
      </c>
      <c r="G1454">
        <v>9</v>
      </c>
      <c r="H1454">
        <v>407894.85</v>
      </c>
      <c r="I1454">
        <v>128.01</v>
      </c>
    </row>
    <row r="1455" spans="1:9" x14ac:dyDescent="0.2">
      <c r="A1455" s="11">
        <v>46019</v>
      </c>
      <c r="B1455" t="s">
        <v>8</v>
      </c>
      <c r="C1455" t="s">
        <v>1331</v>
      </c>
      <c r="D1455" t="s">
        <v>1821</v>
      </c>
      <c r="E1455" t="s">
        <v>725</v>
      </c>
      <c r="F1455" t="s">
        <v>22</v>
      </c>
      <c r="G1455">
        <v>23</v>
      </c>
      <c r="H1455">
        <v>745714.97</v>
      </c>
      <c r="I1455">
        <v>234.03</v>
      </c>
    </row>
    <row r="1456" spans="1:9" x14ac:dyDescent="0.2">
      <c r="A1456" s="11">
        <v>46019</v>
      </c>
      <c r="B1456" t="s">
        <v>8</v>
      </c>
      <c r="C1456" t="s">
        <v>1331</v>
      </c>
      <c r="D1456" t="s">
        <v>1821</v>
      </c>
      <c r="E1456" t="s">
        <v>1579</v>
      </c>
      <c r="F1456" t="s">
        <v>18</v>
      </c>
      <c r="G1456">
        <v>125</v>
      </c>
      <c r="H1456">
        <v>4816858.75</v>
      </c>
      <c r="I1456">
        <v>1511.7</v>
      </c>
    </row>
    <row r="1457" spans="1:9" x14ac:dyDescent="0.2">
      <c r="A1457" s="11">
        <v>46019</v>
      </c>
      <c r="B1457" t="s">
        <v>8</v>
      </c>
      <c r="C1457" t="s">
        <v>1331</v>
      </c>
      <c r="D1457" t="s">
        <v>1821</v>
      </c>
      <c r="E1457" t="s">
        <v>1822</v>
      </c>
      <c r="F1457" t="s">
        <v>16</v>
      </c>
      <c r="G1457">
        <v>20</v>
      </c>
      <c r="H1457">
        <v>1755203</v>
      </c>
      <c r="I1457">
        <v>550.84</v>
      </c>
    </row>
    <row r="1458" spans="1:9" x14ac:dyDescent="0.2">
      <c r="A1458" s="11">
        <v>46019</v>
      </c>
      <c r="B1458" t="s">
        <v>7</v>
      </c>
      <c r="C1458" t="s">
        <v>1823</v>
      </c>
      <c r="D1458" t="s">
        <v>1824</v>
      </c>
      <c r="E1458" t="s">
        <v>1801</v>
      </c>
      <c r="F1458" t="s">
        <v>22</v>
      </c>
      <c r="G1458">
        <v>36</v>
      </c>
      <c r="H1458">
        <v>1784537.28</v>
      </c>
      <c r="I1458">
        <v>560.04999999999995</v>
      </c>
    </row>
    <row r="1459" spans="1:9" x14ac:dyDescent="0.2">
      <c r="A1459" s="11">
        <v>46019</v>
      </c>
      <c r="B1459" t="s">
        <v>7</v>
      </c>
      <c r="C1459" t="s">
        <v>1823</v>
      </c>
      <c r="D1459" t="s">
        <v>1824</v>
      </c>
      <c r="E1459" t="s">
        <v>763</v>
      </c>
      <c r="F1459" t="s">
        <v>16</v>
      </c>
      <c r="G1459">
        <v>4</v>
      </c>
      <c r="H1459">
        <v>300050.03999999998</v>
      </c>
      <c r="I1459">
        <v>94.17</v>
      </c>
    </row>
    <row r="1460" spans="1:9" x14ac:dyDescent="0.2">
      <c r="A1460" s="11">
        <v>46019</v>
      </c>
      <c r="B1460" t="s">
        <v>7</v>
      </c>
      <c r="C1460" t="s">
        <v>1823</v>
      </c>
      <c r="D1460" t="s">
        <v>1824</v>
      </c>
      <c r="E1460" t="s">
        <v>50</v>
      </c>
      <c r="F1460" t="s">
        <v>5</v>
      </c>
      <c r="G1460">
        <v>7</v>
      </c>
      <c r="H1460">
        <v>489963.67</v>
      </c>
      <c r="I1460">
        <v>153.77000000000001</v>
      </c>
    </row>
    <row r="1461" spans="1:9" x14ac:dyDescent="0.2">
      <c r="A1461" s="11">
        <v>46019</v>
      </c>
      <c r="B1461" t="s">
        <v>6</v>
      </c>
      <c r="C1461" t="s">
        <v>1825</v>
      </c>
      <c r="D1461" t="s">
        <v>1826</v>
      </c>
      <c r="E1461" t="s">
        <v>1445</v>
      </c>
      <c r="F1461" t="s">
        <v>16</v>
      </c>
      <c r="G1461">
        <v>7</v>
      </c>
      <c r="H1461">
        <v>823332.79</v>
      </c>
      <c r="I1461">
        <v>258.39</v>
      </c>
    </row>
    <row r="1462" spans="1:9" x14ac:dyDescent="0.2">
      <c r="A1462" s="11">
        <v>46019</v>
      </c>
      <c r="B1462" t="s">
        <v>6</v>
      </c>
      <c r="C1462" t="s">
        <v>1825</v>
      </c>
      <c r="D1462" t="s">
        <v>1826</v>
      </c>
      <c r="E1462" t="s">
        <v>100</v>
      </c>
      <c r="F1462" t="s">
        <v>16</v>
      </c>
      <c r="G1462">
        <v>6</v>
      </c>
      <c r="H1462">
        <v>794323.26</v>
      </c>
      <c r="I1462">
        <v>249.29</v>
      </c>
    </row>
    <row r="1463" spans="1:9" x14ac:dyDescent="0.2">
      <c r="A1463" s="11">
        <v>46019</v>
      </c>
      <c r="B1463" t="s">
        <v>11</v>
      </c>
      <c r="C1463" t="s">
        <v>1827</v>
      </c>
      <c r="D1463" t="s">
        <v>1828</v>
      </c>
      <c r="E1463" t="s">
        <v>320</v>
      </c>
      <c r="F1463" t="s">
        <v>14</v>
      </c>
      <c r="G1463">
        <v>11</v>
      </c>
      <c r="H1463">
        <v>872097.82</v>
      </c>
      <c r="I1463">
        <v>273.69</v>
      </c>
    </row>
    <row r="1464" spans="1:9" x14ac:dyDescent="0.2">
      <c r="A1464" s="11">
        <v>46019</v>
      </c>
      <c r="B1464" t="s">
        <v>11</v>
      </c>
      <c r="C1464" t="s">
        <v>1827</v>
      </c>
      <c r="D1464" t="s">
        <v>1828</v>
      </c>
      <c r="E1464" t="s">
        <v>870</v>
      </c>
      <c r="F1464" t="s">
        <v>14</v>
      </c>
      <c r="G1464">
        <v>9</v>
      </c>
      <c r="H1464">
        <v>570502.53</v>
      </c>
      <c r="I1464">
        <v>179.04</v>
      </c>
    </row>
    <row r="1465" spans="1:9" x14ac:dyDescent="0.2">
      <c r="A1465" s="11">
        <v>46019</v>
      </c>
      <c r="B1465" t="s">
        <v>11</v>
      </c>
      <c r="C1465" t="s">
        <v>1827</v>
      </c>
      <c r="D1465" t="s">
        <v>1828</v>
      </c>
      <c r="E1465" t="s">
        <v>1531</v>
      </c>
      <c r="F1465" t="s">
        <v>14</v>
      </c>
      <c r="G1465">
        <v>7</v>
      </c>
      <c r="H1465">
        <v>384514.62</v>
      </c>
      <c r="I1465">
        <v>120.67</v>
      </c>
    </row>
    <row r="1466" spans="1:9" x14ac:dyDescent="0.2">
      <c r="A1466" s="11">
        <v>46019</v>
      </c>
      <c r="B1466" t="s">
        <v>8</v>
      </c>
      <c r="C1466" t="s">
        <v>1829</v>
      </c>
      <c r="D1466" t="s">
        <v>1830</v>
      </c>
      <c r="E1466" t="s">
        <v>1201</v>
      </c>
      <c r="F1466" t="s">
        <v>22</v>
      </c>
      <c r="G1466">
        <v>44</v>
      </c>
      <c r="H1466">
        <v>1952753.44</v>
      </c>
      <c r="I1466">
        <v>612.84</v>
      </c>
    </row>
    <row r="1467" spans="1:9" x14ac:dyDescent="0.2">
      <c r="A1467" s="11">
        <v>46020</v>
      </c>
      <c r="B1467" t="s">
        <v>9</v>
      </c>
      <c r="C1467" t="s">
        <v>91</v>
      </c>
      <c r="D1467" t="s">
        <v>1831</v>
      </c>
      <c r="E1467" t="s">
        <v>1245</v>
      </c>
      <c r="F1467" t="s">
        <v>22</v>
      </c>
      <c r="G1467">
        <v>37</v>
      </c>
      <c r="H1467">
        <v>2131293.2400000002</v>
      </c>
      <c r="I1467">
        <v>668.87</v>
      </c>
    </row>
    <row r="1468" spans="1:9" x14ac:dyDescent="0.2">
      <c r="A1468" s="11">
        <v>46020</v>
      </c>
      <c r="B1468" t="s">
        <v>10</v>
      </c>
      <c r="C1468" t="s">
        <v>1832</v>
      </c>
      <c r="D1468" t="s">
        <v>1833</v>
      </c>
      <c r="E1468" t="s">
        <v>387</v>
      </c>
      <c r="F1468" t="s">
        <v>14</v>
      </c>
      <c r="G1468">
        <v>31</v>
      </c>
      <c r="H1468">
        <v>1319870.8799999999</v>
      </c>
      <c r="I1468">
        <v>414.22</v>
      </c>
    </row>
    <row r="1469" spans="1:9" x14ac:dyDescent="0.2">
      <c r="A1469" s="11">
        <v>46020</v>
      </c>
      <c r="B1469" t="s">
        <v>9</v>
      </c>
      <c r="C1469" t="s">
        <v>823</v>
      </c>
      <c r="D1469" t="s">
        <v>1834</v>
      </c>
      <c r="E1469" t="s">
        <v>246</v>
      </c>
      <c r="F1469" t="s">
        <v>14</v>
      </c>
      <c r="G1469">
        <v>15</v>
      </c>
      <c r="H1469">
        <v>530700.15</v>
      </c>
      <c r="I1469">
        <v>166.55</v>
      </c>
    </row>
    <row r="1470" spans="1:9" x14ac:dyDescent="0.2">
      <c r="A1470" s="11">
        <v>46020</v>
      </c>
      <c r="B1470" t="s">
        <v>9</v>
      </c>
      <c r="C1470" t="s">
        <v>823</v>
      </c>
      <c r="D1470" t="s">
        <v>1834</v>
      </c>
      <c r="E1470" t="s">
        <v>1115</v>
      </c>
      <c r="F1470" t="s">
        <v>5</v>
      </c>
      <c r="G1470">
        <v>12</v>
      </c>
      <c r="H1470">
        <v>806867.76</v>
      </c>
      <c r="I1470">
        <v>253.22</v>
      </c>
    </row>
    <row r="1471" spans="1:9" x14ac:dyDescent="0.2">
      <c r="A1471" s="11">
        <v>46020</v>
      </c>
      <c r="B1471" t="s">
        <v>9</v>
      </c>
      <c r="C1471" t="s">
        <v>823</v>
      </c>
      <c r="D1471" t="s">
        <v>1834</v>
      </c>
      <c r="E1471" t="s">
        <v>1503</v>
      </c>
      <c r="F1471" t="s">
        <v>14</v>
      </c>
      <c r="G1471">
        <v>50</v>
      </c>
      <c r="H1471">
        <v>3921985.5</v>
      </c>
      <c r="I1471">
        <v>1230.8599999999999</v>
      </c>
    </row>
    <row r="1472" spans="1:9" x14ac:dyDescent="0.2">
      <c r="A1472" s="11">
        <v>46020</v>
      </c>
      <c r="B1472" t="s">
        <v>9</v>
      </c>
      <c r="C1472" t="s">
        <v>823</v>
      </c>
      <c r="D1472" t="s">
        <v>1834</v>
      </c>
      <c r="E1472" t="s">
        <v>101</v>
      </c>
      <c r="F1472" t="s">
        <v>16</v>
      </c>
      <c r="G1472">
        <v>2</v>
      </c>
      <c r="H1472">
        <v>262617.64</v>
      </c>
      <c r="I1472">
        <v>82.42</v>
      </c>
    </row>
    <row r="1473" spans="1:9" x14ac:dyDescent="0.2">
      <c r="A1473" s="11">
        <v>46020</v>
      </c>
      <c r="B1473" t="s">
        <v>10</v>
      </c>
      <c r="C1473" t="s">
        <v>1835</v>
      </c>
      <c r="D1473" t="s">
        <v>1836</v>
      </c>
      <c r="E1473" t="s">
        <v>983</v>
      </c>
      <c r="F1473" t="s">
        <v>5</v>
      </c>
      <c r="G1473">
        <v>19</v>
      </c>
      <c r="H1473">
        <v>636237.42000000004</v>
      </c>
      <c r="I1473">
        <v>199.67</v>
      </c>
    </row>
    <row r="1474" spans="1:9" x14ac:dyDescent="0.2">
      <c r="A1474" s="11">
        <v>46020</v>
      </c>
      <c r="B1474" t="s">
        <v>10</v>
      </c>
      <c r="C1474" t="s">
        <v>1837</v>
      </c>
      <c r="D1474" t="s">
        <v>1838</v>
      </c>
      <c r="E1474" t="s">
        <v>1579</v>
      </c>
      <c r="F1474" t="s">
        <v>18</v>
      </c>
      <c r="G1474">
        <v>13</v>
      </c>
      <c r="H1474">
        <v>523541.2</v>
      </c>
      <c r="I1474">
        <v>164.31</v>
      </c>
    </row>
    <row r="1475" spans="1:9" x14ac:dyDescent="0.2">
      <c r="A1475" s="11">
        <v>46020</v>
      </c>
      <c r="B1475" t="s">
        <v>10</v>
      </c>
      <c r="C1475" t="s">
        <v>1837</v>
      </c>
      <c r="D1475" t="s">
        <v>1838</v>
      </c>
      <c r="E1475" t="s">
        <v>368</v>
      </c>
      <c r="F1475" t="s">
        <v>20</v>
      </c>
      <c r="G1475">
        <v>7</v>
      </c>
      <c r="H1475">
        <v>907704.49</v>
      </c>
      <c r="I1475">
        <v>284.87</v>
      </c>
    </row>
    <row r="1476" spans="1:9" x14ac:dyDescent="0.2">
      <c r="A1476" s="11">
        <v>46020</v>
      </c>
      <c r="B1476" t="s">
        <v>11</v>
      </c>
      <c r="C1476" t="s">
        <v>1839</v>
      </c>
      <c r="D1476" t="s">
        <v>1840</v>
      </c>
      <c r="E1476" t="s">
        <v>735</v>
      </c>
      <c r="F1476" t="s">
        <v>18</v>
      </c>
      <c r="G1476">
        <v>11</v>
      </c>
      <c r="H1476">
        <v>1311884.6399999999</v>
      </c>
      <c r="I1476">
        <v>411.72</v>
      </c>
    </row>
    <row r="1477" spans="1:9" x14ac:dyDescent="0.2">
      <c r="A1477" s="11">
        <v>46020</v>
      </c>
      <c r="B1477" t="s">
        <v>11</v>
      </c>
      <c r="C1477" t="s">
        <v>1839</v>
      </c>
      <c r="D1477" t="s">
        <v>1840</v>
      </c>
      <c r="E1477" t="s">
        <v>989</v>
      </c>
      <c r="F1477" t="s">
        <v>18</v>
      </c>
      <c r="G1477">
        <v>6</v>
      </c>
      <c r="H1477">
        <v>657548.46</v>
      </c>
      <c r="I1477">
        <v>206.36</v>
      </c>
    </row>
    <row r="1478" spans="1:9" x14ac:dyDescent="0.2">
      <c r="A1478" s="11">
        <v>46020</v>
      </c>
      <c r="B1478" t="s">
        <v>11</v>
      </c>
      <c r="C1478" t="s">
        <v>1839</v>
      </c>
      <c r="D1478" t="s">
        <v>1840</v>
      </c>
      <c r="E1478" t="s">
        <v>905</v>
      </c>
      <c r="F1478" t="s">
        <v>18</v>
      </c>
      <c r="G1478">
        <v>10</v>
      </c>
      <c r="H1478">
        <v>710217.1</v>
      </c>
      <c r="I1478">
        <v>222.89</v>
      </c>
    </row>
    <row r="1479" spans="1:9" x14ac:dyDescent="0.2">
      <c r="A1479" s="11">
        <v>46020</v>
      </c>
      <c r="B1479" t="s">
        <v>6</v>
      </c>
      <c r="C1479" t="s">
        <v>404</v>
      </c>
      <c r="D1479" t="s">
        <v>1841</v>
      </c>
      <c r="E1479" t="s">
        <v>1752</v>
      </c>
      <c r="F1479" t="s">
        <v>22</v>
      </c>
      <c r="G1479">
        <v>9</v>
      </c>
      <c r="H1479">
        <v>456257.34</v>
      </c>
      <c r="I1479">
        <v>143.19</v>
      </c>
    </row>
    <row r="1480" spans="1:9" x14ac:dyDescent="0.2">
      <c r="A1480" s="11">
        <v>46020</v>
      </c>
      <c r="B1480" t="s">
        <v>10</v>
      </c>
      <c r="C1480" t="s">
        <v>1227</v>
      </c>
      <c r="D1480" t="s">
        <v>1842</v>
      </c>
      <c r="E1480" t="s">
        <v>462</v>
      </c>
      <c r="F1480" t="s">
        <v>5</v>
      </c>
      <c r="G1480">
        <v>7</v>
      </c>
      <c r="H1480">
        <v>306342.68</v>
      </c>
      <c r="I1480">
        <v>96.14</v>
      </c>
    </row>
    <row r="1481" spans="1:9" x14ac:dyDescent="0.2">
      <c r="A1481" s="11">
        <v>46020</v>
      </c>
      <c r="B1481" t="s">
        <v>10</v>
      </c>
      <c r="C1481" t="s">
        <v>1227</v>
      </c>
      <c r="D1481" t="s">
        <v>1842</v>
      </c>
      <c r="E1481" t="s">
        <v>1300</v>
      </c>
      <c r="F1481" t="s">
        <v>22</v>
      </c>
      <c r="G1481">
        <v>14</v>
      </c>
      <c r="H1481">
        <v>905989.98</v>
      </c>
      <c r="I1481">
        <v>284.33</v>
      </c>
    </row>
    <row r="1482" spans="1:9" x14ac:dyDescent="0.2">
      <c r="A1482" s="11">
        <v>46020</v>
      </c>
      <c r="B1482" t="s">
        <v>10</v>
      </c>
      <c r="C1482" t="s">
        <v>836</v>
      </c>
      <c r="D1482" t="s">
        <v>1843</v>
      </c>
      <c r="E1482" t="s">
        <v>1712</v>
      </c>
      <c r="F1482" t="s">
        <v>18</v>
      </c>
      <c r="G1482">
        <v>26</v>
      </c>
      <c r="H1482">
        <v>2859466.74</v>
      </c>
      <c r="I1482">
        <v>897.4</v>
      </c>
    </row>
    <row r="1483" spans="1:9" x14ac:dyDescent="0.2">
      <c r="A1483" s="11">
        <v>46020</v>
      </c>
      <c r="B1483" t="s">
        <v>12</v>
      </c>
      <c r="C1483" t="s">
        <v>1347</v>
      </c>
      <c r="D1483" t="s">
        <v>1844</v>
      </c>
      <c r="E1483" t="s">
        <v>1024</v>
      </c>
      <c r="F1483" t="s">
        <v>22</v>
      </c>
      <c r="G1483">
        <v>14</v>
      </c>
      <c r="H1483">
        <v>459502.4</v>
      </c>
      <c r="I1483">
        <v>144.21</v>
      </c>
    </row>
    <row r="1484" spans="1:9" x14ac:dyDescent="0.2">
      <c r="A1484" s="11">
        <v>46020</v>
      </c>
      <c r="B1484" t="s">
        <v>12</v>
      </c>
      <c r="C1484" t="s">
        <v>1347</v>
      </c>
      <c r="D1484" t="s">
        <v>1844</v>
      </c>
      <c r="E1484" t="s">
        <v>1285</v>
      </c>
      <c r="F1484" t="s">
        <v>22</v>
      </c>
      <c r="G1484">
        <v>9</v>
      </c>
      <c r="H1484">
        <v>186906.23999999999</v>
      </c>
      <c r="I1484">
        <v>58.66</v>
      </c>
    </row>
    <row r="1485" spans="1:9" x14ac:dyDescent="0.2">
      <c r="A1485" s="11">
        <v>46020</v>
      </c>
      <c r="B1485" t="s">
        <v>12</v>
      </c>
      <c r="C1485" t="s">
        <v>1347</v>
      </c>
      <c r="D1485" t="s">
        <v>1844</v>
      </c>
      <c r="E1485" t="s">
        <v>1845</v>
      </c>
      <c r="F1485" t="s">
        <v>18</v>
      </c>
      <c r="G1485">
        <v>12</v>
      </c>
      <c r="H1485">
        <v>1265400.96</v>
      </c>
      <c r="I1485">
        <v>397.13</v>
      </c>
    </row>
    <row r="1486" spans="1:9" x14ac:dyDescent="0.2">
      <c r="A1486" s="11">
        <v>46020</v>
      </c>
      <c r="B1486" t="s">
        <v>8</v>
      </c>
      <c r="C1486" t="s">
        <v>66</v>
      </c>
      <c r="D1486" t="s">
        <v>1846</v>
      </c>
      <c r="E1486" t="s">
        <v>1316</v>
      </c>
      <c r="F1486" t="s">
        <v>5</v>
      </c>
      <c r="G1486">
        <v>19</v>
      </c>
      <c r="H1486">
        <v>635879.07999999996</v>
      </c>
      <c r="I1486">
        <v>199.56</v>
      </c>
    </row>
    <row r="1487" spans="1:9" x14ac:dyDescent="0.2">
      <c r="A1487" s="11">
        <v>46020</v>
      </c>
      <c r="B1487" t="s">
        <v>12</v>
      </c>
      <c r="C1487" t="s">
        <v>937</v>
      </c>
      <c r="D1487" t="s">
        <v>1847</v>
      </c>
      <c r="E1487" t="s">
        <v>1632</v>
      </c>
      <c r="F1487" t="s">
        <v>16</v>
      </c>
      <c r="G1487">
        <v>10</v>
      </c>
      <c r="H1487">
        <v>950137.8</v>
      </c>
      <c r="I1487">
        <v>298.19</v>
      </c>
    </row>
    <row r="1488" spans="1:9" x14ac:dyDescent="0.2">
      <c r="A1488" s="11">
        <v>46020</v>
      </c>
      <c r="B1488" t="s">
        <v>12</v>
      </c>
      <c r="C1488" t="s">
        <v>937</v>
      </c>
      <c r="D1488" t="s">
        <v>1847</v>
      </c>
      <c r="E1488" t="s">
        <v>1015</v>
      </c>
      <c r="F1488" t="s">
        <v>18</v>
      </c>
      <c r="G1488">
        <v>13</v>
      </c>
      <c r="H1488">
        <v>574743.39</v>
      </c>
      <c r="I1488">
        <v>180.37</v>
      </c>
    </row>
    <row r="1489" spans="1:9" x14ac:dyDescent="0.2">
      <c r="A1489" s="11">
        <v>46020</v>
      </c>
      <c r="B1489" t="s">
        <v>6</v>
      </c>
      <c r="C1489" t="s">
        <v>812</v>
      </c>
      <c r="D1489" t="s">
        <v>1848</v>
      </c>
      <c r="E1489" t="s">
        <v>1809</v>
      </c>
      <c r="F1489" t="s">
        <v>18</v>
      </c>
      <c r="G1489">
        <v>48</v>
      </c>
      <c r="H1489">
        <v>3568032.48</v>
      </c>
      <c r="I1489">
        <v>1119.77</v>
      </c>
    </row>
    <row r="1490" spans="1:9" x14ac:dyDescent="0.2">
      <c r="A1490" s="11">
        <v>46020</v>
      </c>
      <c r="B1490" t="s">
        <v>6</v>
      </c>
      <c r="C1490" t="s">
        <v>812</v>
      </c>
      <c r="D1490" t="s">
        <v>1848</v>
      </c>
      <c r="E1490" t="s">
        <v>1719</v>
      </c>
      <c r="F1490" t="s">
        <v>5</v>
      </c>
      <c r="G1490">
        <v>51</v>
      </c>
      <c r="H1490">
        <v>3309819.93</v>
      </c>
      <c r="I1490">
        <v>1038.74</v>
      </c>
    </row>
    <row r="1491" spans="1:9" x14ac:dyDescent="0.2">
      <c r="A1491" s="11">
        <v>46020</v>
      </c>
      <c r="B1491" t="s">
        <v>7</v>
      </c>
      <c r="C1491" t="s">
        <v>1849</v>
      </c>
      <c r="D1491" t="s">
        <v>1850</v>
      </c>
      <c r="E1491" t="s">
        <v>648</v>
      </c>
      <c r="F1491" t="s">
        <v>18</v>
      </c>
      <c r="G1491">
        <v>17</v>
      </c>
      <c r="H1491">
        <v>1218945.05</v>
      </c>
      <c r="I1491">
        <v>382.55</v>
      </c>
    </row>
    <row r="1492" spans="1:9" x14ac:dyDescent="0.2">
      <c r="A1492" s="11">
        <v>46020</v>
      </c>
      <c r="B1492" t="s">
        <v>7</v>
      </c>
      <c r="C1492" t="s">
        <v>1849</v>
      </c>
      <c r="D1492" t="s">
        <v>1850</v>
      </c>
      <c r="E1492" t="s">
        <v>1851</v>
      </c>
      <c r="F1492" t="s">
        <v>20</v>
      </c>
      <c r="G1492">
        <v>7</v>
      </c>
      <c r="H1492">
        <v>598781.68000000005</v>
      </c>
      <c r="I1492">
        <v>187.92</v>
      </c>
    </row>
    <row r="1493" spans="1:9" x14ac:dyDescent="0.2">
      <c r="A1493" s="11">
        <v>46020</v>
      </c>
      <c r="B1493" t="s">
        <v>11</v>
      </c>
      <c r="C1493" t="s">
        <v>1110</v>
      </c>
      <c r="D1493" t="s">
        <v>1852</v>
      </c>
      <c r="E1493" t="s">
        <v>755</v>
      </c>
      <c r="F1493" t="s">
        <v>18</v>
      </c>
      <c r="G1493">
        <v>31</v>
      </c>
      <c r="H1493">
        <v>3087586.05</v>
      </c>
      <c r="I1493">
        <v>968.99</v>
      </c>
    </row>
    <row r="1494" spans="1:9" x14ac:dyDescent="0.2">
      <c r="A1494" s="11">
        <v>46020</v>
      </c>
      <c r="B1494" t="s">
        <v>11</v>
      </c>
      <c r="C1494" t="s">
        <v>1110</v>
      </c>
      <c r="D1494" t="s">
        <v>1852</v>
      </c>
      <c r="E1494" t="s">
        <v>321</v>
      </c>
      <c r="F1494" t="s">
        <v>16</v>
      </c>
      <c r="G1494">
        <v>36</v>
      </c>
      <c r="H1494">
        <v>4313683.8</v>
      </c>
      <c r="I1494">
        <v>1353.78</v>
      </c>
    </row>
    <row r="1495" spans="1:9" x14ac:dyDescent="0.2">
      <c r="A1495" s="11">
        <v>46020</v>
      </c>
      <c r="B1495" t="s">
        <v>11</v>
      </c>
      <c r="C1495" t="s">
        <v>1110</v>
      </c>
      <c r="D1495" t="s">
        <v>1852</v>
      </c>
      <c r="E1495" t="s">
        <v>1853</v>
      </c>
      <c r="F1495" t="s">
        <v>20</v>
      </c>
      <c r="G1495">
        <v>157</v>
      </c>
      <c r="H1495">
        <v>20596673</v>
      </c>
      <c r="I1495">
        <v>6463.95</v>
      </c>
    </row>
    <row r="1496" spans="1:9" x14ac:dyDescent="0.2">
      <c r="A1496" s="11">
        <v>46020</v>
      </c>
      <c r="B1496" t="s">
        <v>11</v>
      </c>
      <c r="C1496" t="s">
        <v>1110</v>
      </c>
      <c r="D1496" t="s">
        <v>1852</v>
      </c>
      <c r="E1496" t="s">
        <v>1420</v>
      </c>
      <c r="F1496" t="s">
        <v>5</v>
      </c>
      <c r="G1496">
        <v>18</v>
      </c>
      <c r="H1496">
        <v>1272363.8400000001</v>
      </c>
      <c r="I1496">
        <v>399.31</v>
      </c>
    </row>
    <row r="1497" spans="1:9" x14ac:dyDescent="0.2">
      <c r="A1497" s="11">
        <v>46020</v>
      </c>
      <c r="B1497" t="s">
        <v>9</v>
      </c>
      <c r="C1497" t="s">
        <v>1854</v>
      </c>
      <c r="D1497" t="s">
        <v>1855</v>
      </c>
      <c r="E1497" t="s">
        <v>395</v>
      </c>
      <c r="F1497" t="s">
        <v>18</v>
      </c>
      <c r="G1497">
        <v>13</v>
      </c>
      <c r="H1497">
        <v>1037225.67</v>
      </c>
      <c r="I1497">
        <v>325.52</v>
      </c>
    </row>
    <row r="1498" spans="1:9" x14ac:dyDescent="0.2">
      <c r="A1498" s="11">
        <v>46020</v>
      </c>
      <c r="B1498" t="s">
        <v>10</v>
      </c>
      <c r="C1498" t="s">
        <v>453</v>
      </c>
      <c r="D1498" t="s">
        <v>1856</v>
      </c>
      <c r="E1498" t="s">
        <v>1857</v>
      </c>
      <c r="F1498" t="s">
        <v>20</v>
      </c>
      <c r="G1498">
        <v>13</v>
      </c>
      <c r="H1498">
        <v>3215983.55</v>
      </c>
      <c r="I1498">
        <v>1009.29</v>
      </c>
    </row>
    <row r="1499" spans="1:9" x14ac:dyDescent="0.2">
      <c r="A1499" s="11">
        <v>46020</v>
      </c>
      <c r="B1499" t="s">
        <v>10</v>
      </c>
      <c r="C1499" t="s">
        <v>453</v>
      </c>
      <c r="D1499" t="s">
        <v>1856</v>
      </c>
      <c r="E1499" t="s">
        <v>1254</v>
      </c>
      <c r="F1499" t="s">
        <v>18</v>
      </c>
      <c r="G1499">
        <v>10</v>
      </c>
      <c r="H1499">
        <v>616643.9</v>
      </c>
      <c r="I1499">
        <v>193.52</v>
      </c>
    </row>
    <row r="1500" spans="1:9" x14ac:dyDescent="0.2">
      <c r="A1500" s="11">
        <v>46020</v>
      </c>
      <c r="B1500" t="s">
        <v>12</v>
      </c>
      <c r="C1500" t="s">
        <v>1858</v>
      </c>
      <c r="D1500" t="s">
        <v>1859</v>
      </c>
      <c r="E1500" t="s">
        <v>1019</v>
      </c>
      <c r="F1500" t="s">
        <v>18</v>
      </c>
      <c r="G1500">
        <v>55</v>
      </c>
      <c r="H1500">
        <v>5138841.4000000004</v>
      </c>
      <c r="I1500">
        <v>1612.75</v>
      </c>
    </row>
    <row r="1501" spans="1:9" x14ac:dyDescent="0.2">
      <c r="A1501" s="11">
        <v>46020</v>
      </c>
      <c r="B1501" t="s">
        <v>6</v>
      </c>
      <c r="C1501" t="s">
        <v>1832</v>
      </c>
      <c r="D1501" t="s">
        <v>1860</v>
      </c>
      <c r="E1501" t="s">
        <v>1180</v>
      </c>
      <c r="F1501" t="s">
        <v>22</v>
      </c>
      <c r="G1501">
        <v>26</v>
      </c>
      <c r="H1501">
        <v>539095.96</v>
      </c>
      <c r="I1501">
        <v>169.19</v>
      </c>
    </row>
    <row r="1502" spans="1:9" x14ac:dyDescent="0.2">
      <c r="A1502" s="11">
        <v>46020</v>
      </c>
      <c r="B1502" t="s">
        <v>9</v>
      </c>
      <c r="C1502" t="s">
        <v>1861</v>
      </c>
      <c r="D1502" t="s">
        <v>1862</v>
      </c>
      <c r="E1502" t="s">
        <v>793</v>
      </c>
      <c r="F1502" t="s">
        <v>18</v>
      </c>
      <c r="G1502">
        <v>14</v>
      </c>
      <c r="H1502">
        <v>1504649.72</v>
      </c>
      <c r="I1502">
        <v>472.21</v>
      </c>
    </row>
    <row r="1503" spans="1:9" x14ac:dyDescent="0.2">
      <c r="A1503" s="11">
        <v>46020</v>
      </c>
      <c r="B1503" t="s">
        <v>9</v>
      </c>
      <c r="C1503" t="s">
        <v>48</v>
      </c>
      <c r="D1503" t="s">
        <v>1863</v>
      </c>
      <c r="E1503" t="s">
        <v>328</v>
      </c>
      <c r="F1503" t="s">
        <v>22</v>
      </c>
      <c r="G1503">
        <v>19</v>
      </c>
      <c r="H1503">
        <v>1097107.69</v>
      </c>
      <c r="I1503">
        <v>344.31</v>
      </c>
    </row>
    <row r="1504" spans="1:9" x14ac:dyDescent="0.2">
      <c r="A1504" s="11">
        <v>46020</v>
      </c>
      <c r="B1504" t="s">
        <v>9</v>
      </c>
      <c r="C1504" t="s">
        <v>48</v>
      </c>
      <c r="D1504" t="s">
        <v>1863</v>
      </c>
      <c r="E1504" t="s">
        <v>1466</v>
      </c>
      <c r="F1504" t="s">
        <v>18</v>
      </c>
      <c r="G1504">
        <v>27</v>
      </c>
      <c r="H1504">
        <v>2353777.65</v>
      </c>
      <c r="I1504">
        <v>738.7</v>
      </c>
    </row>
    <row r="1505" spans="1:9" x14ac:dyDescent="0.2">
      <c r="A1505" s="11">
        <v>46020</v>
      </c>
      <c r="B1505" t="s">
        <v>9</v>
      </c>
      <c r="C1505" t="s">
        <v>404</v>
      </c>
      <c r="D1505" t="s">
        <v>1864</v>
      </c>
      <c r="E1505" t="s">
        <v>702</v>
      </c>
      <c r="F1505" t="s">
        <v>18</v>
      </c>
      <c r="G1505">
        <v>20</v>
      </c>
      <c r="H1505">
        <v>1470323.4</v>
      </c>
      <c r="I1505">
        <v>461.44</v>
      </c>
    </row>
    <row r="1506" spans="1:9" x14ac:dyDescent="0.2">
      <c r="A1506" s="11">
        <v>46020</v>
      </c>
      <c r="B1506" t="s">
        <v>9</v>
      </c>
      <c r="C1506" t="s">
        <v>404</v>
      </c>
      <c r="D1506" t="s">
        <v>1864</v>
      </c>
      <c r="E1506" t="s">
        <v>636</v>
      </c>
      <c r="F1506" t="s">
        <v>22</v>
      </c>
      <c r="G1506">
        <v>5</v>
      </c>
      <c r="H1506">
        <v>183763.95</v>
      </c>
      <c r="I1506">
        <v>57.67</v>
      </c>
    </row>
    <row r="1507" spans="1:9" x14ac:dyDescent="0.2">
      <c r="A1507" s="11">
        <v>46020</v>
      </c>
      <c r="B1507" t="s">
        <v>9</v>
      </c>
      <c r="C1507" t="s">
        <v>404</v>
      </c>
      <c r="D1507" t="s">
        <v>1864</v>
      </c>
      <c r="E1507" t="s">
        <v>1865</v>
      </c>
      <c r="F1507" t="s">
        <v>18</v>
      </c>
      <c r="G1507">
        <v>23</v>
      </c>
      <c r="H1507">
        <v>2432534.5099999998</v>
      </c>
      <c r="I1507">
        <v>763.41</v>
      </c>
    </row>
    <row r="1508" spans="1:9" x14ac:dyDescent="0.2">
      <c r="A1508" s="11">
        <v>46020</v>
      </c>
      <c r="B1508" t="s">
        <v>9</v>
      </c>
      <c r="C1508" t="s">
        <v>404</v>
      </c>
      <c r="D1508" t="s">
        <v>1864</v>
      </c>
      <c r="E1508" t="s">
        <v>199</v>
      </c>
      <c r="F1508" t="s">
        <v>22</v>
      </c>
      <c r="G1508">
        <v>4</v>
      </c>
      <c r="H1508">
        <v>248233.44</v>
      </c>
      <c r="I1508">
        <v>77.900000000000006</v>
      </c>
    </row>
    <row r="1509" spans="1:9" x14ac:dyDescent="0.2">
      <c r="A1509" s="11">
        <v>46020</v>
      </c>
      <c r="B1509" t="s">
        <v>7</v>
      </c>
      <c r="C1509" t="s">
        <v>1866</v>
      </c>
      <c r="D1509" t="s">
        <v>1867</v>
      </c>
      <c r="E1509" t="s">
        <v>224</v>
      </c>
      <c r="F1509" t="s">
        <v>22</v>
      </c>
      <c r="G1509">
        <v>50</v>
      </c>
      <c r="H1509">
        <v>2634629</v>
      </c>
      <c r="I1509">
        <v>826.84</v>
      </c>
    </row>
    <row r="1510" spans="1:9" x14ac:dyDescent="0.2">
      <c r="A1510" s="11">
        <v>46020</v>
      </c>
      <c r="B1510" t="s">
        <v>7</v>
      </c>
      <c r="C1510" t="s">
        <v>1866</v>
      </c>
      <c r="D1510" t="s">
        <v>1867</v>
      </c>
      <c r="E1510" t="s">
        <v>601</v>
      </c>
      <c r="F1510" t="s">
        <v>18</v>
      </c>
      <c r="G1510">
        <v>15</v>
      </c>
      <c r="H1510">
        <v>1433586.6</v>
      </c>
      <c r="I1510">
        <v>449.91</v>
      </c>
    </row>
    <row r="1511" spans="1:9" x14ac:dyDescent="0.2">
      <c r="A1511" s="11">
        <v>46020</v>
      </c>
      <c r="B1511" t="s">
        <v>7</v>
      </c>
      <c r="C1511" t="s">
        <v>1866</v>
      </c>
      <c r="D1511" t="s">
        <v>1867</v>
      </c>
      <c r="E1511" t="s">
        <v>1808</v>
      </c>
      <c r="F1511" t="s">
        <v>5</v>
      </c>
      <c r="G1511">
        <v>17</v>
      </c>
      <c r="H1511">
        <v>721388.03</v>
      </c>
      <c r="I1511">
        <v>226.4</v>
      </c>
    </row>
    <row r="1512" spans="1:9" x14ac:dyDescent="0.2">
      <c r="A1512" s="11">
        <v>46020</v>
      </c>
      <c r="B1512" t="s">
        <v>10</v>
      </c>
      <c r="C1512" t="s">
        <v>1868</v>
      </c>
      <c r="D1512" t="s">
        <v>1869</v>
      </c>
      <c r="E1512" t="s">
        <v>1870</v>
      </c>
      <c r="F1512" t="s">
        <v>14</v>
      </c>
      <c r="G1512">
        <v>9</v>
      </c>
      <c r="H1512">
        <v>468379.26</v>
      </c>
      <c r="I1512">
        <v>146.99</v>
      </c>
    </row>
    <row r="1513" spans="1:9" x14ac:dyDescent="0.2">
      <c r="A1513" s="11">
        <v>46020</v>
      </c>
      <c r="B1513" t="s">
        <v>10</v>
      </c>
      <c r="C1513" t="s">
        <v>1868</v>
      </c>
      <c r="D1513" t="s">
        <v>1869</v>
      </c>
      <c r="E1513" t="s">
        <v>312</v>
      </c>
      <c r="F1513" t="s">
        <v>22</v>
      </c>
      <c r="G1513">
        <v>21</v>
      </c>
      <c r="H1513">
        <v>573686.18999999994</v>
      </c>
      <c r="I1513">
        <v>180.04</v>
      </c>
    </row>
    <row r="1514" spans="1:9" x14ac:dyDescent="0.2">
      <c r="A1514" s="11">
        <v>46020</v>
      </c>
      <c r="B1514" t="s">
        <v>12</v>
      </c>
      <c r="C1514" t="s">
        <v>1050</v>
      </c>
      <c r="D1514" t="s">
        <v>1871</v>
      </c>
      <c r="E1514" t="s">
        <v>1872</v>
      </c>
      <c r="F1514" t="s">
        <v>18</v>
      </c>
      <c r="G1514">
        <v>4</v>
      </c>
      <c r="H1514">
        <v>344693.52</v>
      </c>
      <c r="I1514">
        <v>108.18</v>
      </c>
    </row>
    <row r="1515" spans="1:9" x14ac:dyDescent="0.2">
      <c r="A1515" s="11">
        <v>46020</v>
      </c>
      <c r="B1515" t="s">
        <v>10</v>
      </c>
      <c r="C1515" t="s">
        <v>1538</v>
      </c>
      <c r="D1515" t="s">
        <v>1873</v>
      </c>
      <c r="E1515" t="s">
        <v>1874</v>
      </c>
      <c r="F1515" t="s">
        <v>16</v>
      </c>
      <c r="G1515">
        <v>35</v>
      </c>
      <c r="H1515">
        <v>4164802.95</v>
      </c>
      <c r="I1515">
        <v>1307.06</v>
      </c>
    </row>
    <row r="1516" spans="1:9" x14ac:dyDescent="0.2">
      <c r="A1516" s="11">
        <v>46020</v>
      </c>
      <c r="B1516" t="s">
        <v>10</v>
      </c>
      <c r="C1516" t="s">
        <v>1538</v>
      </c>
      <c r="D1516" t="s">
        <v>1873</v>
      </c>
      <c r="E1516" t="s">
        <v>850</v>
      </c>
      <c r="F1516" t="s">
        <v>20</v>
      </c>
      <c r="G1516">
        <v>13</v>
      </c>
      <c r="H1516">
        <v>1683949.93</v>
      </c>
      <c r="I1516">
        <v>528.48</v>
      </c>
    </row>
    <row r="1517" spans="1:9" x14ac:dyDescent="0.2">
      <c r="A1517" s="11">
        <v>46020</v>
      </c>
      <c r="B1517" t="s">
        <v>10</v>
      </c>
      <c r="C1517" t="s">
        <v>1538</v>
      </c>
      <c r="D1517" t="s">
        <v>1873</v>
      </c>
      <c r="E1517" t="s">
        <v>36</v>
      </c>
      <c r="F1517" t="s">
        <v>5</v>
      </c>
      <c r="G1517">
        <v>16</v>
      </c>
      <c r="H1517">
        <v>548188.80000000005</v>
      </c>
      <c r="I1517">
        <v>172.04</v>
      </c>
    </row>
    <row r="1518" spans="1:9" x14ac:dyDescent="0.2">
      <c r="A1518" s="11">
        <v>46020</v>
      </c>
      <c r="B1518" t="s">
        <v>10</v>
      </c>
      <c r="C1518" t="s">
        <v>1538</v>
      </c>
      <c r="D1518" t="s">
        <v>1873</v>
      </c>
      <c r="E1518" t="s">
        <v>1024</v>
      </c>
      <c r="F1518" t="s">
        <v>22</v>
      </c>
      <c r="G1518">
        <v>21</v>
      </c>
      <c r="H1518">
        <v>645432.48</v>
      </c>
      <c r="I1518">
        <v>202.56</v>
      </c>
    </row>
    <row r="1519" spans="1:9" x14ac:dyDescent="0.2">
      <c r="A1519" s="11">
        <v>46020</v>
      </c>
      <c r="B1519" t="s">
        <v>9</v>
      </c>
      <c r="C1519" t="s">
        <v>1875</v>
      </c>
      <c r="D1519" t="s">
        <v>1876</v>
      </c>
      <c r="E1519" t="s">
        <v>1671</v>
      </c>
      <c r="F1519" t="s">
        <v>18</v>
      </c>
      <c r="G1519">
        <v>19</v>
      </c>
      <c r="H1519">
        <v>2069027.61</v>
      </c>
      <c r="I1519">
        <v>649.33000000000004</v>
      </c>
    </row>
    <row r="1520" spans="1:9" x14ac:dyDescent="0.2">
      <c r="A1520" s="11">
        <v>46020</v>
      </c>
      <c r="B1520" t="s">
        <v>9</v>
      </c>
      <c r="C1520" t="s">
        <v>1875</v>
      </c>
      <c r="D1520" t="s">
        <v>1876</v>
      </c>
      <c r="E1520" t="s">
        <v>1363</v>
      </c>
      <c r="F1520" t="s">
        <v>22</v>
      </c>
      <c r="G1520">
        <v>8</v>
      </c>
      <c r="H1520">
        <v>284182.15999999997</v>
      </c>
      <c r="I1520">
        <v>89.19</v>
      </c>
    </row>
    <row r="1521" spans="1:9" x14ac:dyDescent="0.2">
      <c r="A1521" s="11">
        <v>46020</v>
      </c>
      <c r="B1521" t="s">
        <v>10</v>
      </c>
      <c r="C1521" t="s">
        <v>167</v>
      </c>
      <c r="D1521" t="s">
        <v>1877</v>
      </c>
      <c r="E1521" t="s">
        <v>102</v>
      </c>
      <c r="F1521" t="s">
        <v>20</v>
      </c>
      <c r="G1521">
        <v>49</v>
      </c>
      <c r="H1521">
        <v>7421084.79</v>
      </c>
      <c r="I1521">
        <v>2328.9899999999998</v>
      </c>
    </row>
    <row r="1522" spans="1:9" x14ac:dyDescent="0.2">
      <c r="A1522" s="11">
        <v>46020</v>
      </c>
      <c r="B1522" t="s">
        <v>10</v>
      </c>
      <c r="C1522" t="s">
        <v>167</v>
      </c>
      <c r="D1522" t="s">
        <v>1877</v>
      </c>
      <c r="E1522" t="s">
        <v>525</v>
      </c>
      <c r="F1522" t="s">
        <v>18</v>
      </c>
      <c r="G1522">
        <v>7</v>
      </c>
      <c r="H1522">
        <v>404240.2</v>
      </c>
      <c r="I1522">
        <v>126.86</v>
      </c>
    </row>
    <row r="1523" spans="1:9" x14ac:dyDescent="0.2">
      <c r="A1523" s="11">
        <v>46020</v>
      </c>
      <c r="B1523" t="s">
        <v>10</v>
      </c>
      <c r="C1523" t="s">
        <v>167</v>
      </c>
      <c r="D1523" t="s">
        <v>1877</v>
      </c>
      <c r="E1523" t="s">
        <v>144</v>
      </c>
      <c r="F1523" t="s">
        <v>22</v>
      </c>
      <c r="G1523">
        <v>30</v>
      </c>
      <c r="H1523">
        <v>1642783.8</v>
      </c>
      <c r="I1523">
        <v>515.55999999999995</v>
      </c>
    </row>
    <row r="1524" spans="1:9" x14ac:dyDescent="0.2">
      <c r="A1524" s="11">
        <v>46020</v>
      </c>
      <c r="B1524" t="s">
        <v>12</v>
      </c>
      <c r="C1524" t="s">
        <v>937</v>
      </c>
      <c r="D1524" t="s">
        <v>1878</v>
      </c>
      <c r="E1524" t="s">
        <v>604</v>
      </c>
      <c r="F1524" t="s">
        <v>22</v>
      </c>
      <c r="G1524">
        <v>10</v>
      </c>
      <c r="H1524">
        <v>518930.1</v>
      </c>
      <c r="I1524">
        <v>162.86000000000001</v>
      </c>
    </row>
    <row r="1525" spans="1:9" x14ac:dyDescent="0.2">
      <c r="A1525" s="11">
        <v>46021</v>
      </c>
      <c r="B1525" t="s">
        <v>10</v>
      </c>
      <c r="C1525" t="s">
        <v>398</v>
      </c>
      <c r="D1525" t="s">
        <v>1879</v>
      </c>
      <c r="E1525" t="s">
        <v>491</v>
      </c>
      <c r="F1525" t="s">
        <v>18</v>
      </c>
      <c r="G1525">
        <v>18</v>
      </c>
      <c r="H1525">
        <v>1288969.92</v>
      </c>
      <c r="I1525">
        <v>404.52</v>
      </c>
    </row>
    <row r="1526" spans="1:9" x14ac:dyDescent="0.2">
      <c r="A1526" s="11">
        <v>46021</v>
      </c>
      <c r="B1526" t="s">
        <v>10</v>
      </c>
      <c r="C1526" t="s">
        <v>398</v>
      </c>
      <c r="D1526" t="s">
        <v>1879</v>
      </c>
      <c r="E1526" t="s">
        <v>177</v>
      </c>
      <c r="F1526" t="s">
        <v>14</v>
      </c>
      <c r="G1526">
        <v>27</v>
      </c>
      <c r="H1526">
        <v>1922422.41</v>
      </c>
      <c r="I1526">
        <v>603.32000000000005</v>
      </c>
    </row>
    <row r="1527" spans="1:9" x14ac:dyDescent="0.2">
      <c r="A1527" s="11">
        <v>46021</v>
      </c>
      <c r="B1527" t="s">
        <v>10</v>
      </c>
      <c r="C1527" t="s">
        <v>398</v>
      </c>
      <c r="D1527" t="s">
        <v>1879</v>
      </c>
      <c r="E1527" t="s">
        <v>173</v>
      </c>
      <c r="F1527" t="s">
        <v>5</v>
      </c>
      <c r="G1527">
        <v>32</v>
      </c>
      <c r="H1527">
        <v>1868142.08</v>
      </c>
      <c r="I1527">
        <v>586.29</v>
      </c>
    </row>
    <row r="1528" spans="1:9" x14ac:dyDescent="0.2">
      <c r="A1528" s="11">
        <v>46021</v>
      </c>
      <c r="B1528" t="s">
        <v>9</v>
      </c>
      <c r="C1528" t="s">
        <v>977</v>
      </c>
      <c r="D1528" t="s">
        <v>1880</v>
      </c>
      <c r="E1528" t="s">
        <v>936</v>
      </c>
      <c r="F1528" t="s">
        <v>5</v>
      </c>
      <c r="G1528">
        <v>29</v>
      </c>
      <c r="H1528">
        <v>1817322.99</v>
      </c>
      <c r="I1528">
        <v>570.34</v>
      </c>
    </row>
    <row r="1529" spans="1:9" x14ac:dyDescent="0.2">
      <c r="A1529" s="11">
        <v>46021</v>
      </c>
      <c r="B1529" t="s">
        <v>11</v>
      </c>
      <c r="C1529" t="s">
        <v>1881</v>
      </c>
      <c r="D1529" t="s">
        <v>1882</v>
      </c>
      <c r="E1529" t="s">
        <v>619</v>
      </c>
      <c r="F1529" t="s">
        <v>18</v>
      </c>
      <c r="G1529">
        <v>5</v>
      </c>
      <c r="H1529">
        <v>600836.85</v>
      </c>
      <c r="I1529">
        <v>188.56</v>
      </c>
    </row>
    <row r="1530" spans="1:9" x14ac:dyDescent="0.2">
      <c r="A1530" s="11">
        <v>46021</v>
      </c>
      <c r="B1530" t="s">
        <v>11</v>
      </c>
      <c r="C1530" t="s">
        <v>1881</v>
      </c>
      <c r="D1530" t="s">
        <v>1882</v>
      </c>
      <c r="E1530" t="s">
        <v>517</v>
      </c>
      <c r="F1530" t="s">
        <v>20</v>
      </c>
      <c r="G1530">
        <v>5</v>
      </c>
      <c r="H1530">
        <v>872923.7</v>
      </c>
      <c r="I1530">
        <v>273.95</v>
      </c>
    </row>
    <row r="1531" spans="1:9" x14ac:dyDescent="0.2">
      <c r="A1531" s="11">
        <v>46021</v>
      </c>
      <c r="B1531" t="s">
        <v>11</v>
      </c>
      <c r="C1531" t="s">
        <v>1881</v>
      </c>
      <c r="D1531" t="s">
        <v>1882</v>
      </c>
      <c r="E1531" t="s">
        <v>1695</v>
      </c>
      <c r="F1531" t="s">
        <v>16</v>
      </c>
      <c r="G1531">
        <v>21</v>
      </c>
      <c r="H1531">
        <v>1789501.56</v>
      </c>
      <c r="I1531">
        <v>561.61</v>
      </c>
    </row>
    <row r="1532" spans="1:9" x14ac:dyDescent="0.2">
      <c r="A1532" s="11">
        <v>46021</v>
      </c>
      <c r="B1532" t="s">
        <v>9</v>
      </c>
      <c r="C1532" t="s">
        <v>1883</v>
      </c>
      <c r="D1532" t="s">
        <v>1884</v>
      </c>
      <c r="E1532" t="s">
        <v>384</v>
      </c>
      <c r="F1532" t="s">
        <v>5</v>
      </c>
      <c r="G1532">
        <v>8</v>
      </c>
      <c r="H1532">
        <v>270033.44</v>
      </c>
      <c r="I1532">
        <v>84.75</v>
      </c>
    </row>
    <row r="1533" spans="1:9" x14ac:dyDescent="0.2">
      <c r="A1533" s="11">
        <v>46021</v>
      </c>
      <c r="B1533" t="s">
        <v>9</v>
      </c>
      <c r="C1533" t="s">
        <v>1883</v>
      </c>
      <c r="D1533" t="s">
        <v>1884</v>
      </c>
      <c r="E1533" t="s">
        <v>1060</v>
      </c>
      <c r="F1533" t="s">
        <v>5</v>
      </c>
      <c r="G1533">
        <v>20</v>
      </c>
      <c r="H1533">
        <v>829617</v>
      </c>
      <c r="I1533">
        <v>260.36</v>
      </c>
    </row>
    <row r="1534" spans="1:9" x14ac:dyDescent="0.2">
      <c r="A1534" s="11">
        <v>46021</v>
      </c>
      <c r="B1534" t="s">
        <v>9</v>
      </c>
      <c r="C1534" t="s">
        <v>1883</v>
      </c>
      <c r="D1534" t="s">
        <v>1884</v>
      </c>
      <c r="E1534" t="s">
        <v>1885</v>
      </c>
      <c r="F1534" t="s">
        <v>5</v>
      </c>
      <c r="G1534">
        <v>4</v>
      </c>
      <c r="H1534">
        <v>250999.92</v>
      </c>
      <c r="I1534">
        <v>78.77</v>
      </c>
    </row>
    <row r="1535" spans="1:9" x14ac:dyDescent="0.2">
      <c r="A1535" s="11">
        <v>46021</v>
      </c>
      <c r="B1535" t="s">
        <v>7</v>
      </c>
      <c r="C1535" t="s">
        <v>1069</v>
      </c>
      <c r="D1535" t="s">
        <v>1886</v>
      </c>
      <c r="E1535" t="s">
        <v>915</v>
      </c>
      <c r="F1535" t="s">
        <v>22</v>
      </c>
      <c r="G1535">
        <v>34</v>
      </c>
      <c r="H1535">
        <v>1136257.22</v>
      </c>
      <c r="I1535">
        <v>356.6</v>
      </c>
    </row>
    <row r="1536" spans="1:9" x14ac:dyDescent="0.2">
      <c r="A1536" s="11">
        <v>46021</v>
      </c>
      <c r="B1536" t="s">
        <v>8</v>
      </c>
      <c r="C1536" t="s">
        <v>1887</v>
      </c>
      <c r="D1536" t="s">
        <v>1888</v>
      </c>
      <c r="E1536" t="s">
        <v>1330</v>
      </c>
      <c r="F1536" t="s">
        <v>14</v>
      </c>
      <c r="G1536">
        <v>21</v>
      </c>
      <c r="H1536">
        <v>1582121.52</v>
      </c>
      <c r="I1536">
        <v>496.52</v>
      </c>
    </row>
    <row r="1537" spans="1:9" x14ac:dyDescent="0.2">
      <c r="A1537" s="11">
        <v>46021</v>
      </c>
      <c r="B1537" t="s">
        <v>8</v>
      </c>
      <c r="C1537" t="s">
        <v>1889</v>
      </c>
      <c r="D1537" t="s">
        <v>1890</v>
      </c>
      <c r="E1537" t="s">
        <v>199</v>
      </c>
      <c r="F1537" t="s">
        <v>22</v>
      </c>
      <c r="G1537">
        <v>13</v>
      </c>
      <c r="H1537">
        <v>774103.46</v>
      </c>
      <c r="I1537">
        <v>242.94</v>
      </c>
    </row>
    <row r="1538" spans="1:9" x14ac:dyDescent="0.2">
      <c r="A1538" s="11">
        <v>46021</v>
      </c>
      <c r="B1538" t="s">
        <v>8</v>
      </c>
      <c r="C1538" t="s">
        <v>1891</v>
      </c>
      <c r="D1538" t="s">
        <v>1892</v>
      </c>
      <c r="E1538" t="s">
        <v>484</v>
      </c>
      <c r="F1538" t="s">
        <v>22</v>
      </c>
      <c r="G1538">
        <v>28</v>
      </c>
      <c r="H1538">
        <v>999711.16</v>
      </c>
      <c r="I1538">
        <v>313.74</v>
      </c>
    </row>
    <row r="1539" spans="1:9" x14ac:dyDescent="0.2">
      <c r="A1539" s="11">
        <v>46021</v>
      </c>
      <c r="B1539" t="s">
        <v>8</v>
      </c>
      <c r="C1539" t="s">
        <v>1080</v>
      </c>
      <c r="D1539" t="s">
        <v>1893</v>
      </c>
      <c r="E1539" t="s">
        <v>758</v>
      </c>
      <c r="F1539" t="s">
        <v>14</v>
      </c>
      <c r="G1539">
        <v>6</v>
      </c>
      <c r="H1539">
        <v>451301.94</v>
      </c>
      <c r="I1539">
        <v>141.63</v>
      </c>
    </row>
    <row r="1540" spans="1:9" x14ac:dyDescent="0.2">
      <c r="A1540" s="11">
        <v>46021</v>
      </c>
      <c r="B1540" t="s">
        <v>8</v>
      </c>
      <c r="C1540" t="s">
        <v>1080</v>
      </c>
      <c r="D1540" t="s">
        <v>1893</v>
      </c>
      <c r="E1540" t="s">
        <v>1353</v>
      </c>
      <c r="F1540" t="s">
        <v>18</v>
      </c>
      <c r="G1540">
        <v>9</v>
      </c>
      <c r="H1540">
        <v>726657.75</v>
      </c>
      <c r="I1540">
        <v>228.05</v>
      </c>
    </row>
    <row r="1541" spans="1:9" x14ac:dyDescent="0.2">
      <c r="A1541" s="11">
        <v>46021</v>
      </c>
      <c r="B1541" t="s">
        <v>8</v>
      </c>
      <c r="C1541" t="s">
        <v>1080</v>
      </c>
      <c r="D1541" t="s">
        <v>1893</v>
      </c>
      <c r="E1541" t="s">
        <v>1894</v>
      </c>
      <c r="F1541" t="s">
        <v>22</v>
      </c>
      <c r="G1541">
        <v>13</v>
      </c>
      <c r="H1541">
        <v>322082.93</v>
      </c>
      <c r="I1541">
        <v>101.08</v>
      </c>
    </row>
    <row r="1542" spans="1:9" x14ac:dyDescent="0.2">
      <c r="A1542" s="11">
        <v>46021</v>
      </c>
      <c r="B1542" t="s">
        <v>7</v>
      </c>
      <c r="C1542" t="s">
        <v>269</v>
      </c>
      <c r="D1542" t="s">
        <v>1895</v>
      </c>
      <c r="E1542" t="s">
        <v>136</v>
      </c>
      <c r="F1542" t="s">
        <v>5</v>
      </c>
      <c r="G1542">
        <v>32</v>
      </c>
      <c r="H1542">
        <v>2158651.52</v>
      </c>
      <c r="I1542">
        <v>677.46</v>
      </c>
    </row>
    <row r="1543" spans="1:9" x14ac:dyDescent="0.2">
      <c r="A1543" s="11">
        <v>46021</v>
      </c>
      <c r="B1543" t="s">
        <v>7</v>
      </c>
      <c r="C1543" t="s">
        <v>269</v>
      </c>
      <c r="D1543" t="s">
        <v>1895</v>
      </c>
      <c r="E1543" t="s">
        <v>1432</v>
      </c>
      <c r="F1543" t="s">
        <v>14</v>
      </c>
      <c r="G1543">
        <v>12</v>
      </c>
      <c r="H1543">
        <v>1245625.68</v>
      </c>
      <c r="I1543">
        <v>390.92</v>
      </c>
    </row>
    <row r="1544" spans="1:9" x14ac:dyDescent="0.2">
      <c r="A1544" s="11">
        <v>46021</v>
      </c>
      <c r="B1544" t="s">
        <v>7</v>
      </c>
      <c r="C1544" t="s">
        <v>269</v>
      </c>
      <c r="D1544" t="s">
        <v>1895</v>
      </c>
      <c r="E1544" t="s">
        <v>702</v>
      </c>
      <c r="F1544" t="s">
        <v>18</v>
      </c>
      <c r="G1544">
        <v>12</v>
      </c>
      <c r="H1544">
        <v>862867.32</v>
      </c>
      <c r="I1544">
        <v>270.8</v>
      </c>
    </row>
    <row r="1545" spans="1:9" x14ac:dyDescent="0.2">
      <c r="A1545" s="11">
        <v>46021</v>
      </c>
      <c r="B1545" t="s">
        <v>10</v>
      </c>
      <c r="C1545" t="s">
        <v>1896</v>
      </c>
      <c r="D1545" t="s">
        <v>1897</v>
      </c>
      <c r="E1545" t="s">
        <v>367</v>
      </c>
      <c r="F1545" t="s">
        <v>22</v>
      </c>
      <c r="G1545">
        <v>4</v>
      </c>
      <c r="H1545">
        <v>203031.12</v>
      </c>
      <c r="I1545">
        <v>63.72</v>
      </c>
    </row>
    <row r="1546" spans="1:9" x14ac:dyDescent="0.2">
      <c r="A1546" s="11">
        <v>46021</v>
      </c>
      <c r="B1546" t="s">
        <v>7</v>
      </c>
      <c r="C1546" t="s">
        <v>1898</v>
      </c>
      <c r="D1546" t="s">
        <v>1899</v>
      </c>
      <c r="E1546" t="s">
        <v>301</v>
      </c>
      <c r="F1546" t="s">
        <v>22</v>
      </c>
      <c r="G1546">
        <v>17</v>
      </c>
      <c r="H1546">
        <v>720630.85</v>
      </c>
      <c r="I1546">
        <v>226.16</v>
      </c>
    </row>
    <row r="1547" spans="1:9" x14ac:dyDescent="0.2">
      <c r="A1547" s="11">
        <v>46021</v>
      </c>
      <c r="B1547" t="s">
        <v>7</v>
      </c>
      <c r="C1547" t="s">
        <v>1898</v>
      </c>
      <c r="D1547" t="s">
        <v>1899</v>
      </c>
      <c r="E1547" t="s">
        <v>659</v>
      </c>
      <c r="F1547" t="s">
        <v>5</v>
      </c>
      <c r="G1547">
        <v>8</v>
      </c>
      <c r="H1547">
        <v>590440.16</v>
      </c>
      <c r="I1547">
        <v>185.3</v>
      </c>
    </row>
    <row r="1548" spans="1:9" x14ac:dyDescent="0.2">
      <c r="A1548" s="11">
        <v>46021</v>
      </c>
      <c r="B1548" t="s">
        <v>7</v>
      </c>
      <c r="C1548" t="s">
        <v>1898</v>
      </c>
      <c r="D1548" t="s">
        <v>1899</v>
      </c>
      <c r="E1548" t="s">
        <v>1900</v>
      </c>
      <c r="F1548" t="s">
        <v>5</v>
      </c>
      <c r="G1548">
        <v>30</v>
      </c>
      <c r="H1548">
        <v>2130794.4</v>
      </c>
      <c r="I1548">
        <v>668.72</v>
      </c>
    </row>
    <row r="1549" spans="1:9" x14ac:dyDescent="0.2">
      <c r="A1549" s="11">
        <v>46021</v>
      </c>
      <c r="B1549" t="s">
        <v>7</v>
      </c>
      <c r="C1549" t="s">
        <v>1898</v>
      </c>
      <c r="D1549" t="s">
        <v>1899</v>
      </c>
      <c r="E1549" t="s">
        <v>694</v>
      </c>
      <c r="F1549" t="s">
        <v>22</v>
      </c>
      <c r="G1549">
        <v>10</v>
      </c>
      <c r="H1549">
        <v>631244.9</v>
      </c>
      <c r="I1549">
        <v>198.11</v>
      </c>
    </row>
    <row r="1550" spans="1:9" x14ac:dyDescent="0.2">
      <c r="A1550" s="11">
        <v>46021</v>
      </c>
      <c r="B1550" t="s">
        <v>7</v>
      </c>
      <c r="C1550" t="s">
        <v>1898</v>
      </c>
      <c r="D1550" t="s">
        <v>1899</v>
      </c>
      <c r="E1550" t="s">
        <v>1155</v>
      </c>
      <c r="F1550" t="s">
        <v>5</v>
      </c>
      <c r="G1550">
        <v>13</v>
      </c>
      <c r="H1550">
        <v>505716.9</v>
      </c>
      <c r="I1550">
        <v>158.71</v>
      </c>
    </row>
    <row r="1551" spans="1:9" x14ac:dyDescent="0.2">
      <c r="A1551" s="11">
        <v>46021</v>
      </c>
      <c r="B1551" t="s">
        <v>12</v>
      </c>
      <c r="C1551" t="s">
        <v>1901</v>
      </c>
      <c r="D1551" t="s">
        <v>1902</v>
      </c>
      <c r="E1551" t="s">
        <v>189</v>
      </c>
      <c r="F1551" t="s">
        <v>5</v>
      </c>
      <c r="G1551">
        <v>26</v>
      </c>
      <c r="H1551">
        <v>1046108.7</v>
      </c>
      <c r="I1551">
        <v>328.31</v>
      </c>
    </row>
    <row r="1552" spans="1:9" x14ac:dyDescent="0.2">
      <c r="A1552" s="11">
        <v>46021</v>
      </c>
      <c r="B1552" t="s">
        <v>12</v>
      </c>
      <c r="C1552" t="s">
        <v>1901</v>
      </c>
      <c r="D1552" t="s">
        <v>1902</v>
      </c>
      <c r="E1552" t="s">
        <v>527</v>
      </c>
      <c r="F1552" t="s">
        <v>16</v>
      </c>
      <c r="G1552">
        <v>10</v>
      </c>
      <c r="H1552">
        <v>1539434.4</v>
      </c>
      <c r="I1552">
        <v>483.13</v>
      </c>
    </row>
    <row r="1553" spans="1:9" x14ac:dyDescent="0.2">
      <c r="A1553" s="11">
        <v>46021</v>
      </c>
      <c r="B1553" t="s">
        <v>12</v>
      </c>
      <c r="C1553" t="s">
        <v>1488</v>
      </c>
      <c r="D1553" t="s">
        <v>1903</v>
      </c>
      <c r="E1553" t="s">
        <v>852</v>
      </c>
      <c r="F1553" t="s">
        <v>14</v>
      </c>
      <c r="G1553">
        <v>6</v>
      </c>
      <c r="H1553">
        <v>518952.42</v>
      </c>
      <c r="I1553">
        <v>162.87</v>
      </c>
    </row>
    <row r="1554" spans="1:9" x14ac:dyDescent="0.2">
      <c r="A1554" s="11">
        <v>46021</v>
      </c>
      <c r="B1554" t="s">
        <v>12</v>
      </c>
      <c r="C1554" t="s">
        <v>1488</v>
      </c>
      <c r="D1554" t="s">
        <v>1903</v>
      </c>
      <c r="E1554" t="s">
        <v>187</v>
      </c>
      <c r="F1554" t="s">
        <v>5</v>
      </c>
      <c r="G1554">
        <v>15</v>
      </c>
      <c r="H1554">
        <v>462596.85</v>
      </c>
      <c r="I1554">
        <v>145.18</v>
      </c>
    </row>
    <row r="1555" spans="1:9" x14ac:dyDescent="0.2">
      <c r="A1555" s="11">
        <v>46021</v>
      </c>
      <c r="B1555" t="s">
        <v>8</v>
      </c>
      <c r="C1555" t="s">
        <v>1904</v>
      </c>
      <c r="D1555" t="s">
        <v>1905</v>
      </c>
      <c r="E1555" t="s">
        <v>527</v>
      </c>
      <c r="F1555" t="s">
        <v>16</v>
      </c>
      <c r="G1555">
        <v>14</v>
      </c>
      <c r="H1555">
        <v>2014189.66</v>
      </c>
      <c r="I1555">
        <v>632.12</v>
      </c>
    </row>
    <row r="1556" spans="1:9" x14ac:dyDescent="0.2">
      <c r="A1556" s="11">
        <v>46021</v>
      </c>
      <c r="B1556" t="s">
        <v>8</v>
      </c>
      <c r="C1556" t="s">
        <v>1000</v>
      </c>
      <c r="D1556" t="s">
        <v>1906</v>
      </c>
      <c r="E1556" t="s">
        <v>149</v>
      </c>
      <c r="F1556" t="s">
        <v>14</v>
      </c>
      <c r="G1556">
        <v>10</v>
      </c>
      <c r="H1556">
        <v>550584.4</v>
      </c>
      <c r="I1556">
        <v>172.79</v>
      </c>
    </row>
    <row r="1557" spans="1:9" x14ac:dyDescent="0.2">
      <c r="A1557" s="11">
        <v>46021</v>
      </c>
      <c r="B1557" t="s">
        <v>8</v>
      </c>
      <c r="C1557" t="s">
        <v>1000</v>
      </c>
      <c r="D1557" t="s">
        <v>1906</v>
      </c>
      <c r="E1557" t="s">
        <v>1907</v>
      </c>
      <c r="F1557" t="s">
        <v>18</v>
      </c>
      <c r="G1557">
        <v>17</v>
      </c>
      <c r="H1557">
        <v>1770485.74</v>
      </c>
      <c r="I1557">
        <v>555.64</v>
      </c>
    </row>
    <row r="1558" spans="1:9" x14ac:dyDescent="0.2">
      <c r="A1558" s="11">
        <v>46021</v>
      </c>
      <c r="B1558" t="s">
        <v>7</v>
      </c>
      <c r="C1558" t="s">
        <v>888</v>
      </c>
      <c r="D1558" t="s">
        <v>1908</v>
      </c>
      <c r="E1558" t="s">
        <v>312</v>
      </c>
      <c r="F1558" t="s">
        <v>22</v>
      </c>
      <c r="G1558">
        <v>4</v>
      </c>
      <c r="H1558">
        <v>111116.6</v>
      </c>
      <c r="I1558">
        <v>34.869999999999997</v>
      </c>
    </row>
    <row r="1559" spans="1:9" x14ac:dyDescent="0.2">
      <c r="A1559" s="11">
        <v>46021</v>
      </c>
      <c r="B1559" t="s">
        <v>7</v>
      </c>
      <c r="C1559" t="s">
        <v>888</v>
      </c>
      <c r="D1559" t="s">
        <v>1908</v>
      </c>
      <c r="E1559" t="s">
        <v>838</v>
      </c>
      <c r="F1559" t="s">
        <v>14</v>
      </c>
      <c r="G1559">
        <v>7</v>
      </c>
      <c r="H1559">
        <v>440314.42</v>
      </c>
      <c r="I1559">
        <v>138.19</v>
      </c>
    </row>
    <row r="1560" spans="1:9" x14ac:dyDescent="0.2">
      <c r="A1560" s="11">
        <v>46021</v>
      </c>
      <c r="B1560" t="s">
        <v>7</v>
      </c>
      <c r="C1560" t="s">
        <v>888</v>
      </c>
      <c r="D1560" t="s">
        <v>1908</v>
      </c>
      <c r="E1560" t="s">
        <v>1909</v>
      </c>
      <c r="F1560" t="s">
        <v>20</v>
      </c>
      <c r="G1560">
        <v>32</v>
      </c>
      <c r="H1560">
        <v>5891317.7599999998</v>
      </c>
      <c r="I1560">
        <v>1848.9</v>
      </c>
    </row>
    <row r="1561" spans="1:9" x14ac:dyDescent="0.2">
      <c r="A1561" s="11">
        <v>46021</v>
      </c>
      <c r="B1561" t="s">
        <v>7</v>
      </c>
      <c r="C1561" t="s">
        <v>888</v>
      </c>
      <c r="D1561" t="s">
        <v>1908</v>
      </c>
      <c r="E1561" t="s">
        <v>243</v>
      </c>
      <c r="F1561" t="s">
        <v>16</v>
      </c>
      <c r="G1561">
        <v>22</v>
      </c>
      <c r="H1561">
        <v>3111603</v>
      </c>
      <c r="I1561">
        <v>976.53</v>
      </c>
    </row>
    <row r="1562" spans="1:9" x14ac:dyDescent="0.2">
      <c r="A1562" s="11">
        <v>46021</v>
      </c>
      <c r="B1562" t="s">
        <v>12</v>
      </c>
      <c r="C1562" t="s">
        <v>414</v>
      </c>
      <c r="D1562" t="s">
        <v>1910</v>
      </c>
      <c r="E1562" t="s">
        <v>1179</v>
      </c>
      <c r="F1562" t="s">
        <v>14</v>
      </c>
      <c r="G1562">
        <v>24</v>
      </c>
      <c r="H1562">
        <v>1580520.96</v>
      </c>
      <c r="I1562">
        <v>496.02</v>
      </c>
    </row>
    <row r="1563" spans="1:9" x14ac:dyDescent="0.2">
      <c r="A1563" s="11">
        <v>46021</v>
      </c>
      <c r="B1563" t="s">
        <v>12</v>
      </c>
      <c r="C1563" t="s">
        <v>414</v>
      </c>
      <c r="D1563" t="s">
        <v>1910</v>
      </c>
      <c r="E1563" t="s">
        <v>530</v>
      </c>
      <c r="F1563" t="s">
        <v>16</v>
      </c>
      <c r="G1563">
        <v>36</v>
      </c>
      <c r="H1563">
        <v>5120110.8</v>
      </c>
      <c r="I1563">
        <v>1606.87</v>
      </c>
    </row>
    <row r="1564" spans="1:9" x14ac:dyDescent="0.2">
      <c r="A1564" s="11">
        <v>46021</v>
      </c>
      <c r="B1564" t="s">
        <v>9</v>
      </c>
      <c r="C1564" t="s">
        <v>1074</v>
      </c>
      <c r="D1564" t="s">
        <v>1911</v>
      </c>
      <c r="E1564" t="s">
        <v>1695</v>
      </c>
      <c r="F1564" t="s">
        <v>16</v>
      </c>
      <c r="G1564">
        <v>5</v>
      </c>
      <c r="H1564">
        <v>392030.5</v>
      </c>
      <c r="I1564">
        <v>123.03</v>
      </c>
    </row>
    <row r="1565" spans="1:9" x14ac:dyDescent="0.2">
      <c r="A1565" s="11">
        <v>46021</v>
      </c>
      <c r="B1565" t="s">
        <v>9</v>
      </c>
      <c r="C1565" t="s">
        <v>1074</v>
      </c>
      <c r="D1565" t="s">
        <v>1911</v>
      </c>
      <c r="E1565" t="s">
        <v>1912</v>
      </c>
      <c r="F1565" t="s">
        <v>5</v>
      </c>
      <c r="G1565">
        <v>16</v>
      </c>
      <c r="H1565">
        <v>1055586.56</v>
      </c>
      <c r="I1565">
        <v>331.28</v>
      </c>
    </row>
    <row r="1566" spans="1:9" x14ac:dyDescent="0.2">
      <c r="A1566" s="11">
        <v>46021</v>
      </c>
      <c r="B1566" t="s">
        <v>9</v>
      </c>
      <c r="C1566" t="s">
        <v>1074</v>
      </c>
      <c r="D1566" t="s">
        <v>1911</v>
      </c>
      <c r="E1566" t="s">
        <v>1432</v>
      </c>
      <c r="F1566" t="s">
        <v>14</v>
      </c>
      <c r="G1566">
        <v>20</v>
      </c>
      <c r="H1566">
        <v>2021559.6</v>
      </c>
      <c r="I1566">
        <v>634.44000000000005</v>
      </c>
    </row>
    <row r="1567" spans="1:9" x14ac:dyDescent="0.2">
      <c r="A1567" s="11">
        <v>46021</v>
      </c>
      <c r="B1567" t="s">
        <v>9</v>
      </c>
      <c r="C1567" t="s">
        <v>1074</v>
      </c>
      <c r="D1567" t="s">
        <v>1911</v>
      </c>
      <c r="E1567" t="s">
        <v>535</v>
      </c>
      <c r="F1567" t="s">
        <v>20</v>
      </c>
      <c r="G1567">
        <v>59</v>
      </c>
      <c r="H1567">
        <v>12693222.24</v>
      </c>
      <c r="I1567">
        <v>3983.57</v>
      </c>
    </row>
    <row r="1568" spans="1:9" x14ac:dyDescent="0.2">
      <c r="A1568" s="11">
        <v>46021</v>
      </c>
      <c r="B1568" t="s">
        <v>12</v>
      </c>
      <c r="C1568" t="s">
        <v>1913</v>
      </c>
      <c r="D1568" t="s">
        <v>1914</v>
      </c>
      <c r="E1568" t="s">
        <v>441</v>
      </c>
      <c r="F1568" t="s">
        <v>5</v>
      </c>
      <c r="G1568">
        <v>6</v>
      </c>
      <c r="H1568">
        <v>190142.94</v>
      </c>
      <c r="I1568">
        <v>59.67</v>
      </c>
    </row>
    <row r="1569" spans="1:9" x14ac:dyDescent="0.2">
      <c r="A1569" s="11">
        <v>46021</v>
      </c>
      <c r="B1569" t="s">
        <v>12</v>
      </c>
      <c r="C1569" t="s">
        <v>1913</v>
      </c>
      <c r="D1569" t="s">
        <v>1914</v>
      </c>
      <c r="E1569" t="s">
        <v>353</v>
      </c>
      <c r="F1569" t="s">
        <v>22</v>
      </c>
      <c r="G1569">
        <v>17</v>
      </c>
      <c r="H1569">
        <v>785988.2</v>
      </c>
      <c r="I1569">
        <v>246.67</v>
      </c>
    </row>
    <row r="1570" spans="1:9" x14ac:dyDescent="0.2">
      <c r="A1570" s="11">
        <v>46021</v>
      </c>
      <c r="B1570" t="s">
        <v>6</v>
      </c>
      <c r="C1570" t="s">
        <v>1430</v>
      </c>
      <c r="D1570" t="s">
        <v>1915</v>
      </c>
      <c r="E1570" t="s">
        <v>502</v>
      </c>
      <c r="F1570" t="s">
        <v>18</v>
      </c>
      <c r="G1570">
        <v>11</v>
      </c>
      <c r="H1570">
        <v>1254821.04</v>
      </c>
      <c r="I1570">
        <v>393.81</v>
      </c>
    </row>
    <row r="1571" spans="1:9" x14ac:dyDescent="0.2">
      <c r="A1571" s="11">
        <v>46021</v>
      </c>
      <c r="B1571" t="s">
        <v>6</v>
      </c>
      <c r="C1571" t="s">
        <v>1430</v>
      </c>
      <c r="D1571" t="s">
        <v>1915</v>
      </c>
      <c r="E1571" t="s">
        <v>1916</v>
      </c>
      <c r="F1571" t="s">
        <v>20</v>
      </c>
      <c r="G1571">
        <v>13</v>
      </c>
      <c r="H1571">
        <v>2756810.81</v>
      </c>
      <c r="I1571">
        <v>865.18</v>
      </c>
    </row>
    <row r="1572" spans="1:9" x14ac:dyDescent="0.2">
      <c r="A1572" s="11">
        <v>46021</v>
      </c>
      <c r="B1572" t="s">
        <v>6</v>
      </c>
      <c r="C1572" t="s">
        <v>1430</v>
      </c>
      <c r="D1572" t="s">
        <v>1915</v>
      </c>
      <c r="E1572" t="s">
        <v>772</v>
      </c>
      <c r="F1572" t="s">
        <v>14</v>
      </c>
      <c r="G1572">
        <v>16</v>
      </c>
      <c r="H1572">
        <v>944920.96</v>
      </c>
      <c r="I1572">
        <v>296.55</v>
      </c>
    </row>
    <row r="1573" spans="1:9" x14ac:dyDescent="0.2">
      <c r="A1573" s="11">
        <v>46021</v>
      </c>
      <c r="B1573" t="s">
        <v>6</v>
      </c>
      <c r="C1573" t="s">
        <v>1430</v>
      </c>
      <c r="D1573" t="s">
        <v>1915</v>
      </c>
      <c r="E1573" t="s">
        <v>565</v>
      </c>
      <c r="F1573" t="s">
        <v>5</v>
      </c>
      <c r="G1573">
        <v>4</v>
      </c>
      <c r="H1573">
        <v>277250.92</v>
      </c>
      <c r="I1573">
        <v>87.01</v>
      </c>
    </row>
    <row r="1574" spans="1:9" x14ac:dyDescent="0.2">
      <c r="A1574" s="11">
        <v>46021</v>
      </c>
      <c r="B1574" t="s">
        <v>10</v>
      </c>
      <c r="C1574" t="s">
        <v>878</v>
      </c>
      <c r="D1574" t="s">
        <v>1917</v>
      </c>
      <c r="E1574" t="s">
        <v>259</v>
      </c>
      <c r="F1574" t="s">
        <v>5</v>
      </c>
      <c r="G1574">
        <v>15</v>
      </c>
      <c r="H1574">
        <v>389691.3</v>
      </c>
      <c r="I1574">
        <v>122.3</v>
      </c>
    </row>
    <row r="1575" spans="1:9" x14ac:dyDescent="0.2">
      <c r="A1575" s="11">
        <v>46021</v>
      </c>
      <c r="B1575" t="s">
        <v>10</v>
      </c>
      <c r="C1575" t="s">
        <v>878</v>
      </c>
      <c r="D1575" t="s">
        <v>1917</v>
      </c>
      <c r="E1575" t="s">
        <v>1918</v>
      </c>
      <c r="F1575" t="s">
        <v>5</v>
      </c>
      <c r="G1575">
        <v>12</v>
      </c>
      <c r="H1575">
        <v>717176.04</v>
      </c>
      <c r="I1575">
        <v>225.07</v>
      </c>
    </row>
    <row r="1576" spans="1:9" x14ac:dyDescent="0.2">
      <c r="A1576" s="11">
        <v>46021</v>
      </c>
      <c r="B1576" t="s">
        <v>6</v>
      </c>
      <c r="C1576" t="s">
        <v>66</v>
      </c>
      <c r="D1576" t="s">
        <v>1919</v>
      </c>
      <c r="E1576" t="s">
        <v>1063</v>
      </c>
      <c r="F1576" t="s">
        <v>14</v>
      </c>
      <c r="G1576">
        <v>7</v>
      </c>
      <c r="H1576">
        <v>498627.01</v>
      </c>
      <c r="I1576">
        <v>156.49</v>
      </c>
    </row>
    <row r="1577" spans="1:9" x14ac:dyDescent="0.2">
      <c r="A1577" s="11">
        <v>46021</v>
      </c>
      <c r="B1577" t="s">
        <v>6</v>
      </c>
      <c r="C1577" t="s">
        <v>66</v>
      </c>
      <c r="D1577" t="s">
        <v>1919</v>
      </c>
      <c r="E1577" t="s">
        <v>364</v>
      </c>
      <c r="F1577" t="s">
        <v>14</v>
      </c>
      <c r="G1577">
        <v>33</v>
      </c>
      <c r="H1577">
        <v>1701478.68</v>
      </c>
      <c r="I1577">
        <v>533.98</v>
      </c>
    </row>
    <row r="1578" spans="1:9" x14ac:dyDescent="0.2">
      <c r="A1578" s="11">
        <v>46022</v>
      </c>
      <c r="B1578" t="s">
        <v>7</v>
      </c>
      <c r="C1578" t="s">
        <v>369</v>
      </c>
      <c r="D1578" t="s">
        <v>1920</v>
      </c>
      <c r="E1578" t="s">
        <v>158</v>
      </c>
      <c r="F1578" t="s">
        <v>14</v>
      </c>
      <c r="G1578">
        <v>20</v>
      </c>
      <c r="H1578">
        <v>2057348.2</v>
      </c>
      <c r="I1578">
        <v>645.66999999999996</v>
      </c>
    </row>
    <row r="1579" spans="1:9" x14ac:dyDescent="0.2">
      <c r="A1579" s="11">
        <v>46022</v>
      </c>
      <c r="B1579" t="s">
        <v>12</v>
      </c>
      <c r="C1579" t="s">
        <v>1921</v>
      </c>
      <c r="D1579" t="s">
        <v>1922</v>
      </c>
      <c r="E1579" t="s">
        <v>1386</v>
      </c>
      <c r="F1579" t="s">
        <v>22</v>
      </c>
      <c r="G1579">
        <v>10</v>
      </c>
      <c r="H1579">
        <v>509250.4</v>
      </c>
      <c r="I1579">
        <v>159.82</v>
      </c>
    </row>
    <row r="1580" spans="1:9" x14ac:dyDescent="0.2">
      <c r="A1580" s="11">
        <v>46022</v>
      </c>
      <c r="B1580" t="s">
        <v>12</v>
      </c>
      <c r="C1580" t="s">
        <v>1921</v>
      </c>
      <c r="D1580" t="s">
        <v>1922</v>
      </c>
      <c r="E1580" t="s">
        <v>1121</v>
      </c>
      <c r="F1580" t="s">
        <v>22</v>
      </c>
      <c r="G1580">
        <v>8</v>
      </c>
      <c r="H1580">
        <v>200781.84</v>
      </c>
      <c r="I1580">
        <v>63.01</v>
      </c>
    </row>
    <row r="1581" spans="1:9" x14ac:dyDescent="0.2">
      <c r="A1581" s="11">
        <v>46022</v>
      </c>
      <c r="B1581" t="s">
        <v>8</v>
      </c>
      <c r="C1581" t="s">
        <v>907</v>
      </c>
      <c r="D1581" t="s">
        <v>1923</v>
      </c>
      <c r="E1581" t="s">
        <v>1857</v>
      </c>
      <c r="F1581" t="s">
        <v>20</v>
      </c>
      <c r="G1581">
        <v>30</v>
      </c>
      <c r="H1581">
        <v>6991130.0999999996</v>
      </c>
      <c r="I1581">
        <v>2194.06</v>
      </c>
    </row>
    <row r="1582" spans="1:9" x14ac:dyDescent="0.2">
      <c r="A1582" s="11">
        <v>46022</v>
      </c>
      <c r="B1582" t="s">
        <v>8</v>
      </c>
      <c r="C1582" t="s">
        <v>907</v>
      </c>
      <c r="D1582" t="s">
        <v>1923</v>
      </c>
      <c r="E1582" t="s">
        <v>637</v>
      </c>
      <c r="F1582" t="s">
        <v>5</v>
      </c>
      <c r="G1582">
        <v>55</v>
      </c>
      <c r="H1582">
        <v>2626746.1</v>
      </c>
      <c r="I1582">
        <v>824.36</v>
      </c>
    </row>
    <row r="1583" spans="1:9" x14ac:dyDescent="0.2">
      <c r="A1583" s="11">
        <v>46022</v>
      </c>
      <c r="B1583" t="s">
        <v>10</v>
      </c>
      <c r="C1583" t="s">
        <v>1924</v>
      </c>
      <c r="D1583" t="s">
        <v>1925</v>
      </c>
      <c r="E1583" t="s">
        <v>268</v>
      </c>
      <c r="F1583" t="s">
        <v>16</v>
      </c>
      <c r="G1583">
        <v>4</v>
      </c>
      <c r="H1583">
        <v>458864.4</v>
      </c>
      <c r="I1583">
        <v>144.01</v>
      </c>
    </row>
    <row r="1584" spans="1:9" x14ac:dyDescent="0.2">
      <c r="A1584" s="11">
        <v>46022</v>
      </c>
      <c r="B1584" t="s">
        <v>11</v>
      </c>
      <c r="C1584" t="s">
        <v>171</v>
      </c>
      <c r="D1584" t="s">
        <v>1926</v>
      </c>
      <c r="E1584" t="s">
        <v>323</v>
      </c>
      <c r="F1584" t="s">
        <v>22</v>
      </c>
      <c r="G1584">
        <v>46</v>
      </c>
      <c r="H1584">
        <v>2068395.52</v>
      </c>
      <c r="I1584">
        <v>649.13</v>
      </c>
    </row>
    <row r="1585" spans="1:9" x14ac:dyDescent="0.2">
      <c r="A1585" s="11">
        <v>46022</v>
      </c>
      <c r="B1585" t="s">
        <v>11</v>
      </c>
      <c r="C1585" t="s">
        <v>171</v>
      </c>
      <c r="D1585" t="s">
        <v>1926</v>
      </c>
      <c r="E1585" t="s">
        <v>401</v>
      </c>
      <c r="F1585" t="s">
        <v>22</v>
      </c>
      <c r="G1585">
        <v>32</v>
      </c>
      <c r="H1585">
        <v>1745841.92</v>
      </c>
      <c r="I1585">
        <v>547.91</v>
      </c>
    </row>
    <row r="1586" spans="1:9" x14ac:dyDescent="0.2">
      <c r="A1586" s="11">
        <v>46022</v>
      </c>
      <c r="B1586" t="s">
        <v>11</v>
      </c>
      <c r="C1586" t="s">
        <v>171</v>
      </c>
      <c r="D1586" t="s">
        <v>1926</v>
      </c>
      <c r="E1586" t="s">
        <v>983</v>
      </c>
      <c r="F1586" t="s">
        <v>5</v>
      </c>
      <c r="G1586">
        <v>12</v>
      </c>
      <c r="H1586">
        <v>398180.52</v>
      </c>
      <c r="I1586">
        <v>124.96</v>
      </c>
    </row>
    <row r="1587" spans="1:9" x14ac:dyDescent="0.2">
      <c r="A1587" s="11">
        <v>46022</v>
      </c>
      <c r="B1587" t="s">
        <v>11</v>
      </c>
      <c r="C1587" t="s">
        <v>171</v>
      </c>
      <c r="D1587" t="s">
        <v>1926</v>
      </c>
      <c r="E1587" t="s">
        <v>1927</v>
      </c>
      <c r="F1587" t="s">
        <v>20</v>
      </c>
      <c r="G1587">
        <v>16</v>
      </c>
      <c r="H1587">
        <v>1361429.44</v>
      </c>
      <c r="I1587">
        <v>427.26</v>
      </c>
    </row>
    <row r="1588" spans="1:9" x14ac:dyDescent="0.2">
      <c r="A1588" s="11">
        <v>46022</v>
      </c>
      <c r="B1588" t="s">
        <v>7</v>
      </c>
      <c r="C1588" t="s">
        <v>1032</v>
      </c>
      <c r="D1588" t="s">
        <v>1928</v>
      </c>
      <c r="E1588" t="s">
        <v>403</v>
      </c>
      <c r="F1588" t="s">
        <v>5</v>
      </c>
      <c r="G1588">
        <v>59</v>
      </c>
      <c r="H1588">
        <v>2290166.42</v>
      </c>
      <c r="I1588">
        <v>718.73</v>
      </c>
    </row>
    <row r="1589" spans="1:9" x14ac:dyDescent="0.2">
      <c r="A1589" s="11">
        <v>46022</v>
      </c>
      <c r="B1589" t="s">
        <v>7</v>
      </c>
      <c r="C1589" t="s">
        <v>1032</v>
      </c>
      <c r="D1589" t="s">
        <v>1928</v>
      </c>
      <c r="E1589" t="s">
        <v>625</v>
      </c>
      <c r="F1589" t="s">
        <v>20</v>
      </c>
      <c r="G1589">
        <v>17</v>
      </c>
      <c r="H1589">
        <v>1753926.89</v>
      </c>
      <c r="I1589">
        <v>550.44000000000005</v>
      </c>
    </row>
    <row r="1590" spans="1:9" x14ac:dyDescent="0.2">
      <c r="A1590" s="11">
        <v>46022</v>
      </c>
      <c r="B1590" t="s">
        <v>12</v>
      </c>
      <c r="C1590" t="s">
        <v>1723</v>
      </c>
      <c r="D1590" t="s">
        <v>1929</v>
      </c>
      <c r="E1590" t="s">
        <v>783</v>
      </c>
      <c r="F1590" t="s">
        <v>18</v>
      </c>
      <c r="G1590">
        <v>12</v>
      </c>
      <c r="H1590">
        <v>704018.52</v>
      </c>
      <c r="I1590">
        <v>220.95</v>
      </c>
    </row>
    <row r="1591" spans="1:9" x14ac:dyDescent="0.2">
      <c r="A1591" s="11">
        <v>46022</v>
      </c>
      <c r="B1591" t="s">
        <v>7</v>
      </c>
      <c r="C1591" t="s">
        <v>84</v>
      </c>
      <c r="D1591" t="s">
        <v>1930</v>
      </c>
      <c r="E1591" t="s">
        <v>76</v>
      </c>
      <c r="F1591" t="s">
        <v>18</v>
      </c>
      <c r="G1591">
        <v>13</v>
      </c>
      <c r="H1591">
        <v>727807.73</v>
      </c>
      <c r="I1591">
        <v>228.41</v>
      </c>
    </row>
    <row r="1592" spans="1:9" x14ac:dyDescent="0.2">
      <c r="A1592" s="11">
        <v>46022</v>
      </c>
      <c r="B1592" t="s">
        <v>7</v>
      </c>
      <c r="C1592" t="s">
        <v>84</v>
      </c>
      <c r="D1592" t="s">
        <v>1930</v>
      </c>
      <c r="E1592" t="s">
        <v>219</v>
      </c>
      <c r="F1592" t="s">
        <v>5</v>
      </c>
      <c r="G1592">
        <v>50</v>
      </c>
      <c r="H1592">
        <v>3805632</v>
      </c>
      <c r="I1592">
        <v>1194.3399999999999</v>
      </c>
    </row>
    <row r="1593" spans="1:9" x14ac:dyDescent="0.2">
      <c r="A1593" s="11">
        <v>46022</v>
      </c>
      <c r="B1593" t="s">
        <v>7</v>
      </c>
      <c r="C1593" t="s">
        <v>84</v>
      </c>
      <c r="D1593" t="s">
        <v>1930</v>
      </c>
      <c r="E1593" t="s">
        <v>1931</v>
      </c>
      <c r="F1593" t="s">
        <v>14</v>
      </c>
      <c r="G1593">
        <v>15</v>
      </c>
      <c r="H1593">
        <v>608235.9</v>
      </c>
      <c r="I1593">
        <v>190.89</v>
      </c>
    </row>
    <row r="1594" spans="1:9" x14ac:dyDescent="0.2">
      <c r="A1594" s="11">
        <v>46022</v>
      </c>
      <c r="B1594" t="s">
        <v>7</v>
      </c>
      <c r="C1594" t="s">
        <v>84</v>
      </c>
      <c r="D1594" t="s">
        <v>1930</v>
      </c>
      <c r="E1594" t="s">
        <v>1932</v>
      </c>
      <c r="F1594" t="s">
        <v>20</v>
      </c>
      <c r="G1594">
        <v>6</v>
      </c>
      <c r="H1594">
        <v>557727.24</v>
      </c>
      <c r="I1594">
        <v>175.03</v>
      </c>
    </row>
    <row r="1595" spans="1:9" x14ac:dyDescent="0.2">
      <c r="A1595" s="11">
        <v>46022</v>
      </c>
      <c r="B1595" t="s">
        <v>7</v>
      </c>
      <c r="C1595" t="s">
        <v>84</v>
      </c>
      <c r="D1595" t="s">
        <v>1930</v>
      </c>
      <c r="E1595" t="s">
        <v>1258</v>
      </c>
      <c r="F1595" t="s">
        <v>16</v>
      </c>
      <c r="G1595">
        <v>7</v>
      </c>
      <c r="H1595">
        <v>676839.1</v>
      </c>
      <c r="I1595">
        <v>212.42</v>
      </c>
    </row>
    <row r="1596" spans="1:9" x14ac:dyDescent="0.2">
      <c r="A1596" s="11">
        <v>46022</v>
      </c>
      <c r="B1596" t="s">
        <v>10</v>
      </c>
      <c r="C1596" t="s">
        <v>1812</v>
      </c>
      <c r="D1596" t="s">
        <v>1933</v>
      </c>
      <c r="E1596" t="s">
        <v>1934</v>
      </c>
      <c r="F1596" t="s">
        <v>22</v>
      </c>
      <c r="G1596">
        <v>31</v>
      </c>
      <c r="H1596">
        <v>1152372.3</v>
      </c>
      <c r="I1596">
        <v>361.65</v>
      </c>
    </row>
    <row r="1597" spans="1:9" x14ac:dyDescent="0.2">
      <c r="A1597" s="11">
        <v>46022</v>
      </c>
      <c r="B1597" t="s">
        <v>10</v>
      </c>
      <c r="C1597" t="s">
        <v>1812</v>
      </c>
      <c r="D1597" t="s">
        <v>1933</v>
      </c>
      <c r="E1597" t="s">
        <v>1935</v>
      </c>
      <c r="F1597" t="s">
        <v>16</v>
      </c>
      <c r="G1597">
        <v>28</v>
      </c>
      <c r="H1597">
        <v>2085905.92</v>
      </c>
      <c r="I1597">
        <v>654.63</v>
      </c>
    </row>
    <row r="1598" spans="1:9" x14ac:dyDescent="0.2">
      <c r="A1598" s="11">
        <v>46022</v>
      </c>
      <c r="B1598" t="s">
        <v>10</v>
      </c>
      <c r="C1598" t="s">
        <v>1812</v>
      </c>
      <c r="D1598" t="s">
        <v>1933</v>
      </c>
      <c r="E1598" t="s">
        <v>1115</v>
      </c>
      <c r="F1598" t="s">
        <v>5</v>
      </c>
      <c r="G1598">
        <v>9</v>
      </c>
      <c r="H1598">
        <v>584469.27</v>
      </c>
      <c r="I1598">
        <v>183.43</v>
      </c>
    </row>
    <row r="1599" spans="1:9" x14ac:dyDescent="0.2">
      <c r="A1599" s="11">
        <v>46022</v>
      </c>
      <c r="B1599" t="s">
        <v>11</v>
      </c>
      <c r="C1599" t="s">
        <v>1723</v>
      </c>
      <c r="D1599" t="s">
        <v>1936</v>
      </c>
      <c r="E1599" t="s">
        <v>193</v>
      </c>
      <c r="F1599" t="s">
        <v>22</v>
      </c>
      <c r="G1599">
        <v>13</v>
      </c>
      <c r="H1599">
        <v>630010.93999999994</v>
      </c>
      <c r="I1599">
        <v>197.72</v>
      </c>
    </row>
    <row r="1600" spans="1:9" x14ac:dyDescent="0.2">
      <c r="A1600" s="11">
        <v>46022</v>
      </c>
      <c r="B1600" t="s">
        <v>11</v>
      </c>
      <c r="C1600" t="s">
        <v>1723</v>
      </c>
      <c r="D1600" t="s">
        <v>1936</v>
      </c>
      <c r="E1600" t="s">
        <v>637</v>
      </c>
      <c r="F1600" t="s">
        <v>5</v>
      </c>
      <c r="G1600">
        <v>29</v>
      </c>
      <c r="H1600">
        <v>1397634.41</v>
      </c>
      <c r="I1600">
        <v>438.63</v>
      </c>
    </row>
    <row r="1601" spans="1:9" x14ac:dyDescent="0.2">
      <c r="A1601" s="11">
        <v>46022</v>
      </c>
      <c r="B1601" t="s">
        <v>6</v>
      </c>
      <c r="C1601" t="s">
        <v>1937</v>
      </c>
      <c r="D1601" t="s">
        <v>1938</v>
      </c>
      <c r="E1601" t="s">
        <v>466</v>
      </c>
      <c r="F1601" t="s">
        <v>20</v>
      </c>
      <c r="G1601">
        <v>19</v>
      </c>
      <c r="H1601">
        <v>3691904.82</v>
      </c>
      <c r="I1601">
        <v>1158.6500000000001</v>
      </c>
    </row>
    <row r="1602" spans="1:9" x14ac:dyDescent="0.2">
      <c r="A1602" s="11">
        <v>46022</v>
      </c>
      <c r="B1602" t="s">
        <v>6</v>
      </c>
      <c r="C1602" t="s">
        <v>1937</v>
      </c>
      <c r="D1602" t="s">
        <v>1938</v>
      </c>
      <c r="E1602" t="s">
        <v>1939</v>
      </c>
      <c r="F1602" t="s">
        <v>14</v>
      </c>
      <c r="G1602">
        <v>9</v>
      </c>
      <c r="H1602">
        <v>849232.17</v>
      </c>
      <c r="I1602">
        <v>266.52</v>
      </c>
    </row>
    <row r="1603" spans="1:9" x14ac:dyDescent="0.2">
      <c r="A1603" s="11">
        <v>46022</v>
      </c>
      <c r="B1603" t="s">
        <v>6</v>
      </c>
      <c r="C1603" t="s">
        <v>1937</v>
      </c>
      <c r="D1603" t="s">
        <v>1938</v>
      </c>
      <c r="E1603" t="s">
        <v>988</v>
      </c>
      <c r="F1603" t="s">
        <v>16</v>
      </c>
      <c r="G1603">
        <v>11</v>
      </c>
      <c r="H1603">
        <v>1342994.18</v>
      </c>
      <c r="I1603">
        <v>421.48</v>
      </c>
    </row>
    <row r="1604" spans="1:9" x14ac:dyDescent="0.2">
      <c r="A1604" s="11">
        <v>46022</v>
      </c>
      <c r="B1604" t="s">
        <v>7</v>
      </c>
      <c r="C1604" t="s">
        <v>1898</v>
      </c>
      <c r="D1604" t="s">
        <v>1940</v>
      </c>
      <c r="E1604" t="s">
        <v>151</v>
      </c>
      <c r="F1604" t="s">
        <v>18</v>
      </c>
      <c r="G1604">
        <v>4</v>
      </c>
      <c r="H1604">
        <v>307571.92</v>
      </c>
      <c r="I1604">
        <v>96.53</v>
      </c>
    </row>
    <row r="1605" spans="1:9" x14ac:dyDescent="0.2">
      <c r="A1605" s="11">
        <v>46022</v>
      </c>
      <c r="B1605" t="s">
        <v>7</v>
      </c>
      <c r="C1605" t="s">
        <v>1898</v>
      </c>
      <c r="D1605" t="s">
        <v>1940</v>
      </c>
      <c r="E1605" t="s">
        <v>1139</v>
      </c>
      <c r="F1605" t="s">
        <v>16</v>
      </c>
      <c r="G1605">
        <v>18</v>
      </c>
      <c r="H1605">
        <v>2045474.82</v>
      </c>
      <c r="I1605">
        <v>641.94000000000005</v>
      </c>
    </row>
    <row r="1606" spans="1:9" x14ac:dyDescent="0.2">
      <c r="A1606" s="11">
        <v>46022</v>
      </c>
      <c r="B1606" t="s">
        <v>10</v>
      </c>
      <c r="C1606" t="s">
        <v>1542</v>
      </c>
      <c r="D1606" t="s">
        <v>1941</v>
      </c>
      <c r="E1606" t="s">
        <v>587</v>
      </c>
      <c r="F1606" t="s">
        <v>22</v>
      </c>
      <c r="G1606">
        <v>11</v>
      </c>
      <c r="H1606">
        <v>636145.62</v>
      </c>
      <c r="I1606">
        <v>199.64</v>
      </c>
    </row>
    <row r="1607" spans="1:9" x14ac:dyDescent="0.2">
      <c r="A1607" s="11">
        <v>46022</v>
      </c>
      <c r="B1607" t="s">
        <v>10</v>
      </c>
      <c r="C1607" t="s">
        <v>1542</v>
      </c>
      <c r="D1607" t="s">
        <v>1941</v>
      </c>
      <c r="E1607" t="s">
        <v>1942</v>
      </c>
      <c r="F1607" t="s">
        <v>5</v>
      </c>
      <c r="G1607">
        <v>24</v>
      </c>
      <c r="H1607">
        <v>1641785.28</v>
      </c>
      <c r="I1607">
        <v>515.25</v>
      </c>
    </row>
    <row r="1608" spans="1:9" x14ac:dyDescent="0.2">
      <c r="A1608" s="11">
        <v>46022</v>
      </c>
      <c r="B1608" t="s">
        <v>9</v>
      </c>
      <c r="C1608" t="s">
        <v>1381</v>
      </c>
      <c r="D1608" t="s">
        <v>1943</v>
      </c>
      <c r="E1608" t="s">
        <v>1237</v>
      </c>
      <c r="F1608" t="s">
        <v>18</v>
      </c>
      <c r="G1608">
        <v>5</v>
      </c>
      <c r="H1608">
        <v>483411.5</v>
      </c>
      <c r="I1608">
        <v>151.71</v>
      </c>
    </row>
    <row r="1609" spans="1:9" x14ac:dyDescent="0.2">
      <c r="A1609" s="11">
        <v>46022</v>
      </c>
      <c r="B1609" t="s">
        <v>9</v>
      </c>
      <c r="C1609" t="s">
        <v>1381</v>
      </c>
      <c r="D1609" t="s">
        <v>1943</v>
      </c>
      <c r="E1609" t="s">
        <v>817</v>
      </c>
      <c r="F1609" t="s">
        <v>20</v>
      </c>
      <c r="G1609">
        <v>9</v>
      </c>
      <c r="H1609">
        <v>1250297.73</v>
      </c>
      <c r="I1609">
        <v>392.39</v>
      </c>
    </row>
    <row r="1610" spans="1:9" x14ac:dyDescent="0.2">
      <c r="A1610" s="11">
        <v>46022</v>
      </c>
      <c r="B1610" t="s">
        <v>9</v>
      </c>
      <c r="C1610" t="s">
        <v>1381</v>
      </c>
      <c r="D1610" t="s">
        <v>1943</v>
      </c>
      <c r="E1610" t="s">
        <v>1809</v>
      </c>
      <c r="F1610" t="s">
        <v>18</v>
      </c>
      <c r="G1610">
        <v>7</v>
      </c>
      <c r="H1610">
        <v>511671.72</v>
      </c>
      <c r="I1610">
        <v>160.58000000000001</v>
      </c>
    </row>
    <row r="1611" spans="1:9" x14ac:dyDescent="0.2">
      <c r="A1611" s="11">
        <v>46022</v>
      </c>
      <c r="B1611" t="s">
        <v>9</v>
      </c>
      <c r="C1611" t="s">
        <v>1381</v>
      </c>
      <c r="D1611" t="s">
        <v>1943</v>
      </c>
      <c r="E1611" t="s">
        <v>1944</v>
      </c>
      <c r="F1611" t="s">
        <v>16</v>
      </c>
      <c r="G1611">
        <v>8</v>
      </c>
      <c r="H1611">
        <v>1275123.6000000001</v>
      </c>
      <c r="I1611">
        <v>400.18</v>
      </c>
    </row>
    <row r="1612" spans="1:9" x14ac:dyDescent="0.2">
      <c r="A1612" s="11">
        <v>46022</v>
      </c>
      <c r="B1612" t="s">
        <v>11</v>
      </c>
      <c r="C1612" t="s">
        <v>1945</v>
      </c>
      <c r="D1612" t="s">
        <v>1946</v>
      </c>
      <c r="E1612" t="s">
        <v>1947</v>
      </c>
      <c r="F1612" t="s">
        <v>18</v>
      </c>
      <c r="G1612">
        <v>25</v>
      </c>
      <c r="H1612">
        <v>1577927.25</v>
      </c>
      <c r="I1612">
        <v>495.21</v>
      </c>
    </row>
    <row r="1613" spans="1:9" x14ac:dyDescent="0.2">
      <c r="A1613" s="11">
        <v>46022</v>
      </c>
      <c r="B1613" t="s">
        <v>11</v>
      </c>
      <c r="C1613" t="s">
        <v>1945</v>
      </c>
      <c r="D1613" t="s">
        <v>1946</v>
      </c>
      <c r="E1613" t="s">
        <v>954</v>
      </c>
      <c r="F1613" t="s">
        <v>16</v>
      </c>
      <c r="G1613">
        <v>13</v>
      </c>
      <c r="H1613">
        <v>1736685.47</v>
      </c>
      <c r="I1613">
        <v>545.03</v>
      </c>
    </row>
    <row r="1614" spans="1:9" x14ac:dyDescent="0.2">
      <c r="A1614" s="11">
        <v>46022</v>
      </c>
      <c r="B1614" t="s">
        <v>11</v>
      </c>
      <c r="C1614" t="s">
        <v>1945</v>
      </c>
      <c r="D1614" t="s">
        <v>1946</v>
      </c>
      <c r="E1614" t="s">
        <v>189</v>
      </c>
      <c r="F1614" t="s">
        <v>5</v>
      </c>
      <c r="G1614">
        <v>9</v>
      </c>
      <c r="H1614">
        <v>374938.83</v>
      </c>
      <c r="I1614">
        <v>117.67</v>
      </c>
    </row>
    <row r="1615" spans="1:9" x14ac:dyDescent="0.2">
      <c r="A1615" s="11">
        <v>46022</v>
      </c>
      <c r="B1615" t="s">
        <v>6</v>
      </c>
      <c r="C1615" t="s">
        <v>1948</v>
      </c>
      <c r="D1615" t="s">
        <v>1949</v>
      </c>
      <c r="E1615" t="s">
        <v>1297</v>
      </c>
      <c r="F1615" t="s">
        <v>14</v>
      </c>
      <c r="G1615">
        <v>19</v>
      </c>
      <c r="H1615">
        <v>1899749.2</v>
      </c>
      <c r="I1615">
        <v>596.21</v>
      </c>
    </row>
    <row r="1616" spans="1:9" x14ac:dyDescent="0.2">
      <c r="A1616" s="11">
        <v>46022</v>
      </c>
      <c r="B1616" t="s">
        <v>6</v>
      </c>
      <c r="C1616" t="s">
        <v>1948</v>
      </c>
      <c r="D1616" t="s">
        <v>1949</v>
      </c>
      <c r="E1616" t="s">
        <v>250</v>
      </c>
      <c r="F1616" t="s">
        <v>16</v>
      </c>
      <c r="G1616">
        <v>9</v>
      </c>
      <c r="H1616">
        <v>1309851.72</v>
      </c>
      <c r="I1616">
        <v>411.08</v>
      </c>
    </row>
    <row r="1617" spans="1:9" x14ac:dyDescent="0.2">
      <c r="A1617" s="11">
        <v>46022</v>
      </c>
      <c r="B1617" t="s">
        <v>6</v>
      </c>
      <c r="C1617" t="s">
        <v>654</v>
      </c>
      <c r="D1617" t="s">
        <v>1950</v>
      </c>
      <c r="E1617" t="s">
        <v>551</v>
      </c>
      <c r="F1617" t="s">
        <v>22</v>
      </c>
      <c r="G1617">
        <v>22</v>
      </c>
      <c r="H1617">
        <v>1097738.6200000001</v>
      </c>
      <c r="I1617">
        <v>344.51</v>
      </c>
    </row>
    <row r="1618" spans="1:9" x14ac:dyDescent="0.2">
      <c r="A1618" s="11">
        <v>46022</v>
      </c>
      <c r="B1618" t="s">
        <v>6</v>
      </c>
      <c r="C1618" t="s">
        <v>654</v>
      </c>
      <c r="D1618" t="s">
        <v>1950</v>
      </c>
      <c r="E1618" t="s">
        <v>240</v>
      </c>
      <c r="F1618" t="s">
        <v>14</v>
      </c>
      <c r="G1618">
        <v>62</v>
      </c>
      <c r="H1618">
        <v>2550748.2000000002</v>
      </c>
      <c r="I1618">
        <v>800.51</v>
      </c>
    </row>
    <row r="1619" spans="1:9" x14ac:dyDescent="0.2">
      <c r="A1619" s="11">
        <v>46022</v>
      </c>
      <c r="B1619" t="s">
        <v>6</v>
      </c>
      <c r="C1619" t="s">
        <v>654</v>
      </c>
      <c r="D1619" t="s">
        <v>1950</v>
      </c>
      <c r="E1619" t="s">
        <v>1280</v>
      </c>
      <c r="F1619" t="s">
        <v>18</v>
      </c>
      <c r="G1619">
        <v>13</v>
      </c>
      <c r="H1619">
        <v>1057938.05</v>
      </c>
      <c r="I1619">
        <v>332.02</v>
      </c>
    </row>
    <row r="1620" spans="1:9" x14ac:dyDescent="0.2">
      <c r="A1620" s="11">
        <v>46022</v>
      </c>
      <c r="B1620" t="s">
        <v>12</v>
      </c>
      <c r="C1620" t="s">
        <v>1951</v>
      </c>
      <c r="D1620" t="s">
        <v>1952</v>
      </c>
      <c r="E1620" t="s">
        <v>1028</v>
      </c>
      <c r="F1620" t="s">
        <v>14</v>
      </c>
      <c r="G1620">
        <v>7</v>
      </c>
      <c r="H1620">
        <v>382471.74</v>
      </c>
      <c r="I1620">
        <v>120.03</v>
      </c>
    </row>
    <row r="1621" spans="1:9" x14ac:dyDescent="0.2">
      <c r="A1621" s="11">
        <v>46022</v>
      </c>
      <c r="B1621" t="s">
        <v>12</v>
      </c>
      <c r="C1621" t="s">
        <v>1951</v>
      </c>
      <c r="D1621" t="s">
        <v>1952</v>
      </c>
      <c r="E1621" t="s">
        <v>1568</v>
      </c>
      <c r="F1621" t="s">
        <v>18</v>
      </c>
      <c r="G1621">
        <v>24</v>
      </c>
      <c r="H1621">
        <v>1553462.4</v>
      </c>
      <c r="I1621">
        <v>487.53</v>
      </c>
    </row>
    <row r="1622" spans="1:9" x14ac:dyDescent="0.2">
      <c r="A1622" s="11">
        <v>46022</v>
      </c>
      <c r="B1622" t="s">
        <v>12</v>
      </c>
      <c r="C1622" t="s">
        <v>1951</v>
      </c>
      <c r="D1622" t="s">
        <v>1952</v>
      </c>
      <c r="E1622" t="s">
        <v>486</v>
      </c>
      <c r="F1622" t="s">
        <v>16</v>
      </c>
      <c r="G1622">
        <v>23</v>
      </c>
      <c r="H1622">
        <v>1918606.41</v>
      </c>
      <c r="I1622">
        <v>602.13</v>
      </c>
    </row>
    <row r="1623" spans="1:9" x14ac:dyDescent="0.2">
      <c r="A1623" s="11">
        <v>46022</v>
      </c>
      <c r="B1623" t="s">
        <v>12</v>
      </c>
      <c r="C1623" t="s">
        <v>1951</v>
      </c>
      <c r="D1623" t="s">
        <v>1952</v>
      </c>
      <c r="E1623" t="s">
        <v>1252</v>
      </c>
      <c r="F1623" t="s">
        <v>5</v>
      </c>
      <c r="G1623">
        <v>107</v>
      </c>
      <c r="H1623">
        <v>3255789.58</v>
      </c>
      <c r="I1623">
        <v>1021.78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baseColWidth="10" defaultColWidth="8.83203125" defaultRowHeight="15" x14ac:dyDescent="0.2"/>
  <cols>
    <col min="1" max="1" width="46" customWidth="1"/>
    <col min="2" max="2" width="20" customWidth="1"/>
  </cols>
  <sheetData>
    <row r="1" spans="1:2" ht="19" x14ac:dyDescent="0.25">
      <c r="A1" s="5" t="s">
        <v>1953</v>
      </c>
    </row>
    <row r="2" spans="1:2" x14ac:dyDescent="0.2">
      <c r="A2" s="12" t="s">
        <v>1954</v>
      </c>
    </row>
    <row r="4" spans="1:2" x14ac:dyDescent="0.2">
      <c r="A4" s="13" t="s">
        <v>1955</v>
      </c>
      <c r="B4" s="14">
        <f>SUM(t_Kin[Montant_CDF])</f>
        <v>2370098485.7400031</v>
      </c>
    </row>
    <row r="5" spans="1:2" x14ac:dyDescent="0.2">
      <c r="A5" s="13" t="s">
        <v>1956</v>
      </c>
      <c r="B5" s="15">
        <f>ROWS(t_Kin[Date_Vente])</f>
        <v>1622</v>
      </c>
    </row>
    <row r="6" spans="1:2" x14ac:dyDescent="0.2">
      <c r="A6" s="13" t="s">
        <v>1957</v>
      </c>
      <c r="B6" s="15">
        <f>ROWS(_xlfn.UNIQUE(t_Kin[N_Commande]))</f>
        <v>673</v>
      </c>
    </row>
    <row r="7" spans="1:2" x14ac:dyDescent="0.2">
      <c r="A7" s="13" t="s">
        <v>1958</v>
      </c>
      <c r="B7" s="15">
        <f>COUNTA(_xlfn.UNIQUE(t_Kin[Client]))</f>
        <v>472</v>
      </c>
    </row>
    <row r="8" spans="1:2" x14ac:dyDescent="0.2">
      <c r="A8" s="13" t="s">
        <v>1959</v>
      </c>
      <c r="B8" s="14">
        <f>SUMIFS(t_Kin[Montant_CDF],t_Kin[Famille],"Riz")</f>
        <v>543918843.5</v>
      </c>
    </row>
    <row r="9" spans="1:2" x14ac:dyDescent="0.2">
      <c r="A9" s="13" t="s">
        <v>1960</v>
      </c>
      <c r="B9" s="16">
        <f>B8/B4</f>
        <v>0.22949208514859462</v>
      </c>
    </row>
    <row r="10" spans="1:2" x14ac:dyDescent="0.2">
      <c r="A10" s="13" t="s">
        <v>1961</v>
      </c>
      <c r="B10" s="14">
        <f>B4/B6</f>
        <v>3521691.6578603317</v>
      </c>
    </row>
    <row r="11" spans="1:2" x14ac:dyDescent="0.2">
      <c r="A11" s="13" t="s">
        <v>1962</v>
      </c>
      <c r="B11" s="15">
        <f>SUM(t_Kin[Quantite])</f>
        <v>29369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Rapport_recu</vt:lpstr>
      <vt:lpstr>Ventes</vt:lpstr>
      <vt:lpstr>Attendu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aksanti</cp:lastModifiedBy>
  <dcterms:created xsi:type="dcterms:W3CDTF">2026-09-17T15:16:44Z</dcterms:created>
  <dcterms:modified xsi:type="dcterms:W3CDTF">2026-09-17T15:17:12Z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2026-09-17T15:17:12Z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5ceb0cb7-0969-4605-a05e-0ceeaa2aca04</vt:lpwstr>
  </property>
  <property fmtid="{D5CDD505-2E9C-101B-9397-08002B2CF9AE}" pid="7" name="MSIP_Label_defa4170-0d19-0005-0004-bc88714345d2_ActionId">
    <vt:lpwstr>44330688-9a33-4458-82e7-bb55d7bb206a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