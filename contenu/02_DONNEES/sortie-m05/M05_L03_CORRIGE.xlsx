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5/"/>
    </mc:Choice>
  </mc:AlternateContent>
  <xr:revisionPtr revIDLastSave="0" documentId="11_284334E7991CF7CFFDBD07FA403E0D6FF25BC073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Suivi" sheetId="1" r:id="rId1"/>
    <sheet name="Comparaison" sheetId="2" r:id="rId2"/>
  </sheets>
  <definedNames>
    <definedName name="_xlnm._FilterDatabase" localSheetId="0" hidden="1">Suivi!$A$1:$I$421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B11" i="2" s="1"/>
  <c r="B9" i="2" l="1"/>
  <c r="B10" i="2"/>
  <c r="B8" i="2"/>
</calcChain>
</file>

<file path=xl/sharedStrings.xml><?xml version="1.0" encoding="utf-8"?>
<sst xmlns="http://schemas.openxmlformats.org/spreadsheetml/2006/main" count="1709" uniqueCount="539">
  <si>
    <t>Date_Vente</t>
  </si>
  <si>
    <t>Commercial</t>
  </si>
  <si>
    <t>Client</t>
  </si>
  <si>
    <t>Reference</t>
  </si>
  <si>
    <t>Famille</t>
  </si>
  <si>
    <t>Quantite</t>
  </si>
  <si>
    <t>Montant_USD</t>
  </si>
  <si>
    <t>Cout_USD</t>
  </si>
  <si>
    <t>Marge_Pct</t>
  </si>
  <si>
    <t>Grace Kasongo</t>
  </si>
  <si>
    <t>BOULANGERIE RUASHI 09</t>
  </si>
  <si>
    <t>REF-0221</t>
  </si>
  <si>
    <t>Huiles</t>
  </si>
  <si>
    <t>REF-0448</t>
  </si>
  <si>
    <t>REF-0475</t>
  </si>
  <si>
    <t>Savons</t>
  </si>
  <si>
    <t>REF-0673</t>
  </si>
  <si>
    <t>Nadège Kalala</t>
  </si>
  <si>
    <t>KIOSQUE ABOBO 05</t>
  </si>
  <si>
    <t>REF-0324</t>
  </si>
  <si>
    <t>REF-0009</t>
  </si>
  <si>
    <t>ALIMENTATION NGIRI 02</t>
  </si>
  <si>
    <t>REF-0082</t>
  </si>
  <si>
    <t>Boissons</t>
  </si>
  <si>
    <t>REF-0695</t>
  </si>
  <si>
    <t>Farine</t>
  </si>
  <si>
    <t>REF-0054</t>
  </si>
  <si>
    <t>REF-0658</t>
  </si>
  <si>
    <t>REF-0208</t>
  </si>
  <si>
    <t>Sylvie Nguema</t>
  </si>
  <si>
    <t>GROSSISTE BINZA 33</t>
  </si>
  <si>
    <t>REF-0023</t>
  </si>
  <si>
    <t>REF-0827</t>
  </si>
  <si>
    <t>REF-0290</t>
  </si>
  <si>
    <t>Conserves</t>
  </si>
  <si>
    <t>REF-0620</t>
  </si>
  <si>
    <t>Serge Tshibangu</t>
  </si>
  <si>
    <t>GROSSISTE COCODY 40</t>
  </si>
  <si>
    <t>REF-0173</t>
  </si>
  <si>
    <t>REF-0284</t>
  </si>
  <si>
    <t>HOTEL MEDINA 33</t>
  </si>
  <si>
    <t>REF-0846</t>
  </si>
  <si>
    <t>REF-0006</t>
  </si>
  <si>
    <t>Thomas Obiang</t>
  </si>
  <si>
    <t>SUPERMARCHE NDJILI 01</t>
  </si>
  <si>
    <t>REF-0317</t>
  </si>
  <si>
    <t>HOTEL KINTAMBO 24</t>
  </si>
  <si>
    <t>REF-0975</t>
  </si>
  <si>
    <t>Patrick Ilunga</t>
  </si>
  <si>
    <t>EPICERIE SELEMBAO 21</t>
  </si>
  <si>
    <t>REF-0232</t>
  </si>
  <si>
    <t>REF-0149</t>
  </si>
  <si>
    <t>ALIMENTATION NGALULA 36</t>
  </si>
  <si>
    <t>REF-0316</t>
  </si>
  <si>
    <t>REF-0218</t>
  </si>
  <si>
    <t>REF-0262</t>
  </si>
  <si>
    <t>REF-0689</t>
  </si>
  <si>
    <t>BOULANGERIE PIKINE 13</t>
  </si>
  <si>
    <t>REF-0194</t>
  </si>
  <si>
    <t>REF-0916</t>
  </si>
  <si>
    <t>REF-0544</t>
  </si>
  <si>
    <t>SUPERMARCHE GOMBE 05</t>
  </si>
  <si>
    <t>REF-0373</t>
  </si>
  <si>
    <t>ALIMENTATION COCODY 31</t>
  </si>
  <si>
    <t>REF-0636</t>
  </si>
  <si>
    <t>CANTINE VICTOIRE 38</t>
  </si>
  <si>
    <t>REF-0150</t>
  </si>
  <si>
    <t>REF-0656</t>
  </si>
  <si>
    <t>REF-0869</t>
  </si>
  <si>
    <t>RESTAURANT MONT-NGAFULA 22</t>
  </si>
  <si>
    <t>REF-0519</t>
  </si>
  <si>
    <t>REF-0421</t>
  </si>
  <si>
    <t>REF-0783</t>
  </si>
  <si>
    <t>REF-0477</t>
  </si>
  <si>
    <t>Riz</t>
  </si>
  <si>
    <t>REF-0453</t>
  </si>
  <si>
    <t>GROSSISTE MEDINA 26</t>
  </si>
  <si>
    <t>REF-0599</t>
  </si>
  <si>
    <t>REF-0418</t>
  </si>
  <si>
    <t>REF-0826</t>
  </si>
  <si>
    <t>REF-0701</t>
  </si>
  <si>
    <t>REF-0525</t>
  </si>
  <si>
    <t>HOTEL TREICHVILLE 27</t>
  </si>
  <si>
    <t>REF-0007</t>
  </si>
  <si>
    <t>REF-0830</t>
  </si>
  <si>
    <t>REF-0892</t>
  </si>
  <si>
    <t>REF-0031</t>
  </si>
  <si>
    <t>REF-0138</t>
  </si>
  <si>
    <t>DEPOT BONABERI 04</t>
  </si>
  <si>
    <t>REF-0217</t>
  </si>
  <si>
    <t>REF-0452</t>
  </si>
  <si>
    <t>REF-0559</t>
  </si>
  <si>
    <t>REF-0501</t>
  </si>
  <si>
    <t>KIOSQUE BONAPRISO 01</t>
  </si>
  <si>
    <t>REF-0901</t>
  </si>
  <si>
    <t>REF-0914</t>
  </si>
  <si>
    <t>REF-0465</t>
  </si>
  <si>
    <t>REF-0894</t>
  </si>
  <si>
    <t>SUPERMARCHE MEDINA 30</t>
  </si>
  <si>
    <t>REF-0196</t>
  </si>
  <si>
    <t>DEPOT AKANDA 20</t>
  </si>
  <si>
    <t>REF-0264</t>
  </si>
  <si>
    <t>REF-0836</t>
  </si>
  <si>
    <t>Aïcha Bakala</t>
  </si>
  <si>
    <t>ALIMENTATION MONT-NGAFULA 24</t>
  </si>
  <si>
    <t>REF-0251</t>
  </si>
  <si>
    <t>RESTAURANT COCODY 19</t>
  </si>
  <si>
    <t>REF-0331</t>
  </si>
  <si>
    <t>REF-0561</t>
  </si>
  <si>
    <t>BOULANGERIE BARUMBU 33</t>
  </si>
  <si>
    <t>REF-0372</t>
  </si>
  <si>
    <t>REF-0573</t>
  </si>
  <si>
    <t>EPICERIE RUASHI 39</t>
  </si>
  <si>
    <t>REF-0206</t>
  </si>
  <si>
    <t>REF-0074</t>
  </si>
  <si>
    <t>REF-0160</t>
  </si>
  <si>
    <t>CANTINE LIMETE 07</t>
  </si>
  <si>
    <t>REF-0861</t>
  </si>
  <si>
    <t>SUPERMARCHE MATONGE 02</t>
  </si>
  <si>
    <t>REF-0027</t>
  </si>
  <si>
    <t>ALIMENTATION YOPOUGON 10</t>
  </si>
  <si>
    <t>REF-0105</t>
  </si>
  <si>
    <t>REF-0387</t>
  </si>
  <si>
    <t>REF-0462</t>
  </si>
  <si>
    <t>REF-0061</t>
  </si>
  <si>
    <t>REF-0841</t>
  </si>
  <si>
    <t>BOULANGERIE MASINA 08</t>
  </si>
  <si>
    <t>REF-0633</t>
  </si>
  <si>
    <t>CANTINE AKANDA 04</t>
  </si>
  <si>
    <t>REF-0572</t>
  </si>
  <si>
    <t>REF-0131</t>
  </si>
  <si>
    <t>REF-0890</t>
  </si>
  <si>
    <t>MINI-MARCHE GOMBE 34</t>
  </si>
  <si>
    <t>REF-0147</t>
  </si>
  <si>
    <t>REF-0041</t>
  </si>
  <si>
    <t>REF-0178</t>
  </si>
  <si>
    <t>GROSSISTE YOPOUGON 17</t>
  </si>
  <si>
    <t>REF-0598</t>
  </si>
  <si>
    <t>REF-0751</t>
  </si>
  <si>
    <t>REF-0156</t>
  </si>
  <si>
    <t>MINI-MARCHE AKANDA 29</t>
  </si>
  <si>
    <t>REF-0342</t>
  </si>
  <si>
    <t>REF-0714</t>
  </si>
  <si>
    <t>REF-0395</t>
  </si>
  <si>
    <t>REF-0514</t>
  </si>
  <si>
    <t>REF-0255</t>
  </si>
  <si>
    <t>REF-0236</t>
  </si>
  <si>
    <t>EPICERIE BARUMBU 28</t>
  </si>
  <si>
    <t>REF-0382</t>
  </si>
  <si>
    <t>KIOSQUE LIMETE 06</t>
  </si>
  <si>
    <t>REF-0596</t>
  </si>
  <si>
    <t>SUPERMARCHE RUASHI 09</t>
  </si>
  <si>
    <t>REF-0390</t>
  </si>
  <si>
    <t>SUPERETTE BANDAL 20</t>
  </si>
  <si>
    <t>REF-0849</t>
  </si>
  <si>
    <t>REF-0085</t>
  </si>
  <si>
    <t>EPICERIE BANDAL 22</t>
  </si>
  <si>
    <t>REF-0230</t>
  </si>
  <si>
    <t>SUPERETTE BARUMBU 25</t>
  </si>
  <si>
    <t>REF-0837</t>
  </si>
  <si>
    <t>REF-0806</t>
  </si>
  <si>
    <t>DEPOT BANDAL 29</t>
  </si>
  <si>
    <t>REF-0743</t>
  </si>
  <si>
    <t>GROSSISTE PLATEAU 21</t>
  </si>
  <si>
    <t>REF-0567</t>
  </si>
  <si>
    <t>REF-0248</t>
  </si>
  <si>
    <t>REF-0839</t>
  </si>
  <si>
    <t>MINI-MARCHE ABOBO 11</t>
  </si>
  <si>
    <t>REF-0190</t>
  </si>
  <si>
    <t>SUPERETTE ABOBO 33</t>
  </si>
  <si>
    <t>REF-0646</t>
  </si>
  <si>
    <t>KIOSQUE VICTOIRE 15</t>
  </si>
  <si>
    <t>REF-0789</t>
  </si>
  <si>
    <t>REF-0310</t>
  </si>
  <si>
    <t>REF-0165</t>
  </si>
  <si>
    <t>REF-0259</t>
  </si>
  <si>
    <t>BOUTIQUE BINZA 07</t>
  </si>
  <si>
    <t>REF-0918</t>
  </si>
  <si>
    <t>MAGASIN OWENDO 20</t>
  </si>
  <si>
    <t>REF-0483</t>
  </si>
  <si>
    <t>HOTEL SANDAGA 17</t>
  </si>
  <si>
    <t>REF-0445</t>
  </si>
  <si>
    <t>REF-0943</t>
  </si>
  <si>
    <t>REF-0749</t>
  </si>
  <si>
    <t>REF-0472</t>
  </si>
  <si>
    <t>REF-0154</t>
  </si>
  <si>
    <t>DEPOT BONABERI 24</t>
  </si>
  <si>
    <t>REF-0899</t>
  </si>
  <si>
    <t>REF-0621</t>
  </si>
  <si>
    <t>REF-0058</t>
  </si>
  <si>
    <t>KIOSQUE LIKASI 14</t>
  </si>
  <si>
    <t>REF-0326</t>
  </si>
  <si>
    <t>REF-0676</t>
  </si>
  <si>
    <t>KIOSQUE MATONGE 05</t>
  </si>
  <si>
    <t>REF-0024</t>
  </si>
  <si>
    <t>REF-0296</t>
  </si>
  <si>
    <t>EPICERIE BARUMBU 01</t>
  </si>
  <si>
    <t>REF-0613</t>
  </si>
  <si>
    <t>BOULANGERIE NGIRI 23</t>
  </si>
  <si>
    <t>REF-0233</t>
  </si>
  <si>
    <t>BOULANGERIE SANDAGA 33</t>
  </si>
  <si>
    <t>REF-0088</t>
  </si>
  <si>
    <t>REF-0409</t>
  </si>
  <si>
    <t>REF-0498</t>
  </si>
  <si>
    <t>REF-0253</t>
  </si>
  <si>
    <t>SUPERETTE NGIRI 04</t>
  </si>
  <si>
    <t>REF-0635</t>
  </si>
  <si>
    <t>ALIMENTATION MASINA 24</t>
  </si>
  <si>
    <t>REF-0687</t>
  </si>
  <si>
    <t>REF-0803</t>
  </si>
  <si>
    <t>GROSSISTE BONAPRISO 10</t>
  </si>
  <si>
    <t>REF-0778</t>
  </si>
  <si>
    <t>REF-0117</t>
  </si>
  <si>
    <t>MINI-MARCHE BONAPRISO 09</t>
  </si>
  <si>
    <t>REF-0912</t>
  </si>
  <si>
    <t>REF-0811</t>
  </si>
  <si>
    <t>SUPERMARCHE LEMBA 08</t>
  </si>
  <si>
    <t>REF-0306</t>
  </si>
  <si>
    <t>REF-0029</t>
  </si>
  <si>
    <t>SUPERMARCHE AKANDA 21</t>
  </si>
  <si>
    <t>REF-0351</t>
  </si>
  <si>
    <t>REF-0260</t>
  </si>
  <si>
    <t>BOULANGERIE MEDINA 05</t>
  </si>
  <si>
    <t>REF-0632</t>
  </si>
  <si>
    <t>CANTINE COCODY 29</t>
  </si>
  <si>
    <t>REF-0207</t>
  </si>
  <si>
    <t>REF-0016</t>
  </si>
  <si>
    <t>REF-0816</t>
  </si>
  <si>
    <t>GROSSISTE BONAPRISO 06</t>
  </si>
  <si>
    <t>KIOSQUE BINZA 12</t>
  </si>
  <si>
    <t>REF-0256</t>
  </si>
  <si>
    <t>REF-0859</t>
  </si>
  <si>
    <t>REF-0216</t>
  </si>
  <si>
    <t>KIOSQUE BINZA 40</t>
  </si>
  <si>
    <t>REF-0699</t>
  </si>
  <si>
    <t>EPICERIE MONT-NGAFULA 02</t>
  </si>
  <si>
    <t>REF-0563</t>
  </si>
  <si>
    <t>REF-0244</t>
  </si>
  <si>
    <t>REF-0237</t>
  </si>
  <si>
    <t>REF-0463</t>
  </si>
  <si>
    <t>SUPERETTE MONT-NGAFULA 35</t>
  </si>
  <si>
    <t>REF-0097</t>
  </si>
  <si>
    <t>CANTINE AKANDA 37</t>
  </si>
  <si>
    <t>REF-0645</t>
  </si>
  <si>
    <t>REF-0744</t>
  </si>
  <si>
    <t>SUPERETTE BONABERI 39</t>
  </si>
  <si>
    <t>REF-0732</t>
  </si>
  <si>
    <t>SUPERMARCHE COCODY 18</t>
  </si>
  <si>
    <t>REF-0725</t>
  </si>
  <si>
    <t>KIOSQUE TREICHVILLE 04</t>
  </si>
  <si>
    <t>REF-0357</t>
  </si>
  <si>
    <t>MINI-MARCHE ABOBO 34</t>
  </si>
  <si>
    <t>REF-0441</t>
  </si>
  <si>
    <t>REF-0422</t>
  </si>
  <si>
    <t>REF-0546</t>
  </si>
  <si>
    <t>REF-0048</t>
  </si>
  <si>
    <t>REF-0651</t>
  </si>
  <si>
    <t>CANTINE TREICHVILLE 26</t>
  </si>
  <si>
    <t>REF-0930</t>
  </si>
  <si>
    <t>REF-0107</t>
  </si>
  <si>
    <t>REF-0120</t>
  </si>
  <si>
    <t>EPICERIE COCODY 25</t>
  </si>
  <si>
    <t>REF-0595</t>
  </si>
  <si>
    <t>REF-0273</t>
  </si>
  <si>
    <t>GROSSISTE SANDAGA 28</t>
  </si>
  <si>
    <t>REF-0044</t>
  </si>
  <si>
    <t>REF-0704</t>
  </si>
  <si>
    <t>MAGASIN NGIRI 30</t>
  </si>
  <si>
    <t>REF-0608</t>
  </si>
  <si>
    <t>REF-0334</t>
  </si>
  <si>
    <t>BOULANGERIE MEDINA 06</t>
  </si>
  <si>
    <t>REF-0605</t>
  </si>
  <si>
    <t>REF-0553</t>
  </si>
  <si>
    <t>REF-0341</t>
  </si>
  <si>
    <t>BOUTIQUE NGALULA 03</t>
  </si>
  <si>
    <t>EPICERIE ABOBO 13</t>
  </si>
  <si>
    <t>REF-0623</t>
  </si>
  <si>
    <t>REF-0404</t>
  </si>
  <si>
    <t>REF-0792</t>
  </si>
  <si>
    <t>REF-0796</t>
  </si>
  <si>
    <t>REF-0008</t>
  </si>
  <si>
    <t>REF-0241</t>
  </si>
  <si>
    <t>REF-0896</t>
  </si>
  <si>
    <t>MINI-MARCHE MASINA 27</t>
  </si>
  <si>
    <t>REF-0198</t>
  </si>
  <si>
    <t>REF-0560</t>
  </si>
  <si>
    <t>REF-0902</t>
  </si>
  <si>
    <t>BOULANGERIE NDJILI 13</t>
  </si>
  <si>
    <t>REF-0060</t>
  </si>
  <si>
    <t>HOTEL GOMBE 22</t>
  </si>
  <si>
    <t>REF-0186</t>
  </si>
  <si>
    <t>REF-0166</t>
  </si>
  <si>
    <t>REF-0257</t>
  </si>
  <si>
    <t>REF-0457</t>
  </si>
  <si>
    <t>SUPERETTE SELEMBAO 15</t>
  </si>
  <si>
    <t>REF-0328</t>
  </si>
  <si>
    <t>REF-0872</t>
  </si>
  <si>
    <t>BOUTIQUE TREICHVILLE 26</t>
  </si>
  <si>
    <t>REF-0192</t>
  </si>
  <si>
    <t>REF-0279</t>
  </si>
  <si>
    <t>BOUTIQUE GOMBE 12</t>
  </si>
  <si>
    <t>REF-0706</t>
  </si>
  <si>
    <t>REF-0185</t>
  </si>
  <si>
    <t>REF-0155</t>
  </si>
  <si>
    <t>KIOSQUE COCODY 27</t>
  </si>
  <si>
    <t>REF-0745</t>
  </si>
  <si>
    <t>REF-0281</t>
  </si>
  <si>
    <t>REF-0193</t>
  </si>
  <si>
    <t>REF-0512</t>
  </si>
  <si>
    <t>REF-0533</t>
  </si>
  <si>
    <t>SUPERETTE LIKASI 27</t>
  </si>
  <si>
    <t>REF-0506</t>
  </si>
  <si>
    <t>REF-0270</t>
  </si>
  <si>
    <t>REF-0581</t>
  </si>
  <si>
    <t>REF-0116</t>
  </si>
  <si>
    <t>REF-0366</t>
  </si>
  <si>
    <t>CANTINE SANDAGA 40</t>
  </si>
  <si>
    <t>REF-0669</t>
  </si>
  <si>
    <t>REF-0589</t>
  </si>
  <si>
    <t>RESTAURANT PLATEAU 32</t>
  </si>
  <si>
    <t>REF-0579</t>
  </si>
  <si>
    <t>MAGASIN YOPOUGON 19</t>
  </si>
  <si>
    <t>REF-0340</t>
  </si>
  <si>
    <t>REF-0327</t>
  </si>
  <si>
    <t>REF-0004</t>
  </si>
  <si>
    <t>REF-0425</t>
  </si>
  <si>
    <t>REF-0411</t>
  </si>
  <si>
    <t>REF-0347</t>
  </si>
  <si>
    <t>SUPERETTE DEIDO 10</t>
  </si>
  <si>
    <t>REF-0554</t>
  </si>
  <si>
    <t>REF-0759</t>
  </si>
  <si>
    <t>REF-0214</t>
  </si>
  <si>
    <t>REF-0478</t>
  </si>
  <si>
    <t>REF-0845</t>
  </si>
  <si>
    <t>MAGASIN TREICHVILLE 32</t>
  </si>
  <si>
    <t>REF-0852</t>
  </si>
  <si>
    <t>REF-0584</t>
  </si>
  <si>
    <t>REF-0631</t>
  </si>
  <si>
    <t>BOULANGERIE KATUBA 29</t>
  </si>
  <si>
    <t>REF-0647</t>
  </si>
  <si>
    <t>REF-0003</t>
  </si>
  <si>
    <t>ALIMENTATION DEIDO 02</t>
  </si>
  <si>
    <t>REF-0203</t>
  </si>
  <si>
    <t>REF-0228</t>
  </si>
  <si>
    <t>CANTINE LEMBA 30</t>
  </si>
  <si>
    <t>REF-0442</t>
  </si>
  <si>
    <t>ALIMENTATION NGIRI 40</t>
  </si>
  <si>
    <t>REF-0438</t>
  </si>
  <si>
    <t>HOTEL MASINA 25</t>
  </si>
  <si>
    <t>REF-0842</t>
  </si>
  <si>
    <t>MAGASIN MONT-NGAFULA 11</t>
  </si>
  <si>
    <t>REF-0474</t>
  </si>
  <si>
    <t>REF-0513</t>
  </si>
  <si>
    <t>REF-0756</t>
  </si>
  <si>
    <t>REF-0199</t>
  </si>
  <si>
    <t>EPICERIE MAKELEKELE 27</t>
  </si>
  <si>
    <t>REF-0297</t>
  </si>
  <si>
    <t>REF-0526</t>
  </si>
  <si>
    <t>REF-0564</t>
  </si>
  <si>
    <t>REF-0429</t>
  </si>
  <si>
    <t>REF-0638</t>
  </si>
  <si>
    <t>KIOSQUE BARUMBU 21</t>
  </si>
  <si>
    <t>REF-0408</t>
  </si>
  <si>
    <t>BOULANGERIE DEIDO 38</t>
  </si>
  <si>
    <t>REF-0754</t>
  </si>
  <si>
    <t>RESTAURANT PIKINE 30</t>
  </si>
  <si>
    <t>REF-0594</t>
  </si>
  <si>
    <t>REF-0812</t>
  </si>
  <si>
    <t>REF-0574</t>
  </si>
  <si>
    <t>CANTINE LIMETE 08</t>
  </si>
  <si>
    <t>MINI-MARCHE BINZA 27</t>
  </si>
  <si>
    <t>REF-0585</t>
  </si>
  <si>
    <t>REF-0889</t>
  </si>
  <si>
    <t>REF-0469</t>
  </si>
  <si>
    <t>DEPOT KINTAMBO 25</t>
  </si>
  <si>
    <t>REF-0012</t>
  </si>
  <si>
    <t>REF-0697</t>
  </si>
  <si>
    <t>REF-0439</t>
  </si>
  <si>
    <t>REF-0299</t>
  </si>
  <si>
    <t>SUPERETTE KALAMU 03</t>
  </si>
  <si>
    <t>REF-0314</t>
  </si>
  <si>
    <t>REF-0490</t>
  </si>
  <si>
    <t>KIOSQUE BINZA 22</t>
  </si>
  <si>
    <t>REF-0780</t>
  </si>
  <si>
    <t>REF-0225</t>
  </si>
  <si>
    <t>REF-0375</t>
  </si>
  <si>
    <t>CANTINE LIKASI 07</t>
  </si>
  <si>
    <t>HOTEL BINZA 22</t>
  </si>
  <si>
    <t>REF-0344</t>
  </si>
  <si>
    <t>REF-0765</t>
  </si>
  <si>
    <t>REF-0761</t>
  </si>
  <si>
    <t>RESTAURANT KINTAMBO 08</t>
  </si>
  <si>
    <t>REF-0735</t>
  </si>
  <si>
    <t>REF-0204</t>
  </si>
  <si>
    <t>CANTINE COCODY 23</t>
  </si>
  <si>
    <t>REF-0587</t>
  </si>
  <si>
    <t>EPICERIE DEIDO 39</t>
  </si>
  <si>
    <t>REF-0111</t>
  </si>
  <si>
    <t>REF-0750</t>
  </si>
  <si>
    <t>RESTAURANT MASINA 10</t>
  </si>
  <si>
    <t>REF-0805</t>
  </si>
  <si>
    <t>REF-0051</t>
  </si>
  <si>
    <t>REF-0898</t>
  </si>
  <si>
    <t>REF-0108</t>
  </si>
  <si>
    <t>ALIMENTATION YOPOUGON 31</t>
  </si>
  <si>
    <t>REF-0870</t>
  </si>
  <si>
    <t>REF-0101</t>
  </si>
  <si>
    <t>REF-0618</t>
  </si>
  <si>
    <t>REF-0313</t>
  </si>
  <si>
    <t>REF-0045</t>
  </si>
  <si>
    <t>KIOSQUE AKANDA 06</t>
  </si>
  <si>
    <t>REF-0084</t>
  </si>
  <si>
    <t>REF-0489</t>
  </si>
  <si>
    <t>ALIMENTATION KATUBA 08</t>
  </si>
  <si>
    <t>RESTAURANT PIKINE 18</t>
  </si>
  <si>
    <t>REF-0128</t>
  </si>
  <si>
    <t>REF-0254</t>
  </si>
  <si>
    <t>SUPERMARCHE MAKELEKELE 38</t>
  </si>
  <si>
    <t>REF-0245</t>
  </si>
  <si>
    <t>REF-0407</t>
  </si>
  <si>
    <t>BOUTIQUE TREICHVILLE 22</t>
  </si>
  <si>
    <t>REF-0242</t>
  </si>
  <si>
    <t>REF-0405</t>
  </si>
  <si>
    <t>REF-0818</t>
  </si>
  <si>
    <t>SUPERETTE COCODY 13</t>
  </si>
  <si>
    <t>REF-0758</t>
  </si>
  <si>
    <t>HOTEL MEDINA 24</t>
  </si>
  <si>
    <t>REF-0171</t>
  </si>
  <si>
    <t>MAGASIN BANDAL 28</t>
  </si>
  <si>
    <t>GROSSISTE BONABERI 03</t>
  </si>
  <si>
    <t>REF-0205</t>
  </si>
  <si>
    <t>REF-0582</t>
  </si>
  <si>
    <t>REF-0496</t>
  </si>
  <si>
    <t>MINI-MARCHE VICTOIRE 23</t>
  </si>
  <si>
    <t>REF-0822</t>
  </si>
  <si>
    <t>REF-0333</t>
  </si>
  <si>
    <t>REF-0663</t>
  </si>
  <si>
    <t>KIOSQUE MASINA 04</t>
  </si>
  <si>
    <t>REF-0013</t>
  </si>
  <si>
    <t>SUPERETTE NGALULA 16</t>
  </si>
  <si>
    <t>REF-0075</t>
  </si>
  <si>
    <t>REF-0371</t>
  </si>
  <si>
    <t>REF-0522</t>
  </si>
  <si>
    <t>REF-0431</t>
  </si>
  <si>
    <t>REF-0809</t>
  </si>
  <si>
    <t>SUPERETTE BARUMBU 03</t>
  </si>
  <si>
    <t>REF-0428</t>
  </si>
  <si>
    <t>KIOSQUE PIKINE 23</t>
  </si>
  <si>
    <t>REF-0080</t>
  </si>
  <si>
    <t>BOULANGERIE ABOBO 19</t>
  </si>
  <si>
    <t>GROSSISTE NGALULA 07</t>
  </si>
  <si>
    <t>REF-0064</t>
  </si>
  <si>
    <t>REF-0640</t>
  </si>
  <si>
    <t>SUPERETTE DEIDO 09</t>
  </si>
  <si>
    <t>REF-0747</t>
  </si>
  <si>
    <t>REF-0671</t>
  </si>
  <si>
    <t>REF-0094</t>
  </si>
  <si>
    <t>REF-0354</t>
  </si>
  <si>
    <t>CANTINE TREICHVILLE 02</t>
  </si>
  <si>
    <t>BOUTIQUE LIKASI 03</t>
  </si>
  <si>
    <t>REF-0093</t>
  </si>
  <si>
    <t>REF-0825</t>
  </si>
  <si>
    <t>REF-0087</t>
  </si>
  <si>
    <t>SUPERETTE NGIRI 18</t>
  </si>
  <si>
    <t>REF-0361</t>
  </si>
  <si>
    <t>REF-0799</t>
  </si>
  <si>
    <t>REF-0856</t>
  </si>
  <si>
    <t>BOUTIQUE LEMBA 05</t>
  </si>
  <si>
    <t>REF-0115</t>
  </si>
  <si>
    <t>CANTINE DEIDO 13</t>
  </si>
  <si>
    <t>KIOSQUE ABOBO 39</t>
  </si>
  <si>
    <t>BOULANGERIE AKANDA 03</t>
  </si>
  <si>
    <t>REF-0446</t>
  </si>
  <si>
    <t>REF-0137</t>
  </si>
  <si>
    <t>RESTAURANT MONT-NGAFULA 21</t>
  </si>
  <si>
    <t>REF-0661</t>
  </si>
  <si>
    <t>REF-0095</t>
  </si>
  <si>
    <t>REF-0855</t>
  </si>
  <si>
    <t>REF-0308</t>
  </si>
  <si>
    <t>REF-0616</t>
  </si>
  <si>
    <t>BOULANGERIE KALAMU 32</t>
  </si>
  <si>
    <t>REF-0884</t>
  </si>
  <si>
    <t>GROSSISTE BARUMBU 22</t>
  </si>
  <si>
    <t>REF-0026</t>
  </si>
  <si>
    <t>HOTEL NGIRI 29</t>
  </si>
  <si>
    <t>REF-0224</t>
  </si>
  <si>
    <t>MINI-MARCHE PLATEAU 29</t>
  </si>
  <si>
    <t>REF-0067</t>
  </si>
  <si>
    <t>REF-0910</t>
  </si>
  <si>
    <t>REF-0733</t>
  </si>
  <si>
    <t>HOTEL YOPOUGON 25</t>
  </si>
  <si>
    <t>REF-0542</t>
  </si>
  <si>
    <t>REF-0018</t>
  </si>
  <si>
    <t>MINI-MARCHE NGALULA 01</t>
  </si>
  <si>
    <t>REF-0370</t>
  </si>
  <si>
    <t>RESTAURANT COCODY 24</t>
  </si>
  <si>
    <t>REF-0716</t>
  </si>
  <si>
    <t>REF-0416</t>
  </si>
  <si>
    <t>REF-0772</t>
  </si>
  <si>
    <t>REF-0211</t>
  </si>
  <si>
    <t>REF-0180</t>
  </si>
  <si>
    <t>REF-0576</t>
  </si>
  <si>
    <t>REF-0941</t>
  </si>
  <si>
    <t>BOUTIQUE LEMBA 35</t>
  </si>
  <si>
    <t>REF-0786</t>
  </si>
  <si>
    <t>REF-0187</t>
  </si>
  <si>
    <t>HOTEL PLATEAU 06</t>
  </si>
  <si>
    <t>REF-0886</t>
  </si>
  <si>
    <t>REF-0532</t>
  </si>
  <si>
    <t>REF-0303</t>
  </si>
  <si>
    <t>REF-0685</t>
  </si>
  <si>
    <t>SUPERMARCHE KINTAMBO 28</t>
  </si>
  <si>
    <t>REF-0814</t>
  </si>
  <si>
    <t>REF-0828</t>
  </si>
  <si>
    <t>REF-0499</t>
  </si>
  <si>
    <t>REF-0406</t>
  </si>
  <si>
    <t>KIOSQUE VICTOIRE 02</t>
  </si>
  <si>
    <t>REF-0132</t>
  </si>
  <si>
    <t>REF-0491</t>
  </si>
  <si>
    <t>Six façons de faire une somme, et ce que chacune ignore</t>
  </si>
  <si>
    <t>Formule</t>
  </si>
  <si>
    <t>Résultat</t>
  </si>
  <si>
    <t>Ce qu'elle ignore</t>
  </si>
  <si>
    <t>SOMME — ignore tout le monde</t>
  </si>
  <si>
    <t>compte les lignes masquées et les lignes filtrées</t>
  </si>
  <si>
    <t>SOUS.TOTAL(9) — ignore le filtre</t>
  </si>
  <si>
    <t>suit le filtre, mais compte les lignes masquées à la main</t>
  </si>
  <si>
    <t>SOUS.TOTAL(109) — ignore le filtre ET le masquage</t>
  </si>
  <si>
    <t>c'est le seul qui suit les deux</t>
  </si>
  <si>
    <t>AGREGAT(9;5) — ignore les lignes masquées</t>
  </si>
  <si>
    <t>même résultat que SOUS.TOTAL(109), écrit autrement</t>
  </si>
  <si>
    <t>SOMME sur la colonne Marge_Pct</t>
  </si>
  <si>
    <t>rend #DIV/0! : trois erreurs contaminent toute la somme</t>
  </si>
  <si>
    <t>MOYENNE des marges</t>
  </si>
  <si>
    <t>rend #DIV/0! elle aussi — aucune fonction classique ne s'en sort</t>
  </si>
  <si>
    <t>AGREGAT(1;6) — la moyenne qui survit</t>
  </si>
  <si>
    <t>1 = MOYENNE, 6 = ignorer les erreurs. C'est la seule qui répond.</t>
  </si>
  <si>
    <t>AGREGAT(1;7) — erreurs ET lignes masquées</t>
  </si>
  <si>
    <t>7 = les deux à la fois. C'est celle des tableaux de bord.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</si>
</sst>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USD&quot;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01418"/>
      <name val="Calibri"/>
      <family val="2"/>
    </font>
    <font>
      <i/>
      <sz val="10"/>
      <color rgb="FF6B72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304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left" vertical="center"/>
    </xf>
    <xf numFmtId="165" fontId="0" fillId="0" borderId="0" xfId="0" applyNumberFormat="1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style="1" customWidth="1"/>
    <col min="2" max="2" width="19" customWidth="1"/>
    <col min="3" max="3" width="26" customWidth="1"/>
    <col min="4" max="4" width="11" customWidth="1"/>
    <col min="5" max="5" width="13" customWidth="1"/>
    <col min="6" max="6" width="10" style="2" customWidth="1"/>
    <col min="7" max="8" width="14" style="3" customWidth="1"/>
    <col min="9" max="9" width="12" style="4" customWidth="1"/>
  </cols>
  <sheetData>
    <row r="1" spans="1:9" ht="22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6">
        <v>45931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114.26</v>
      </c>
      <c r="H2">
        <v>89.17</v>
      </c>
      <c r="I2" s="4">
        <f t="shared" ref="I2:I65" si="0">(G2-H2)/H2</f>
        <v>0.28137265896601998</v>
      </c>
    </row>
    <row r="3" spans="1:9" x14ac:dyDescent="0.2">
      <c r="A3" s="6">
        <v>45931</v>
      </c>
      <c r="B3" t="s">
        <v>9</v>
      </c>
      <c r="C3" t="s">
        <v>10</v>
      </c>
      <c r="D3" t="s">
        <v>13</v>
      </c>
      <c r="E3" t="s">
        <v>12</v>
      </c>
      <c r="F3">
        <v>12</v>
      </c>
      <c r="G3">
        <v>315.22000000000003</v>
      </c>
      <c r="H3">
        <v>268.39</v>
      </c>
      <c r="I3" s="4">
        <f t="shared" si="0"/>
        <v>0.17448489138939619</v>
      </c>
    </row>
    <row r="4" spans="1:9" x14ac:dyDescent="0.2">
      <c r="A4" s="6">
        <v>45931</v>
      </c>
      <c r="B4" t="s">
        <v>9</v>
      </c>
      <c r="C4" t="s">
        <v>10</v>
      </c>
      <c r="D4" t="s">
        <v>14</v>
      </c>
      <c r="E4" t="s">
        <v>15</v>
      </c>
      <c r="F4">
        <v>49</v>
      </c>
      <c r="G4">
        <v>328.41</v>
      </c>
      <c r="H4">
        <v>242.59</v>
      </c>
      <c r="I4" s="4">
        <f t="shared" si="0"/>
        <v>0.35376561276227386</v>
      </c>
    </row>
    <row r="5" spans="1:9" x14ac:dyDescent="0.2">
      <c r="A5" s="6">
        <v>45931</v>
      </c>
      <c r="B5" t="s">
        <v>9</v>
      </c>
      <c r="C5" t="s">
        <v>10</v>
      </c>
      <c r="D5" t="s">
        <v>16</v>
      </c>
      <c r="E5" t="s">
        <v>15</v>
      </c>
      <c r="F5">
        <v>7</v>
      </c>
      <c r="G5">
        <v>57.4</v>
      </c>
      <c r="H5">
        <v>46.21</v>
      </c>
      <c r="I5" s="4">
        <f t="shared" si="0"/>
        <v>0.24215537762389089</v>
      </c>
    </row>
    <row r="6" spans="1:9" x14ac:dyDescent="0.2">
      <c r="A6" s="6">
        <v>45931</v>
      </c>
      <c r="B6" t="s">
        <v>17</v>
      </c>
      <c r="C6" t="s">
        <v>18</v>
      </c>
      <c r="D6" t="s">
        <v>19</v>
      </c>
      <c r="E6" t="s">
        <v>12</v>
      </c>
      <c r="F6">
        <v>10</v>
      </c>
      <c r="G6">
        <v>322.14</v>
      </c>
      <c r="H6">
        <v>278.2</v>
      </c>
      <c r="I6" s="4">
        <f t="shared" si="0"/>
        <v>0.15794392523364487</v>
      </c>
    </row>
    <row r="7" spans="1:9" x14ac:dyDescent="0.2">
      <c r="A7" s="6">
        <v>45931</v>
      </c>
      <c r="B7" t="s">
        <v>17</v>
      </c>
      <c r="C7" t="s">
        <v>18</v>
      </c>
      <c r="D7" t="s">
        <v>20</v>
      </c>
      <c r="E7" t="s">
        <v>12</v>
      </c>
      <c r="F7">
        <v>11</v>
      </c>
      <c r="G7">
        <v>394.37</v>
      </c>
      <c r="H7">
        <v>297.89</v>
      </c>
      <c r="I7" s="4">
        <f t="shared" si="0"/>
        <v>0.32387794152203842</v>
      </c>
    </row>
    <row r="8" spans="1:9" x14ac:dyDescent="0.2">
      <c r="A8" s="6">
        <v>45931</v>
      </c>
      <c r="B8" t="s">
        <v>17</v>
      </c>
      <c r="C8" t="s">
        <v>21</v>
      </c>
      <c r="D8" t="s">
        <v>22</v>
      </c>
      <c r="E8" t="s">
        <v>23</v>
      </c>
      <c r="F8">
        <v>13</v>
      </c>
      <c r="G8">
        <v>115.66</v>
      </c>
      <c r="H8">
        <v>93.78</v>
      </c>
      <c r="I8" s="4">
        <f t="shared" si="0"/>
        <v>0.23331200682448278</v>
      </c>
    </row>
    <row r="9" spans="1:9" x14ac:dyDescent="0.2">
      <c r="A9" s="6">
        <v>45931</v>
      </c>
      <c r="B9" t="s">
        <v>17</v>
      </c>
      <c r="C9" t="s">
        <v>21</v>
      </c>
      <c r="D9" t="s">
        <v>24</v>
      </c>
      <c r="E9" t="s">
        <v>25</v>
      </c>
      <c r="F9">
        <v>17</v>
      </c>
      <c r="G9">
        <v>444.9</v>
      </c>
      <c r="H9">
        <v>360.05</v>
      </c>
      <c r="I9" s="4">
        <f t="shared" si="0"/>
        <v>0.23566171365088173</v>
      </c>
    </row>
    <row r="10" spans="1:9" x14ac:dyDescent="0.2">
      <c r="A10" s="6">
        <v>45931</v>
      </c>
      <c r="B10" t="s">
        <v>17</v>
      </c>
      <c r="C10" t="s">
        <v>21</v>
      </c>
      <c r="D10" t="s">
        <v>26</v>
      </c>
      <c r="E10" t="s">
        <v>12</v>
      </c>
      <c r="F10">
        <v>15</v>
      </c>
      <c r="G10">
        <v>423.44</v>
      </c>
      <c r="H10">
        <v>357.01</v>
      </c>
      <c r="I10" s="4">
        <f t="shared" si="0"/>
        <v>0.1860732192375564</v>
      </c>
    </row>
    <row r="11" spans="1:9" x14ac:dyDescent="0.2">
      <c r="A11" s="6">
        <v>45931</v>
      </c>
      <c r="B11" t="s">
        <v>17</v>
      </c>
      <c r="C11" t="s">
        <v>21</v>
      </c>
      <c r="D11" t="s">
        <v>27</v>
      </c>
      <c r="E11" t="s">
        <v>25</v>
      </c>
      <c r="F11">
        <v>28</v>
      </c>
      <c r="G11">
        <v>1009.18</v>
      </c>
      <c r="H11">
        <v>635.35</v>
      </c>
      <c r="I11" s="4">
        <f t="shared" si="0"/>
        <v>0.58838435507987707</v>
      </c>
    </row>
    <row r="12" spans="1:9" hidden="1" x14ac:dyDescent="0.2">
      <c r="A12" s="6">
        <v>45931</v>
      </c>
      <c r="B12" t="s">
        <v>17</v>
      </c>
      <c r="C12" t="s">
        <v>21</v>
      </c>
      <c r="D12" t="s">
        <v>28</v>
      </c>
      <c r="E12" t="s">
        <v>15</v>
      </c>
      <c r="F12">
        <v>29</v>
      </c>
      <c r="G12">
        <v>500</v>
      </c>
      <c r="H12">
        <v>332.01</v>
      </c>
      <c r="I12" s="4">
        <f t="shared" si="0"/>
        <v>0.50597873558025364</v>
      </c>
    </row>
    <row r="13" spans="1:9" hidden="1" x14ac:dyDescent="0.2">
      <c r="A13" s="6">
        <v>45931</v>
      </c>
      <c r="B13" t="s">
        <v>29</v>
      </c>
      <c r="C13" t="s">
        <v>30</v>
      </c>
      <c r="D13" t="s">
        <v>31</v>
      </c>
      <c r="E13" t="s">
        <v>23</v>
      </c>
      <c r="F13">
        <v>6</v>
      </c>
      <c r="G13">
        <v>92.44</v>
      </c>
      <c r="H13">
        <v>81.27</v>
      </c>
      <c r="I13" s="4">
        <f t="shared" si="0"/>
        <v>0.13744309093146306</v>
      </c>
    </row>
    <row r="14" spans="1:9" hidden="1" x14ac:dyDescent="0.2">
      <c r="A14" s="6">
        <v>45931</v>
      </c>
      <c r="B14" t="s">
        <v>29</v>
      </c>
      <c r="C14" t="s">
        <v>30</v>
      </c>
      <c r="D14" t="s">
        <v>32</v>
      </c>
      <c r="E14" t="s">
        <v>23</v>
      </c>
      <c r="F14">
        <v>4</v>
      </c>
      <c r="G14">
        <v>84.12</v>
      </c>
      <c r="H14">
        <v>68.489999999999995</v>
      </c>
      <c r="I14" s="4">
        <f t="shared" si="0"/>
        <v>0.22820849759088935</v>
      </c>
    </row>
    <row r="15" spans="1:9" hidden="1" x14ac:dyDescent="0.2">
      <c r="A15" s="6">
        <v>45931</v>
      </c>
      <c r="B15" t="s">
        <v>29</v>
      </c>
      <c r="C15" t="s">
        <v>30</v>
      </c>
      <c r="D15" t="s">
        <v>33</v>
      </c>
      <c r="E15" t="s">
        <v>34</v>
      </c>
      <c r="F15">
        <v>27</v>
      </c>
      <c r="G15">
        <v>616.04999999999995</v>
      </c>
      <c r="H15">
        <v>423.76</v>
      </c>
      <c r="I15" s="4">
        <f t="shared" si="0"/>
        <v>0.45377100245421931</v>
      </c>
    </row>
    <row r="16" spans="1:9" hidden="1" x14ac:dyDescent="0.2">
      <c r="A16" s="6">
        <v>45931</v>
      </c>
      <c r="B16" t="s">
        <v>29</v>
      </c>
      <c r="C16" t="s">
        <v>30</v>
      </c>
      <c r="D16" t="s">
        <v>35</v>
      </c>
      <c r="E16" t="s">
        <v>23</v>
      </c>
      <c r="F16">
        <v>10</v>
      </c>
      <c r="G16">
        <v>161.38</v>
      </c>
      <c r="H16">
        <v>131.21</v>
      </c>
      <c r="I16" s="4">
        <f t="shared" si="0"/>
        <v>0.2299367426263241</v>
      </c>
    </row>
    <row r="17" spans="1:9" x14ac:dyDescent="0.2">
      <c r="A17" s="6">
        <v>45931</v>
      </c>
      <c r="B17" t="s">
        <v>36</v>
      </c>
      <c r="C17" t="s">
        <v>37</v>
      </c>
      <c r="D17" t="s">
        <v>38</v>
      </c>
      <c r="E17" t="s">
        <v>15</v>
      </c>
      <c r="F17">
        <v>10</v>
      </c>
      <c r="G17">
        <v>189.36</v>
      </c>
      <c r="H17">
        <v>125.74</v>
      </c>
      <c r="I17" s="4">
        <f t="shared" si="0"/>
        <v>0.50596468904087821</v>
      </c>
    </row>
    <row r="18" spans="1:9" x14ac:dyDescent="0.2">
      <c r="A18" s="6">
        <v>45931</v>
      </c>
      <c r="B18" t="s">
        <v>36</v>
      </c>
      <c r="C18" t="s">
        <v>37</v>
      </c>
      <c r="D18" t="s">
        <v>39</v>
      </c>
      <c r="E18" t="s">
        <v>25</v>
      </c>
      <c r="F18">
        <v>25</v>
      </c>
      <c r="G18">
        <v>660.7</v>
      </c>
      <c r="H18">
        <v>471.52</v>
      </c>
      <c r="I18" s="4">
        <f t="shared" si="0"/>
        <v>0.40121309806582983</v>
      </c>
    </row>
    <row r="19" spans="1:9" x14ac:dyDescent="0.2">
      <c r="A19" s="6">
        <v>45931</v>
      </c>
      <c r="B19" t="s">
        <v>29</v>
      </c>
      <c r="C19" t="s">
        <v>40</v>
      </c>
      <c r="D19" t="s">
        <v>41</v>
      </c>
      <c r="E19" t="s">
        <v>12</v>
      </c>
      <c r="F19">
        <v>14</v>
      </c>
      <c r="G19">
        <v>268.70999999999998</v>
      </c>
      <c r="H19">
        <v>197.4</v>
      </c>
      <c r="I19" s="4">
        <f t="shared" si="0"/>
        <v>0.36124620060790258</v>
      </c>
    </row>
    <row r="20" spans="1:9" x14ac:dyDescent="0.2">
      <c r="A20" s="6">
        <v>45931</v>
      </c>
      <c r="B20" t="s">
        <v>29</v>
      </c>
      <c r="C20" t="s">
        <v>40</v>
      </c>
      <c r="D20" t="s">
        <v>42</v>
      </c>
      <c r="E20" t="s">
        <v>15</v>
      </c>
      <c r="F20">
        <v>13</v>
      </c>
      <c r="G20">
        <v>235.94</v>
      </c>
      <c r="H20">
        <v>160.32</v>
      </c>
      <c r="I20" s="4">
        <f t="shared" si="0"/>
        <v>0.47168163672654695</v>
      </c>
    </row>
    <row r="21" spans="1:9" x14ac:dyDescent="0.2">
      <c r="A21" s="6">
        <v>45931</v>
      </c>
      <c r="B21" t="s">
        <v>43</v>
      </c>
      <c r="C21" t="s">
        <v>44</v>
      </c>
      <c r="D21" t="s">
        <v>45</v>
      </c>
      <c r="E21" t="s">
        <v>15</v>
      </c>
      <c r="F21">
        <v>8</v>
      </c>
      <c r="G21">
        <v>141.44999999999999</v>
      </c>
      <c r="H21">
        <v>92.78</v>
      </c>
      <c r="I21" s="4">
        <f t="shared" si="0"/>
        <v>0.52457426169433052</v>
      </c>
    </row>
    <row r="22" spans="1:9" x14ac:dyDescent="0.2">
      <c r="A22" s="6">
        <v>45931</v>
      </c>
      <c r="B22" t="s">
        <v>9</v>
      </c>
      <c r="C22" t="s">
        <v>46</v>
      </c>
      <c r="D22" t="s">
        <v>47</v>
      </c>
      <c r="E22" t="s">
        <v>34</v>
      </c>
      <c r="F22">
        <v>4</v>
      </c>
      <c r="G22">
        <v>67.88</v>
      </c>
      <c r="H22">
        <v>51.04</v>
      </c>
      <c r="I22" s="4">
        <f t="shared" si="0"/>
        <v>0.32993730407523503</v>
      </c>
    </row>
    <row r="23" spans="1:9" x14ac:dyDescent="0.2">
      <c r="A23" s="6">
        <v>45932</v>
      </c>
      <c r="B23" t="s">
        <v>48</v>
      </c>
      <c r="C23" t="s">
        <v>49</v>
      </c>
      <c r="D23" t="s">
        <v>50</v>
      </c>
      <c r="E23" t="s">
        <v>34</v>
      </c>
      <c r="F23">
        <v>13</v>
      </c>
      <c r="G23">
        <v>146.87</v>
      </c>
      <c r="H23">
        <v>115.77</v>
      </c>
      <c r="I23" s="4">
        <f t="shared" si="0"/>
        <v>0.26863608879675227</v>
      </c>
    </row>
    <row r="24" spans="1:9" x14ac:dyDescent="0.2">
      <c r="A24" s="6">
        <v>45932</v>
      </c>
      <c r="B24" t="s">
        <v>48</v>
      </c>
      <c r="C24" t="s">
        <v>49</v>
      </c>
      <c r="D24" t="s">
        <v>51</v>
      </c>
      <c r="E24" t="s">
        <v>34</v>
      </c>
      <c r="F24">
        <v>7</v>
      </c>
      <c r="G24">
        <v>182.3</v>
      </c>
      <c r="H24">
        <v>128.11000000000001</v>
      </c>
      <c r="I24" s="4">
        <f t="shared" si="0"/>
        <v>0.42299586293029423</v>
      </c>
    </row>
    <row r="25" spans="1:9" x14ac:dyDescent="0.2">
      <c r="A25" s="6">
        <v>45932</v>
      </c>
      <c r="B25" t="s">
        <v>43</v>
      </c>
      <c r="C25" t="s">
        <v>52</v>
      </c>
      <c r="D25" t="s">
        <v>53</v>
      </c>
      <c r="E25" t="s">
        <v>15</v>
      </c>
      <c r="F25">
        <v>39</v>
      </c>
      <c r="G25">
        <v>368.28</v>
      </c>
      <c r="H25">
        <v>291.56</v>
      </c>
      <c r="I25" s="4">
        <f t="shared" si="0"/>
        <v>0.2631362326793798</v>
      </c>
    </row>
    <row r="26" spans="1:9" x14ac:dyDescent="0.2">
      <c r="A26" s="6">
        <v>45932</v>
      </c>
      <c r="B26" t="s">
        <v>43</v>
      </c>
      <c r="C26" t="s">
        <v>52</v>
      </c>
      <c r="D26" t="s">
        <v>54</v>
      </c>
      <c r="E26" t="s">
        <v>23</v>
      </c>
      <c r="F26">
        <v>7</v>
      </c>
      <c r="G26">
        <v>150.83000000000001</v>
      </c>
      <c r="H26">
        <v>132.02000000000001</v>
      </c>
      <c r="I26" s="4">
        <f t="shared" si="0"/>
        <v>0.14247841236176337</v>
      </c>
    </row>
    <row r="27" spans="1:9" x14ac:dyDescent="0.2">
      <c r="A27" s="6">
        <v>45932</v>
      </c>
      <c r="B27" t="s">
        <v>43</v>
      </c>
      <c r="C27" t="s">
        <v>52</v>
      </c>
      <c r="D27" t="s">
        <v>55</v>
      </c>
      <c r="E27" t="s">
        <v>34</v>
      </c>
      <c r="F27">
        <v>24</v>
      </c>
      <c r="G27">
        <v>338.34</v>
      </c>
      <c r="H27">
        <v>214.62</v>
      </c>
      <c r="I27" s="4">
        <f t="shared" si="0"/>
        <v>0.57646072127481118</v>
      </c>
    </row>
    <row r="28" spans="1:9" x14ac:dyDescent="0.2">
      <c r="A28" s="6">
        <v>45932</v>
      </c>
      <c r="B28" t="s">
        <v>43</v>
      </c>
      <c r="C28" t="s">
        <v>52</v>
      </c>
      <c r="D28" t="s">
        <v>56</v>
      </c>
      <c r="E28" t="s">
        <v>15</v>
      </c>
      <c r="F28">
        <v>8</v>
      </c>
      <c r="G28">
        <v>128.78</v>
      </c>
      <c r="H28">
        <v>89.16</v>
      </c>
      <c r="I28" s="4">
        <f t="shared" si="0"/>
        <v>0.44436967249887849</v>
      </c>
    </row>
    <row r="29" spans="1:9" x14ac:dyDescent="0.2">
      <c r="A29" s="6">
        <v>45932</v>
      </c>
      <c r="B29" t="s">
        <v>48</v>
      </c>
      <c r="C29" t="s">
        <v>57</v>
      </c>
      <c r="D29" t="s">
        <v>58</v>
      </c>
      <c r="E29" t="s">
        <v>23</v>
      </c>
      <c r="F29">
        <v>21</v>
      </c>
      <c r="G29">
        <v>207.44</v>
      </c>
      <c r="H29">
        <v>133.49</v>
      </c>
      <c r="I29" s="4">
        <f t="shared" si="0"/>
        <v>0.5539740804554647</v>
      </c>
    </row>
    <row r="30" spans="1:9" x14ac:dyDescent="0.2">
      <c r="A30" s="6">
        <v>45932</v>
      </c>
      <c r="B30" t="s">
        <v>48</v>
      </c>
      <c r="C30" t="s">
        <v>57</v>
      </c>
      <c r="D30" t="s">
        <v>59</v>
      </c>
      <c r="E30" t="s">
        <v>12</v>
      </c>
      <c r="F30">
        <v>18</v>
      </c>
      <c r="G30">
        <v>448.01</v>
      </c>
      <c r="H30">
        <v>356.66</v>
      </c>
      <c r="I30" s="4">
        <f t="shared" si="0"/>
        <v>0.25612628273425658</v>
      </c>
    </row>
    <row r="31" spans="1:9" x14ac:dyDescent="0.2">
      <c r="A31" s="6">
        <v>45932</v>
      </c>
      <c r="B31" t="s">
        <v>48</v>
      </c>
      <c r="C31" t="s">
        <v>57</v>
      </c>
      <c r="D31" t="s">
        <v>60</v>
      </c>
      <c r="E31" t="s">
        <v>15</v>
      </c>
      <c r="F31">
        <v>7</v>
      </c>
      <c r="G31">
        <v>50.94</v>
      </c>
      <c r="H31">
        <v>37.049999999999997</v>
      </c>
      <c r="I31" s="4">
        <f t="shared" si="0"/>
        <v>0.37489878542510124</v>
      </c>
    </row>
    <row r="32" spans="1:9" x14ac:dyDescent="0.2">
      <c r="A32" s="6">
        <v>45932</v>
      </c>
      <c r="B32" t="s">
        <v>43</v>
      </c>
      <c r="C32" t="s">
        <v>61</v>
      </c>
      <c r="D32" t="s">
        <v>62</v>
      </c>
      <c r="E32" t="s">
        <v>15</v>
      </c>
      <c r="F32">
        <v>14</v>
      </c>
      <c r="G32">
        <v>121.05</v>
      </c>
      <c r="H32">
        <v>88.88</v>
      </c>
      <c r="I32" s="4">
        <f t="shared" si="0"/>
        <v>0.361948694869487</v>
      </c>
    </row>
    <row r="33" spans="1:9" x14ac:dyDescent="0.2">
      <c r="A33" s="6">
        <v>45932</v>
      </c>
      <c r="B33" t="s">
        <v>9</v>
      </c>
      <c r="C33" t="s">
        <v>63</v>
      </c>
      <c r="D33" t="s">
        <v>64</v>
      </c>
      <c r="E33" t="s">
        <v>15</v>
      </c>
      <c r="F33">
        <v>7</v>
      </c>
      <c r="G33">
        <v>137.63</v>
      </c>
      <c r="H33">
        <v>94.17</v>
      </c>
      <c r="I33" s="4">
        <f t="shared" si="0"/>
        <v>0.46150578740575549</v>
      </c>
    </row>
    <row r="34" spans="1:9" x14ac:dyDescent="0.2">
      <c r="A34" s="6">
        <v>45932</v>
      </c>
      <c r="B34" t="s">
        <v>43</v>
      </c>
      <c r="C34" t="s">
        <v>65</v>
      </c>
      <c r="D34" t="s">
        <v>66</v>
      </c>
      <c r="E34" t="s">
        <v>25</v>
      </c>
      <c r="F34">
        <v>6</v>
      </c>
      <c r="G34">
        <v>276.10000000000002</v>
      </c>
      <c r="H34">
        <v>226.96</v>
      </c>
      <c r="I34" s="4">
        <f t="shared" si="0"/>
        <v>0.21651392315826584</v>
      </c>
    </row>
    <row r="35" spans="1:9" x14ac:dyDescent="0.2">
      <c r="A35" s="6">
        <v>45932</v>
      </c>
      <c r="B35" t="s">
        <v>43</v>
      </c>
      <c r="C35" t="s">
        <v>65</v>
      </c>
      <c r="D35" t="s">
        <v>67</v>
      </c>
      <c r="E35" t="s">
        <v>34</v>
      </c>
      <c r="F35">
        <v>7</v>
      </c>
      <c r="G35">
        <v>227.06</v>
      </c>
      <c r="H35">
        <v>185.58</v>
      </c>
      <c r="I35" s="4">
        <f t="shared" si="0"/>
        <v>0.22351546502855904</v>
      </c>
    </row>
    <row r="36" spans="1:9" x14ac:dyDescent="0.2">
      <c r="A36" s="6">
        <v>45932</v>
      </c>
      <c r="B36" t="s">
        <v>43</v>
      </c>
      <c r="C36" t="s">
        <v>65</v>
      </c>
      <c r="D36" t="s">
        <v>68</v>
      </c>
      <c r="E36" t="s">
        <v>34</v>
      </c>
      <c r="F36">
        <v>10</v>
      </c>
      <c r="G36">
        <v>164.66</v>
      </c>
      <c r="H36">
        <v>121.24</v>
      </c>
      <c r="I36" s="4">
        <f t="shared" si="0"/>
        <v>0.35813262949521613</v>
      </c>
    </row>
    <row r="37" spans="1:9" x14ac:dyDescent="0.2">
      <c r="A37" s="6">
        <v>45932</v>
      </c>
      <c r="B37" t="s">
        <v>17</v>
      </c>
      <c r="C37" t="s">
        <v>69</v>
      </c>
      <c r="D37" t="s">
        <v>70</v>
      </c>
      <c r="E37" t="s">
        <v>15</v>
      </c>
      <c r="F37">
        <v>18</v>
      </c>
      <c r="G37">
        <v>297.58999999999997</v>
      </c>
      <c r="H37">
        <v>0</v>
      </c>
      <c r="I37" s="4" t="e">
        <f t="shared" si="0"/>
        <v>#DIV/0!</v>
      </c>
    </row>
    <row r="38" spans="1:9" x14ac:dyDescent="0.2">
      <c r="A38" s="6">
        <v>45932</v>
      </c>
      <c r="B38" t="s">
        <v>17</v>
      </c>
      <c r="C38" t="s">
        <v>69</v>
      </c>
      <c r="D38" t="s">
        <v>71</v>
      </c>
      <c r="E38" t="s">
        <v>23</v>
      </c>
      <c r="F38">
        <v>25</v>
      </c>
      <c r="G38">
        <v>507.26</v>
      </c>
      <c r="H38">
        <v>423.3</v>
      </c>
      <c r="I38" s="4">
        <f t="shared" si="0"/>
        <v>0.19834632648240014</v>
      </c>
    </row>
    <row r="39" spans="1:9" x14ac:dyDescent="0.2">
      <c r="A39" s="6">
        <v>45932</v>
      </c>
      <c r="B39" t="s">
        <v>17</v>
      </c>
      <c r="C39" t="s">
        <v>69</v>
      </c>
      <c r="D39" t="s">
        <v>72</v>
      </c>
      <c r="E39" t="s">
        <v>12</v>
      </c>
      <c r="F39">
        <v>18</v>
      </c>
      <c r="G39">
        <v>576.74</v>
      </c>
      <c r="H39">
        <v>392.24</v>
      </c>
      <c r="I39" s="4">
        <f t="shared" si="0"/>
        <v>0.47037528044054661</v>
      </c>
    </row>
    <row r="40" spans="1:9" x14ac:dyDescent="0.2">
      <c r="A40" s="6">
        <v>45932</v>
      </c>
      <c r="B40" t="s">
        <v>17</v>
      </c>
      <c r="C40" t="s">
        <v>69</v>
      </c>
      <c r="D40" t="s">
        <v>73</v>
      </c>
      <c r="E40" t="s">
        <v>74</v>
      </c>
      <c r="F40">
        <v>20</v>
      </c>
      <c r="G40">
        <v>1440.26</v>
      </c>
      <c r="H40">
        <v>1021.86</v>
      </c>
      <c r="I40" s="4">
        <f t="shared" si="0"/>
        <v>0.4094494353433934</v>
      </c>
    </row>
    <row r="41" spans="1:9" x14ac:dyDescent="0.2">
      <c r="A41" s="6">
        <v>45932</v>
      </c>
      <c r="B41" t="s">
        <v>17</v>
      </c>
      <c r="C41" t="s">
        <v>69</v>
      </c>
      <c r="D41" t="s">
        <v>75</v>
      </c>
      <c r="E41" t="s">
        <v>12</v>
      </c>
      <c r="F41">
        <v>35</v>
      </c>
      <c r="G41">
        <v>1183.1300000000001</v>
      </c>
      <c r="H41">
        <v>1028.1600000000001</v>
      </c>
      <c r="I41" s="4">
        <f t="shared" si="0"/>
        <v>0.15072556800497977</v>
      </c>
    </row>
    <row r="42" spans="1:9" x14ac:dyDescent="0.2">
      <c r="A42" s="6">
        <v>45932</v>
      </c>
      <c r="B42" t="s">
        <v>17</v>
      </c>
      <c r="C42" t="s">
        <v>76</v>
      </c>
      <c r="D42" t="s">
        <v>77</v>
      </c>
      <c r="E42" t="s">
        <v>12</v>
      </c>
      <c r="F42">
        <v>8</v>
      </c>
      <c r="G42">
        <v>194.68</v>
      </c>
      <c r="H42">
        <v>132.25</v>
      </c>
      <c r="I42" s="4">
        <f t="shared" si="0"/>
        <v>0.4720604914933838</v>
      </c>
    </row>
    <row r="43" spans="1:9" x14ac:dyDescent="0.2">
      <c r="A43" s="6">
        <v>45932</v>
      </c>
      <c r="B43" t="s">
        <v>17</v>
      </c>
      <c r="C43" t="s">
        <v>76</v>
      </c>
      <c r="D43" t="s">
        <v>78</v>
      </c>
      <c r="E43" t="s">
        <v>15</v>
      </c>
      <c r="F43">
        <v>11</v>
      </c>
      <c r="G43">
        <v>201.33</v>
      </c>
      <c r="H43">
        <v>132.36000000000001</v>
      </c>
      <c r="I43" s="4">
        <f t="shared" si="0"/>
        <v>0.52107887579329093</v>
      </c>
    </row>
    <row r="44" spans="1:9" x14ac:dyDescent="0.2">
      <c r="A44" s="6">
        <v>45932</v>
      </c>
      <c r="B44" t="s">
        <v>17</v>
      </c>
      <c r="C44" t="s">
        <v>76</v>
      </c>
      <c r="D44" t="s">
        <v>79</v>
      </c>
      <c r="E44" t="s">
        <v>12</v>
      </c>
      <c r="F44">
        <v>18</v>
      </c>
      <c r="G44">
        <v>290.2</v>
      </c>
      <c r="H44">
        <v>182.35</v>
      </c>
      <c r="I44" s="4">
        <f t="shared" si="0"/>
        <v>0.59144502330682747</v>
      </c>
    </row>
    <row r="45" spans="1:9" x14ac:dyDescent="0.2">
      <c r="A45" s="6">
        <v>45932</v>
      </c>
      <c r="B45" t="s">
        <v>17</v>
      </c>
      <c r="C45" t="s">
        <v>76</v>
      </c>
      <c r="D45" t="s">
        <v>80</v>
      </c>
      <c r="E45" t="s">
        <v>23</v>
      </c>
      <c r="F45">
        <v>10</v>
      </c>
      <c r="G45">
        <v>85.6</v>
      </c>
      <c r="H45">
        <v>68.040000000000006</v>
      </c>
      <c r="I45" s="4">
        <f t="shared" si="0"/>
        <v>0.25808348030570233</v>
      </c>
    </row>
    <row r="46" spans="1:9" x14ac:dyDescent="0.2">
      <c r="A46" s="6">
        <v>45932</v>
      </c>
      <c r="B46" t="s">
        <v>17</v>
      </c>
      <c r="C46" t="s">
        <v>76</v>
      </c>
      <c r="D46" t="s">
        <v>81</v>
      </c>
      <c r="E46" t="s">
        <v>15</v>
      </c>
      <c r="F46">
        <v>8</v>
      </c>
      <c r="G46">
        <v>88.25</v>
      </c>
      <c r="H46">
        <v>73.55</v>
      </c>
      <c r="I46" s="4">
        <f t="shared" si="0"/>
        <v>0.19986403806934064</v>
      </c>
    </row>
    <row r="47" spans="1:9" x14ac:dyDescent="0.2">
      <c r="A47" s="6">
        <v>45932</v>
      </c>
      <c r="B47" t="s">
        <v>9</v>
      </c>
      <c r="C47" t="s">
        <v>82</v>
      </c>
      <c r="D47" t="s">
        <v>83</v>
      </c>
      <c r="E47" t="s">
        <v>74</v>
      </c>
      <c r="F47">
        <v>89</v>
      </c>
      <c r="G47">
        <v>5473.15</v>
      </c>
      <c r="H47">
        <v>3466.96</v>
      </c>
      <c r="I47" s="4">
        <f t="shared" si="0"/>
        <v>0.57865969033389475</v>
      </c>
    </row>
    <row r="48" spans="1:9" x14ac:dyDescent="0.2">
      <c r="A48" s="6">
        <v>45932</v>
      </c>
      <c r="B48" t="s">
        <v>9</v>
      </c>
      <c r="C48" t="s">
        <v>82</v>
      </c>
      <c r="D48" t="s">
        <v>84</v>
      </c>
      <c r="E48" t="s">
        <v>25</v>
      </c>
      <c r="F48">
        <v>20</v>
      </c>
      <c r="G48">
        <v>571.26</v>
      </c>
      <c r="H48">
        <v>425.21</v>
      </c>
      <c r="I48" s="4">
        <f t="shared" si="0"/>
        <v>0.34347734060817015</v>
      </c>
    </row>
    <row r="49" spans="1:9" x14ac:dyDescent="0.2">
      <c r="A49" s="6">
        <v>45932</v>
      </c>
      <c r="B49" t="s">
        <v>9</v>
      </c>
      <c r="C49" t="s">
        <v>82</v>
      </c>
      <c r="D49" t="s">
        <v>85</v>
      </c>
      <c r="E49" t="s">
        <v>23</v>
      </c>
      <c r="F49">
        <v>6</v>
      </c>
      <c r="G49">
        <v>129.41</v>
      </c>
      <c r="H49">
        <v>93.57</v>
      </c>
      <c r="I49" s="4">
        <f t="shared" si="0"/>
        <v>0.383028748530512</v>
      </c>
    </row>
    <row r="50" spans="1:9" x14ac:dyDescent="0.2">
      <c r="A50" s="6">
        <v>45932</v>
      </c>
      <c r="B50" t="s">
        <v>9</v>
      </c>
      <c r="C50" t="s">
        <v>82</v>
      </c>
      <c r="D50" t="s">
        <v>86</v>
      </c>
      <c r="E50" t="s">
        <v>12</v>
      </c>
      <c r="F50">
        <v>10</v>
      </c>
      <c r="G50">
        <v>389.26</v>
      </c>
      <c r="H50">
        <v>274.52</v>
      </c>
      <c r="I50" s="4">
        <f t="shared" si="0"/>
        <v>0.41796590412356116</v>
      </c>
    </row>
    <row r="51" spans="1:9" x14ac:dyDescent="0.2">
      <c r="A51" s="6">
        <v>45932</v>
      </c>
      <c r="B51" t="s">
        <v>9</v>
      </c>
      <c r="C51" t="s">
        <v>82</v>
      </c>
      <c r="D51" t="s">
        <v>87</v>
      </c>
      <c r="E51" t="s">
        <v>12</v>
      </c>
      <c r="F51">
        <v>47</v>
      </c>
      <c r="G51">
        <v>672.66</v>
      </c>
      <c r="H51">
        <v>458.13</v>
      </c>
      <c r="I51" s="4">
        <f t="shared" si="0"/>
        <v>0.46827319756401015</v>
      </c>
    </row>
    <row r="52" spans="1:9" x14ac:dyDescent="0.2">
      <c r="A52" s="6">
        <v>45932</v>
      </c>
      <c r="B52" t="s">
        <v>17</v>
      </c>
      <c r="C52" t="s">
        <v>88</v>
      </c>
      <c r="D52" t="s">
        <v>89</v>
      </c>
      <c r="E52" t="s">
        <v>25</v>
      </c>
      <c r="F52">
        <v>17</v>
      </c>
      <c r="G52">
        <v>284.39</v>
      </c>
      <c r="H52">
        <v>204.74</v>
      </c>
      <c r="I52" s="4">
        <f t="shared" si="0"/>
        <v>0.38902998925466431</v>
      </c>
    </row>
    <row r="53" spans="1:9" x14ac:dyDescent="0.2">
      <c r="A53" s="6">
        <v>45932</v>
      </c>
      <c r="B53" t="s">
        <v>17</v>
      </c>
      <c r="C53" t="s">
        <v>88</v>
      </c>
      <c r="D53" t="s">
        <v>90</v>
      </c>
      <c r="E53" t="s">
        <v>74</v>
      </c>
      <c r="F53">
        <v>11</v>
      </c>
      <c r="G53">
        <v>312.98</v>
      </c>
      <c r="H53">
        <v>205.54</v>
      </c>
      <c r="I53" s="4">
        <f t="shared" si="0"/>
        <v>0.52272063831857563</v>
      </c>
    </row>
    <row r="54" spans="1:9" x14ac:dyDescent="0.2">
      <c r="A54" s="6">
        <v>45932</v>
      </c>
      <c r="B54" t="s">
        <v>17</v>
      </c>
      <c r="C54" t="s">
        <v>88</v>
      </c>
      <c r="D54" t="s">
        <v>91</v>
      </c>
      <c r="E54" t="s">
        <v>34</v>
      </c>
      <c r="F54">
        <v>50</v>
      </c>
      <c r="G54">
        <v>1538.51</v>
      </c>
      <c r="H54">
        <v>1322.61</v>
      </c>
      <c r="I54" s="4">
        <f t="shared" si="0"/>
        <v>0.16323784033086103</v>
      </c>
    </row>
    <row r="55" spans="1:9" x14ac:dyDescent="0.2">
      <c r="A55" s="6">
        <v>45932</v>
      </c>
      <c r="B55" t="s">
        <v>17</v>
      </c>
      <c r="C55" t="s">
        <v>88</v>
      </c>
      <c r="D55" t="s">
        <v>92</v>
      </c>
      <c r="E55" t="s">
        <v>23</v>
      </c>
      <c r="F55">
        <v>24</v>
      </c>
      <c r="G55">
        <v>588.02</v>
      </c>
      <c r="H55">
        <v>395.02</v>
      </c>
      <c r="I55" s="4">
        <f t="shared" si="0"/>
        <v>0.48858285656422462</v>
      </c>
    </row>
    <row r="56" spans="1:9" x14ac:dyDescent="0.2">
      <c r="A56" s="6">
        <v>45932</v>
      </c>
      <c r="B56" t="s">
        <v>17</v>
      </c>
      <c r="C56" t="s">
        <v>93</v>
      </c>
      <c r="D56" t="s">
        <v>94</v>
      </c>
      <c r="E56" t="s">
        <v>74</v>
      </c>
      <c r="F56">
        <v>8</v>
      </c>
      <c r="G56">
        <v>288.95</v>
      </c>
      <c r="H56">
        <v>219.36</v>
      </c>
      <c r="I56" s="4">
        <f t="shared" si="0"/>
        <v>0.31724106491611948</v>
      </c>
    </row>
    <row r="57" spans="1:9" x14ac:dyDescent="0.2">
      <c r="A57" s="6">
        <v>45932</v>
      </c>
      <c r="B57" t="s">
        <v>17</v>
      </c>
      <c r="C57" t="s">
        <v>93</v>
      </c>
      <c r="D57" t="s">
        <v>95</v>
      </c>
      <c r="E57" t="s">
        <v>23</v>
      </c>
      <c r="F57">
        <v>7</v>
      </c>
      <c r="G57">
        <v>89.4</v>
      </c>
      <c r="H57">
        <v>70.319999999999993</v>
      </c>
      <c r="I57" s="4">
        <f t="shared" si="0"/>
        <v>0.27133105802047802</v>
      </c>
    </row>
    <row r="58" spans="1:9" x14ac:dyDescent="0.2">
      <c r="A58" s="6">
        <v>45932</v>
      </c>
      <c r="B58" t="s">
        <v>17</v>
      </c>
      <c r="C58" t="s">
        <v>93</v>
      </c>
      <c r="D58" t="s">
        <v>96</v>
      </c>
      <c r="E58" t="s">
        <v>15</v>
      </c>
      <c r="F58">
        <v>42</v>
      </c>
      <c r="G58">
        <v>400.84</v>
      </c>
      <c r="H58">
        <v>317.04000000000002</v>
      </c>
      <c r="I58" s="4">
        <f t="shared" si="0"/>
        <v>0.26431995962654536</v>
      </c>
    </row>
    <row r="59" spans="1:9" x14ac:dyDescent="0.2">
      <c r="A59" s="6">
        <v>45932</v>
      </c>
      <c r="B59" t="s">
        <v>17</v>
      </c>
      <c r="C59" t="s">
        <v>93</v>
      </c>
      <c r="D59" t="s">
        <v>97</v>
      </c>
      <c r="E59" t="s">
        <v>15</v>
      </c>
      <c r="F59">
        <v>26</v>
      </c>
      <c r="G59">
        <v>388.75</v>
      </c>
      <c r="H59">
        <v>288.97000000000003</v>
      </c>
      <c r="I59" s="4">
        <f t="shared" si="0"/>
        <v>0.34529535937986627</v>
      </c>
    </row>
    <row r="60" spans="1:9" x14ac:dyDescent="0.2">
      <c r="A60" s="6">
        <v>45932</v>
      </c>
      <c r="B60" t="s">
        <v>9</v>
      </c>
      <c r="C60" t="s">
        <v>98</v>
      </c>
      <c r="D60" t="s">
        <v>72</v>
      </c>
      <c r="E60" t="s">
        <v>12</v>
      </c>
      <c r="F60">
        <v>8</v>
      </c>
      <c r="G60">
        <v>264.83999999999997</v>
      </c>
      <c r="H60">
        <v>200.22</v>
      </c>
      <c r="I60" s="4">
        <f t="shared" si="0"/>
        <v>0.32274498052142631</v>
      </c>
    </row>
    <row r="61" spans="1:9" x14ac:dyDescent="0.2">
      <c r="A61" s="6">
        <v>45932</v>
      </c>
      <c r="B61" t="s">
        <v>9</v>
      </c>
      <c r="C61" t="s">
        <v>98</v>
      </c>
      <c r="D61" t="s">
        <v>99</v>
      </c>
      <c r="E61" t="s">
        <v>23</v>
      </c>
      <c r="F61">
        <v>49</v>
      </c>
      <c r="G61">
        <v>1162.48</v>
      </c>
      <c r="H61">
        <v>1003.75</v>
      </c>
      <c r="I61" s="4">
        <f t="shared" si="0"/>
        <v>0.15813698630136988</v>
      </c>
    </row>
    <row r="62" spans="1:9" x14ac:dyDescent="0.2">
      <c r="A62" s="6">
        <v>45933</v>
      </c>
      <c r="B62" t="s">
        <v>36</v>
      </c>
      <c r="C62" t="s">
        <v>100</v>
      </c>
      <c r="D62" t="s">
        <v>101</v>
      </c>
      <c r="E62" t="s">
        <v>25</v>
      </c>
      <c r="F62">
        <v>9</v>
      </c>
      <c r="G62">
        <v>430.83</v>
      </c>
      <c r="H62">
        <v>286.55</v>
      </c>
      <c r="I62" s="4">
        <f t="shared" si="0"/>
        <v>0.50350724131914137</v>
      </c>
    </row>
    <row r="63" spans="1:9" x14ac:dyDescent="0.2">
      <c r="A63" s="6">
        <v>45933</v>
      </c>
      <c r="B63" t="s">
        <v>36</v>
      </c>
      <c r="C63" t="s">
        <v>100</v>
      </c>
      <c r="D63" t="s">
        <v>102</v>
      </c>
      <c r="E63" t="s">
        <v>23</v>
      </c>
      <c r="F63">
        <v>16</v>
      </c>
      <c r="G63">
        <v>239.63</v>
      </c>
      <c r="H63">
        <v>161.07</v>
      </c>
      <c r="I63" s="4">
        <f t="shared" si="0"/>
        <v>0.48773825045011487</v>
      </c>
    </row>
    <row r="64" spans="1:9" x14ac:dyDescent="0.2">
      <c r="A64" s="6">
        <v>45933</v>
      </c>
      <c r="B64" t="s">
        <v>103</v>
      </c>
      <c r="C64" t="s">
        <v>104</v>
      </c>
      <c r="D64" t="s">
        <v>105</v>
      </c>
      <c r="E64" t="s">
        <v>15</v>
      </c>
      <c r="F64">
        <v>14</v>
      </c>
      <c r="G64">
        <v>234.12</v>
      </c>
      <c r="H64">
        <v>163.55000000000001</v>
      </c>
      <c r="I64" s="4">
        <f t="shared" si="0"/>
        <v>0.43148884133292564</v>
      </c>
    </row>
    <row r="65" spans="1:9" x14ac:dyDescent="0.2">
      <c r="A65" s="6">
        <v>45933</v>
      </c>
      <c r="B65" t="s">
        <v>103</v>
      </c>
      <c r="C65" t="s">
        <v>104</v>
      </c>
      <c r="D65" t="s">
        <v>35</v>
      </c>
      <c r="E65" t="s">
        <v>23</v>
      </c>
      <c r="F65">
        <v>8</v>
      </c>
      <c r="G65">
        <v>135.66999999999999</v>
      </c>
      <c r="H65">
        <v>110.23</v>
      </c>
      <c r="I65" s="4">
        <f t="shared" si="0"/>
        <v>0.23079016601651078</v>
      </c>
    </row>
    <row r="66" spans="1:9" x14ac:dyDescent="0.2">
      <c r="A66" s="6">
        <v>45933</v>
      </c>
      <c r="B66" t="s">
        <v>48</v>
      </c>
      <c r="C66" t="s">
        <v>106</v>
      </c>
      <c r="D66" t="s">
        <v>107</v>
      </c>
      <c r="E66" t="s">
        <v>74</v>
      </c>
      <c r="F66">
        <v>15</v>
      </c>
      <c r="G66">
        <v>374.78</v>
      </c>
      <c r="H66">
        <v>273.63</v>
      </c>
      <c r="I66" s="4">
        <f t="shared" ref="I66:I129" si="1">(G66-H66)/H66</f>
        <v>0.36965975952929131</v>
      </c>
    </row>
    <row r="67" spans="1:9" x14ac:dyDescent="0.2">
      <c r="A67" s="6">
        <v>45933</v>
      </c>
      <c r="B67" t="s">
        <v>48</v>
      </c>
      <c r="C67" t="s">
        <v>106</v>
      </c>
      <c r="D67" t="s">
        <v>108</v>
      </c>
      <c r="E67" t="s">
        <v>15</v>
      </c>
      <c r="F67">
        <v>20</v>
      </c>
      <c r="G67">
        <v>397.33</v>
      </c>
      <c r="H67">
        <v>286.62</v>
      </c>
      <c r="I67" s="4">
        <f t="shared" si="1"/>
        <v>0.38626055404368143</v>
      </c>
    </row>
    <row r="68" spans="1:9" x14ac:dyDescent="0.2">
      <c r="A68" s="6">
        <v>45933</v>
      </c>
      <c r="B68" t="s">
        <v>17</v>
      </c>
      <c r="C68" t="s">
        <v>109</v>
      </c>
      <c r="D68" t="s">
        <v>110</v>
      </c>
      <c r="E68" t="s">
        <v>34</v>
      </c>
      <c r="F68">
        <v>18</v>
      </c>
      <c r="G68">
        <v>215.83</v>
      </c>
      <c r="H68">
        <v>138.16</v>
      </c>
      <c r="I68" s="4">
        <f t="shared" si="1"/>
        <v>0.56217429067747549</v>
      </c>
    </row>
    <row r="69" spans="1:9" x14ac:dyDescent="0.2">
      <c r="A69" s="6">
        <v>45933</v>
      </c>
      <c r="B69" t="s">
        <v>17</v>
      </c>
      <c r="C69" t="s">
        <v>109</v>
      </c>
      <c r="D69" t="s">
        <v>111</v>
      </c>
      <c r="E69" t="s">
        <v>25</v>
      </c>
      <c r="F69">
        <v>20</v>
      </c>
      <c r="G69">
        <v>567.57000000000005</v>
      </c>
      <c r="H69">
        <v>370.52</v>
      </c>
      <c r="I69" s="4">
        <f t="shared" si="1"/>
        <v>0.53182014466155692</v>
      </c>
    </row>
    <row r="70" spans="1:9" x14ac:dyDescent="0.2">
      <c r="A70" s="6">
        <v>45933</v>
      </c>
      <c r="B70" t="s">
        <v>9</v>
      </c>
      <c r="C70" t="s">
        <v>112</v>
      </c>
      <c r="D70" t="s">
        <v>113</v>
      </c>
      <c r="E70" t="s">
        <v>15</v>
      </c>
      <c r="F70">
        <v>17</v>
      </c>
      <c r="G70">
        <v>155.53</v>
      </c>
      <c r="H70">
        <v>122.78</v>
      </c>
      <c r="I70" s="4">
        <f t="shared" si="1"/>
        <v>0.26673725362436879</v>
      </c>
    </row>
    <row r="71" spans="1:9" x14ac:dyDescent="0.2">
      <c r="A71" s="6">
        <v>45933</v>
      </c>
      <c r="B71" t="s">
        <v>9</v>
      </c>
      <c r="C71" t="s">
        <v>112</v>
      </c>
      <c r="D71" t="s">
        <v>114</v>
      </c>
      <c r="E71" t="s">
        <v>15</v>
      </c>
      <c r="F71">
        <v>46</v>
      </c>
      <c r="G71">
        <v>880.19</v>
      </c>
      <c r="H71">
        <v>598.1</v>
      </c>
      <c r="I71" s="4">
        <f t="shared" si="1"/>
        <v>0.47164353786992147</v>
      </c>
    </row>
    <row r="72" spans="1:9" x14ac:dyDescent="0.2">
      <c r="A72" s="6">
        <v>45933</v>
      </c>
      <c r="B72" t="s">
        <v>9</v>
      </c>
      <c r="C72" t="s">
        <v>112</v>
      </c>
      <c r="D72" t="s">
        <v>115</v>
      </c>
      <c r="E72" t="s">
        <v>25</v>
      </c>
      <c r="F72">
        <v>8</v>
      </c>
      <c r="G72">
        <v>139.35</v>
      </c>
      <c r="H72">
        <v>103.08</v>
      </c>
      <c r="I72" s="4">
        <f t="shared" si="1"/>
        <v>0.35186263096623976</v>
      </c>
    </row>
    <row r="73" spans="1:9" x14ac:dyDescent="0.2">
      <c r="A73" s="6">
        <v>45933</v>
      </c>
      <c r="B73" t="s">
        <v>48</v>
      </c>
      <c r="C73" t="s">
        <v>116</v>
      </c>
      <c r="D73" t="s">
        <v>117</v>
      </c>
      <c r="E73" t="s">
        <v>12</v>
      </c>
      <c r="F73">
        <v>5</v>
      </c>
      <c r="G73">
        <v>181.9</v>
      </c>
      <c r="H73">
        <v>124.02</v>
      </c>
      <c r="I73" s="4">
        <f t="shared" si="1"/>
        <v>0.4666989195291083</v>
      </c>
    </row>
    <row r="74" spans="1:9" x14ac:dyDescent="0.2">
      <c r="A74" s="6">
        <v>45933</v>
      </c>
      <c r="B74" t="s">
        <v>48</v>
      </c>
      <c r="C74" t="s">
        <v>116</v>
      </c>
      <c r="D74" t="s">
        <v>60</v>
      </c>
      <c r="E74" t="s">
        <v>15</v>
      </c>
      <c r="F74">
        <v>10</v>
      </c>
      <c r="G74">
        <v>75</v>
      </c>
      <c r="H74">
        <v>52.57</v>
      </c>
      <c r="I74" s="4">
        <f t="shared" si="1"/>
        <v>0.42666920296747196</v>
      </c>
    </row>
    <row r="75" spans="1:9" x14ac:dyDescent="0.2">
      <c r="A75" s="6">
        <v>45933</v>
      </c>
      <c r="B75" t="s">
        <v>103</v>
      </c>
      <c r="C75" t="s">
        <v>118</v>
      </c>
      <c r="D75" t="s">
        <v>119</v>
      </c>
      <c r="E75" t="s">
        <v>23</v>
      </c>
      <c r="F75">
        <v>34</v>
      </c>
      <c r="G75">
        <v>353.11</v>
      </c>
      <c r="H75">
        <v>236.5</v>
      </c>
      <c r="I75" s="4">
        <f t="shared" si="1"/>
        <v>0.49306553911205081</v>
      </c>
    </row>
    <row r="76" spans="1:9" x14ac:dyDescent="0.2">
      <c r="A76" s="6">
        <v>45933</v>
      </c>
      <c r="B76" t="s">
        <v>48</v>
      </c>
      <c r="C76" t="s">
        <v>120</v>
      </c>
      <c r="D76" t="s">
        <v>121</v>
      </c>
      <c r="E76" t="s">
        <v>23</v>
      </c>
      <c r="F76">
        <v>33</v>
      </c>
      <c r="G76">
        <v>702.65</v>
      </c>
      <c r="H76">
        <v>601.52</v>
      </c>
      <c r="I76" s="4">
        <f t="shared" si="1"/>
        <v>0.16812408564968745</v>
      </c>
    </row>
    <row r="77" spans="1:9" x14ac:dyDescent="0.2">
      <c r="A77" s="6">
        <v>45933</v>
      </c>
      <c r="B77" t="s">
        <v>48</v>
      </c>
      <c r="C77" t="s">
        <v>120</v>
      </c>
      <c r="D77" t="s">
        <v>122</v>
      </c>
      <c r="E77" t="s">
        <v>12</v>
      </c>
      <c r="F77">
        <v>19</v>
      </c>
      <c r="G77">
        <v>316.39</v>
      </c>
      <c r="H77">
        <v>247.49</v>
      </c>
      <c r="I77" s="4">
        <f t="shared" si="1"/>
        <v>0.27839508667016838</v>
      </c>
    </row>
    <row r="78" spans="1:9" x14ac:dyDescent="0.2">
      <c r="A78" s="6">
        <v>45933</v>
      </c>
      <c r="B78" t="s">
        <v>48</v>
      </c>
      <c r="C78" t="s">
        <v>120</v>
      </c>
      <c r="D78" t="s">
        <v>123</v>
      </c>
      <c r="E78" t="s">
        <v>23</v>
      </c>
      <c r="F78">
        <v>5</v>
      </c>
      <c r="G78">
        <v>98.19</v>
      </c>
      <c r="H78">
        <v>73.3</v>
      </c>
      <c r="I78" s="4">
        <f t="shared" si="1"/>
        <v>0.33956343792633015</v>
      </c>
    </row>
    <row r="79" spans="1:9" x14ac:dyDescent="0.2">
      <c r="A79" s="6">
        <v>45933</v>
      </c>
      <c r="B79" t="s">
        <v>48</v>
      </c>
      <c r="C79" t="s">
        <v>120</v>
      </c>
      <c r="D79" t="s">
        <v>124</v>
      </c>
      <c r="E79" t="s">
        <v>25</v>
      </c>
      <c r="F79">
        <v>75</v>
      </c>
      <c r="G79">
        <v>3581.45</v>
      </c>
      <c r="H79">
        <v>2433.69</v>
      </c>
      <c r="I79" s="4">
        <f t="shared" si="1"/>
        <v>0.47161306493431776</v>
      </c>
    </row>
    <row r="80" spans="1:9" x14ac:dyDescent="0.2">
      <c r="A80" s="6">
        <v>45933</v>
      </c>
      <c r="B80" t="s">
        <v>48</v>
      </c>
      <c r="C80" t="s">
        <v>120</v>
      </c>
      <c r="D80" t="s">
        <v>125</v>
      </c>
      <c r="E80" t="s">
        <v>12</v>
      </c>
      <c r="F80">
        <v>5</v>
      </c>
      <c r="G80">
        <v>108.19</v>
      </c>
      <c r="H80">
        <v>90.61</v>
      </c>
      <c r="I80" s="4">
        <f t="shared" si="1"/>
        <v>0.19401832027370045</v>
      </c>
    </row>
    <row r="81" spans="1:9" x14ac:dyDescent="0.2">
      <c r="A81" s="6">
        <v>45933</v>
      </c>
      <c r="B81" t="s">
        <v>103</v>
      </c>
      <c r="C81" t="s">
        <v>126</v>
      </c>
      <c r="D81" t="s">
        <v>127</v>
      </c>
      <c r="E81" t="s">
        <v>74</v>
      </c>
      <c r="F81">
        <v>25</v>
      </c>
      <c r="G81">
        <v>1854.27</v>
      </c>
      <c r="H81">
        <v>1420.33</v>
      </c>
      <c r="I81" s="4">
        <f t="shared" si="1"/>
        <v>0.30552054804165235</v>
      </c>
    </row>
    <row r="82" spans="1:9" x14ac:dyDescent="0.2">
      <c r="A82" s="6">
        <v>45933</v>
      </c>
      <c r="B82" t="s">
        <v>9</v>
      </c>
      <c r="C82" t="s">
        <v>128</v>
      </c>
      <c r="D82" t="s">
        <v>129</v>
      </c>
      <c r="E82" t="s">
        <v>34</v>
      </c>
      <c r="F82">
        <v>17</v>
      </c>
      <c r="G82">
        <v>193.97</v>
      </c>
      <c r="H82">
        <v>127.01</v>
      </c>
      <c r="I82" s="4">
        <f t="shared" si="1"/>
        <v>0.5272025824738209</v>
      </c>
    </row>
    <row r="83" spans="1:9" x14ac:dyDescent="0.2">
      <c r="A83" s="6">
        <v>45933</v>
      </c>
      <c r="B83" t="s">
        <v>9</v>
      </c>
      <c r="C83" t="s">
        <v>128</v>
      </c>
      <c r="D83" t="s">
        <v>130</v>
      </c>
      <c r="E83" t="s">
        <v>15</v>
      </c>
      <c r="F83">
        <v>9</v>
      </c>
      <c r="G83">
        <v>85.87</v>
      </c>
      <c r="H83">
        <v>57.27</v>
      </c>
      <c r="I83" s="4">
        <f t="shared" si="1"/>
        <v>0.499388859786974</v>
      </c>
    </row>
    <row r="84" spans="1:9" x14ac:dyDescent="0.2">
      <c r="A84" s="6">
        <v>45933</v>
      </c>
      <c r="B84" t="s">
        <v>9</v>
      </c>
      <c r="C84" t="s">
        <v>128</v>
      </c>
      <c r="D84" t="s">
        <v>131</v>
      </c>
      <c r="E84" t="s">
        <v>15</v>
      </c>
      <c r="F84">
        <v>24</v>
      </c>
      <c r="G84">
        <v>320.85000000000002</v>
      </c>
      <c r="H84">
        <v>278.18</v>
      </c>
      <c r="I84" s="4">
        <f t="shared" si="1"/>
        <v>0.153389891437199</v>
      </c>
    </row>
    <row r="85" spans="1:9" x14ac:dyDescent="0.2">
      <c r="A85" s="6">
        <v>45933</v>
      </c>
      <c r="B85" t="s">
        <v>29</v>
      </c>
      <c r="C85" t="s">
        <v>132</v>
      </c>
      <c r="D85" t="s">
        <v>133</v>
      </c>
      <c r="E85" t="s">
        <v>25</v>
      </c>
      <c r="F85">
        <v>9</v>
      </c>
      <c r="G85">
        <v>208.16</v>
      </c>
      <c r="H85">
        <v>146.47999999999999</v>
      </c>
      <c r="I85" s="4">
        <f t="shared" si="1"/>
        <v>0.42108137629710546</v>
      </c>
    </row>
    <row r="86" spans="1:9" x14ac:dyDescent="0.2">
      <c r="A86" s="6">
        <v>45933</v>
      </c>
      <c r="B86" t="s">
        <v>29</v>
      </c>
      <c r="C86" t="s">
        <v>132</v>
      </c>
      <c r="D86" t="s">
        <v>134</v>
      </c>
      <c r="E86" t="s">
        <v>12</v>
      </c>
      <c r="F86">
        <v>2</v>
      </c>
      <c r="G86">
        <v>55.59</v>
      </c>
      <c r="H86">
        <v>40.4</v>
      </c>
      <c r="I86" s="4">
        <f t="shared" si="1"/>
        <v>0.3759900990099011</v>
      </c>
    </row>
    <row r="87" spans="1:9" x14ac:dyDescent="0.2">
      <c r="A87" s="6">
        <v>45933</v>
      </c>
      <c r="B87" t="s">
        <v>29</v>
      </c>
      <c r="C87" t="s">
        <v>132</v>
      </c>
      <c r="D87" t="s">
        <v>135</v>
      </c>
      <c r="E87" t="s">
        <v>12</v>
      </c>
      <c r="F87">
        <v>5</v>
      </c>
      <c r="G87">
        <v>192.63</v>
      </c>
      <c r="H87">
        <v>124.26</v>
      </c>
      <c r="I87" s="4">
        <f t="shared" si="1"/>
        <v>0.55021728633510369</v>
      </c>
    </row>
    <row r="88" spans="1:9" x14ac:dyDescent="0.2">
      <c r="A88" s="6">
        <v>45933</v>
      </c>
      <c r="B88" t="s">
        <v>36</v>
      </c>
      <c r="C88" t="s">
        <v>136</v>
      </c>
      <c r="D88" t="s">
        <v>137</v>
      </c>
      <c r="E88" t="s">
        <v>15</v>
      </c>
      <c r="F88">
        <v>12</v>
      </c>
      <c r="G88">
        <v>112.29</v>
      </c>
      <c r="H88">
        <v>95.12</v>
      </c>
      <c r="I88" s="4">
        <f t="shared" si="1"/>
        <v>0.18050883095037848</v>
      </c>
    </row>
    <row r="89" spans="1:9" x14ac:dyDescent="0.2">
      <c r="A89" s="6">
        <v>45933</v>
      </c>
      <c r="B89" t="s">
        <v>36</v>
      </c>
      <c r="C89" t="s">
        <v>136</v>
      </c>
      <c r="D89" t="s">
        <v>138</v>
      </c>
      <c r="E89" t="s">
        <v>12</v>
      </c>
      <c r="F89">
        <v>11</v>
      </c>
      <c r="G89">
        <v>130.85</v>
      </c>
      <c r="H89">
        <v>89.48</v>
      </c>
      <c r="I89" s="4">
        <f t="shared" si="1"/>
        <v>0.4623379526151094</v>
      </c>
    </row>
    <row r="90" spans="1:9" x14ac:dyDescent="0.2">
      <c r="A90" s="6">
        <v>45933</v>
      </c>
      <c r="B90" t="s">
        <v>36</v>
      </c>
      <c r="C90" t="s">
        <v>136</v>
      </c>
      <c r="D90" t="s">
        <v>139</v>
      </c>
      <c r="E90" t="s">
        <v>12</v>
      </c>
      <c r="F90">
        <v>8</v>
      </c>
      <c r="G90">
        <v>205.11</v>
      </c>
      <c r="H90">
        <v>157.24</v>
      </c>
      <c r="I90" s="4">
        <f t="shared" si="1"/>
        <v>0.30443907402696518</v>
      </c>
    </row>
    <row r="91" spans="1:9" x14ac:dyDescent="0.2">
      <c r="A91" s="6">
        <v>45934</v>
      </c>
      <c r="B91" t="s">
        <v>103</v>
      </c>
      <c r="C91" t="s">
        <v>140</v>
      </c>
      <c r="D91" t="s">
        <v>141</v>
      </c>
      <c r="E91" t="s">
        <v>34</v>
      </c>
      <c r="F91">
        <v>16</v>
      </c>
      <c r="G91">
        <v>180.35</v>
      </c>
      <c r="H91">
        <v>145.72999999999999</v>
      </c>
      <c r="I91" s="4">
        <f t="shared" si="1"/>
        <v>0.23756261579633572</v>
      </c>
    </row>
    <row r="92" spans="1:9" x14ac:dyDescent="0.2">
      <c r="A92" s="6">
        <v>45934</v>
      </c>
      <c r="B92" t="s">
        <v>103</v>
      </c>
      <c r="C92" t="s">
        <v>140</v>
      </c>
      <c r="D92" t="s">
        <v>96</v>
      </c>
      <c r="E92" t="s">
        <v>15</v>
      </c>
      <c r="F92">
        <v>26</v>
      </c>
      <c r="G92">
        <v>262.14999999999998</v>
      </c>
      <c r="H92">
        <v>199.2</v>
      </c>
      <c r="I92" s="4">
        <f t="shared" si="1"/>
        <v>0.31601405622489959</v>
      </c>
    </row>
    <row r="93" spans="1:9" x14ac:dyDescent="0.2">
      <c r="A93" s="6">
        <v>45934</v>
      </c>
      <c r="B93" t="s">
        <v>103</v>
      </c>
      <c r="C93" t="s">
        <v>140</v>
      </c>
      <c r="D93" t="s">
        <v>142</v>
      </c>
      <c r="E93" t="s">
        <v>15</v>
      </c>
      <c r="F93">
        <v>8</v>
      </c>
      <c r="G93">
        <v>122</v>
      </c>
      <c r="H93">
        <v>87.56</v>
      </c>
      <c r="I93" s="4">
        <f t="shared" si="1"/>
        <v>0.39333028780264956</v>
      </c>
    </row>
    <row r="94" spans="1:9" x14ac:dyDescent="0.2">
      <c r="A94" s="6">
        <v>45934</v>
      </c>
      <c r="B94" t="s">
        <v>103</v>
      </c>
      <c r="C94" t="s">
        <v>88</v>
      </c>
      <c r="D94" t="s">
        <v>143</v>
      </c>
      <c r="E94" t="s">
        <v>23</v>
      </c>
      <c r="F94">
        <v>18</v>
      </c>
      <c r="G94">
        <v>145.85</v>
      </c>
      <c r="H94">
        <v>100.3</v>
      </c>
      <c r="I94" s="4">
        <f t="shared" si="1"/>
        <v>0.45413758723828512</v>
      </c>
    </row>
    <row r="95" spans="1:9" x14ac:dyDescent="0.2">
      <c r="A95" s="6">
        <v>45934</v>
      </c>
      <c r="B95" t="s">
        <v>103</v>
      </c>
      <c r="C95" t="s">
        <v>88</v>
      </c>
      <c r="D95" t="s">
        <v>144</v>
      </c>
      <c r="E95" t="s">
        <v>12</v>
      </c>
      <c r="F95">
        <v>60</v>
      </c>
      <c r="G95">
        <v>1026.1099999999999</v>
      </c>
      <c r="H95">
        <v>821.25</v>
      </c>
      <c r="I95" s="4">
        <f t="shared" si="1"/>
        <v>0.24944901065448999</v>
      </c>
    </row>
    <row r="96" spans="1:9" x14ac:dyDescent="0.2">
      <c r="A96" s="6">
        <v>45934</v>
      </c>
      <c r="B96" t="s">
        <v>103</v>
      </c>
      <c r="C96" t="s">
        <v>88</v>
      </c>
      <c r="D96" t="s">
        <v>145</v>
      </c>
      <c r="E96" t="s">
        <v>25</v>
      </c>
      <c r="F96">
        <v>25</v>
      </c>
      <c r="G96">
        <v>1168.18</v>
      </c>
      <c r="H96">
        <v>802.42</v>
      </c>
      <c r="I96" s="4">
        <f t="shared" si="1"/>
        <v>0.45582114104832894</v>
      </c>
    </row>
    <row r="97" spans="1:9" x14ac:dyDescent="0.2">
      <c r="A97" s="6">
        <v>45934</v>
      </c>
      <c r="B97" t="s">
        <v>103</v>
      </c>
      <c r="C97" t="s">
        <v>88</v>
      </c>
      <c r="D97" t="s">
        <v>146</v>
      </c>
      <c r="E97" t="s">
        <v>12</v>
      </c>
      <c r="F97">
        <v>23</v>
      </c>
      <c r="G97">
        <v>441.11</v>
      </c>
      <c r="H97">
        <v>344.16</v>
      </c>
      <c r="I97" s="4">
        <f t="shared" si="1"/>
        <v>0.28170037192003716</v>
      </c>
    </row>
    <row r="98" spans="1:9" x14ac:dyDescent="0.2">
      <c r="A98" s="6">
        <v>45934</v>
      </c>
      <c r="B98" t="s">
        <v>17</v>
      </c>
      <c r="C98" t="s">
        <v>147</v>
      </c>
      <c r="D98" t="s">
        <v>148</v>
      </c>
      <c r="E98" t="s">
        <v>12</v>
      </c>
      <c r="F98">
        <v>11</v>
      </c>
      <c r="G98">
        <v>202.59</v>
      </c>
      <c r="H98">
        <v>176.03</v>
      </c>
      <c r="I98" s="4">
        <f t="shared" si="1"/>
        <v>0.15088337215247402</v>
      </c>
    </row>
    <row r="99" spans="1:9" x14ac:dyDescent="0.2">
      <c r="A99" s="6">
        <v>45934</v>
      </c>
      <c r="B99" t="s">
        <v>9</v>
      </c>
      <c r="C99" t="s">
        <v>149</v>
      </c>
      <c r="D99" t="s">
        <v>150</v>
      </c>
      <c r="E99" t="s">
        <v>34</v>
      </c>
      <c r="F99">
        <v>21</v>
      </c>
      <c r="G99">
        <v>365.21</v>
      </c>
      <c r="H99">
        <v>314.06</v>
      </c>
      <c r="I99" s="4">
        <f t="shared" si="1"/>
        <v>0.16286696809526835</v>
      </c>
    </row>
    <row r="100" spans="1:9" x14ac:dyDescent="0.2">
      <c r="A100" s="6">
        <v>45934</v>
      </c>
      <c r="B100" t="s">
        <v>36</v>
      </c>
      <c r="C100" t="s">
        <v>151</v>
      </c>
      <c r="D100" t="s">
        <v>152</v>
      </c>
      <c r="E100" t="s">
        <v>74</v>
      </c>
      <c r="F100">
        <v>17</v>
      </c>
      <c r="G100">
        <v>678.01</v>
      </c>
      <c r="H100">
        <v>538.71</v>
      </c>
      <c r="I100" s="4">
        <f t="shared" si="1"/>
        <v>0.25858068348462054</v>
      </c>
    </row>
    <row r="101" spans="1:9" x14ac:dyDescent="0.2">
      <c r="A101" s="6">
        <v>45934</v>
      </c>
      <c r="B101" t="s">
        <v>17</v>
      </c>
      <c r="C101" t="s">
        <v>153</v>
      </c>
      <c r="D101" t="s">
        <v>154</v>
      </c>
      <c r="E101" t="s">
        <v>74</v>
      </c>
      <c r="F101">
        <v>11</v>
      </c>
      <c r="G101">
        <v>376.44</v>
      </c>
      <c r="H101">
        <v>291.7</v>
      </c>
      <c r="I101" s="4">
        <f t="shared" si="1"/>
        <v>0.29050394240658217</v>
      </c>
    </row>
    <row r="102" spans="1:9" x14ac:dyDescent="0.2">
      <c r="A102" s="6">
        <v>45934</v>
      </c>
      <c r="B102" t="s">
        <v>17</v>
      </c>
      <c r="C102" t="s">
        <v>153</v>
      </c>
      <c r="D102" t="s">
        <v>155</v>
      </c>
      <c r="E102" t="s">
        <v>15</v>
      </c>
      <c r="F102">
        <v>24</v>
      </c>
      <c r="G102">
        <v>355.96</v>
      </c>
      <c r="H102">
        <v>235.33</v>
      </c>
      <c r="I102" s="4">
        <f t="shared" si="1"/>
        <v>0.51259932860238799</v>
      </c>
    </row>
    <row r="103" spans="1:9" x14ac:dyDescent="0.2">
      <c r="A103" s="6">
        <v>45934</v>
      </c>
      <c r="B103" t="s">
        <v>43</v>
      </c>
      <c r="C103" t="s">
        <v>156</v>
      </c>
      <c r="D103" t="s">
        <v>157</v>
      </c>
      <c r="E103" t="s">
        <v>25</v>
      </c>
      <c r="F103">
        <v>17</v>
      </c>
      <c r="G103">
        <v>712.09</v>
      </c>
      <c r="H103">
        <v>592.04999999999995</v>
      </c>
      <c r="I103" s="4">
        <f t="shared" si="1"/>
        <v>0.20275314584916829</v>
      </c>
    </row>
    <row r="104" spans="1:9" x14ac:dyDescent="0.2">
      <c r="A104" s="6">
        <v>45934</v>
      </c>
      <c r="B104" t="s">
        <v>29</v>
      </c>
      <c r="C104" t="s">
        <v>158</v>
      </c>
      <c r="D104" t="s">
        <v>159</v>
      </c>
      <c r="E104" t="s">
        <v>74</v>
      </c>
      <c r="F104">
        <v>14</v>
      </c>
      <c r="G104">
        <v>721.8</v>
      </c>
      <c r="H104">
        <v>618.32000000000005</v>
      </c>
      <c r="I104" s="4">
        <f t="shared" si="1"/>
        <v>0.16735670850045267</v>
      </c>
    </row>
    <row r="105" spans="1:9" x14ac:dyDescent="0.2">
      <c r="A105" s="6">
        <v>45934</v>
      </c>
      <c r="B105" t="s">
        <v>29</v>
      </c>
      <c r="C105" t="s">
        <v>158</v>
      </c>
      <c r="D105" t="s">
        <v>160</v>
      </c>
      <c r="E105" t="s">
        <v>23</v>
      </c>
      <c r="F105">
        <v>32</v>
      </c>
      <c r="G105">
        <v>348.26</v>
      </c>
      <c r="H105">
        <v>247.28</v>
      </c>
      <c r="I105" s="4">
        <f t="shared" si="1"/>
        <v>0.40836298932384335</v>
      </c>
    </row>
    <row r="106" spans="1:9" x14ac:dyDescent="0.2">
      <c r="A106" s="6">
        <v>45934</v>
      </c>
      <c r="B106" t="s">
        <v>29</v>
      </c>
      <c r="C106" t="s">
        <v>161</v>
      </c>
      <c r="D106" t="s">
        <v>162</v>
      </c>
      <c r="E106" t="s">
        <v>34</v>
      </c>
      <c r="F106">
        <v>11</v>
      </c>
      <c r="G106">
        <v>207.11</v>
      </c>
      <c r="H106">
        <v>131.76</v>
      </c>
      <c r="I106" s="4">
        <f t="shared" si="1"/>
        <v>0.5718731026108077</v>
      </c>
    </row>
    <row r="107" spans="1:9" x14ac:dyDescent="0.2">
      <c r="A107" s="6">
        <v>45935</v>
      </c>
      <c r="B107" t="s">
        <v>103</v>
      </c>
      <c r="C107" t="s">
        <v>163</v>
      </c>
      <c r="D107" t="s">
        <v>164</v>
      </c>
      <c r="E107" t="s">
        <v>23</v>
      </c>
      <c r="F107">
        <v>17</v>
      </c>
      <c r="G107">
        <v>226.21</v>
      </c>
      <c r="H107">
        <v>171.55</v>
      </c>
      <c r="I107" s="4">
        <f t="shared" si="1"/>
        <v>0.31862430778198769</v>
      </c>
    </row>
    <row r="108" spans="1:9" x14ac:dyDescent="0.2">
      <c r="A108" s="6">
        <v>45935</v>
      </c>
      <c r="B108" t="s">
        <v>103</v>
      </c>
      <c r="C108" t="s">
        <v>163</v>
      </c>
      <c r="D108" t="s">
        <v>165</v>
      </c>
      <c r="E108" t="s">
        <v>25</v>
      </c>
      <c r="F108">
        <v>16</v>
      </c>
      <c r="G108">
        <v>608.48</v>
      </c>
      <c r="H108">
        <v>445.54</v>
      </c>
      <c r="I108" s="4">
        <f t="shared" si="1"/>
        <v>0.36571351618260983</v>
      </c>
    </row>
    <row r="109" spans="1:9" x14ac:dyDescent="0.2">
      <c r="A109" s="6">
        <v>45935</v>
      </c>
      <c r="B109" t="s">
        <v>103</v>
      </c>
      <c r="C109" t="s">
        <v>163</v>
      </c>
      <c r="D109" t="s">
        <v>143</v>
      </c>
      <c r="E109" t="s">
        <v>23</v>
      </c>
      <c r="F109">
        <v>11</v>
      </c>
      <c r="G109">
        <v>91.31</v>
      </c>
      <c r="H109">
        <v>76.78</v>
      </c>
      <c r="I109" s="4">
        <f t="shared" si="1"/>
        <v>0.18924199010158896</v>
      </c>
    </row>
    <row r="110" spans="1:9" x14ac:dyDescent="0.2">
      <c r="A110" s="6">
        <v>45935</v>
      </c>
      <c r="B110" t="s">
        <v>103</v>
      </c>
      <c r="C110" t="s">
        <v>163</v>
      </c>
      <c r="D110" t="s">
        <v>166</v>
      </c>
      <c r="E110" t="s">
        <v>23</v>
      </c>
      <c r="F110">
        <v>8</v>
      </c>
      <c r="G110">
        <v>67.19</v>
      </c>
      <c r="H110">
        <v>54.82</v>
      </c>
      <c r="I110" s="4">
        <f t="shared" si="1"/>
        <v>0.2256475738781466</v>
      </c>
    </row>
    <row r="111" spans="1:9" x14ac:dyDescent="0.2">
      <c r="A111" s="6">
        <v>45935</v>
      </c>
      <c r="B111" t="s">
        <v>43</v>
      </c>
      <c r="C111" t="s">
        <v>167</v>
      </c>
      <c r="D111" t="s">
        <v>168</v>
      </c>
      <c r="E111" t="s">
        <v>23</v>
      </c>
      <c r="F111">
        <v>71</v>
      </c>
      <c r="G111">
        <v>738.85</v>
      </c>
      <c r="H111">
        <v>540.97</v>
      </c>
      <c r="I111" s="4">
        <f t="shared" si="1"/>
        <v>0.3657873819250605</v>
      </c>
    </row>
    <row r="112" spans="1:9" x14ac:dyDescent="0.2">
      <c r="A112" s="6">
        <v>45935</v>
      </c>
      <c r="B112" t="s">
        <v>48</v>
      </c>
      <c r="C112" t="s">
        <v>169</v>
      </c>
      <c r="D112" t="s">
        <v>170</v>
      </c>
      <c r="E112" t="s">
        <v>34</v>
      </c>
      <c r="F112">
        <v>99</v>
      </c>
      <c r="G112">
        <v>1168.6500000000001</v>
      </c>
      <c r="H112">
        <v>886.2</v>
      </c>
      <c r="I112" s="4">
        <f t="shared" si="1"/>
        <v>0.31872037914691947</v>
      </c>
    </row>
    <row r="113" spans="1:9" x14ac:dyDescent="0.2">
      <c r="A113" s="6">
        <v>45935</v>
      </c>
      <c r="B113" t="s">
        <v>17</v>
      </c>
      <c r="C113" t="s">
        <v>171</v>
      </c>
      <c r="D113" t="s">
        <v>172</v>
      </c>
      <c r="E113" t="s">
        <v>74</v>
      </c>
      <c r="F113">
        <v>78</v>
      </c>
      <c r="G113">
        <v>5834.24</v>
      </c>
      <c r="H113">
        <v>4345.45</v>
      </c>
      <c r="I113" s="4">
        <f t="shared" si="1"/>
        <v>0.34260893578340562</v>
      </c>
    </row>
    <row r="114" spans="1:9" x14ac:dyDescent="0.2">
      <c r="A114" s="6">
        <v>45935</v>
      </c>
      <c r="B114" t="s">
        <v>17</v>
      </c>
      <c r="C114" t="s">
        <v>171</v>
      </c>
      <c r="D114" t="s">
        <v>173</v>
      </c>
      <c r="E114" t="s">
        <v>25</v>
      </c>
      <c r="F114">
        <v>9</v>
      </c>
      <c r="G114">
        <v>446.24</v>
      </c>
      <c r="H114">
        <v>353.4</v>
      </c>
      <c r="I114" s="4">
        <f t="shared" si="1"/>
        <v>0.26270514997170358</v>
      </c>
    </row>
    <row r="115" spans="1:9" x14ac:dyDescent="0.2">
      <c r="A115" s="6">
        <v>45935</v>
      </c>
      <c r="B115" t="s">
        <v>17</v>
      </c>
      <c r="C115" t="s">
        <v>171</v>
      </c>
      <c r="D115" t="s">
        <v>174</v>
      </c>
      <c r="E115" t="s">
        <v>74</v>
      </c>
      <c r="F115">
        <v>10</v>
      </c>
      <c r="G115">
        <v>355.08</v>
      </c>
      <c r="H115">
        <v>279.2</v>
      </c>
      <c r="I115" s="4">
        <f t="shared" si="1"/>
        <v>0.27177650429799427</v>
      </c>
    </row>
    <row r="116" spans="1:9" x14ac:dyDescent="0.2">
      <c r="A116" s="6">
        <v>45935</v>
      </c>
      <c r="B116" t="s">
        <v>17</v>
      </c>
      <c r="C116" t="s">
        <v>171</v>
      </c>
      <c r="D116" t="s">
        <v>175</v>
      </c>
      <c r="E116" t="s">
        <v>23</v>
      </c>
      <c r="F116">
        <v>8</v>
      </c>
      <c r="G116">
        <v>77.7</v>
      </c>
      <c r="H116">
        <v>61.5</v>
      </c>
      <c r="I116" s="4">
        <f t="shared" si="1"/>
        <v>0.26341463414634153</v>
      </c>
    </row>
    <row r="117" spans="1:9" x14ac:dyDescent="0.2">
      <c r="A117" s="6">
        <v>45935</v>
      </c>
      <c r="B117" t="s">
        <v>48</v>
      </c>
      <c r="C117" t="s">
        <v>176</v>
      </c>
      <c r="D117" t="s">
        <v>177</v>
      </c>
      <c r="E117" t="s">
        <v>12</v>
      </c>
      <c r="F117">
        <v>8</v>
      </c>
      <c r="G117">
        <v>307.75</v>
      </c>
      <c r="H117">
        <v>208.24</v>
      </c>
      <c r="I117" s="4">
        <f t="shared" si="1"/>
        <v>0.47786208221283127</v>
      </c>
    </row>
    <row r="118" spans="1:9" x14ac:dyDescent="0.2">
      <c r="A118" s="6">
        <v>45935</v>
      </c>
      <c r="B118" t="s">
        <v>36</v>
      </c>
      <c r="C118" t="s">
        <v>178</v>
      </c>
      <c r="D118" t="s">
        <v>134</v>
      </c>
      <c r="E118" t="s">
        <v>12</v>
      </c>
      <c r="F118">
        <v>25</v>
      </c>
      <c r="G118">
        <v>704.8</v>
      </c>
      <c r="H118">
        <v>584.29999999999995</v>
      </c>
      <c r="I118" s="4">
        <f t="shared" si="1"/>
        <v>0.20622967653602603</v>
      </c>
    </row>
    <row r="119" spans="1:9" x14ac:dyDescent="0.2">
      <c r="A119" s="6">
        <v>45935</v>
      </c>
      <c r="B119" t="s">
        <v>36</v>
      </c>
      <c r="C119" t="s">
        <v>178</v>
      </c>
      <c r="D119" t="s">
        <v>179</v>
      </c>
      <c r="E119" t="s">
        <v>12</v>
      </c>
      <c r="F119">
        <v>16</v>
      </c>
      <c r="G119">
        <v>265.10000000000002</v>
      </c>
      <c r="H119">
        <v>168.04</v>
      </c>
      <c r="I119" s="4">
        <f t="shared" si="1"/>
        <v>0.5776005712925496</v>
      </c>
    </row>
    <row r="120" spans="1:9" x14ac:dyDescent="0.2">
      <c r="A120" s="6">
        <v>45935</v>
      </c>
      <c r="B120" t="s">
        <v>48</v>
      </c>
      <c r="C120" t="s">
        <v>180</v>
      </c>
      <c r="D120" t="s">
        <v>181</v>
      </c>
      <c r="E120" t="s">
        <v>15</v>
      </c>
      <c r="F120">
        <v>90</v>
      </c>
      <c r="G120">
        <v>1655.79</v>
      </c>
      <c r="H120">
        <v>1139.68</v>
      </c>
      <c r="I120" s="4">
        <f t="shared" si="1"/>
        <v>0.45285518742103037</v>
      </c>
    </row>
    <row r="121" spans="1:9" x14ac:dyDescent="0.2">
      <c r="A121" s="6">
        <v>45935</v>
      </c>
      <c r="B121" t="s">
        <v>48</v>
      </c>
      <c r="C121" t="s">
        <v>180</v>
      </c>
      <c r="D121" t="s">
        <v>182</v>
      </c>
      <c r="E121" t="s">
        <v>74</v>
      </c>
      <c r="F121">
        <v>13</v>
      </c>
      <c r="G121">
        <v>883.24</v>
      </c>
      <c r="H121">
        <v>675.26</v>
      </c>
      <c r="I121" s="4">
        <f t="shared" si="1"/>
        <v>0.30799988152711549</v>
      </c>
    </row>
    <row r="122" spans="1:9" x14ac:dyDescent="0.2">
      <c r="A122" s="6">
        <v>45935</v>
      </c>
      <c r="B122" t="s">
        <v>48</v>
      </c>
      <c r="C122" t="s">
        <v>180</v>
      </c>
      <c r="D122" t="s">
        <v>183</v>
      </c>
      <c r="E122" t="s">
        <v>15</v>
      </c>
      <c r="F122">
        <v>20</v>
      </c>
      <c r="G122">
        <v>159.41</v>
      </c>
      <c r="H122">
        <v>99.88</v>
      </c>
      <c r="I122" s="4">
        <f t="shared" si="1"/>
        <v>0.59601521826191428</v>
      </c>
    </row>
    <row r="123" spans="1:9" x14ac:dyDescent="0.2">
      <c r="A123" s="6">
        <v>45935</v>
      </c>
      <c r="B123" t="s">
        <v>48</v>
      </c>
      <c r="C123" t="s">
        <v>180</v>
      </c>
      <c r="D123" t="s">
        <v>184</v>
      </c>
      <c r="E123" t="s">
        <v>25</v>
      </c>
      <c r="F123">
        <v>16</v>
      </c>
      <c r="G123">
        <v>657.21</v>
      </c>
      <c r="H123">
        <v>510.43</v>
      </c>
      <c r="I123" s="4">
        <f t="shared" si="1"/>
        <v>0.28756146778206615</v>
      </c>
    </row>
    <row r="124" spans="1:9" x14ac:dyDescent="0.2">
      <c r="A124" s="6">
        <v>45935</v>
      </c>
      <c r="B124" t="s">
        <v>48</v>
      </c>
      <c r="C124" t="s">
        <v>180</v>
      </c>
      <c r="D124" t="s">
        <v>185</v>
      </c>
      <c r="E124" t="s">
        <v>34</v>
      </c>
      <c r="F124">
        <v>18</v>
      </c>
      <c r="G124">
        <v>382.87</v>
      </c>
      <c r="H124">
        <v>269.38</v>
      </c>
      <c r="I124" s="4">
        <f t="shared" si="1"/>
        <v>0.42130076471898437</v>
      </c>
    </row>
    <row r="125" spans="1:9" x14ac:dyDescent="0.2">
      <c r="A125" s="6">
        <v>45935</v>
      </c>
      <c r="B125" t="s">
        <v>103</v>
      </c>
      <c r="C125" t="s">
        <v>186</v>
      </c>
      <c r="D125" t="s">
        <v>187</v>
      </c>
      <c r="E125" t="s">
        <v>12</v>
      </c>
      <c r="F125">
        <v>22</v>
      </c>
      <c r="G125">
        <v>495.1</v>
      </c>
      <c r="H125">
        <v>350.32</v>
      </c>
      <c r="I125" s="4">
        <f t="shared" si="1"/>
        <v>0.41327928750856369</v>
      </c>
    </row>
    <row r="126" spans="1:9" x14ac:dyDescent="0.2">
      <c r="A126" s="6">
        <v>45935</v>
      </c>
      <c r="B126" t="s">
        <v>103</v>
      </c>
      <c r="C126" t="s">
        <v>186</v>
      </c>
      <c r="D126" t="s">
        <v>188</v>
      </c>
      <c r="E126" t="s">
        <v>34</v>
      </c>
      <c r="F126">
        <v>13</v>
      </c>
      <c r="G126">
        <v>163.59</v>
      </c>
      <c r="H126">
        <v>104.84</v>
      </c>
      <c r="I126" s="4">
        <f t="shared" si="1"/>
        <v>0.56037771842808082</v>
      </c>
    </row>
    <row r="127" spans="1:9" x14ac:dyDescent="0.2">
      <c r="A127" s="6">
        <v>45935</v>
      </c>
      <c r="B127" t="s">
        <v>103</v>
      </c>
      <c r="C127" t="s">
        <v>186</v>
      </c>
      <c r="D127" t="s">
        <v>189</v>
      </c>
      <c r="E127" t="s">
        <v>15</v>
      </c>
      <c r="F127">
        <v>76</v>
      </c>
      <c r="G127">
        <v>637.41</v>
      </c>
      <c r="H127">
        <v>458.16</v>
      </c>
      <c r="I127" s="4">
        <f t="shared" si="1"/>
        <v>0.3912388685175483</v>
      </c>
    </row>
    <row r="128" spans="1:9" x14ac:dyDescent="0.2">
      <c r="A128" s="6">
        <v>45935</v>
      </c>
      <c r="B128" t="s">
        <v>17</v>
      </c>
      <c r="C128" t="s">
        <v>190</v>
      </c>
      <c r="D128" t="s">
        <v>191</v>
      </c>
      <c r="E128" t="s">
        <v>12</v>
      </c>
      <c r="F128">
        <v>24</v>
      </c>
      <c r="G128">
        <v>401.91</v>
      </c>
      <c r="H128">
        <v>309.5</v>
      </c>
      <c r="I128" s="4">
        <f t="shared" si="1"/>
        <v>0.29857835218093709</v>
      </c>
    </row>
    <row r="129" spans="1:9" x14ac:dyDescent="0.2">
      <c r="A129" s="6">
        <v>45935</v>
      </c>
      <c r="B129" t="s">
        <v>17</v>
      </c>
      <c r="C129" t="s">
        <v>190</v>
      </c>
      <c r="D129" t="s">
        <v>192</v>
      </c>
      <c r="E129" t="s">
        <v>25</v>
      </c>
      <c r="F129">
        <v>43</v>
      </c>
      <c r="G129">
        <v>1237.4000000000001</v>
      </c>
      <c r="H129">
        <v>782.83</v>
      </c>
      <c r="I129" s="4">
        <f t="shared" si="1"/>
        <v>0.58067524238979096</v>
      </c>
    </row>
    <row r="130" spans="1:9" x14ac:dyDescent="0.2">
      <c r="A130" s="6">
        <v>45935</v>
      </c>
      <c r="B130" t="s">
        <v>36</v>
      </c>
      <c r="C130" t="s">
        <v>193</v>
      </c>
      <c r="D130" t="s">
        <v>194</v>
      </c>
      <c r="E130" t="s">
        <v>74</v>
      </c>
      <c r="F130">
        <v>11</v>
      </c>
      <c r="G130">
        <v>289.37</v>
      </c>
      <c r="H130">
        <v>242.31</v>
      </c>
      <c r="I130" s="4">
        <f t="shared" ref="I130:I193" si="2">(G130-H130)/H130</f>
        <v>0.19421402335850771</v>
      </c>
    </row>
    <row r="131" spans="1:9" x14ac:dyDescent="0.2">
      <c r="A131" s="6">
        <v>45935</v>
      </c>
      <c r="B131" t="s">
        <v>36</v>
      </c>
      <c r="C131" t="s">
        <v>193</v>
      </c>
      <c r="D131" t="s">
        <v>195</v>
      </c>
      <c r="E131" t="s">
        <v>15</v>
      </c>
      <c r="F131">
        <v>12</v>
      </c>
      <c r="G131">
        <v>102.04</v>
      </c>
      <c r="H131">
        <v>89.34</v>
      </c>
      <c r="I131" s="4">
        <f t="shared" si="2"/>
        <v>0.14215357062905756</v>
      </c>
    </row>
    <row r="132" spans="1:9" x14ac:dyDescent="0.2">
      <c r="A132" s="6">
        <v>45935</v>
      </c>
      <c r="B132" t="s">
        <v>103</v>
      </c>
      <c r="C132" t="s">
        <v>196</v>
      </c>
      <c r="D132" t="s">
        <v>197</v>
      </c>
      <c r="E132" t="s">
        <v>23</v>
      </c>
      <c r="F132">
        <v>19</v>
      </c>
      <c r="G132">
        <v>247.84</v>
      </c>
      <c r="H132">
        <v>187.24</v>
      </c>
      <c r="I132" s="4">
        <f t="shared" si="2"/>
        <v>0.32364879299295018</v>
      </c>
    </row>
    <row r="133" spans="1:9" x14ac:dyDescent="0.2">
      <c r="A133" s="6">
        <v>45936</v>
      </c>
      <c r="B133" t="s">
        <v>29</v>
      </c>
      <c r="C133" t="s">
        <v>198</v>
      </c>
      <c r="D133" t="s">
        <v>199</v>
      </c>
      <c r="E133" t="s">
        <v>23</v>
      </c>
      <c r="F133">
        <v>7</v>
      </c>
      <c r="G133">
        <v>100.54</v>
      </c>
      <c r="H133">
        <v>76.760000000000005</v>
      </c>
      <c r="I133" s="4">
        <f t="shared" si="2"/>
        <v>0.30979676915059928</v>
      </c>
    </row>
    <row r="134" spans="1:9" x14ac:dyDescent="0.2">
      <c r="A134" s="6">
        <v>45936</v>
      </c>
      <c r="B134" t="s">
        <v>29</v>
      </c>
      <c r="C134" t="s">
        <v>198</v>
      </c>
      <c r="D134" t="s">
        <v>152</v>
      </c>
      <c r="E134" t="s">
        <v>74</v>
      </c>
      <c r="F134">
        <v>13</v>
      </c>
      <c r="G134">
        <v>542.57000000000005</v>
      </c>
      <c r="H134">
        <v>451.87</v>
      </c>
      <c r="I134" s="4">
        <f t="shared" si="2"/>
        <v>0.2007214464337089</v>
      </c>
    </row>
    <row r="135" spans="1:9" x14ac:dyDescent="0.2">
      <c r="A135" s="6">
        <v>45936</v>
      </c>
      <c r="B135" t="s">
        <v>9</v>
      </c>
      <c r="C135" t="s">
        <v>200</v>
      </c>
      <c r="D135" t="s">
        <v>201</v>
      </c>
      <c r="E135" t="s">
        <v>25</v>
      </c>
      <c r="F135">
        <v>4</v>
      </c>
      <c r="G135">
        <v>72.349999999999994</v>
      </c>
      <c r="H135">
        <v>57.15</v>
      </c>
      <c r="I135" s="4">
        <f t="shared" si="2"/>
        <v>0.26596675415573046</v>
      </c>
    </row>
    <row r="136" spans="1:9" x14ac:dyDescent="0.2">
      <c r="A136" s="6">
        <v>45936</v>
      </c>
      <c r="B136" t="s">
        <v>9</v>
      </c>
      <c r="C136" t="s">
        <v>200</v>
      </c>
      <c r="D136" t="s">
        <v>202</v>
      </c>
      <c r="E136" t="s">
        <v>15</v>
      </c>
      <c r="F136">
        <v>21</v>
      </c>
      <c r="G136">
        <v>289.94</v>
      </c>
      <c r="H136">
        <v>229.94</v>
      </c>
      <c r="I136" s="4">
        <f t="shared" si="2"/>
        <v>0.26093763590501873</v>
      </c>
    </row>
    <row r="137" spans="1:9" x14ac:dyDescent="0.2">
      <c r="A137" s="6">
        <v>45936</v>
      </c>
      <c r="B137" t="s">
        <v>9</v>
      </c>
      <c r="C137" t="s">
        <v>200</v>
      </c>
      <c r="D137" t="s">
        <v>203</v>
      </c>
      <c r="E137" t="s">
        <v>23</v>
      </c>
      <c r="F137">
        <v>20</v>
      </c>
      <c r="G137">
        <v>316.76</v>
      </c>
      <c r="H137">
        <v>235.53</v>
      </c>
      <c r="I137" s="4">
        <f t="shared" si="2"/>
        <v>0.34488175603957028</v>
      </c>
    </row>
    <row r="138" spans="1:9" x14ac:dyDescent="0.2">
      <c r="A138" s="6">
        <v>45936</v>
      </c>
      <c r="B138" t="s">
        <v>9</v>
      </c>
      <c r="C138" t="s">
        <v>200</v>
      </c>
      <c r="D138" t="s">
        <v>204</v>
      </c>
      <c r="E138" t="s">
        <v>12</v>
      </c>
      <c r="F138">
        <v>12</v>
      </c>
      <c r="G138">
        <v>319.63</v>
      </c>
      <c r="H138">
        <v>241.45</v>
      </c>
      <c r="I138" s="4">
        <f t="shared" si="2"/>
        <v>0.32379374611720857</v>
      </c>
    </row>
    <row r="139" spans="1:9" x14ac:dyDescent="0.2">
      <c r="A139" s="6">
        <v>45936</v>
      </c>
      <c r="B139" t="s">
        <v>36</v>
      </c>
      <c r="C139" t="s">
        <v>205</v>
      </c>
      <c r="D139" t="s">
        <v>206</v>
      </c>
      <c r="E139" t="s">
        <v>15</v>
      </c>
      <c r="F139">
        <v>15</v>
      </c>
      <c r="G139">
        <v>183.86</v>
      </c>
      <c r="H139">
        <v>131.38999999999999</v>
      </c>
      <c r="I139" s="4">
        <f t="shared" si="2"/>
        <v>0.39934546008067612</v>
      </c>
    </row>
    <row r="140" spans="1:9" x14ac:dyDescent="0.2">
      <c r="A140" s="6">
        <v>45936</v>
      </c>
      <c r="B140" t="s">
        <v>17</v>
      </c>
      <c r="C140" t="s">
        <v>207</v>
      </c>
      <c r="D140" t="s">
        <v>208</v>
      </c>
      <c r="E140" t="s">
        <v>12</v>
      </c>
      <c r="F140">
        <v>24</v>
      </c>
      <c r="G140">
        <v>795.59</v>
      </c>
      <c r="H140">
        <v>514.94000000000005</v>
      </c>
      <c r="I140" s="4">
        <f t="shared" si="2"/>
        <v>0.54501495319843074</v>
      </c>
    </row>
    <row r="141" spans="1:9" x14ac:dyDescent="0.2">
      <c r="A141" s="6">
        <v>45936</v>
      </c>
      <c r="B141" t="s">
        <v>17</v>
      </c>
      <c r="C141" t="s">
        <v>207</v>
      </c>
      <c r="D141" t="s">
        <v>209</v>
      </c>
      <c r="E141" t="s">
        <v>23</v>
      </c>
      <c r="F141">
        <v>14</v>
      </c>
      <c r="G141">
        <v>249.84</v>
      </c>
      <c r="H141">
        <v>205.45</v>
      </c>
      <c r="I141" s="4">
        <f t="shared" si="2"/>
        <v>0.21606230226332448</v>
      </c>
    </row>
    <row r="142" spans="1:9" x14ac:dyDescent="0.2">
      <c r="A142" s="6">
        <v>45936</v>
      </c>
      <c r="B142" t="s">
        <v>36</v>
      </c>
      <c r="C142" t="s">
        <v>210</v>
      </c>
      <c r="D142" t="s">
        <v>211</v>
      </c>
      <c r="E142" t="s">
        <v>25</v>
      </c>
      <c r="F142">
        <v>16</v>
      </c>
      <c r="G142">
        <v>556.62</v>
      </c>
      <c r="H142">
        <v>441.47</v>
      </c>
      <c r="I142" s="4">
        <f t="shared" si="2"/>
        <v>0.26083312569370504</v>
      </c>
    </row>
    <row r="143" spans="1:9" x14ac:dyDescent="0.2">
      <c r="A143" s="6">
        <v>45936</v>
      </c>
      <c r="B143" t="s">
        <v>36</v>
      </c>
      <c r="C143" t="s">
        <v>210</v>
      </c>
      <c r="D143" t="s">
        <v>212</v>
      </c>
      <c r="E143" t="s">
        <v>74</v>
      </c>
      <c r="F143">
        <v>14</v>
      </c>
      <c r="G143">
        <v>646.30999999999995</v>
      </c>
      <c r="H143">
        <v>401.4</v>
      </c>
      <c r="I143" s="4">
        <f t="shared" si="2"/>
        <v>0.61013951170901837</v>
      </c>
    </row>
    <row r="144" spans="1:9" x14ac:dyDescent="0.2">
      <c r="A144" s="6">
        <v>45936</v>
      </c>
      <c r="B144" t="s">
        <v>9</v>
      </c>
      <c r="C144" t="s">
        <v>213</v>
      </c>
      <c r="D144" t="s">
        <v>214</v>
      </c>
      <c r="E144" t="s">
        <v>23</v>
      </c>
      <c r="F144">
        <v>12</v>
      </c>
      <c r="G144">
        <v>117.98</v>
      </c>
      <c r="H144">
        <v>97.02</v>
      </c>
      <c r="I144" s="4">
        <f t="shared" si="2"/>
        <v>0.21603793032364471</v>
      </c>
    </row>
    <row r="145" spans="1:9" x14ac:dyDescent="0.2">
      <c r="A145" s="6">
        <v>45936</v>
      </c>
      <c r="B145" t="s">
        <v>9</v>
      </c>
      <c r="C145" t="s">
        <v>213</v>
      </c>
      <c r="D145" t="s">
        <v>215</v>
      </c>
      <c r="E145" t="s">
        <v>25</v>
      </c>
      <c r="F145">
        <v>23</v>
      </c>
      <c r="G145">
        <v>454.97</v>
      </c>
      <c r="H145">
        <v>398.68</v>
      </c>
      <c r="I145" s="4">
        <f t="shared" si="2"/>
        <v>0.1411909300692285</v>
      </c>
    </row>
    <row r="146" spans="1:9" x14ac:dyDescent="0.2">
      <c r="A146" s="6">
        <v>45936</v>
      </c>
      <c r="B146" t="s">
        <v>103</v>
      </c>
      <c r="C146" t="s">
        <v>216</v>
      </c>
      <c r="D146" t="s">
        <v>217</v>
      </c>
      <c r="E146" t="s">
        <v>15</v>
      </c>
      <c r="F146">
        <v>49</v>
      </c>
      <c r="G146">
        <v>800.44</v>
      </c>
      <c r="H146">
        <v>581.49</v>
      </c>
      <c r="I146" s="4">
        <f t="shared" si="2"/>
        <v>0.3765327004763625</v>
      </c>
    </row>
    <row r="147" spans="1:9" x14ac:dyDescent="0.2">
      <c r="A147" s="6">
        <v>45936</v>
      </c>
      <c r="B147" t="s">
        <v>103</v>
      </c>
      <c r="C147" t="s">
        <v>216</v>
      </c>
      <c r="D147" t="s">
        <v>218</v>
      </c>
      <c r="E147" t="s">
        <v>12</v>
      </c>
      <c r="F147">
        <v>11</v>
      </c>
      <c r="G147">
        <v>283.13</v>
      </c>
      <c r="H147">
        <v>243.16</v>
      </c>
      <c r="I147" s="4">
        <f t="shared" si="2"/>
        <v>0.16437736469814113</v>
      </c>
    </row>
    <row r="148" spans="1:9" x14ac:dyDescent="0.2">
      <c r="A148" s="6">
        <v>45936</v>
      </c>
      <c r="B148" t="s">
        <v>103</v>
      </c>
      <c r="C148" t="s">
        <v>219</v>
      </c>
      <c r="D148" t="s">
        <v>181</v>
      </c>
      <c r="E148" t="s">
        <v>15</v>
      </c>
      <c r="F148">
        <v>11</v>
      </c>
      <c r="G148">
        <v>198.25</v>
      </c>
      <c r="H148">
        <v>134.09</v>
      </c>
      <c r="I148" s="4">
        <f t="shared" si="2"/>
        <v>0.4784845998955925</v>
      </c>
    </row>
    <row r="149" spans="1:9" x14ac:dyDescent="0.2">
      <c r="A149" s="6">
        <v>45936</v>
      </c>
      <c r="B149" t="s">
        <v>103</v>
      </c>
      <c r="C149" t="s">
        <v>219</v>
      </c>
      <c r="D149" t="s">
        <v>85</v>
      </c>
      <c r="E149" t="s">
        <v>23</v>
      </c>
      <c r="F149">
        <v>8</v>
      </c>
      <c r="G149">
        <v>161.11000000000001</v>
      </c>
      <c r="H149">
        <v>126.38</v>
      </c>
      <c r="I149" s="4">
        <f t="shared" si="2"/>
        <v>0.27480614021205901</v>
      </c>
    </row>
    <row r="150" spans="1:9" x14ac:dyDescent="0.2">
      <c r="A150" s="6">
        <v>45936</v>
      </c>
      <c r="B150" t="s">
        <v>103</v>
      </c>
      <c r="C150" t="s">
        <v>219</v>
      </c>
      <c r="D150" t="s">
        <v>110</v>
      </c>
      <c r="E150" t="s">
        <v>34</v>
      </c>
      <c r="F150">
        <v>30</v>
      </c>
      <c r="G150">
        <v>354.89</v>
      </c>
      <c r="H150">
        <v>293.87</v>
      </c>
      <c r="I150" s="4">
        <f t="shared" si="2"/>
        <v>0.20764283526729499</v>
      </c>
    </row>
    <row r="151" spans="1:9" x14ac:dyDescent="0.2">
      <c r="A151" s="6">
        <v>45936</v>
      </c>
      <c r="B151" t="s">
        <v>29</v>
      </c>
      <c r="C151" t="s">
        <v>46</v>
      </c>
      <c r="D151" t="s">
        <v>220</v>
      </c>
      <c r="E151" t="s">
        <v>25</v>
      </c>
      <c r="F151">
        <v>32</v>
      </c>
      <c r="G151">
        <v>831.02</v>
      </c>
      <c r="H151">
        <v>602.96</v>
      </c>
      <c r="I151" s="4">
        <f t="shared" si="2"/>
        <v>0.37823404537614425</v>
      </c>
    </row>
    <row r="152" spans="1:9" x14ac:dyDescent="0.2">
      <c r="A152" s="6">
        <v>45936</v>
      </c>
      <c r="B152" t="s">
        <v>29</v>
      </c>
      <c r="C152" t="s">
        <v>46</v>
      </c>
      <c r="D152" t="s">
        <v>221</v>
      </c>
      <c r="E152" t="s">
        <v>34</v>
      </c>
      <c r="F152">
        <v>44</v>
      </c>
      <c r="G152">
        <v>1190.3699999999999</v>
      </c>
      <c r="H152">
        <v>827.82</v>
      </c>
      <c r="I152" s="4">
        <f t="shared" si="2"/>
        <v>0.43795752699862267</v>
      </c>
    </row>
    <row r="153" spans="1:9" x14ac:dyDescent="0.2">
      <c r="A153" s="6">
        <v>45937</v>
      </c>
      <c r="B153" t="s">
        <v>103</v>
      </c>
      <c r="C153" t="s">
        <v>222</v>
      </c>
      <c r="D153" t="s">
        <v>223</v>
      </c>
      <c r="E153" t="s">
        <v>15</v>
      </c>
      <c r="F153">
        <v>12</v>
      </c>
      <c r="G153">
        <v>78.959999999999994</v>
      </c>
      <c r="H153">
        <v>51.74</v>
      </c>
      <c r="I153" s="4">
        <f t="shared" si="2"/>
        <v>0.52609199845380727</v>
      </c>
    </row>
    <row r="154" spans="1:9" x14ac:dyDescent="0.2">
      <c r="A154" s="6">
        <v>45937</v>
      </c>
      <c r="B154" t="s">
        <v>17</v>
      </c>
      <c r="C154" t="s">
        <v>224</v>
      </c>
      <c r="D154" t="s">
        <v>225</v>
      </c>
      <c r="E154" t="s">
        <v>34</v>
      </c>
      <c r="F154">
        <v>8</v>
      </c>
      <c r="G154">
        <v>118.88</v>
      </c>
      <c r="H154">
        <v>0</v>
      </c>
      <c r="I154" s="4" t="e">
        <f t="shared" si="2"/>
        <v>#DIV/0!</v>
      </c>
    </row>
    <row r="155" spans="1:9" x14ac:dyDescent="0.2">
      <c r="A155" s="6">
        <v>45937</v>
      </c>
      <c r="B155" t="s">
        <v>17</v>
      </c>
      <c r="C155" t="s">
        <v>224</v>
      </c>
      <c r="D155" t="s">
        <v>226</v>
      </c>
      <c r="E155" t="s">
        <v>23</v>
      </c>
      <c r="F155">
        <v>27</v>
      </c>
      <c r="G155">
        <v>253.66</v>
      </c>
      <c r="H155">
        <v>193.2</v>
      </c>
      <c r="I155" s="4">
        <f t="shared" si="2"/>
        <v>0.31293995859213258</v>
      </c>
    </row>
    <row r="156" spans="1:9" x14ac:dyDescent="0.2">
      <c r="A156" s="6">
        <v>45937</v>
      </c>
      <c r="B156" t="s">
        <v>17</v>
      </c>
      <c r="C156" t="s">
        <v>224</v>
      </c>
      <c r="D156" t="s">
        <v>227</v>
      </c>
      <c r="E156" t="s">
        <v>15</v>
      </c>
      <c r="F156">
        <v>4</v>
      </c>
      <c r="G156">
        <v>41.95</v>
      </c>
      <c r="H156">
        <v>29.35</v>
      </c>
      <c r="I156" s="4">
        <f t="shared" si="2"/>
        <v>0.4293015332197615</v>
      </c>
    </row>
    <row r="157" spans="1:9" x14ac:dyDescent="0.2">
      <c r="A157" s="6">
        <v>45937</v>
      </c>
      <c r="B157" t="s">
        <v>43</v>
      </c>
      <c r="C157" t="s">
        <v>228</v>
      </c>
      <c r="D157" t="s">
        <v>211</v>
      </c>
      <c r="E157" t="s">
        <v>25</v>
      </c>
      <c r="F157">
        <v>17</v>
      </c>
      <c r="G157">
        <v>626.24</v>
      </c>
      <c r="H157">
        <v>465.83</v>
      </c>
      <c r="I157" s="4">
        <f t="shared" si="2"/>
        <v>0.34435309018311405</v>
      </c>
    </row>
    <row r="158" spans="1:9" x14ac:dyDescent="0.2">
      <c r="A158" s="6">
        <v>45937</v>
      </c>
      <c r="B158" t="s">
        <v>29</v>
      </c>
      <c r="C158" t="s">
        <v>229</v>
      </c>
      <c r="D158" t="s">
        <v>230</v>
      </c>
      <c r="E158" t="s">
        <v>34</v>
      </c>
      <c r="F158">
        <v>5</v>
      </c>
      <c r="G158">
        <v>76.47</v>
      </c>
      <c r="H158">
        <v>59.65</v>
      </c>
      <c r="I158" s="4">
        <f t="shared" si="2"/>
        <v>0.28197820620284997</v>
      </c>
    </row>
    <row r="159" spans="1:9" x14ac:dyDescent="0.2">
      <c r="A159" s="6">
        <v>45937</v>
      </c>
      <c r="B159" t="s">
        <v>29</v>
      </c>
      <c r="C159" t="s">
        <v>229</v>
      </c>
      <c r="D159" t="s">
        <v>231</v>
      </c>
      <c r="E159" t="s">
        <v>25</v>
      </c>
      <c r="F159">
        <v>10</v>
      </c>
      <c r="G159">
        <v>327.33999999999997</v>
      </c>
      <c r="H159">
        <v>222.89</v>
      </c>
      <c r="I159" s="4">
        <f t="shared" si="2"/>
        <v>0.46861680649647808</v>
      </c>
    </row>
    <row r="160" spans="1:9" x14ac:dyDescent="0.2">
      <c r="A160" s="6">
        <v>45937</v>
      </c>
      <c r="B160" t="s">
        <v>29</v>
      </c>
      <c r="C160" t="s">
        <v>229</v>
      </c>
      <c r="D160" t="s">
        <v>179</v>
      </c>
      <c r="E160" t="s">
        <v>12</v>
      </c>
      <c r="F160">
        <v>4</v>
      </c>
      <c r="G160">
        <v>69.239999999999995</v>
      </c>
      <c r="H160">
        <v>50.25</v>
      </c>
      <c r="I160" s="4">
        <f t="shared" si="2"/>
        <v>0.37791044776119392</v>
      </c>
    </row>
    <row r="161" spans="1:9" x14ac:dyDescent="0.2">
      <c r="A161" s="6">
        <v>45937</v>
      </c>
      <c r="B161" t="s">
        <v>29</v>
      </c>
      <c r="C161" t="s">
        <v>229</v>
      </c>
      <c r="D161" t="s">
        <v>232</v>
      </c>
      <c r="E161" t="s">
        <v>74</v>
      </c>
      <c r="F161">
        <v>9</v>
      </c>
      <c r="G161">
        <v>625.62</v>
      </c>
      <c r="H161">
        <v>394.61</v>
      </c>
      <c r="I161" s="4">
        <f t="shared" si="2"/>
        <v>0.58541344618737479</v>
      </c>
    </row>
    <row r="162" spans="1:9" x14ac:dyDescent="0.2">
      <c r="A162" s="6">
        <v>45938</v>
      </c>
      <c r="B162" t="s">
        <v>17</v>
      </c>
      <c r="C162" t="s">
        <v>233</v>
      </c>
      <c r="D162" t="s">
        <v>234</v>
      </c>
      <c r="E162" t="s">
        <v>12</v>
      </c>
      <c r="F162">
        <v>10</v>
      </c>
      <c r="G162">
        <v>360.56</v>
      </c>
      <c r="H162">
        <v>285.72000000000003</v>
      </c>
      <c r="I162" s="4">
        <f t="shared" si="2"/>
        <v>0.26193476130477378</v>
      </c>
    </row>
    <row r="163" spans="1:9" x14ac:dyDescent="0.2">
      <c r="A163" s="6">
        <v>45938</v>
      </c>
      <c r="B163" t="s">
        <v>17</v>
      </c>
      <c r="C163" t="s">
        <v>235</v>
      </c>
      <c r="D163" t="s">
        <v>236</v>
      </c>
      <c r="E163" t="s">
        <v>23</v>
      </c>
      <c r="F163">
        <v>25</v>
      </c>
      <c r="G163">
        <v>550.57000000000005</v>
      </c>
      <c r="H163">
        <v>446.15</v>
      </c>
      <c r="I163" s="4">
        <f t="shared" si="2"/>
        <v>0.23404684523142458</v>
      </c>
    </row>
    <row r="164" spans="1:9" x14ac:dyDescent="0.2">
      <c r="A164" s="6">
        <v>45938</v>
      </c>
      <c r="B164" t="s">
        <v>17</v>
      </c>
      <c r="C164" t="s">
        <v>235</v>
      </c>
      <c r="D164" t="s">
        <v>237</v>
      </c>
      <c r="E164" t="s">
        <v>15</v>
      </c>
      <c r="F164">
        <v>21</v>
      </c>
      <c r="G164">
        <v>239.16</v>
      </c>
      <c r="H164">
        <v>166.57</v>
      </c>
      <c r="I164" s="4">
        <f t="shared" si="2"/>
        <v>0.43579275980068444</v>
      </c>
    </row>
    <row r="165" spans="1:9" x14ac:dyDescent="0.2">
      <c r="A165" s="6">
        <v>45938</v>
      </c>
      <c r="B165" t="s">
        <v>17</v>
      </c>
      <c r="C165" t="s">
        <v>235</v>
      </c>
      <c r="D165" t="s">
        <v>238</v>
      </c>
      <c r="E165" t="s">
        <v>15</v>
      </c>
      <c r="F165">
        <v>13</v>
      </c>
      <c r="G165">
        <v>145.08000000000001</v>
      </c>
      <c r="H165">
        <v>97.87</v>
      </c>
      <c r="I165" s="4">
        <f t="shared" si="2"/>
        <v>0.48237457852252996</v>
      </c>
    </row>
    <row r="166" spans="1:9" x14ac:dyDescent="0.2">
      <c r="A166" s="6">
        <v>45938</v>
      </c>
      <c r="B166" t="s">
        <v>17</v>
      </c>
      <c r="C166" t="s">
        <v>235</v>
      </c>
      <c r="D166" t="s">
        <v>239</v>
      </c>
      <c r="E166" t="s">
        <v>15</v>
      </c>
      <c r="F166">
        <v>9</v>
      </c>
      <c r="G166">
        <v>123.06</v>
      </c>
      <c r="H166">
        <v>96.63</v>
      </c>
      <c r="I166" s="4">
        <f t="shared" si="2"/>
        <v>0.27351754113629317</v>
      </c>
    </row>
    <row r="167" spans="1:9" x14ac:dyDescent="0.2">
      <c r="A167" s="6">
        <v>45938</v>
      </c>
      <c r="B167" t="s">
        <v>9</v>
      </c>
      <c r="C167" t="s">
        <v>240</v>
      </c>
      <c r="D167" t="s">
        <v>241</v>
      </c>
      <c r="E167" t="s">
        <v>25</v>
      </c>
      <c r="F167">
        <v>19</v>
      </c>
      <c r="G167">
        <v>468.15</v>
      </c>
      <c r="H167">
        <v>345.41</v>
      </c>
      <c r="I167" s="4">
        <f t="shared" si="2"/>
        <v>0.35534582090848538</v>
      </c>
    </row>
    <row r="168" spans="1:9" x14ac:dyDescent="0.2">
      <c r="A168" s="6">
        <v>45938</v>
      </c>
      <c r="B168" t="s">
        <v>43</v>
      </c>
      <c r="C168" t="s">
        <v>242</v>
      </c>
      <c r="D168" t="s">
        <v>243</v>
      </c>
      <c r="E168" t="s">
        <v>12</v>
      </c>
      <c r="F168">
        <v>52</v>
      </c>
      <c r="G168">
        <v>1033.51</v>
      </c>
      <c r="H168">
        <v>860.25</v>
      </c>
      <c r="I168" s="4">
        <f t="shared" si="2"/>
        <v>0.20140656785818076</v>
      </c>
    </row>
    <row r="169" spans="1:9" x14ac:dyDescent="0.2">
      <c r="A169" s="6">
        <v>45938</v>
      </c>
      <c r="B169" t="s">
        <v>43</v>
      </c>
      <c r="C169" t="s">
        <v>242</v>
      </c>
      <c r="D169" t="s">
        <v>244</v>
      </c>
      <c r="E169" t="s">
        <v>15</v>
      </c>
      <c r="F169">
        <v>21</v>
      </c>
      <c r="G169">
        <v>234.13</v>
      </c>
      <c r="H169">
        <v>190.77</v>
      </c>
      <c r="I169" s="4">
        <f t="shared" si="2"/>
        <v>0.22728940609110437</v>
      </c>
    </row>
    <row r="170" spans="1:9" x14ac:dyDescent="0.2">
      <c r="A170" s="6">
        <v>45938</v>
      </c>
      <c r="B170" t="s">
        <v>29</v>
      </c>
      <c r="C170" t="s">
        <v>245</v>
      </c>
      <c r="D170" t="s">
        <v>246</v>
      </c>
      <c r="E170" t="s">
        <v>34</v>
      </c>
      <c r="F170">
        <v>29</v>
      </c>
      <c r="G170">
        <v>644.54999999999995</v>
      </c>
      <c r="H170">
        <v>475.32</v>
      </c>
      <c r="I170" s="4">
        <f t="shared" si="2"/>
        <v>0.35603382984094917</v>
      </c>
    </row>
    <row r="171" spans="1:9" x14ac:dyDescent="0.2">
      <c r="A171" s="6">
        <v>45938</v>
      </c>
      <c r="B171" t="s">
        <v>17</v>
      </c>
      <c r="C171" t="s">
        <v>247</v>
      </c>
      <c r="D171" t="s">
        <v>248</v>
      </c>
      <c r="E171" t="s">
        <v>12</v>
      </c>
      <c r="F171">
        <v>20</v>
      </c>
      <c r="G171">
        <v>387.77</v>
      </c>
      <c r="H171">
        <v>283.51</v>
      </c>
      <c r="I171" s="4">
        <f t="shared" si="2"/>
        <v>0.36774716941201369</v>
      </c>
    </row>
    <row r="172" spans="1:9" x14ac:dyDescent="0.2">
      <c r="A172" s="6">
        <v>45938</v>
      </c>
      <c r="B172" t="s">
        <v>9</v>
      </c>
      <c r="C172" t="s">
        <v>249</v>
      </c>
      <c r="D172" t="s">
        <v>250</v>
      </c>
      <c r="E172" t="s">
        <v>23</v>
      </c>
      <c r="F172">
        <v>4</v>
      </c>
      <c r="G172">
        <v>84.84</v>
      </c>
      <c r="H172">
        <v>65.41</v>
      </c>
      <c r="I172" s="4">
        <f t="shared" si="2"/>
        <v>0.29704938082861959</v>
      </c>
    </row>
    <row r="173" spans="1:9" x14ac:dyDescent="0.2">
      <c r="A173" s="6">
        <v>45938</v>
      </c>
      <c r="B173" t="s">
        <v>103</v>
      </c>
      <c r="C173" t="s">
        <v>251</v>
      </c>
      <c r="D173" t="s">
        <v>252</v>
      </c>
      <c r="E173" t="s">
        <v>23</v>
      </c>
      <c r="F173">
        <v>12</v>
      </c>
      <c r="G173">
        <v>102.06</v>
      </c>
      <c r="H173">
        <v>79.17</v>
      </c>
      <c r="I173" s="4">
        <f t="shared" si="2"/>
        <v>0.28912466843501328</v>
      </c>
    </row>
    <row r="174" spans="1:9" x14ac:dyDescent="0.2">
      <c r="A174" s="6">
        <v>45938</v>
      </c>
      <c r="B174" t="s">
        <v>103</v>
      </c>
      <c r="C174" t="s">
        <v>251</v>
      </c>
      <c r="D174" t="s">
        <v>253</v>
      </c>
      <c r="E174" t="s">
        <v>34</v>
      </c>
      <c r="F174">
        <v>18</v>
      </c>
      <c r="G174">
        <v>223.85</v>
      </c>
      <c r="H174">
        <v>166.48</v>
      </c>
      <c r="I174" s="4">
        <f t="shared" si="2"/>
        <v>0.34460595867371463</v>
      </c>
    </row>
    <row r="175" spans="1:9" x14ac:dyDescent="0.2">
      <c r="A175" s="6">
        <v>45938</v>
      </c>
      <c r="B175" t="s">
        <v>103</v>
      </c>
      <c r="C175" t="s">
        <v>251</v>
      </c>
      <c r="D175" t="s">
        <v>254</v>
      </c>
      <c r="E175" t="s">
        <v>74</v>
      </c>
      <c r="F175">
        <v>7</v>
      </c>
      <c r="G175">
        <v>479.68</v>
      </c>
      <c r="H175">
        <v>365.38</v>
      </c>
      <c r="I175" s="4">
        <f t="shared" si="2"/>
        <v>0.31282500410531505</v>
      </c>
    </row>
    <row r="176" spans="1:9" x14ac:dyDescent="0.2">
      <c r="A176" s="6">
        <v>45938</v>
      </c>
      <c r="B176" t="s">
        <v>103</v>
      </c>
      <c r="C176" t="s">
        <v>251</v>
      </c>
      <c r="D176" t="s">
        <v>255</v>
      </c>
      <c r="E176" t="s">
        <v>74</v>
      </c>
      <c r="F176">
        <v>16</v>
      </c>
      <c r="G176">
        <v>1273.0899999999999</v>
      </c>
      <c r="H176">
        <v>912.11</v>
      </c>
      <c r="I176" s="4">
        <f t="shared" si="2"/>
        <v>0.39576366885573</v>
      </c>
    </row>
    <row r="177" spans="1:9" x14ac:dyDescent="0.2">
      <c r="A177" s="6">
        <v>45938</v>
      </c>
      <c r="B177" t="s">
        <v>103</v>
      </c>
      <c r="C177" t="s">
        <v>251</v>
      </c>
      <c r="D177" t="s">
        <v>256</v>
      </c>
      <c r="E177" t="s">
        <v>74</v>
      </c>
      <c r="F177">
        <v>5</v>
      </c>
      <c r="G177">
        <v>193.95</v>
      </c>
      <c r="H177">
        <v>155.16</v>
      </c>
      <c r="I177" s="4">
        <f t="shared" si="2"/>
        <v>0.24999999999999994</v>
      </c>
    </row>
    <row r="178" spans="1:9" x14ac:dyDescent="0.2">
      <c r="A178" s="6">
        <v>45938</v>
      </c>
      <c r="B178" t="s">
        <v>17</v>
      </c>
      <c r="C178" t="s">
        <v>257</v>
      </c>
      <c r="D178" t="s">
        <v>258</v>
      </c>
      <c r="E178" t="s">
        <v>34</v>
      </c>
      <c r="F178">
        <v>20</v>
      </c>
      <c r="G178">
        <v>485.11</v>
      </c>
      <c r="H178">
        <v>362.04</v>
      </c>
      <c r="I178" s="4">
        <f t="shared" si="2"/>
        <v>0.33993481383272561</v>
      </c>
    </row>
    <row r="179" spans="1:9" x14ac:dyDescent="0.2">
      <c r="A179" s="6">
        <v>45938</v>
      </c>
      <c r="B179" t="s">
        <v>17</v>
      </c>
      <c r="C179" t="s">
        <v>257</v>
      </c>
      <c r="D179" t="s">
        <v>259</v>
      </c>
      <c r="E179" t="s">
        <v>12</v>
      </c>
      <c r="F179">
        <v>20</v>
      </c>
      <c r="G179">
        <v>546.13</v>
      </c>
      <c r="H179">
        <v>357.41</v>
      </c>
      <c r="I179" s="4">
        <f t="shared" si="2"/>
        <v>0.52802104026188401</v>
      </c>
    </row>
    <row r="180" spans="1:9" x14ac:dyDescent="0.2">
      <c r="A180" s="6">
        <v>45938</v>
      </c>
      <c r="B180" t="s">
        <v>48</v>
      </c>
      <c r="C180" t="s">
        <v>118</v>
      </c>
      <c r="D180" t="s">
        <v>260</v>
      </c>
      <c r="E180" t="s">
        <v>23</v>
      </c>
      <c r="F180">
        <v>30</v>
      </c>
      <c r="G180">
        <v>545.03</v>
      </c>
      <c r="H180">
        <v>427.48</v>
      </c>
      <c r="I180" s="4">
        <f t="shared" si="2"/>
        <v>0.27498362496491052</v>
      </c>
    </row>
    <row r="181" spans="1:9" x14ac:dyDescent="0.2">
      <c r="A181" s="6">
        <v>45939</v>
      </c>
      <c r="B181" t="s">
        <v>103</v>
      </c>
      <c r="C181" t="s">
        <v>261</v>
      </c>
      <c r="D181" t="s">
        <v>262</v>
      </c>
      <c r="E181" t="s">
        <v>15</v>
      </c>
      <c r="F181">
        <v>22</v>
      </c>
      <c r="G181">
        <v>373.8</v>
      </c>
      <c r="H181">
        <v>263.20999999999998</v>
      </c>
      <c r="I181" s="4">
        <f t="shared" si="2"/>
        <v>0.42015880855590609</v>
      </c>
    </row>
    <row r="182" spans="1:9" x14ac:dyDescent="0.2">
      <c r="A182" s="6">
        <v>45939</v>
      </c>
      <c r="B182" t="s">
        <v>103</v>
      </c>
      <c r="C182" t="s">
        <v>261</v>
      </c>
      <c r="D182" t="s">
        <v>252</v>
      </c>
      <c r="E182" t="s">
        <v>23</v>
      </c>
      <c r="F182">
        <v>21</v>
      </c>
      <c r="G182">
        <v>170.11</v>
      </c>
      <c r="H182">
        <v>120.45</v>
      </c>
      <c r="I182" s="4">
        <f t="shared" si="2"/>
        <v>0.41228725612287265</v>
      </c>
    </row>
    <row r="183" spans="1:9" x14ac:dyDescent="0.2">
      <c r="A183" s="6">
        <v>45939</v>
      </c>
      <c r="B183" t="s">
        <v>103</v>
      </c>
      <c r="C183" t="s">
        <v>261</v>
      </c>
      <c r="D183" t="s">
        <v>263</v>
      </c>
      <c r="E183" t="s">
        <v>34</v>
      </c>
      <c r="F183">
        <v>8</v>
      </c>
      <c r="G183">
        <v>184.62</v>
      </c>
      <c r="H183">
        <v>142.5</v>
      </c>
      <c r="I183" s="4">
        <f t="shared" si="2"/>
        <v>0.29557894736842111</v>
      </c>
    </row>
    <row r="184" spans="1:9" x14ac:dyDescent="0.2">
      <c r="A184" s="6">
        <v>45939</v>
      </c>
      <c r="B184" t="s">
        <v>43</v>
      </c>
      <c r="C184" t="s">
        <v>264</v>
      </c>
      <c r="D184" t="s">
        <v>265</v>
      </c>
      <c r="E184" t="s">
        <v>12</v>
      </c>
      <c r="F184">
        <v>24</v>
      </c>
      <c r="G184">
        <v>566.16999999999996</v>
      </c>
      <c r="H184">
        <v>479.21</v>
      </c>
      <c r="I184" s="4">
        <f t="shared" si="2"/>
        <v>0.18146532835291412</v>
      </c>
    </row>
    <row r="185" spans="1:9" x14ac:dyDescent="0.2">
      <c r="A185" s="6">
        <v>45939</v>
      </c>
      <c r="B185" t="s">
        <v>43</v>
      </c>
      <c r="C185" t="s">
        <v>264</v>
      </c>
      <c r="D185" t="s">
        <v>266</v>
      </c>
      <c r="E185" t="s">
        <v>23</v>
      </c>
      <c r="F185">
        <v>17</v>
      </c>
      <c r="G185">
        <v>211.43</v>
      </c>
      <c r="H185">
        <v>153.22999999999999</v>
      </c>
      <c r="I185" s="4">
        <f t="shared" si="2"/>
        <v>0.37982118384128449</v>
      </c>
    </row>
    <row r="186" spans="1:9" x14ac:dyDescent="0.2">
      <c r="A186" s="6">
        <v>45939</v>
      </c>
      <c r="B186" t="s">
        <v>9</v>
      </c>
      <c r="C186" t="s">
        <v>267</v>
      </c>
      <c r="D186" t="s">
        <v>268</v>
      </c>
      <c r="E186" t="s">
        <v>15</v>
      </c>
      <c r="F186">
        <v>24</v>
      </c>
      <c r="G186">
        <v>163.69</v>
      </c>
      <c r="H186">
        <v>118.6</v>
      </c>
      <c r="I186" s="4">
        <f t="shared" si="2"/>
        <v>0.38018549747048908</v>
      </c>
    </row>
    <row r="187" spans="1:9" x14ac:dyDescent="0.2">
      <c r="A187" s="6">
        <v>45939</v>
      </c>
      <c r="B187" t="s">
        <v>9</v>
      </c>
      <c r="C187" t="s">
        <v>267</v>
      </c>
      <c r="D187" t="s">
        <v>269</v>
      </c>
      <c r="E187" t="s">
        <v>74</v>
      </c>
      <c r="F187">
        <v>10</v>
      </c>
      <c r="G187">
        <v>661.76</v>
      </c>
      <c r="H187">
        <v>520.20000000000005</v>
      </c>
      <c r="I187" s="4">
        <f t="shared" si="2"/>
        <v>0.27212610534409831</v>
      </c>
    </row>
    <row r="188" spans="1:9" x14ac:dyDescent="0.2">
      <c r="A188" s="6">
        <v>45939</v>
      </c>
      <c r="B188" t="s">
        <v>48</v>
      </c>
      <c r="C188" t="s">
        <v>270</v>
      </c>
      <c r="D188" t="s">
        <v>271</v>
      </c>
      <c r="E188" t="s">
        <v>25</v>
      </c>
      <c r="F188">
        <v>27</v>
      </c>
      <c r="G188">
        <v>549.05999999999995</v>
      </c>
      <c r="H188">
        <v>461.85</v>
      </c>
      <c r="I188" s="4">
        <f t="shared" si="2"/>
        <v>0.18882754140954838</v>
      </c>
    </row>
    <row r="189" spans="1:9" x14ac:dyDescent="0.2">
      <c r="A189" s="6">
        <v>45939</v>
      </c>
      <c r="B189" t="s">
        <v>48</v>
      </c>
      <c r="C189" t="s">
        <v>270</v>
      </c>
      <c r="D189" t="s">
        <v>252</v>
      </c>
      <c r="E189" t="s">
        <v>23</v>
      </c>
      <c r="F189">
        <v>25</v>
      </c>
      <c r="G189">
        <v>199.15</v>
      </c>
      <c r="H189">
        <v>164.94</v>
      </c>
      <c r="I189" s="4">
        <f t="shared" si="2"/>
        <v>0.20740875469867837</v>
      </c>
    </row>
    <row r="190" spans="1:9" x14ac:dyDescent="0.2">
      <c r="A190" s="6">
        <v>45939</v>
      </c>
      <c r="B190" t="s">
        <v>48</v>
      </c>
      <c r="C190" t="s">
        <v>270</v>
      </c>
      <c r="D190" t="s">
        <v>170</v>
      </c>
      <c r="E190" t="s">
        <v>34</v>
      </c>
      <c r="F190">
        <v>5</v>
      </c>
      <c r="G190">
        <v>54.61</v>
      </c>
      <c r="H190">
        <v>47.89</v>
      </c>
      <c r="I190" s="4">
        <f t="shared" si="2"/>
        <v>0.14032157026519104</v>
      </c>
    </row>
    <row r="191" spans="1:9" x14ac:dyDescent="0.2">
      <c r="A191" s="6">
        <v>45939</v>
      </c>
      <c r="B191" t="s">
        <v>48</v>
      </c>
      <c r="C191" t="s">
        <v>270</v>
      </c>
      <c r="D191" t="s">
        <v>272</v>
      </c>
      <c r="E191" t="s">
        <v>23</v>
      </c>
      <c r="F191">
        <v>13</v>
      </c>
      <c r="G191">
        <v>206.57</v>
      </c>
      <c r="H191">
        <v>131.41</v>
      </c>
      <c r="I191" s="4">
        <f t="shared" si="2"/>
        <v>0.57195038429343281</v>
      </c>
    </row>
    <row r="192" spans="1:9" x14ac:dyDescent="0.2">
      <c r="A192" s="6">
        <v>45939</v>
      </c>
      <c r="B192" t="s">
        <v>48</v>
      </c>
      <c r="C192" t="s">
        <v>270</v>
      </c>
      <c r="D192" t="s">
        <v>273</v>
      </c>
      <c r="E192" t="s">
        <v>23</v>
      </c>
      <c r="F192">
        <v>15</v>
      </c>
      <c r="G192">
        <v>317.27999999999997</v>
      </c>
      <c r="H192">
        <v>240.49</v>
      </c>
      <c r="I192" s="4">
        <f t="shared" si="2"/>
        <v>0.31930641606719595</v>
      </c>
    </row>
    <row r="193" spans="1:9" x14ac:dyDescent="0.2">
      <c r="A193" s="6">
        <v>45939</v>
      </c>
      <c r="B193" t="s">
        <v>103</v>
      </c>
      <c r="C193" t="s">
        <v>274</v>
      </c>
      <c r="D193" t="s">
        <v>231</v>
      </c>
      <c r="E193" t="s">
        <v>25</v>
      </c>
      <c r="F193">
        <v>9</v>
      </c>
      <c r="G193">
        <v>294.39</v>
      </c>
      <c r="H193">
        <v>210.31</v>
      </c>
      <c r="I193" s="4">
        <f t="shared" si="2"/>
        <v>0.39979078503161991</v>
      </c>
    </row>
    <row r="194" spans="1:9" x14ac:dyDescent="0.2">
      <c r="A194" s="6">
        <v>45939</v>
      </c>
      <c r="B194" t="s">
        <v>36</v>
      </c>
      <c r="C194" t="s">
        <v>275</v>
      </c>
      <c r="D194" t="s">
        <v>276</v>
      </c>
      <c r="E194" t="s">
        <v>74</v>
      </c>
      <c r="F194">
        <v>33</v>
      </c>
      <c r="G194">
        <v>1710.89</v>
      </c>
      <c r="H194">
        <v>1223.05</v>
      </c>
      <c r="I194" s="4">
        <f t="shared" ref="I194:I257" si="3">(G194-H194)/H194</f>
        <v>0.39887167327582695</v>
      </c>
    </row>
    <row r="195" spans="1:9" x14ac:dyDescent="0.2">
      <c r="A195" s="6">
        <v>45939</v>
      </c>
      <c r="B195" t="s">
        <v>36</v>
      </c>
      <c r="C195" t="s">
        <v>275</v>
      </c>
      <c r="D195" t="s">
        <v>277</v>
      </c>
      <c r="E195" t="s">
        <v>25</v>
      </c>
      <c r="F195">
        <v>19</v>
      </c>
      <c r="G195">
        <v>936.37</v>
      </c>
      <c r="H195">
        <v>656.21</v>
      </c>
      <c r="I195" s="4">
        <f t="shared" si="3"/>
        <v>0.42693649898660485</v>
      </c>
    </row>
    <row r="196" spans="1:9" x14ac:dyDescent="0.2">
      <c r="A196" s="6">
        <v>45939</v>
      </c>
      <c r="B196" t="s">
        <v>36</v>
      </c>
      <c r="C196" t="s">
        <v>275</v>
      </c>
      <c r="D196" t="s">
        <v>188</v>
      </c>
      <c r="E196" t="s">
        <v>34</v>
      </c>
      <c r="F196">
        <v>13</v>
      </c>
      <c r="G196">
        <v>157.72999999999999</v>
      </c>
      <c r="H196">
        <v>122.07</v>
      </c>
      <c r="I196" s="4">
        <f t="shared" si="3"/>
        <v>0.29212746784631766</v>
      </c>
    </row>
    <row r="197" spans="1:9" x14ac:dyDescent="0.2">
      <c r="A197" s="6">
        <v>45939</v>
      </c>
      <c r="B197" t="s">
        <v>43</v>
      </c>
      <c r="C197" t="s">
        <v>46</v>
      </c>
      <c r="D197" t="s">
        <v>278</v>
      </c>
      <c r="E197" t="s">
        <v>23</v>
      </c>
      <c r="F197">
        <v>10</v>
      </c>
      <c r="G197">
        <v>225.32</v>
      </c>
      <c r="H197">
        <v>184.14</v>
      </c>
      <c r="I197" s="4">
        <f t="shared" si="3"/>
        <v>0.22363419137612692</v>
      </c>
    </row>
    <row r="198" spans="1:9" x14ac:dyDescent="0.2">
      <c r="A198" s="6">
        <v>45939</v>
      </c>
      <c r="B198" t="s">
        <v>43</v>
      </c>
      <c r="C198" t="s">
        <v>46</v>
      </c>
      <c r="D198" t="s">
        <v>279</v>
      </c>
      <c r="E198" t="s">
        <v>12</v>
      </c>
      <c r="F198">
        <v>9</v>
      </c>
      <c r="G198">
        <v>233.08</v>
      </c>
      <c r="H198">
        <v>184.31</v>
      </c>
      <c r="I198" s="4">
        <f t="shared" si="3"/>
        <v>0.26460853995985029</v>
      </c>
    </row>
    <row r="199" spans="1:9" x14ac:dyDescent="0.2">
      <c r="A199" s="6">
        <v>45939</v>
      </c>
      <c r="B199" t="s">
        <v>43</v>
      </c>
      <c r="C199" t="s">
        <v>46</v>
      </c>
      <c r="D199" t="s">
        <v>280</v>
      </c>
      <c r="E199" t="s">
        <v>15</v>
      </c>
      <c r="F199">
        <v>4</v>
      </c>
      <c r="G199">
        <v>76.02</v>
      </c>
      <c r="H199">
        <v>48.55</v>
      </c>
      <c r="I199" s="4">
        <f t="shared" si="3"/>
        <v>0.56580844490216275</v>
      </c>
    </row>
    <row r="200" spans="1:9" x14ac:dyDescent="0.2">
      <c r="A200" s="6">
        <v>45939</v>
      </c>
      <c r="B200" t="s">
        <v>43</v>
      </c>
      <c r="C200" t="s">
        <v>46</v>
      </c>
      <c r="D200" t="s">
        <v>281</v>
      </c>
      <c r="E200" t="s">
        <v>23</v>
      </c>
      <c r="F200">
        <v>14</v>
      </c>
      <c r="G200">
        <v>170.31</v>
      </c>
      <c r="H200">
        <v>126.25</v>
      </c>
      <c r="I200" s="4">
        <f t="shared" si="3"/>
        <v>0.34899009900990102</v>
      </c>
    </row>
    <row r="201" spans="1:9" x14ac:dyDescent="0.2">
      <c r="A201" s="6">
        <v>45939</v>
      </c>
      <c r="B201" t="s">
        <v>43</v>
      </c>
      <c r="C201" t="s">
        <v>46</v>
      </c>
      <c r="D201" t="s">
        <v>282</v>
      </c>
      <c r="E201" t="s">
        <v>12</v>
      </c>
      <c r="F201">
        <v>9</v>
      </c>
      <c r="G201">
        <v>323.75</v>
      </c>
      <c r="H201">
        <v>270.33999999999997</v>
      </c>
      <c r="I201" s="4">
        <f t="shared" si="3"/>
        <v>0.1975660279647852</v>
      </c>
    </row>
    <row r="202" spans="1:9" x14ac:dyDescent="0.2">
      <c r="A202" s="6">
        <v>45939</v>
      </c>
      <c r="B202" t="s">
        <v>36</v>
      </c>
      <c r="C202" t="s">
        <v>283</v>
      </c>
      <c r="D202" t="s">
        <v>284</v>
      </c>
      <c r="E202" t="s">
        <v>23</v>
      </c>
      <c r="F202">
        <v>11</v>
      </c>
      <c r="G202">
        <v>107.63</v>
      </c>
      <c r="H202">
        <v>77.540000000000006</v>
      </c>
      <c r="I202" s="4">
        <f t="shared" si="3"/>
        <v>0.38805777663141588</v>
      </c>
    </row>
    <row r="203" spans="1:9" x14ac:dyDescent="0.2">
      <c r="A203" s="6">
        <v>45939</v>
      </c>
      <c r="B203" t="s">
        <v>36</v>
      </c>
      <c r="C203" t="s">
        <v>283</v>
      </c>
      <c r="D203" t="s">
        <v>285</v>
      </c>
      <c r="E203" t="s">
        <v>25</v>
      </c>
      <c r="F203">
        <v>26</v>
      </c>
      <c r="G203">
        <v>827</v>
      </c>
      <c r="H203">
        <v>572.45000000000005</v>
      </c>
      <c r="I203" s="4">
        <f t="shared" si="3"/>
        <v>0.44466765656389196</v>
      </c>
    </row>
    <row r="204" spans="1:9" x14ac:dyDescent="0.2">
      <c r="A204" s="6">
        <v>45939</v>
      </c>
      <c r="B204" t="s">
        <v>36</v>
      </c>
      <c r="C204" t="s">
        <v>283</v>
      </c>
      <c r="D204" t="s">
        <v>286</v>
      </c>
      <c r="E204" t="s">
        <v>15</v>
      </c>
      <c r="F204">
        <v>16</v>
      </c>
      <c r="G204">
        <v>279.48</v>
      </c>
      <c r="H204">
        <v>199.21</v>
      </c>
      <c r="I204" s="4">
        <f t="shared" si="3"/>
        <v>0.40294161939661666</v>
      </c>
    </row>
    <row r="205" spans="1:9" x14ac:dyDescent="0.2">
      <c r="A205" s="6">
        <v>45940</v>
      </c>
      <c r="B205" t="s">
        <v>36</v>
      </c>
      <c r="C205" t="s">
        <v>287</v>
      </c>
      <c r="D205" t="s">
        <v>288</v>
      </c>
      <c r="E205" t="s">
        <v>74</v>
      </c>
      <c r="F205">
        <v>44</v>
      </c>
      <c r="G205">
        <v>2313.21</v>
      </c>
      <c r="H205">
        <v>1802.22</v>
      </c>
      <c r="I205" s="4">
        <f t="shared" si="3"/>
        <v>0.28353364184172852</v>
      </c>
    </row>
    <row r="206" spans="1:9" x14ac:dyDescent="0.2">
      <c r="A206" s="6">
        <v>45940</v>
      </c>
      <c r="B206" t="s">
        <v>29</v>
      </c>
      <c r="C206" t="s">
        <v>289</v>
      </c>
      <c r="D206" t="s">
        <v>90</v>
      </c>
      <c r="E206" t="s">
        <v>74</v>
      </c>
      <c r="F206">
        <v>12</v>
      </c>
      <c r="G206">
        <v>327.23</v>
      </c>
      <c r="H206">
        <v>228.65</v>
      </c>
      <c r="I206" s="4">
        <f t="shared" si="3"/>
        <v>0.43113929586704575</v>
      </c>
    </row>
    <row r="207" spans="1:9" x14ac:dyDescent="0.2">
      <c r="A207" s="6">
        <v>45940</v>
      </c>
      <c r="B207" t="s">
        <v>29</v>
      </c>
      <c r="C207" t="s">
        <v>289</v>
      </c>
      <c r="D207" t="s">
        <v>290</v>
      </c>
      <c r="E207" t="s">
        <v>12</v>
      </c>
      <c r="F207">
        <v>9</v>
      </c>
      <c r="G207">
        <v>241.52</v>
      </c>
      <c r="H207">
        <v>160.69</v>
      </c>
      <c r="I207" s="4">
        <f t="shared" si="3"/>
        <v>0.50301823386645106</v>
      </c>
    </row>
    <row r="208" spans="1:9" x14ac:dyDescent="0.2">
      <c r="A208" s="6">
        <v>45940</v>
      </c>
      <c r="B208" t="s">
        <v>29</v>
      </c>
      <c r="C208" t="s">
        <v>289</v>
      </c>
      <c r="D208" t="s">
        <v>291</v>
      </c>
      <c r="E208" t="s">
        <v>12</v>
      </c>
      <c r="F208">
        <v>9</v>
      </c>
      <c r="G208">
        <v>217.98</v>
      </c>
      <c r="H208">
        <v>135.84</v>
      </c>
      <c r="I208" s="4">
        <f t="shared" si="3"/>
        <v>0.60468197879858643</v>
      </c>
    </row>
    <row r="209" spans="1:9" x14ac:dyDescent="0.2">
      <c r="A209" s="6">
        <v>45940</v>
      </c>
      <c r="B209" t="s">
        <v>29</v>
      </c>
      <c r="C209" t="s">
        <v>289</v>
      </c>
      <c r="D209" t="s">
        <v>292</v>
      </c>
      <c r="E209" t="s">
        <v>12</v>
      </c>
      <c r="F209">
        <v>20</v>
      </c>
      <c r="G209">
        <v>268.02</v>
      </c>
      <c r="H209">
        <v>175.27</v>
      </c>
      <c r="I209" s="4">
        <f t="shared" si="3"/>
        <v>0.52918354538711687</v>
      </c>
    </row>
    <row r="210" spans="1:9" x14ac:dyDescent="0.2">
      <c r="A210" s="6">
        <v>45940</v>
      </c>
      <c r="B210" t="s">
        <v>29</v>
      </c>
      <c r="C210" t="s">
        <v>289</v>
      </c>
      <c r="D210" t="s">
        <v>293</v>
      </c>
      <c r="E210" t="s">
        <v>23</v>
      </c>
      <c r="F210">
        <v>14</v>
      </c>
      <c r="G210">
        <v>273.47000000000003</v>
      </c>
      <c r="H210">
        <v>217.89</v>
      </c>
      <c r="I210" s="4">
        <f t="shared" si="3"/>
        <v>0.25508283996512021</v>
      </c>
    </row>
    <row r="211" spans="1:9" x14ac:dyDescent="0.2">
      <c r="A211" s="6">
        <v>45940</v>
      </c>
      <c r="B211" t="s">
        <v>9</v>
      </c>
      <c r="C211" t="s">
        <v>294</v>
      </c>
      <c r="D211" t="s">
        <v>206</v>
      </c>
      <c r="E211" t="s">
        <v>15</v>
      </c>
      <c r="F211">
        <v>11</v>
      </c>
      <c r="G211">
        <v>134.91999999999999</v>
      </c>
      <c r="H211">
        <v>85.98</v>
      </c>
      <c r="I211" s="4">
        <f t="shared" si="3"/>
        <v>0.56920214003256553</v>
      </c>
    </row>
    <row r="212" spans="1:9" x14ac:dyDescent="0.2">
      <c r="A212" s="6">
        <v>45940</v>
      </c>
      <c r="B212" t="s">
        <v>9</v>
      </c>
      <c r="C212" t="s">
        <v>294</v>
      </c>
      <c r="D212" t="s">
        <v>295</v>
      </c>
      <c r="E212" t="s">
        <v>12</v>
      </c>
      <c r="F212">
        <v>7</v>
      </c>
      <c r="G212">
        <v>209.04</v>
      </c>
      <c r="H212">
        <v>147.47999999999999</v>
      </c>
      <c r="I212" s="4">
        <f t="shared" si="3"/>
        <v>0.4174125305126119</v>
      </c>
    </row>
    <row r="213" spans="1:9" x14ac:dyDescent="0.2">
      <c r="A213" s="6">
        <v>45940</v>
      </c>
      <c r="B213" t="s">
        <v>9</v>
      </c>
      <c r="C213" t="s">
        <v>294</v>
      </c>
      <c r="D213" t="s">
        <v>296</v>
      </c>
      <c r="E213" t="s">
        <v>74</v>
      </c>
      <c r="F213">
        <v>24</v>
      </c>
      <c r="G213">
        <v>1605.31</v>
      </c>
      <c r="H213">
        <v>1110.31</v>
      </c>
      <c r="I213" s="4">
        <f t="shared" si="3"/>
        <v>0.44582143725626178</v>
      </c>
    </row>
    <row r="214" spans="1:9" x14ac:dyDescent="0.2">
      <c r="A214" s="6">
        <v>45940</v>
      </c>
      <c r="B214" t="s">
        <v>9</v>
      </c>
      <c r="C214" t="s">
        <v>297</v>
      </c>
      <c r="D214" t="s">
        <v>298</v>
      </c>
      <c r="E214" t="s">
        <v>12</v>
      </c>
      <c r="F214">
        <v>3</v>
      </c>
      <c r="G214">
        <v>85.96</v>
      </c>
      <c r="H214">
        <v>71.430000000000007</v>
      </c>
      <c r="I214" s="4">
        <f t="shared" si="3"/>
        <v>0.20341593168136618</v>
      </c>
    </row>
    <row r="215" spans="1:9" x14ac:dyDescent="0.2">
      <c r="A215" s="6">
        <v>45940</v>
      </c>
      <c r="B215" t="s">
        <v>9</v>
      </c>
      <c r="C215" t="s">
        <v>297</v>
      </c>
      <c r="D215" t="s">
        <v>299</v>
      </c>
      <c r="E215" t="s">
        <v>15</v>
      </c>
      <c r="F215">
        <v>5</v>
      </c>
      <c r="G215">
        <v>35.49</v>
      </c>
      <c r="H215">
        <v>29.66</v>
      </c>
      <c r="I215" s="4">
        <f t="shared" si="3"/>
        <v>0.1965610249494269</v>
      </c>
    </row>
    <row r="216" spans="1:9" x14ac:dyDescent="0.2">
      <c r="A216" s="6">
        <v>45940</v>
      </c>
      <c r="B216" t="s">
        <v>48</v>
      </c>
      <c r="C216" t="s">
        <v>300</v>
      </c>
      <c r="D216" t="s">
        <v>99</v>
      </c>
      <c r="E216" t="s">
        <v>23</v>
      </c>
      <c r="F216">
        <v>17</v>
      </c>
      <c r="G216">
        <v>402.69</v>
      </c>
      <c r="H216">
        <v>254.08</v>
      </c>
      <c r="I216" s="4">
        <f t="shared" si="3"/>
        <v>0.58489452141057929</v>
      </c>
    </row>
    <row r="217" spans="1:9" x14ac:dyDescent="0.2">
      <c r="A217" s="6">
        <v>45940</v>
      </c>
      <c r="B217" t="s">
        <v>48</v>
      </c>
      <c r="C217" t="s">
        <v>300</v>
      </c>
      <c r="D217" t="s">
        <v>301</v>
      </c>
      <c r="E217" t="s">
        <v>74</v>
      </c>
      <c r="F217">
        <v>10</v>
      </c>
      <c r="G217">
        <v>426.55</v>
      </c>
      <c r="H217">
        <v>279.77999999999997</v>
      </c>
      <c r="I217" s="4">
        <f t="shared" si="3"/>
        <v>0.52459074987490195</v>
      </c>
    </row>
    <row r="218" spans="1:9" x14ac:dyDescent="0.2">
      <c r="A218" s="6">
        <v>45940</v>
      </c>
      <c r="B218" t="s">
        <v>48</v>
      </c>
      <c r="C218" t="s">
        <v>300</v>
      </c>
      <c r="D218" t="s">
        <v>302</v>
      </c>
      <c r="E218" t="s">
        <v>25</v>
      </c>
      <c r="F218">
        <v>13</v>
      </c>
      <c r="G218">
        <v>540.35</v>
      </c>
      <c r="H218">
        <v>370.75</v>
      </c>
      <c r="I218" s="4">
        <f t="shared" si="3"/>
        <v>0.45745111260957527</v>
      </c>
    </row>
    <row r="219" spans="1:9" x14ac:dyDescent="0.2">
      <c r="A219" s="6">
        <v>45940</v>
      </c>
      <c r="B219" t="s">
        <v>48</v>
      </c>
      <c r="C219" t="s">
        <v>300</v>
      </c>
      <c r="D219" t="s">
        <v>303</v>
      </c>
      <c r="E219" t="s">
        <v>23</v>
      </c>
      <c r="F219">
        <v>36</v>
      </c>
      <c r="G219">
        <v>462.52</v>
      </c>
      <c r="H219">
        <v>305.3</v>
      </c>
      <c r="I219" s="4">
        <f t="shared" si="3"/>
        <v>0.51496888306583677</v>
      </c>
    </row>
    <row r="220" spans="1:9" x14ac:dyDescent="0.2">
      <c r="A220" s="6">
        <v>45940</v>
      </c>
      <c r="B220" t="s">
        <v>29</v>
      </c>
      <c r="C220" t="s">
        <v>304</v>
      </c>
      <c r="D220" t="s">
        <v>305</v>
      </c>
      <c r="E220" t="s">
        <v>23</v>
      </c>
      <c r="F220">
        <v>11</v>
      </c>
      <c r="G220">
        <v>231.22</v>
      </c>
      <c r="H220">
        <v>172.14</v>
      </c>
      <c r="I220" s="4">
        <f t="shared" si="3"/>
        <v>0.34320901591727676</v>
      </c>
    </row>
    <row r="221" spans="1:9" x14ac:dyDescent="0.2">
      <c r="A221" s="6">
        <v>45940</v>
      </c>
      <c r="B221" t="s">
        <v>29</v>
      </c>
      <c r="C221" t="s">
        <v>304</v>
      </c>
      <c r="D221" t="s">
        <v>306</v>
      </c>
      <c r="E221" t="s">
        <v>15</v>
      </c>
      <c r="F221">
        <v>5</v>
      </c>
      <c r="G221">
        <v>86.24</v>
      </c>
      <c r="H221">
        <v>74.61</v>
      </c>
      <c r="I221" s="4">
        <f t="shared" si="3"/>
        <v>0.15587722825358524</v>
      </c>
    </row>
    <row r="222" spans="1:9" x14ac:dyDescent="0.2">
      <c r="A222" s="6">
        <v>45940</v>
      </c>
      <c r="B222" t="s">
        <v>29</v>
      </c>
      <c r="C222" t="s">
        <v>304</v>
      </c>
      <c r="D222" t="s">
        <v>307</v>
      </c>
      <c r="E222" t="s">
        <v>74</v>
      </c>
      <c r="F222">
        <v>5</v>
      </c>
      <c r="G222">
        <v>321.38</v>
      </c>
      <c r="H222">
        <v>232.86</v>
      </c>
      <c r="I222" s="4">
        <f t="shared" si="3"/>
        <v>0.38014257493773074</v>
      </c>
    </row>
    <row r="223" spans="1:9" x14ac:dyDescent="0.2">
      <c r="A223" s="6">
        <v>45940</v>
      </c>
      <c r="B223" t="s">
        <v>29</v>
      </c>
      <c r="C223" t="s">
        <v>304</v>
      </c>
      <c r="D223" t="s">
        <v>308</v>
      </c>
      <c r="E223" t="s">
        <v>12</v>
      </c>
      <c r="F223">
        <v>28</v>
      </c>
      <c r="G223">
        <v>517.04</v>
      </c>
      <c r="H223">
        <v>412.06</v>
      </c>
      <c r="I223" s="4">
        <f t="shared" si="3"/>
        <v>0.25476872300150455</v>
      </c>
    </row>
    <row r="224" spans="1:9" x14ac:dyDescent="0.2">
      <c r="A224" s="6">
        <v>45940</v>
      </c>
      <c r="B224" t="s">
        <v>29</v>
      </c>
      <c r="C224" t="s">
        <v>304</v>
      </c>
      <c r="D224" t="s">
        <v>309</v>
      </c>
      <c r="E224" t="s">
        <v>74</v>
      </c>
      <c r="F224">
        <v>24</v>
      </c>
      <c r="G224">
        <v>1832.45</v>
      </c>
      <c r="H224">
        <v>1378.64</v>
      </c>
      <c r="I224" s="4">
        <f t="shared" si="3"/>
        <v>0.32917222770266341</v>
      </c>
    </row>
    <row r="225" spans="1:9" x14ac:dyDescent="0.2">
      <c r="A225" s="6">
        <v>45940</v>
      </c>
      <c r="B225" t="s">
        <v>29</v>
      </c>
      <c r="C225" t="s">
        <v>310</v>
      </c>
      <c r="D225" t="s">
        <v>311</v>
      </c>
      <c r="E225" t="s">
        <v>12</v>
      </c>
      <c r="F225">
        <v>20</v>
      </c>
      <c r="G225">
        <v>508.57</v>
      </c>
      <c r="H225">
        <v>437.22</v>
      </c>
      <c r="I225" s="4">
        <f t="shared" si="3"/>
        <v>0.16319015598554495</v>
      </c>
    </row>
    <row r="226" spans="1:9" x14ac:dyDescent="0.2">
      <c r="A226" s="6">
        <v>45940</v>
      </c>
      <c r="B226" t="s">
        <v>29</v>
      </c>
      <c r="C226" t="s">
        <v>310</v>
      </c>
      <c r="D226" t="s">
        <v>312</v>
      </c>
      <c r="E226" t="s">
        <v>34</v>
      </c>
      <c r="F226">
        <v>7</v>
      </c>
      <c r="G226">
        <v>105.64</v>
      </c>
      <c r="H226">
        <v>76.28</v>
      </c>
      <c r="I226" s="4">
        <f t="shared" si="3"/>
        <v>0.38489774514944941</v>
      </c>
    </row>
    <row r="227" spans="1:9" x14ac:dyDescent="0.2">
      <c r="A227" s="6">
        <v>45940</v>
      </c>
      <c r="B227" t="s">
        <v>29</v>
      </c>
      <c r="C227" t="s">
        <v>310</v>
      </c>
      <c r="D227" t="s">
        <v>313</v>
      </c>
      <c r="E227" t="s">
        <v>12</v>
      </c>
      <c r="F227">
        <v>2</v>
      </c>
      <c r="G227">
        <v>41.95</v>
      </c>
      <c r="H227">
        <v>33.229999999999997</v>
      </c>
      <c r="I227" s="4">
        <f t="shared" si="3"/>
        <v>0.26241348179356022</v>
      </c>
    </row>
    <row r="228" spans="1:9" x14ac:dyDescent="0.2">
      <c r="A228" s="6">
        <v>45940</v>
      </c>
      <c r="B228" t="s">
        <v>29</v>
      </c>
      <c r="C228" t="s">
        <v>310</v>
      </c>
      <c r="D228" t="s">
        <v>314</v>
      </c>
      <c r="E228" t="s">
        <v>23</v>
      </c>
      <c r="F228">
        <v>5</v>
      </c>
      <c r="G228">
        <v>111.41</v>
      </c>
      <c r="H228">
        <v>72.5</v>
      </c>
      <c r="I228" s="4">
        <f t="shared" si="3"/>
        <v>0.53668965517241374</v>
      </c>
    </row>
    <row r="229" spans="1:9" x14ac:dyDescent="0.2">
      <c r="A229" s="6">
        <v>45940</v>
      </c>
      <c r="B229" t="s">
        <v>29</v>
      </c>
      <c r="C229" t="s">
        <v>310</v>
      </c>
      <c r="D229" t="s">
        <v>315</v>
      </c>
      <c r="E229" t="s">
        <v>23</v>
      </c>
      <c r="F229">
        <v>8</v>
      </c>
      <c r="G229">
        <v>77.209999999999994</v>
      </c>
      <c r="H229">
        <v>55.35</v>
      </c>
      <c r="I229" s="4">
        <f t="shared" si="3"/>
        <v>0.39494128274616064</v>
      </c>
    </row>
    <row r="230" spans="1:9" x14ac:dyDescent="0.2">
      <c r="A230" s="6">
        <v>45940</v>
      </c>
      <c r="B230" t="s">
        <v>36</v>
      </c>
      <c r="C230" t="s">
        <v>316</v>
      </c>
      <c r="D230" t="s">
        <v>317</v>
      </c>
      <c r="E230" t="s">
        <v>74</v>
      </c>
      <c r="F230">
        <v>22</v>
      </c>
      <c r="G230">
        <v>1659.87</v>
      </c>
      <c r="H230">
        <v>1044.53</v>
      </c>
      <c r="I230" s="4">
        <f t="shared" si="3"/>
        <v>0.58910706250658185</v>
      </c>
    </row>
    <row r="231" spans="1:9" x14ac:dyDescent="0.2">
      <c r="A231" s="6">
        <v>45940</v>
      </c>
      <c r="B231" t="s">
        <v>36</v>
      </c>
      <c r="C231" t="s">
        <v>316</v>
      </c>
      <c r="D231" t="s">
        <v>318</v>
      </c>
      <c r="E231" t="s">
        <v>15</v>
      </c>
      <c r="F231">
        <v>18</v>
      </c>
      <c r="G231">
        <v>141.19999999999999</v>
      </c>
      <c r="H231">
        <v>106.38</v>
      </c>
      <c r="I231" s="4">
        <f t="shared" si="3"/>
        <v>0.32731716488061663</v>
      </c>
    </row>
    <row r="232" spans="1:9" x14ac:dyDescent="0.2">
      <c r="A232" s="6">
        <v>45940</v>
      </c>
      <c r="B232" t="s">
        <v>9</v>
      </c>
      <c r="C232" t="s">
        <v>319</v>
      </c>
      <c r="D232" t="s">
        <v>320</v>
      </c>
      <c r="E232" t="s">
        <v>34</v>
      </c>
      <c r="F232">
        <v>18</v>
      </c>
      <c r="G232">
        <v>261.52999999999997</v>
      </c>
      <c r="H232">
        <v>205.3</v>
      </c>
      <c r="I232" s="4">
        <f t="shared" si="3"/>
        <v>0.27389186556259115</v>
      </c>
    </row>
    <row r="233" spans="1:9" x14ac:dyDescent="0.2">
      <c r="A233" s="6">
        <v>45940</v>
      </c>
      <c r="B233" t="s">
        <v>17</v>
      </c>
      <c r="C233" t="s">
        <v>321</v>
      </c>
      <c r="D233" t="s">
        <v>322</v>
      </c>
      <c r="E233" t="s">
        <v>74</v>
      </c>
      <c r="F233">
        <v>34</v>
      </c>
      <c r="G233">
        <v>1831.35</v>
      </c>
      <c r="H233">
        <v>1227.1400000000001</v>
      </c>
      <c r="I233" s="4">
        <f t="shared" si="3"/>
        <v>0.49237250843424529</v>
      </c>
    </row>
    <row r="234" spans="1:9" x14ac:dyDescent="0.2">
      <c r="A234" s="6">
        <v>45940</v>
      </c>
      <c r="B234" t="s">
        <v>17</v>
      </c>
      <c r="C234" t="s">
        <v>321</v>
      </c>
      <c r="D234" t="s">
        <v>323</v>
      </c>
      <c r="E234" t="s">
        <v>74</v>
      </c>
      <c r="F234">
        <v>19</v>
      </c>
      <c r="G234">
        <v>493.7</v>
      </c>
      <c r="H234">
        <v>367.87</v>
      </c>
      <c r="I234" s="4">
        <f t="shared" si="3"/>
        <v>0.3420501807703808</v>
      </c>
    </row>
    <row r="235" spans="1:9" x14ac:dyDescent="0.2">
      <c r="A235" s="6">
        <v>45940</v>
      </c>
      <c r="B235" t="s">
        <v>17</v>
      </c>
      <c r="C235" t="s">
        <v>321</v>
      </c>
      <c r="D235" t="s">
        <v>324</v>
      </c>
      <c r="E235" t="s">
        <v>15</v>
      </c>
      <c r="F235">
        <v>22</v>
      </c>
      <c r="G235">
        <v>242.11</v>
      </c>
      <c r="H235">
        <v>193.03</v>
      </c>
      <c r="I235" s="4">
        <f t="shared" si="3"/>
        <v>0.25426099570015032</v>
      </c>
    </row>
    <row r="236" spans="1:9" x14ac:dyDescent="0.2">
      <c r="A236" s="6">
        <v>45940</v>
      </c>
      <c r="B236" t="s">
        <v>29</v>
      </c>
      <c r="C236" t="s">
        <v>100</v>
      </c>
      <c r="D236" t="s">
        <v>325</v>
      </c>
      <c r="E236" t="s">
        <v>15</v>
      </c>
      <c r="F236">
        <v>21</v>
      </c>
      <c r="G236">
        <v>171.34</v>
      </c>
      <c r="H236">
        <v>120.68</v>
      </c>
      <c r="I236" s="4">
        <f t="shared" si="3"/>
        <v>0.41978786874378515</v>
      </c>
    </row>
    <row r="237" spans="1:9" x14ac:dyDescent="0.2">
      <c r="A237" s="6">
        <v>45940</v>
      </c>
      <c r="B237" t="s">
        <v>29</v>
      </c>
      <c r="C237" t="s">
        <v>100</v>
      </c>
      <c r="D237" t="s">
        <v>326</v>
      </c>
      <c r="E237" t="s">
        <v>12</v>
      </c>
      <c r="F237">
        <v>16</v>
      </c>
      <c r="G237">
        <v>416.35</v>
      </c>
      <c r="H237">
        <v>359.15</v>
      </c>
      <c r="I237" s="4">
        <f t="shared" si="3"/>
        <v>0.15926493108728956</v>
      </c>
    </row>
    <row r="238" spans="1:9" x14ac:dyDescent="0.2">
      <c r="A238" s="6">
        <v>45940</v>
      </c>
      <c r="B238" t="s">
        <v>29</v>
      </c>
      <c r="C238" t="s">
        <v>100</v>
      </c>
      <c r="D238" t="s">
        <v>327</v>
      </c>
      <c r="E238" t="s">
        <v>74</v>
      </c>
      <c r="F238">
        <v>22</v>
      </c>
      <c r="G238">
        <v>1079.4100000000001</v>
      </c>
      <c r="H238">
        <v>690.32</v>
      </c>
      <c r="I238" s="4">
        <f t="shared" si="3"/>
        <v>0.56363715378375245</v>
      </c>
    </row>
    <row r="239" spans="1:9" x14ac:dyDescent="0.2">
      <c r="A239" s="6">
        <v>45941</v>
      </c>
      <c r="B239" t="s">
        <v>17</v>
      </c>
      <c r="C239" t="s">
        <v>328</v>
      </c>
      <c r="D239" t="s">
        <v>329</v>
      </c>
      <c r="E239" t="s">
        <v>74</v>
      </c>
      <c r="F239">
        <v>14</v>
      </c>
      <c r="G239">
        <v>964.8</v>
      </c>
      <c r="H239">
        <v>688.24</v>
      </c>
      <c r="I239" s="4">
        <f t="shared" si="3"/>
        <v>0.40183656863884681</v>
      </c>
    </row>
    <row r="240" spans="1:9" x14ac:dyDescent="0.2">
      <c r="A240" s="6">
        <v>45941</v>
      </c>
      <c r="B240" t="s">
        <v>17</v>
      </c>
      <c r="C240" t="s">
        <v>328</v>
      </c>
      <c r="D240" t="s">
        <v>59</v>
      </c>
      <c r="E240" t="s">
        <v>12</v>
      </c>
      <c r="F240">
        <v>13</v>
      </c>
      <c r="G240">
        <v>314.24</v>
      </c>
      <c r="H240">
        <v>274.83999999999997</v>
      </c>
      <c r="I240" s="4">
        <f t="shared" si="3"/>
        <v>0.14335613447824203</v>
      </c>
    </row>
    <row r="241" spans="1:9" x14ac:dyDescent="0.2">
      <c r="A241" s="6">
        <v>45941</v>
      </c>
      <c r="B241" t="s">
        <v>17</v>
      </c>
      <c r="C241" t="s">
        <v>328</v>
      </c>
      <c r="D241" t="s">
        <v>330</v>
      </c>
      <c r="E241" t="s">
        <v>25</v>
      </c>
      <c r="F241">
        <v>11</v>
      </c>
      <c r="G241">
        <v>382.56</v>
      </c>
      <c r="H241">
        <v>333.6</v>
      </c>
      <c r="I241" s="4">
        <f t="shared" si="3"/>
        <v>0.14676258992805749</v>
      </c>
    </row>
    <row r="242" spans="1:9" x14ac:dyDescent="0.2">
      <c r="A242" s="6">
        <v>45941</v>
      </c>
      <c r="B242" t="s">
        <v>17</v>
      </c>
      <c r="C242" t="s">
        <v>328</v>
      </c>
      <c r="D242" t="s">
        <v>246</v>
      </c>
      <c r="E242" t="s">
        <v>34</v>
      </c>
      <c r="F242">
        <v>13</v>
      </c>
      <c r="G242">
        <v>282.91000000000003</v>
      </c>
      <c r="H242">
        <v>211.81</v>
      </c>
      <c r="I242" s="4">
        <f t="shared" si="3"/>
        <v>0.33567820216231536</v>
      </c>
    </row>
    <row r="243" spans="1:9" x14ac:dyDescent="0.2">
      <c r="A243" s="6">
        <v>45941</v>
      </c>
      <c r="B243" t="s">
        <v>43</v>
      </c>
      <c r="C243" t="s">
        <v>289</v>
      </c>
      <c r="D243" t="s">
        <v>331</v>
      </c>
      <c r="E243" t="s">
        <v>23</v>
      </c>
      <c r="F243">
        <v>53</v>
      </c>
      <c r="G243">
        <v>1099.98</v>
      </c>
      <c r="H243">
        <v>732.18</v>
      </c>
      <c r="I243" s="4">
        <f t="shared" si="3"/>
        <v>0.50233549127263799</v>
      </c>
    </row>
    <row r="244" spans="1:9" x14ac:dyDescent="0.2">
      <c r="A244" s="6">
        <v>45941</v>
      </c>
      <c r="B244" t="s">
        <v>43</v>
      </c>
      <c r="C244" t="s">
        <v>289</v>
      </c>
      <c r="D244" t="s">
        <v>332</v>
      </c>
      <c r="E244" t="s">
        <v>15</v>
      </c>
      <c r="F244">
        <v>14</v>
      </c>
      <c r="G244">
        <v>220.41</v>
      </c>
      <c r="H244">
        <v>155.68</v>
      </c>
      <c r="I244" s="4">
        <f t="shared" si="3"/>
        <v>0.41578879753340175</v>
      </c>
    </row>
    <row r="245" spans="1:9" x14ac:dyDescent="0.2">
      <c r="A245" s="6">
        <v>45941</v>
      </c>
      <c r="B245" t="s">
        <v>43</v>
      </c>
      <c r="C245" t="s">
        <v>289</v>
      </c>
      <c r="D245" t="s">
        <v>333</v>
      </c>
      <c r="E245" t="s">
        <v>12</v>
      </c>
      <c r="F245">
        <v>16</v>
      </c>
      <c r="G245">
        <v>226.86</v>
      </c>
      <c r="H245">
        <v>164.55</v>
      </c>
      <c r="I245" s="4">
        <f t="shared" si="3"/>
        <v>0.37866909753874201</v>
      </c>
    </row>
    <row r="246" spans="1:9" x14ac:dyDescent="0.2">
      <c r="A246" s="6">
        <v>45941</v>
      </c>
      <c r="B246" t="s">
        <v>48</v>
      </c>
      <c r="C246" t="s">
        <v>334</v>
      </c>
      <c r="D246" t="s">
        <v>335</v>
      </c>
      <c r="E246" t="s">
        <v>12</v>
      </c>
      <c r="F246">
        <v>12</v>
      </c>
      <c r="G246">
        <v>422.69</v>
      </c>
      <c r="H246">
        <v>301.47000000000003</v>
      </c>
      <c r="I246" s="4">
        <f t="shared" si="3"/>
        <v>0.40209639433442784</v>
      </c>
    </row>
    <row r="247" spans="1:9" x14ac:dyDescent="0.2">
      <c r="A247" s="6">
        <v>45941</v>
      </c>
      <c r="B247" t="s">
        <v>48</v>
      </c>
      <c r="C247" t="s">
        <v>334</v>
      </c>
      <c r="D247" t="s">
        <v>336</v>
      </c>
      <c r="E247" t="s">
        <v>15</v>
      </c>
      <c r="F247">
        <v>17</v>
      </c>
      <c r="G247">
        <v>156.79</v>
      </c>
      <c r="H247">
        <v>114.87</v>
      </c>
      <c r="I247" s="4">
        <f t="shared" si="3"/>
        <v>0.36493427352659513</v>
      </c>
    </row>
    <row r="248" spans="1:9" x14ac:dyDescent="0.2">
      <c r="A248" s="6">
        <v>45941</v>
      </c>
      <c r="B248" t="s">
        <v>48</v>
      </c>
      <c r="C248" t="s">
        <v>334</v>
      </c>
      <c r="D248" t="s">
        <v>337</v>
      </c>
      <c r="E248" t="s">
        <v>34</v>
      </c>
      <c r="F248">
        <v>9</v>
      </c>
      <c r="G248">
        <v>123.37</v>
      </c>
      <c r="H248">
        <v>88.01</v>
      </c>
      <c r="I248" s="4">
        <f t="shared" si="3"/>
        <v>0.40177252584933526</v>
      </c>
    </row>
    <row r="249" spans="1:9" x14ac:dyDescent="0.2">
      <c r="A249" s="6">
        <v>45941</v>
      </c>
      <c r="B249" t="s">
        <v>103</v>
      </c>
      <c r="C249" t="s">
        <v>338</v>
      </c>
      <c r="D249" t="s">
        <v>339</v>
      </c>
      <c r="E249" t="s">
        <v>12</v>
      </c>
      <c r="F249">
        <v>30</v>
      </c>
      <c r="G249">
        <v>858.68</v>
      </c>
      <c r="H249">
        <v>730.26</v>
      </c>
      <c r="I249" s="4">
        <f t="shared" si="3"/>
        <v>0.17585517486922461</v>
      </c>
    </row>
    <row r="250" spans="1:9" x14ac:dyDescent="0.2">
      <c r="A250" s="6">
        <v>45941</v>
      </c>
      <c r="B250" t="s">
        <v>103</v>
      </c>
      <c r="C250" t="s">
        <v>338</v>
      </c>
      <c r="D250" t="s">
        <v>340</v>
      </c>
      <c r="E250" t="s">
        <v>74</v>
      </c>
      <c r="F250">
        <v>26</v>
      </c>
      <c r="G250">
        <v>666.83</v>
      </c>
      <c r="H250">
        <v>420.13</v>
      </c>
      <c r="I250" s="4">
        <f t="shared" si="3"/>
        <v>0.58719920024754257</v>
      </c>
    </row>
    <row r="251" spans="1:9" x14ac:dyDescent="0.2">
      <c r="A251" s="6">
        <v>45941</v>
      </c>
      <c r="B251" t="s">
        <v>9</v>
      </c>
      <c r="C251" t="s">
        <v>341</v>
      </c>
      <c r="D251" t="s">
        <v>342</v>
      </c>
      <c r="E251" t="s">
        <v>15</v>
      </c>
      <c r="F251">
        <v>31</v>
      </c>
      <c r="G251">
        <v>522.27</v>
      </c>
      <c r="H251">
        <v>438.86</v>
      </c>
      <c r="I251" s="4">
        <f t="shared" si="3"/>
        <v>0.19006061158455992</v>
      </c>
    </row>
    <row r="252" spans="1:9" x14ac:dyDescent="0.2">
      <c r="A252" s="6">
        <v>45941</v>
      </c>
      <c r="B252" t="s">
        <v>9</v>
      </c>
      <c r="C252" t="s">
        <v>341</v>
      </c>
      <c r="D252" t="s">
        <v>73</v>
      </c>
      <c r="E252" t="s">
        <v>74</v>
      </c>
      <c r="F252">
        <v>29</v>
      </c>
      <c r="G252">
        <v>1934.64</v>
      </c>
      <c r="H252">
        <v>1389.21</v>
      </c>
      <c r="I252" s="4">
        <f t="shared" si="3"/>
        <v>0.3926188265273069</v>
      </c>
    </row>
    <row r="253" spans="1:9" x14ac:dyDescent="0.2">
      <c r="A253" s="6">
        <v>45941</v>
      </c>
      <c r="B253" t="s">
        <v>29</v>
      </c>
      <c r="C253" t="s">
        <v>261</v>
      </c>
      <c r="D253" t="s">
        <v>343</v>
      </c>
      <c r="E253" t="s">
        <v>23</v>
      </c>
      <c r="F253">
        <v>43</v>
      </c>
      <c r="G253">
        <v>736.78</v>
      </c>
      <c r="H253">
        <v>644.38</v>
      </c>
      <c r="I253" s="4">
        <f t="shared" si="3"/>
        <v>0.14339364970979854</v>
      </c>
    </row>
    <row r="254" spans="1:9" x14ac:dyDescent="0.2">
      <c r="A254" s="6">
        <v>45941</v>
      </c>
      <c r="B254" t="s">
        <v>36</v>
      </c>
      <c r="C254" t="s">
        <v>344</v>
      </c>
      <c r="D254" t="s">
        <v>345</v>
      </c>
      <c r="E254" t="s">
        <v>23</v>
      </c>
      <c r="F254">
        <v>16</v>
      </c>
      <c r="G254">
        <v>376.74</v>
      </c>
      <c r="H254">
        <v>321.63</v>
      </c>
      <c r="I254" s="4">
        <f t="shared" si="3"/>
        <v>0.17134595653390547</v>
      </c>
    </row>
    <row r="255" spans="1:9" x14ac:dyDescent="0.2">
      <c r="A255" s="6">
        <v>45941</v>
      </c>
      <c r="B255" t="s">
        <v>17</v>
      </c>
      <c r="C255" t="s">
        <v>346</v>
      </c>
      <c r="D255" t="s">
        <v>347</v>
      </c>
      <c r="E255" t="s">
        <v>34</v>
      </c>
      <c r="F255">
        <v>4</v>
      </c>
      <c r="G255">
        <v>69.8</v>
      </c>
      <c r="H255">
        <v>59.8</v>
      </c>
      <c r="I255" s="4">
        <f t="shared" si="3"/>
        <v>0.16722408026755853</v>
      </c>
    </row>
    <row r="256" spans="1:9" x14ac:dyDescent="0.2">
      <c r="A256" s="6">
        <v>45941</v>
      </c>
      <c r="B256" t="s">
        <v>17</v>
      </c>
      <c r="C256" t="s">
        <v>346</v>
      </c>
      <c r="D256" t="s">
        <v>199</v>
      </c>
      <c r="E256" t="s">
        <v>23</v>
      </c>
      <c r="F256">
        <v>11</v>
      </c>
      <c r="G256">
        <v>161.19999999999999</v>
      </c>
      <c r="H256">
        <v>122.1</v>
      </c>
      <c r="I256" s="4">
        <f t="shared" si="3"/>
        <v>0.32022932022932021</v>
      </c>
    </row>
    <row r="257" spans="1:9" x14ac:dyDescent="0.2">
      <c r="A257" s="6">
        <v>45942</v>
      </c>
      <c r="B257" t="s">
        <v>36</v>
      </c>
      <c r="C257" t="s">
        <v>348</v>
      </c>
      <c r="D257" t="s">
        <v>349</v>
      </c>
      <c r="E257" t="s">
        <v>12</v>
      </c>
      <c r="F257">
        <v>6</v>
      </c>
      <c r="G257">
        <v>198.23</v>
      </c>
      <c r="H257">
        <v>166.93</v>
      </c>
      <c r="I257" s="4">
        <f t="shared" si="3"/>
        <v>0.18750374408434661</v>
      </c>
    </row>
    <row r="258" spans="1:9" x14ac:dyDescent="0.2">
      <c r="A258" s="6">
        <v>45942</v>
      </c>
      <c r="B258" t="s">
        <v>36</v>
      </c>
      <c r="C258" t="s">
        <v>348</v>
      </c>
      <c r="D258" t="s">
        <v>115</v>
      </c>
      <c r="E258" t="s">
        <v>25</v>
      </c>
      <c r="F258">
        <v>15</v>
      </c>
      <c r="G258">
        <v>263.45999999999998</v>
      </c>
      <c r="H258">
        <v>172.78</v>
      </c>
      <c r="I258" s="4">
        <f t="shared" ref="I258:I321" si="4">(G258-H258)/H258</f>
        <v>0.52482926264613949</v>
      </c>
    </row>
    <row r="259" spans="1:9" x14ac:dyDescent="0.2">
      <c r="A259" s="6">
        <v>45942</v>
      </c>
      <c r="B259" t="s">
        <v>103</v>
      </c>
      <c r="C259" t="s">
        <v>350</v>
      </c>
      <c r="D259" t="s">
        <v>351</v>
      </c>
      <c r="E259" t="s">
        <v>74</v>
      </c>
      <c r="F259">
        <v>10</v>
      </c>
      <c r="G259">
        <v>511.29</v>
      </c>
      <c r="H259">
        <v>361.43</v>
      </c>
      <c r="I259" s="4">
        <f t="shared" si="4"/>
        <v>0.41463077221038658</v>
      </c>
    </row>
    <row r="260" spans="1:9" x14ac:dyDescent="0.2">
      <c r="A260" s="6">
        <v>45942</v>
      </c>
      <c r="B260" t="s">
        <v>103</v>
      </c>
      <c r="C260" t="s">
        <v>350</v>
      </c>
      <c r="D260" t="s">
        <v>352</v>
      </c>
      <c r="E260" t="s">
        <v>34</v>
      </c>
      <c r="F260">
        <v>13</v>
      </c>
      <c r="G260">
        <v>207.79</v>
      </c>
      <c r="H260">
        <v>135.91999999999999</v>
      </c>
      <c r="I260" s="4">
        <f t="shared" si="4"/>
        <v>0.52876692171865813</v>
      </c>
    </row>
    <row r="261" spans="1:9" x14ac:dyDescent="0.2">
      <c r="A261" s="6">
        <v>45942</v>
      </c>
      <c r="B261" t="s">
        <v>103</v>
      </c>
      <c r="C261" t="s">
        <v>350</v>
      </c>
      <c r="D261" t="s">
        <v>113</v>
      </c>
      <c r="E261" t="s">
        <v>15</v>
      </c>
      <c r="F261">
        <v>16</v>
      </c>
      <c r="G261">
        <v>139.85</v>
      </c>
      <c r="H261">
        <v>88.37</v>
      </c>
      <c r="I261" s="4">
        <f t="shared" si="4"/>
        <v>0.58255063935724782</v>
      </c>
    </row>
    <row r="262" spans="1:9" x14ac:dyDescent="0.2">
      <c r="A262" s="6">
        <v>45942</v>
      </c>
      <c r="B262" t="s">
        <v>103</v>
      </c>
      <c r="C262" t="s">
        <v>350</v>
      </c>
      <c r="D262" t="s">
        <v>353</v>
      </c>
      <c r="E262" t="s">
        <v>12</v>
      </c>
      <c r="F262">
        <v>5</v>
      </c>
      <c r="G262">
        <v>126</v>
      </c>
      <c r="H262">
        <v>108.39</v>
      </c>
      <c r="I262" s="4">
        <f t="shared" si="4"/>
        <v>0.16246886244118461</v>
      </c>
    </row>
    <row r="263" spans="1:9" x14ac:dyDescent="0.2">
      <c r="A263" s="6">
        <v>45942</v>
      </c>
      <c r="B263" t="s">
        <v>103</v>
      </c>
      <c r="C263" t="s">
        <v>267</v>
      </c>
      <c r="D263" t="s">
        <v>354</v>
      </c>
      <c r="E263" t="s">
        <v>12</v>
      </c>
      <c r="F263">
        <v>14</v>
      </c>
      <c r="G263">
        <v>320.17</v>
      </c>
      <c r="H263">
        <v>229.55</v>
      </c>
      <c r="I263" s="4">
        <f t="shared" si="4"/>
        <v>0.39477238074493576</v>
      </c>
    </row>
    <row r="264" spans="1:9" x14ac:dyDescent="0.2">
      <c r="A264" s="6">
        <v>45943</v>
      </c>
      <c r="B264" t="s">
        <v>9</v>
      </c>
      <c r="C264" t="s">
        <v>355</v>
      </c>
      <c r="D264" t="s">
        <v>356</v>
      </c>
      <c r="E264" t="s">
        <v>15</v>
      </c>
      <c r="F264">
        <v>17</v>
      </c>
      <c r="G264">
        <v>272.24</v>
      </c>
      <c r="H264">
        <v>184.45</v>
      </c>
      <c r="I264" s="4">
        <f t="shared" si="4"/>
        <v>0.47595554350772579</v>
      </c>
    </row>
    <row r="265" spans="1:9" x14ac:dyDescent="0.2">
      <c r="A265" s="6">
        <v>45943</v>
      </c>
      <c r="B265" t="s">
        <v>9</v>
      </c>
      <c r="C265" t="s">
        <v>355</v>
      </c>
      <c r="D265" t="s">
        <v>357</v>
      </c>
      <c r="E265" t="s">
        <v>34</v>
      </c>
      <c r="F265">
        <v>8</v>
      </c>
      <c r="G265">
        <v>175.01</v>
      </c>
      <c r="H265">
        <v>149.09</v>
      </c>
      <c r="I265" s="4">
        <f t="shared" si="4"/>
        <v>0.173854718626333</v>
      </c>
    </row>
    <row r="266" spans="1:9" x14ac:dyDescent="0.2">
      <c r="A266" s="6">
        <v>45943</v>
      </c>
      <c r="B266" t="s">
        <v>36</v>
      </c>
      <c r="C266" t="s">
        <v>186</v>
      </c>
      <c r="D266" t="s">
        <v>358</v>
      </c>
      <c r="E266" t="s">
        <v>23</v>
      </c>
      <c r="F266">
        <v>7</v>
      </c>
      <c r="G266">
        <v>108.93</v>
      </c>
      <c r="H266">
        <v>90.44</v>
      </c>
      <c r="I266" s="4">
        <f t="shared" si="4"/>
        <v>0.20444493586908458</v>
      </c>
    </row>
    <row r="267" spans="1:9" x14ac:dyDescent="0.2">
      <c r="A267" s="6">
        <v>45943</v>
      </c>
      <c r="B267" t="s">
        <v>36</v>
      </c>
      <c r="C267" t="s">
        <v>186</v>
      </c>
      <c r="D267" t="s">
        <v>359</v>
      </c>
      <c r="E267" t="s">
        <v>34</v>
      </c>
      <c r="F267">
        <v>15</v>
      </c>
      <c r="G267">
        <v>326.75</v>
      </c>
      <c r="H267">
        <v>254.65</v>
      </c>
      <c r="I267" s="4">
        <f t="shared" si="4"/>
        <v>0.28313371293932849</v>
      </c>
    </row>
    <row r="268" spans="1:9" x14ac:dyDescent="0.2">
      <c r="A268" s="6">
        <v>45943</v>
      </c>
      <c r="B268" t="s">
        <v>36</v>
      </c>
      <c r="C268" t="s">
        <v>186</v>
      </c>
      <c r="D268" t="s">
        <v>360</v>
      </c>
      <c r="E268" t="s">
        <v>12</v>
      </c>
      <c r="F268">
        <v>14</v>
      </c>
      <c r="G268">
        <v>485.51</v>
      </c>
      <c r="H268">
        <v>338.44</v>
      </c>
      <c r="I268" s="4">
        <f t="shared" si="4"/>
        <v>0.43455265335066773</v>
      </c>
    </row>
    <row r="269" spans="1:9" x14ac:dyDescent="0.2">
      <c r="A269" s="6">
        <v>45943</v>
      </c>
      <c r="B269" t="s">
        <v>36</v>
      </c>
      <c r="C269" t="s">
        <v>186</v>
      </c>
      <c r="D269" t="s">
        <v>91</v>
      </c>
      <c r="E269" t="s">
        <v>34</v>
      </c>
      <c r="F269">
        <v>8</v>
      </c>
      <c r="G269">
        <v>238.84</v>
      </c>
      <c r="H269">
        <v>155.15</v>
      </c>
      <c r="I269" s="4">
        <f t="shared" si="4"/>
        <v>0.53941347083467606</v>
      </c>
    </row>
    <row r="270" spans="1:9" x14ac:dyDescent="0.2">
      <c r="A270" s="6">
        <v>45943</v>
      </c>
      <c r="B270" t="s">
        <v>43</v>
      </c>
      <c r="C270" t="s">
        <v>361</v>
      </c>
      <c r="D270" t="s">
        <v>362</v>
      </c>
      <c r="E270" t="s">
        <v>23</v>
      </c>
      <c r="F270">
        <v>34</v>
      </c>
      <c r="G270">
        <v>324.04000000000002</v>
      </c>
      <c r="H270">
        <v>211.5</v>
      </c>
      <c r="I270" s="4">
        <f t="shared" si="4"/>
        <v>0.53210401891252967</v>
      </c>
    </row>
    <row r="271" spans="1:9" x14ac:dyDescent="0.2">
      <c r="A271" s="6">
        <v>45943</v>
      </c>
      <c r="B271" t="s">
        <v>103</v>
      </c>
      <c r="C271" t="s">
        <v>363</v>
      </c>
      <c r="D271" t="s">
        <v>326</v>
      </c>
      <c r="E271" t="s">
        <v>12</v>
      </c>
      <c r="F271">
        <v>22</v>
      </c>
      <c r="G271">
        <v>602.33000000000004</v>
      </c>
      <c r="H271">
        <v>469.15</v>
      </c>
      <c r="I271" s="4">
        <f t="shared" si="4"/>
        <v>0.28387509325375693</v>
      </c>
    </row>
    <row r="272" spans="1:9" x14ac:dyDescent="0.2">
      <c r="A272" s="6">
        <v>45943</v>
      </c>
      <c r="B272" t="s">
        <v>103</v>
      </c>
      <c r="C272" t="s">
        <v>363</v>
      </c>
      <c r="D272" t="s">
        <v>364</v>
      </c>
      <c r="E272" t="s">
        <v>12</v>
      </c>
      <c r="F272">
        <v>8</v>
      </c>
      <c r="G272">
        <v>243.98</v>
      </c>
      <c r="H272">
        <v>209.24</v>
      </c>
      <c r="I272" s="4">
        <f t="shared" si="4"/>
        <v>0.16602943987765237</v>
      </c>
    </row>
    <row r="273" spans="1:9" x14ac:dyDescent="0.2">
      <c r="A273" s="6">
        <v>45943</v>
      </c>
      <c r="B273" t="s">
        <v>103</v>
      </c>
      <c r="C273" t="s">
        <v>363</v>
      </c>
      <c r="D273" t="s">
        <v>279</v>
      </c>
      <c r="E273" t="s">
        <v>12</v>
      </c>
      <c r="F273">
        <v>14</v>
      </c>
      <c r="G273">
        <v>346.58</v>
      </c>
      <c r="H273">
        <v>272.57</v>
      </c>
      <c r="I273" s="4">
        <f t="shared" si="4"/>
        <v>0.2715265803279891</v>
      </c>
    </row>
    <row r="274" spans="1:9" x14ac:dyDescent="0.2">
      <c r="A274" s="6">
        <v>45943</v>
      </c>
      <c r="B274" t="s">
        <v>48</v>
      </c>
      <c r="C274" t="s">
        <v>365</v>
      </c>
      <c r="D274" t="s">
        <v>366</v>
      </c>
      <c r="E274" t="s">
        <v>12</v>
      </c>
      <c r="F274">
        <v>14</v>
      </c>
      <c r="G274">
        <v>369.86</v>
      </c>
      <c r="H274">
        <v>253.96</v>
      </c>
      <c r="I274" s="4">
        <f t="shared" si="4"/>
        <v>0.45637108206016697</v>
      </c>
    </row>
    <row r="275" spans="1:9" x14ac:dyDescent="0.2">
      <c r="A275" s="6">
        <v>45943</v>
      </c>
      <c r="B275" t="s">
        <v>48</v>
      </c>
      <c r="C275" t="s">
        <v>365</v>
      </c>
      <c r="D275" t="s">
        <v>166</v>
      </c>
      <c r="E275" t="s">
        <v>23</v>
      </c>
      <c r="F275">
        <v>30</v>
      </c>
      <c r="G275">
        <v>252.84</v>
      </c>
      <c r="H275">
        <v>167.31</v>
      </c>
      <c r="I275" s="4">
        <f t="shared" si="4"/>
        <v>0.51120674197597271</v>
      </c>
    </row>
    <row r="276" spans="1:9" x14ac:dyDescent="0.2">
      <c r="A276" s="6">
        <v>45943</v>
      </c>
      <c r="B276" t="s">
        <v>48</v>
      </c>
      <c r="C276" t="s">
        <v>365</v>
      </c>
      <c r="D276" t="s">
        <v>367</v>
      </c>
      <c r="E276" t="s">
        <v>74</v>
      </c>
      <c r="F276">
        <v>18</v>
      </c>
      <c r="G276">
        <v>1287.48</v>
      </c>
      <c r="H276">
        <v>1078.56</v>
      </c>
      <c r="I276" s="4">
        <f t="shared" si="4"/>
        <v>0.19370271473075218</v>
      </c>
    </row>
    <row r="277" spans="1:9" x14ac:dyDescent="0.2">
      <c r="A277" s="6">
        <v>45943</v>
      </c>
      <c r="B277" t="s">
        <v>48</v>
      </c>
      <c r="C277" t="s">
        <v>365</v>
      </c>
      <c r="D277" t="s">
        <v>368</v>
      </c>
      <c r="E277" t="s">
        <v>15</v>
      </c>
      <c r="F277">
        <v>23</v>
      </c>
      <c r="G277">
        <v>253.41</v>
      </c>
      <c r="H277">
        <v>207.42</v>
      </c>
      <c r="I277" s="4">
        <f t="shared" si="4"/>
        <v>0.22172403818339606</v>
      </c>
    </row>
    <row r="278" spans="1:9" x14ac:dyDescent="0.2">
      <c r="A278" s="6">
        <v>45943</v>
      </c>
      <c r="B278" t="s">
        <v>9</v>
      </c>
      <c r="C278" t="s">
        <v>369</v>
      </c>
      <c r="D278" t="s">
        <v>268</v>
      </c>
      <c r="E278" t="s">
        <v>15</v>
      </c>
      <c r="F278">
        <v>2</v>
      </c>
      <c r="G278">
        <v>13.81</v>
      </c>
      <c r="H278">
        <v>10.32</v>
      </c>
      <c r="I278" s="4">
        <f t="shared" si="4"/>
        <v>0.3381782945736434</v>
      </c>
    </row>
    <row r="279" spans="1:9" x14ac:dyDescent="0.2">
      <c r="A279" s="6">
        <v>45943</v>
      </c>
      <c r="B279" t="s">
        <v>48</v>
      </c>
      <c r="C279" t="s">
        <v>205</v>
      </c>
      <c r="D279" t="s">
        <v>83</v>
      </c>
      <c r="E279" t="s">
        <v>74</v>
      </c>
      <c r="F279">
        <v>7</v>
      </c>
      <c r="G279">
        <v>421.64</v>
      </c>
      <c r="H279">
        <v>325.70999999999998</v>
      </c>
      <c r="I279" s="4">
        <f t="shared" si="4"/>
        <v>0.29452580516410309</v>
      </c>
    </row>
    <row r="280" spans="1:9" x14ac:dyDescent="0.2">
      <c r="A280" s="6">
        <v>45943</v>
      </c>
      <c r="B280" t="s">
        <v>9</v>
      </c>
      <c r="C280" t="s">
        <v>370</v>
      </c>
      <c r="D280" t="s">
        <v>371</v>
      </c>
      <c r="E280" t="s">
        <v>15</v>
      </c>
      <c r="F280">
        <v>16</v>
      </c>
      <c r="G280">
        <v>271.01</v>
      </c>
      <c r="H280">
        <v>171.79</v>
      </c>
      <c r="I280" s="4">
        <f t="shared" si="4"/>
        <v>0.57756563245823389</v>
      </c>
    </row>
    <row r="281" spans="1:9" x14ac:dyDescent="0.2">
      <c r="A281" s="6">
        <v>45943</v>
      </c>
      <c r="B281" t="s">
        <v>9</v>
      </c>
      <c r="C281" t="s">
        <v>370</v>
      </c>
      <c r="D281" t="s">
        <v>372</v>
      </c>
      <c r="E281" t="s">
        <v>15</v>
      </c>
      <c r="F281">
        <v>56</v>
      </c>
      <c r="G281">
        <v>828.09</v>
      </c>
      <c r="H281">
        <v>543.03</v>
      </c>
      <c r="I281" s="4">
        <f t="shared" si="4"/>
        <v>0.5249433732942933</v>
      </c>
    </row>
    <row r="282" spans="1:9" x14ac:dyDescent="0.2">
      <c r="A282" s="6">
        <v>45943</v>
      </c>
      <c r="B282" t="s">
        <v>9</v>
      </c>
      <c r="C282" t="s">
        <v>370</v>
      </c>
      <c r="D282" t="s">
        <v>373</v>
      </c>
      <c r="E282" t="s">
        <v>23</v>
      </c>
      <c r="F282">
        <v>23</v>
      </c>
      <c r="G282">
        <v>419.31</v>
      </c>
      <c r="H282">
        <v>366</v>
      </c>
      <c r="I282" s="4">
        <f t="shared" si="4"/>
        <v>0.14565573770491805</v>
      </c>
    </row>
    <row r="283" spans="1:9" x14ac:dyDescent="0.2">
      <c r="A283" s="6">
        <v>45943</v>
      </c>
      <c r="B283" t="s">
        <v>48</v>
      </c>
      <c r="C283" t="s">
        <v>374</v>
      </c>
      <c r="D283" t="s">
        <v>317</v>
      </c>
      <c r="E283" t="s">
        <v>74</v>
      </c>
      <c r="F283">
        <v>133</v>
      </c>
      <c r="G283">
        <v>10214.09</v>
      </c>
      <c r="H283">
        <v>6414.83</v>
      </c>
      <c r="I283" s="4">
        <f t="shared" si="4"/>
        <v>0.59226199291329629</v>
      </c>
    </row>
    <row r="284" spans="1:9" x14ac:dyDescent="0.2">
      <c r="A284" s="6">
        <v>45943</v>
      </c>
      <c r="B284" t="s">
        <v>48</v>
      </c>
      <c r="C284" t="s">
        <v>374</v>
      </c>
      <c r="D284" t="s">
        <v>375</v>
      </c>
      <c r="E284" t="s">
        <v>12</v>
      </c>
      <c r="F284">
        <v>18</v>
      </c>
      <c r="G284">
        <v>496.26</v>
      </c>
      <c r="H284">
        <v>411.61</v>
      </c>
      <c r="I284" s="4">
        <f t="shared" si="4"/>
        <v>0.20565583926532391</v>
      </c>
    </row>
    <row r="285" spans="1:9" x14ac:dyDescent="0.2">
      <c r="A285" s="6">
        <v>45943</v>
      </c>
      <c r="B285" t="s">
        <v>48</v>
      </c>
      <c r="C285" t="s">
        <v>374</v>
      </c>
      <c r="D285" t="s">
        <v>376</v>
      </c>
      <c r="E285" t="s">
        <v>25</v>
      </c>
      <c r="F285">
        <v>27</v>
      </c>
      <c r="G285">
        <v>1222.3399999999999</v>
      </c>
      <c r="H285">
        <v>811.46</v>
      </c>
      <c r="I285" s="4">
        <f t="shared" si="4"/>
        <v>0.50634658516747577</v>
      </c>
    </row>
    <row r="286" spans="1:9" x14ac:dyDescent="0.2">
      <c r="A286" s="6">
        <v>45943</v>
      </c>
      <c r="B286" t="s">
        <v>48</v>
      </c>
      <c r="C286" t="s">
        <v>374</v>
      </c>
      <c r="D286" t="s">
        <v>377</v>
      </c>
      <c r="E286" t="s">
        <v>23</v>
      </c>
      <c r="F286">
        <v>24</v>
      </c>
      <c r="G286">
        <v>204.39</v>
      </c>
      <c r="H286">
        <v>165.78</v>
      </c>
      <c r="I286" s="4">
        <f t="shared" si="4"/>
        <v>0.23289902280130284</v>
      </c>
    </row>
    <row r="287" spans="1:9" x14ac:dyDescent="0.2">
      <c r="A287" s="6">
        <v>45943</v>
      </c>
      <c r="B287" t="s">
        <v>48</v>
      </c>
      <c r="C287" t="s">
        <v>374</v>
      </c>
      <c r="D287" t="s">
        <v>378</v>
      </c>
      <c r="E287" t="s">
        <v>74</v>
      </c>
      <c r="F287">
        <v>5</v>
      </c>
      <c r="G287">
        <v>203.56</v>
      </c>
      <c r="H287">
        <v>134.29</v>
      </c>
      <c r="I287" s="4">
        <f t="shared" si="4"/>
        <v>0.51582396306500866</v>
      </c>
    </row>
    <row r="288" spans="1:9" x14ac:dyDescent="0.2">
      <c r="A288" s="6">
        <v>45943</v>
      </c>
      <c r="B288" t="s">
        <v>48</v>
      </c>
      <c r="C288" t="s">
        <v>379</v>
      </c>
      <c r="D288" t="s">
        <v>380</v>
      </c>
      <c r="E288" t="s">
        <v>25</v>
      </c>
      <c r="F288">
        <v>9</v>
      </c>
      <c r="G288">
        <v>184.63</v>
      </c>
      <c r="H288">
        <v>0</v>
      </c>
      <c r="I288" s="4" t="e">
        <f t="shared" si="4"/>
        <v>#DIV/0!</v>
      </c>
    </row>
    <row r="289" spans="1:9" x14ac:dyDescent="0.2">
      <c r="A289" s="6">
        <v>45943</v>
      </c>
      <c r="B289" t="s">
        <v>48</v>
      </c>
      <c r="C289" t="s">
        <v>379</v>
      </c>
      <c r="D289" t="s">
        <v>381</v>
      </c>
      <c r="E289" t="s">
        <v>25</v>
      </c>
      <c r="F289">
        <v>34</v>
      </c>
      <c r="G289">
        <v>1010.59</v>
      </c>
      <c r="H289">
        <v>652.79999999999995</v>
      </c>
      <c r="I289" s="4">
        <f t="shared" si="4"/>
        <v>0.54808517156862757</v>
      </c>
    </row>
    <row r="290" spans="1:9" x14ac:dyDescent="0.2">
      <c r="A290" s="6">
        <v>45943</v>
      </c>
      <c r="B290" t="s">
        <v>48</v>
      </c>
      <c r="C290" t="s">
        <v>379</v>
      </c>
      <c r="D290" t="s">
        <v>215</v>
      </c>
      <c r="E290" t="s">
        <v>25</v>
      </c>
      <c r="F290">
        <v>11</v>
      </c>
      <c r="G290">
        <v>206.34</v>
      </c>
      <c r="H290">
        <v>163.91</v>
      </c>
      <c r="I290" s="4">
        <f t="shared" si="4"/>
        <v>0.25886157037398577</v>
      </c>
    </row>
    <row r="291" spans="1:9" x14ac:dyDescent="0.2">
      <c r="A291" s="6">
        <v>45943</v>
      </c>
      <c r="B291" t="s">
        <v>17</v>
      </c>
      <c r="C291" t="s">
        <v>382</v>
      </c>
      <c r="D291" t="s">
        <v>383</v>
      </c>
      <c r="E291" t="s">
        <v>25</v>
      </c>
      <c r="F291">
        <v>12</v>
      </c>
      <c r="G291">
        <v>313</v>
      </c>
      <c r="H291">
        <v>270.42</v>
      </c>
      <c r="I291" s="4">
        <f t="shared" si="4"/>
        <v>0.15745876784261512</v>
      </c>
    </row>
    <row r="292" spans="1:9" x14ac:dyDescent="0.2">
      <c r="A292" s="6">
        <v>45943</v>
      </c>
      <c r="B292" t="s">
        <v>17</v>
      </c>
      <c r="C292" t="s">
        <v>382</v>
      </c>
      <c r="D292" t="s">
        <v>384</v>
      </c>
      <c r="E292" t="s">
        <v>74</v>
      </c>
      <c r="F292">
        <v>9</v>
      </c>
      <c r="G292">
        <v>672.63</v>
      </c>
      <c r="H292">
        <v>506.35</v>
      </c>
      <c r="I292" s="4">
        <f t="shared" si="4"/>
        <v>0.32838945393502511</v>
      </c>
    </row>
    <row r="293" spans="1:9" x14ac:dyDescent="0.2">
      <c r="A293" s="6">
        <v>45943</v>
      </c>
      <c r="B293" t="s">
        <v>17</v>
      </c>
      <c r="C293" t="s">
        <v>382</v>
      </c>
      <c r="D293" t="s">
        <v>385</v>
      </c>
      <c r="E293" t="s">
        <v>34</v>
      </c>
      <c r="F293">
        <v>13</v>
      </c>
      <c r="G293">
        <v>405.29</v>
      </c>
      <c r="H293">
        <v>346.57</v>
      </c>
      <c r="I293" s="4">
        <f t="shared" si="4"/>
        <v>0.1694318608073406</v>
      </c>
    </row>
    <row r="294" spans="1:9" x14ac:dyDescent="0.2">
      <c r="A294" s="6">
        <v>45943</v>
      </c>
      <c r="B294" t="s">
        <v>36</v>
      </c>
      <c r="C294" t="s">
        <v>386</v>
      </c>
      <c r="D294" t="s">
        <v>234</v>
      </c>
      <c r="E294" t="s">
        <v>12</v>
      </c>
      <c r="F294">
        <v>10</v>
      </c>
      <c r="G294">
        <v>372.04</v>
      </c>
      <c r="H294">
        <v>295.92</v>
      </c>
      <c r="I294" s="4">
        <f t="shared" si="4"/>
        <v>0.25723168423898352</v>
      </c>
    </row>
    <row r="295" spans="1:9" x14ac:dyDescent="0.2">
      <c r="A295" s="6">
        <v>45944</v>
      </c>
      <c r="B295" t="s">
        <v>17</v>
      </c>
      <c r="C295" t="s">
        <v>387</v>
      </c>
      <c r="D295" t="s">
        <v>388</v>
      </c>
      <c r="E295" t="s">
        <v>12</v>
      </c>
      <c r="F295">
        <v>20</v>
      </c>
      <c r="G295">
        <v>660.71</v>
      </c>
      <c r="H295">
        <v>557.39</v>
      </c>
      <c r="I295" s="4">
        <f t="shared" si="4"/>
        <v>0.1853639283087247</v>
      </c>
    </row>
    <row r="296" spans="1:9" x14ac:dyDescent="0.2">
      <c r="A296" s="6">
        <v>45944</v>
      </c>
      <c r="B296" t="s">
        <v>17</v>
      </c>
      <c r="C296" t="s">
        <v>387</v>
      </c>
      <c r="D296" t="s">
        <v>389</v>
      </c>
      <c r="E296" t="s">
        <v>15</v>
      </c>
      <c r="F296">
        <v>25</v>
      </c>
      <c r="G296">
        <v>334.01</v>
      </c>
      <c r="H296">
        <v>255.85</v>
      </c>
      <c r="I296" s="4">
        <f t="shared" si="4"/>
        <v>0.30549149892515143</v>
      </c>
    </row>
    <row r="297" spans="1:9" x14ac:dyDescent="0.2">
      <c r="A297" s="6">
        <v>45944</v>
      </c>
      <c r="B297" t="s">
        <v>17</v>
      </c>
      <c r="C297" t="s">
        <v>387</v>
      </c>
      <c r="D297" t="s">
        <v>390</v>
      </c>
      <c r="E297" t="s">
        <v>74</v>
      </c>
      <c r="F297">
        <v>10</v>
      </c>
      <c r="G297">
        <v>420.34</v>
      </c>
      <c r="H297">
        <v>357.24</v>
      </c>
      <c r="I297" s="4">
        <f t="shared" si="4"/>
        <v>0.17663195610793855</v>
      </c>
    </row>
    <row r="298" spans="1:9" x14ac:dyDescent="0.2">
      <c r="A298" s="6">
        <v>45944</v>
      </c>
      <c r="B298" t="s">
        <v>103</v>
      </c>
      <c r="C298" t="s">
        <v>391</v>
      </c>
      <c r="D298" t="s">
        <v>392</v>
      </c>
      <c r="E298" t="s">
        <v>15</v>
      </c>
      <c r="F298">
        <v>17</v>
      </c>
      <c r="G298">
        <v>176</v>
      </c>
      <c r="H298">
        <v>140.01</v>
      </c>
      <c r="I298" s="4">
        <f t="shared" si="4"/>
        <v>0.25705306763802593</v>
      </c>
    </row>
    <row r="299" spans="1:9" x14ac:dyDescent="0.2">
      <c r="A299" s="6">
        <v>45944</v>
      </c>
      <c r="B299" t="s">
        <v>103</v>
      </c>
      <c r="C299" t="s">
        <v>391</v>
      </c>
      <c r="D299" t="s">
        <v>393</v>
      </c>
      <c r="E299" t="s">
        <v>15</v>
      </c>
      <c r="F299">
        <v>14</v>
      </c>
      <c r="G299">
        <v>177.66</v>
      </c>
      <c r="H299">
        <v>128.91999999999999</v>
      </c>
      <c r="I299" s="4">
        <f t="shared" si="4"/>
        <v>0.37806391560657782</v>
      </c>
    </row>
    <row r="300" spans="1:9" x14ac:dyDescent="0.2">
      <c r="A300" s="6">
        <v>45944</v>
      </c>
      <c r="B300" t="s">
        <v>9</v>
      </c>
      <c r="C300" t="s">
        <v>394</v>
      </c>
      <c r="D300" t="s">
        <v>330</v>
      </c>
      <c r="E300" t="s">
        <v>25</v>
      </c>
      <c r="F300">
        <v>14</v>
      </c>
      <c r="G300">
        <v>476.95</v>
      </c>
      <c r="H300">
        <v>346.13</v>
      </c>
      <c r="I300" s="4">
        <f t="shared" si="4"/>
        <v>0.37795048103313783</v>
      </c>
    </row>
    <row r="301" spans="1:9" x14ac:dyDescent="0.2">
      <c r="A301" s="6">
        <v>45944</v>
      </c>
      <c r="B301" t="s">
        <v>9</v>
      </c>
      <c r="C301" t="s">
        <v>394</v>
      </c>
      <c r="D301" t="s">
        <v>395</v>
      </c>
      <c r="E301" t="s">
        <v>23</v>
      </c>
      <c r="F301">
        <v>19</v>
      </c>
      <c r="G301">
        <v>191.38</v>
      </c>
      <c r="H301">
        <v>160.31</v>
      </c>
      <c r="I301" s="4">
        <f t="shared" si="4"/>
        <v>0.1938119892707878</v>
      </c>
    </row>
    <row r="302" spans="1:9" x14ac:dyDescent="0.2">
      <c r="A302" s="6">
        <v>45944</v>
      </c>
      <c r="B302" t="s">
        <v>103</v>
      </c>
      <c r="C302" t="s">
        <v>396</v>
      </c>
      <c r="D302" t="s">
        <v>397</v>
      </c>
      <c r="E302" t="s">
        <v>15</v>
      </c>
      <c r="F302">
        <v>42</v>
      </c>
      <c r="G302">
        <v>271.92</v>
      </c>
      <c r="H302">
        <v>172.87</v>
      </c>
      <c r="I302" s="4">
        <f t="shared" si="4"/>
        <v>0.57297391103141093</v>
      </c>
    </row>
    <row r="303" spans="1:9" x14ac:dyDescent="0.2">
      <c r="A303" s="6">
        <v>45944</v>
      </c>
      <c r="B303" t="s">
        <v>103</v>
      </c>
      <c r="C303" t="s">
        <v>396</v>
      </c>
      <c r="D303" t="s">
        <v>398</v>
      </c>
      <c r="E303" t="s">
        <v>34</v>
      </c>
      <c r="F303">
        <v>61</v>
      </c>
      <c r="G303">
        <v>1496.97</v>
      </c>
      <c r="H303">
        <v>1114.1099999999999</v>
      </c>
      <c r="I303" s="4">
        <f t="shared" si="4"/>
        <v>0.34364649810162384</v>
      </c>
    </row>
    <row r="304" spans="1:9" x14ac:dyDescent="0.2">
      <c r="A304" s="6">
        <v>45944</v>
      </c>
      <c r="B304" t="s">
        <v>9</v>
      </c>
      <c r="C304" t="s">
        <v>399</v>
      </c>
      <c r="D304" t="s">
        <v>117</v>
      </c>
      <c r="E304" t="s">
        <v>12</v>
      </c>
      <c r="F304">
        <v>6</v>
      </c>
      <c r="G304">
        <v>213.43</v>
      </c>
      <c r="H304">
        <v>138.19</v>
      </c>
      <c r="I304" s="4">
        <f t="shared" si="4"/>
        <v>0.5444677617772633</v>
      </c>
    </row>
    <row r="305" spans="1:9" x14ac:dyDescent="0.2">
      <c r="A305" s="6">
        <v>45944</v>
      </c>
      <c r="B305" t="s">
        <v>9</v>
      </c>
      <c r="C305" t="s">
        <v>399</v>
      </c>
      <c r="D305" t="s">
        <v>400</v>
      </c>
      <c r="E305" t="s">
        <v>12</v>
      </c>
      <c r="F305">
        <v>15</v>
      </c>
      <c r="G305">
        <v>450.54</v>
      </c>
      <c r="H305">
        <v>377.71</v>
      </c>
      <c r="I305" s="4">
        <f t="shared" si="4"/>
        <v>0.19281988827407281</v>
      </c>
    </row>
    <row r="306" spans="1:9" x14ac:dyDescent="0.2">
      <c r="A306" s="6">
        <v>45945</v>
      </c>
      <c r="B306" t="s">
        <v>103</v>
      </c>
      <c r="C306" t="s">
        <v>247</v>
      </c>
      <c r="D306" t="s">
        <v>189</v>
      </c>
      <c r="E306" t="s">
        <v>15</v>
      </c>
      <c r="F306">
        <v>21</v>
      </c>
      <c r="G306">
        <v>178.77</v>
      </c>
      <c r="H306">
        <v>136.29</v>
      </c>
      <c r="I306" s="4">
        <f t="shared" si="4"/>
        <v>0.31168831168831185</v>
      </c>
    </row>
    <row r="307" spans="1:9" x14ac:dyDescent="0.2">
      <c r="A307" s="6">
        <v>45945</v>
      </c>
      <c r="B307" t="s">
        <v>103</v>
      </c>
      <c r="C307" t="s">
        <v>247</v>
      </c>
      <c r="D307" t="s">
        <v>401</v>
      </c>
      <c r="E307" t="s">
        <v>25</v>
      </c>
      <c r="F307">
        <v>27</v>
      </c>
      <c r="G307">
        <v>1097.98</v>
      </c>
      <c r="H307">
        <v>916.84</v>
      </c>
      <c r="I307" s="4">
        <f t="shared" si="4"/>
        <v>0.19756991405261548</v>
      </c>
    </row>
    <row r="308" spans="1:9" x14ac:dyDescent="0.2">
      <c r="A308" s="6">
        <v>45945</v>
      </c>
      <c r="B308" t="s">
        <v>103</v>
      </c>
      <c r="C308" t="s">
        <v>247</v>
      </c>
      <c r="D308" t="s">
        <v>402</v>
      </c>
      <c r="E308" t="s">
        <v>34</v>
      </c>
      <c r="F308">
        <v>10</v>
      </c>
      <c r="G308">
        <v>128.16999999999999</v>
      </c>
      <c r="H308">
        <v>92.31</v>
      </c>
      <c r="I308" s="4">
        <f t="shared" si="4"/>
        <v>0.38847362149279585</v>
      </c>
    </row>
    <row r="309" spans="1:9" x14ac:dyDescent="0.2">
      <c r="A309" s="6">
        <v>45945</v>
      </c>
      <c r="B309" t="s">
        <v>103</v>
      </c>
      <c r="C309" t="s">
        <v>247</v>
      </c>
      <c r="D309" t="s">
        <v>403</v>
      </c>
      <c r="E309" t="s">
        <v>25</v>
      </c>
      <c r="F309">
        <v>20</v>
      </c>
      <c r="G309">
        <v>994.59</v>
      </c>
      <c r="H309">
        <v>730.53</v>
      </c>
      <c r="I309" s="4">
        <f t="shared" si="4"/>
        <v>0.36146359492423319</v>
      </c>
    </row>
    <row r="310" spans="1:9" x14ac:dyDescent="0.2">
      <c r="A310" s="6">
        <v>45945</v>
      </c>
      <c r="B310" t="s">
        <v>43</v>
      </c>
      <c r="C310" t="s">
        <v>404</v>
      </c>
      <c r="D310" t="s">
        <v>405</v>
      </c>
      <c r="E310" t="s">
        <v>34</v>
      </c>
      <c r="F310">
        <v>22</v>
      </c>
      <c r="G310">
        <v>723.77</v>
      </c>
      <c r="H310">
        <v>551.29</v>
      </c>
      <c r="I310" s="4">
        <f t="shared" si="4"/>
        <v>0.31286618658056564</v>
      </c>
    </row>
    <row r="311" spans="1:9" x14ac:dyDescent="0.2">
      <c r="A311" s="6">
        <v>45945</v>
      </c>
      <c r="B311" t="s">
        <v>43</v>
      </c>
      <c r="C311" t="s">
        <v>404</v>
      </c>
      <c r="D311" t="s">
        <v>406</v>
      </c>
      <c r="E311" t="s">
        <v>15</v>
      </c>
      <c r="F311">
        <v>36</v>
      </c>
      <c r="G311">
        <v>425.64</v>
      </c>
      <c r="H311">
        <v>331.11</v>
      </c>
      <c r="I311" s="4">
        <f t="shared" si="4"/>
        <v>0.28549424662498857</v>
      </c>
    </row>
    <row r="312" spans="1:9" x14ac:dyDescent="0.2">
      <c r="A312" s="6">
        <v>45945</v>
      </c>
      <c r="B312" t="s">
        <v>43</v>
      </c>
      <c r="C312" t="s">
        <v>404</v>
      </c>
      <c r="D312" t="s">
        <v>293</v>
      </c>
      <c r="E312" t="s">
        <v>23</v>
      </c>
      <c r="F312">
        <v>34</v>
      </c>
      <c r="G312">
        <v>635.59</v>
      </c>
      <c r="H312">
        <v>432.68</v>
      </c>
      <c r="I312" s="4">
        <f t="shared" si="4"/>
        <v>0.46896089488767684</v>
      </c>
    </row>
    <row r="313" spans="1:9" x14ac:dyDescent="0.2">
      <c r="A313" s="6">
        <v>45945</v>
      </c>
      <c r="B313" t="s">
        <v>43</v>
      </c>
      <c r="C313" t="s">
        <v>404</v>
      </c>
      <c r="D313" t="s">
        <v>407</v>
      </c>
      <c r="E313" t="s">
        <v>74</v>
      </c>
      <c r="F313">
        <v>20</v>
      </c>
      <c r="G313">
        <v>1091.26</v>
      </c>
      <c r="H313">
        <v>691.95</v>
      </c>
      <c r="I313" s="4">
        <f t="shared" si="4"/>
        <v>0.57707926873328985</v>
      </c>
    </row>
    <row r="314" spans="1:9" x14ac:dyDescent="0.2">
      <c r="A314" s="6">
        <v>45945</v>
      </c>
      <c r="B314" t="s">
        <v>43</v>
      </c>
      <c r="C314" t="s">
        <v>404</v>
      </c>
      <c r="D314" t="s">
        <v>408</v>
      </c>
      <c r="E314" t="s">
        <v>12</v>
      </c>
      <c r="F314">
        <v>9</v>
      </c>
      <c r="G314">
        <v>292.17</v>
      </c>
      <c r="H314">
        <v>219.35</v>
      </c>
      <c r="I314" s="4">
        <f t="shared" si="4"/>
        <v>0.33198085251880566</v>
      </c>
    </row>
    <row r="315" spans="1:9" x14ac:dyDescent="0.2">
      <c r="A315" s="6">
        <v>45945</v>
      </c>
      <c r="B315" t="s">
        <v>29</v>
      </c>
      <c r="C315" t="s">
        <v>321</v>
      </c>
      <c r="D315" t="s">
        <v>409</v>
      </c>
      <c r="E315" t="s">
        <v>12</v>
      </c>
      <c r="F315">
        <v>36</v>
      </c>
      <c r="G315">
        <v>467.53</v>
      </c>
      <c r="H315">
        <v>302.79000000000002</v>
      </c>
      <c r="I315" s="4">
        <f t="shared" si="4"/>
        <v>0.54407345024604492</v>
      </c>
    </row>
    <row r="316" spans="1:9" x14ac:dyDescent="0.2">
      <c r="A316" s="6">
        <v>45945</v>
      </c>
      <c r="B316" t="s">
        <v>36</v>
      </c>
      <c r="C316" t="s">
        <v>410</v>
      </c>
      <c r="D316" t="s">
        <v>381</v>
      </c>
      <c r="E316" t="s">
        <v>25</v>
      </c>
      <c r="F316">
        <v>7</v>
      </c>
      <c r="G316">
        <v>212.51</v>
      </c>
      <c r="H316">
        <v>159.51</v>
      </c>
      <c r="I316" s="4">
        <f t="shared" si="4"/>
        <v>0.33226756943138364</v>
      </c>
    </row>
    <row r="317" spans="1:9" x14ac:dyDescent="0.2">
      <c r="A317" s="6">
        <v>45945</v>
      </c>
      <c r="B317" t="s">
        <v>36</v>
      </c>
      <c r="C317" t="s">
        <v>410</v>
      </c>
      <c r="D317" t="s">
        <v>411</v>
      </c>
      <c r="E317" t="s">
        <v>34</v>
      </c>
      <c r="F317">
        <v>9</v>
      </c>
      <c r="G317">
        <v>269.02999999999997</v>
      </c>
      <c r="H317">
        <v>176.44</v>
      </c>
      <c r="I317" s="4">
        <f t="shared" si="4"/>
        <v>0.52476762638857388</v>
      </c>
    </row>
    <row r="318" spans="1:9" x14ac:dyDescent="0.2">
      <c r="A318" s="6">
        <v>45945</v>
      </c>
      <c r="B318" t="s">
        <v>36</v>
      </c>
      <c r="C318" t="s">
        <v>410</v>
      </c>
      <c r="D318" t="s">
        <v>412</v>
      </c>
      <c r="E318" t="s">
        <v>25</v>
      </c>
      <c r="F318">
        <v>5</v>
      </c>
      <c r="G318">
        <v>175.19</v>
      </c>
      <c r="H318">
        <v>136.44</v>
      </c>
      <c r="I318" s="4">
        <f t="shared" si="4"/>
        <v>0.28400762239812372</v>
      </c>
    </row>
    <row r="319" spans="1:9" x14ac:dyDescent="0.2">
      <c r="A319" s="6">
        <v>45945</v>
      </c>
      <c r="B319" t="s">
        <v>36</v>
      </c>
      <c r="C319" t="s">
        <v>410</v>
      </c>
      <c r="D319" t="s">
        <v>354</v>
      </c>
      <c r="E319" t="s">
        <v>12</v>
      </c>
      <c r="F319">
        <v>5</v>
      </c>
      <c r="G319">
        <v>116.51</v>
      </c>
      <c r="H319">
        <v>88.49</v>
      </c>
      <c r="I319" s="4">
        <f t="shared" si="4"/>
        <v>0.31664594869476792</v>
      </c>
    </row>
    <row r="320" spans="1:9" x14ac:dyDescent="0.2">
      <c r="A320" s="6">
        <v>45945</v>
      </c>
      <c r="B320" t="s">
        <v>9</v>
      </c>
      <c r="C320" t="s">
        <v>413</v>
      </c>
      <c r="D320" t="s">
        <v>148</v>
      </c>
      <c r="E320" t="s">
        <v>12</v>
      </c>
      <c r="F320">
        <v>13</v>
      </c>
      <c r="G320">
        <v>259.93</v>
      </c>
      <c r="H320">
        <v>172.19</v>
      </c>
      <c r="I320" s="4">
        <f t="shared" si="4"/>
        <v>0.50955340031360707</v>
      </c>
    </row>
    <row r="321" spans="1:9" x14ac:dyDescent="0.2">
      <c r="A321" s="6">
        <v>45945</v>
      </c>
      <c r="B321" t="s">
        <v>36</v>
      </c>
      <c r="C321" t="s">
        <v>414</v>
      </c>
      <c r="D321" t="s">
        <v>87</v>
      </c>
      <c r="E321" t="s">
        <v>12</v>
      </c>
      <c r="F321">
        <v>26</v>
      </c>
      <c r="G321">
        <v>363.87</v>
      </c>
      <c r="H321">
        <v>301.67</v>
      </c>
      <c r="I321" s="4">
        <f t="shared" si="4"/>
        <v>0.20618556701030924</v>
      </c>
    </row>
    <row r="322" spans="1:9" x14ac:dyDescent="0.2">
      <c r="A322" s="6">
        <v>45945</v>
      </c>
      <c r="B322" t="s">
        <v>36</v>
      </c>
      <c r="C322" t="s">
        <v>414</v>
      </c>
      <c r="D322" t="s">
        <v>415</v>
      </c>
      <c r="E322" t="s">
        <v>15</v>
      </c>
      <c r="F322">
        <v>11</v>
      </c>
      <c r="G322">
        <v>221.28</v>
      </c>
      <c r="H322">
        <v>164.38</v>
      </c>
      <c r="I322" s="4">
        <f t="shared" ref="I322:I385" si="5">(G322-H322)/H322</f>
        <v>0.34614916656527561</v>
      </c>
    </row>
    <row r="323" spans="1:9" x14ac:dyDescent="0.2">
      <c r="A323" s="6">
        <v>45945</v>
      </c>
      <c r="B323" t="s">
        <v>36</v>
      </c>
      <c r="C323" t="s">
        <v>414</v>
      </c>
      <c r="D323" t="s">
        <v>416</v>
      </c>
      <c r="E323" t="s">
        <v>23</v>
      </c>
      <c r="F323">
        <v>45</v>
      </c>
      <c r="G323">
        <v>901.2</v>
      </c>
      <c r="H323">
        <v>777.47</v>
      </c>
      <c r="I323" s="4">
        <f t="shared" si="5"/>
        <v>0.15914440428569593</v>
      </c>
    </row>
    <row r="324" spans="1:9" x14ac:dyDescent="0.2">
      <c r="A324" s="6">
        <v>45945</v>
      </c>
      <c r="B324" t="s">
        <v>103</v>
      </c>
      <c r="C324" t="s">
        <v>417</v>
      </c>
      <c r="D324" t="s">
        <v>418</v>
      </c>
      <c r="E324" t="s">
        <v>23</v>
      </c>
      <c r="F324">
        <v>14</v>
      </c>
      <c r="G324">
        <v>141.24</v>
      </c>
      <c r="H324">
        <v>98.85</v>
      </c>
      <c r="I324" s="4">
        <f t="shared" si="5"/>
        <v>0.4288315629742035</v>
      </c>
    </row>
    <row r="325" spans="1:9" x14ac:dyDescent="0.2">
      <c r="A325" s="6">
        <v>45945</v>
      </c>
      <c r="B325" t="s">
        <v>103</v>
      </c>
      <c r="C325" t="s">
        <v>417</v>
      </c>
      <c r="D325" t="s">
        <v>419</v>
      </c>
      <c r="E325" t="s">
        <v>15</v>
      </c>
      <c r="F325">
        <v>3</v>
      </c>
      <c r="G325">
        <v>33.19</v>
      </c>
      <c r="H325">
        <v>24.87</v>
      </c>
      <c r="I325" s="4">
        <f t="shared" si="5"/>
        <v>0.33453960595094479</v>
      </c>
    </row>
    <row r="326" spans="1:9" x14ac:dyDescent="0.2">
      <c r="A326" s="6">
        <v>45945</v>
      </c>
      <c r="B326" t="s">
        <v>36</v>
      </c>
      <c r="C326" t="s">
        <v>420</v>
      </c>
      <c r="D326" t="s">
        <v>421</v>
      </c>
      <c r="E326" t="s">
        <v>23</v>
      </c>
      <c r="F326">
        <v>17</v>
      </c>
      <c r="G326">
        <v>225.63</v>
      </c>
      <c r="H326">
        <v>162.84</v>
      </c>
      <c r="I326" s="4">
        <f t="shared" si="5"/>
        <v>0.38559322033898297</v>
      </c>
    </row>
    <row r="327" spans="1:9" x14ac:dyDescent="0.2">
      <c r="A327" s="6">
        <v>45945</v>
      </c>
      <c r="B327" t="s">
        <v>36</v>
      </c>
      <c r="C327" t="s">
        <v>420</v>
      </c>
      <c r="D327" t="s">
        <v>422</v>
      </c>
      <c r="E327" t="s">
        <v>25</v>
      </c>
      <c r="F327">
        <v>21</v>
      </c>
      <c r="G327">
        <v>633.19000000000005</v>
      </c>
      <c r="H327">
        <v>508.77</v>
      </c>
      <c r="I327" s="4">
        <f t="shared" si="5"/>
        <v>0.24455058277807276</v>
      </c>
    </row>
    <row r="328" spans="1:9" x14ac:dyDescent="0.2">
      <c r="A328" s="6">
        <v>45945</v>
      </c>
      <c r="B328" t="s">
        <v>36</v>
      </c>
      <c r="C328" t="s">
        <v>420</v>
      </c>
      <c r="D328" t="s">
        <v>423</v>
      </c>
      <c r="E328" t="s">
        <v>74</v>
      </c>
      <c r="F328">
        <v>7</v>
      </c>
      <c r="G328">
        <v>210.65</v>
      </c>
      <c r="H328">
        <v>149.38</v>
      </c>
      <c r="I328" s="4">
        <f t="shared" si="5"/>
        <v>0.4101620029455082</v>
      </c>
    </row>
    <row r="329" spans="1:9" x14ac:dyDescent="0.2">
      <c r="A329" s="6">
        <v>45945</v>
      </c>
      <c r="B329" t="s">
        <v>36</v>
      </c>
      <c r="C329" t="s">
        <v>420</v>
      </c>
      <c r="D329" t="s">
        <v>179</v>
      </c>
      <c r="E329" t="s">
        <v>12</v>
      </c>
      <c r="F329">
        <v>9</v>
      </c>
      <c r="G329">
        <v>153.66999999999999</v>
      </c>
      <c r="H329">
        <v>118.23</v>
      </c>
      <c r="I329" s="4">
        <f t="shared" si="5"/>
        <v>0.29975471538526588</v>
      </c>
    </row>
    <row r="330" spans="1:9" x14ac:dyDescent="0.2">
      <c r="A330" s="6">
        <v>45945</v>
      </c>
      <c r="B330" t="s">
        <v>36</v>
      </c>
      <c r="C330" t="s">
        <v>420</v>
      </c>
      <c r="D330" t="s">
        <v>41</v>
      </c>
      <c r="E330" t="s">
        <v>12</v>
      </c>
      <c r="F330">
        <v>6</v>
      </c>
      <c r="G330">
        <v>108.3</v>
      </c>
      <c r="H330">
        <v>80.37</v>
      </c>
      <c r="I330" s="4">
        <f t="shared" si="5"/>
        <v>0.34751773049645379</v>
      </c>
    </row>
    <row r="331" spans="1:9" x14ac:dyDescent="0.2">
      <c r="A331" s="6">
        <v>45945</v>
      </c>
      <c r="B331" t="s">
        <v>29</v>
      </c>
      <c r="C331" t="s">
        <v>424</v>
      </c>
      <c r="D331" t="s">
        <v>425</v>
      </c>
      <c r="E331" t="s">
        <v>34</v>
      </c>
      <c r="F331">
        <v>16</v>
      </c>
      <c r="G331">
        <v>270.68</v>
      </c>
      <c r="H331">
        <v>182.13</v>
      </c>
      <c r="I331" s="4">
        <f t="shared" si="5"/>
        <v>0.48619118212265972</v>
      </c>
    </row>
    <row r="332" spans="1:9" x14ac:dyDescent="0.2">
      <c r="A332" s="6">
        <v>45945</v>
      </c>
      <c r="B332" t="s">
        <v>36</v>
      </c>
      <c r="C332" t="s">
        <v>426</v>
      </c>
      <c r="D332" t="s">
        <v>427</v>
      </c>
      <c r="E332" t="s">
        <v>12</v>
      </c>
      <c r="F332">
        <v>3</v>
      </c>
      <c r="G332">
        <v>80.08</v>
      </c>
      <c r="H332">
        <v>69.680000000000007</v>
      </c>
      <c r="I332" s="4">
        <f t="shared" si="5"/>
        <v>0.14925373134328346</v>
      </c>
    </row>
    <row r="333" spans="1:9" x14ac:dyDescent="0.2">
      <c r="A333" s="6">
        <v>45945</v>
      </c>
      <c r="B333" t="s">
        <v>29</v>
      </c>
      <c r="C333" t="s">
        <v>428</v>
      </c>
      <c r="D333" t="s">
        <v>39</v>
      </c>
      <c r="E333" t="s">
        <v>25</v>
      </c>
      <c r="F333">
        <v>7</v>
      </c>
      <c r="G333">
        <v>197.77</v>
      </c>
      <c r="H333">
        <v>138.97999999999999</v>
      </c>
      <c r="I333" s="4">
        <f t="shared" si="5"/>
        <v>0.4230105051086489</v>
      </c>
    </row>
    <row r="334" spans="1:9" x14ac:dyDescent="0.2">
      <c r="A334" s="6">
        <v>45945</v>
      </c>
      <c r="B334" t="s">
        <v>17</v>
      </c>
      <c r="C334" t="s">
        <v>429</v>
      </c>
      <c r="D334" t="s">
        <v>430</v>
      </c>
      <c r="E334" t="s">
        <v>23</v>
      </c>
      <c r="F334">
        <v>8</v>
      </c>
      <c r="G334">
        <v>185.23</v>
      </c>
      <c r="H334">
        <v>158.02000000000001</v>
      </c>
      <c r="I334" s="4">
        <f t="shared" si="5"/>
        <v>0.17219339324136171</v>
      </c>
    </row>
    <row r="335" spans="1:9" x14ac:dyDescent="0.2">
      <c r="A335" s="6">
        <v>45946</v>
      </c>
      <c r="B335" t="s">
        <v>9</v>
      </c>
      <c r="C335" t="s">
        <v>37</v>
      </c>
      <c r="D335" t="s">
        <v>431</v>
      </c>
      <c r="E335" t="s">
        <v>12</v>
      </c>
      <c r="F335">
        <v>20</v>
      </c>
      <c r="G335">
        <v>242.95</v>
      </c>
      <c r="H335">
        <v>188.26</v>
      </c>
      <c r="I335" s="4">
        <f t="shared" si="5"/>
        <v>0.29050249654732818</v>
      </c>
    </row>
    <row r="336" spans="1:9" x14ac:dyDescent="0.2">
      <c r="A336" s="6">
        <v>45946</v>
      </c>
      <c r="B336" t="s">
        <v>9</v>
      </c>
      <c r="C336" t="s">
        <v>37</v>
      </c>
      <c r="D336" t="s">
        <v>432</v>
      </c>
      <c r="E336" t="s">
        <v>12</v>
      </c>
      <c r="F336">
        <v>9</v>
      </c>
      <c r="G336">
        <v>113.34</v>
      </c>
      <c r="H336">
        <v>83.06</v>
      </c>
      <c r="I336" s="4">
        <f t="shared" si="5"/>
        <v>0.36455574283650372</v>
      </c>
    </row>
    <row r="337" spans="1:9" x14ac:dyDescent="0.2">
      <c r="A337" s="6">
        <v>45946</v>
      </c>
      <c r="B337" t="s">
        <v>9</v>
      </c>
      <c r="C337" t="s">
        <v>37</v>
      </c>
      <c r="D337" t="s">
        <v>181</v>
      </c>
      <c r="E337" t="s">
        <v>15</v>
      </c>
      <c r="F337">
        <v>23</v>
      </c>
      <c r="G337">
        <v>424.53</v>
      </c>
      <c r="H337">
        <v>305.37</v>
      </c>
      <c r="I337" s="4">
        <f t="shared" si="5"/>
        <v>0.39021514883583835</v>
      </c>
    </row>
    <row r="338" spans="1:9" x14ac:dyDescent="0.2">
      <c r="A338" s="6">
        <v>45946</v>
      </c>
      <c r="B338" t="s">
        <v>29</v>
      </c>
      <c r="C338" t="s">
        <v>433</v>
      </c>
      <c r="D338" t="s">
        <v>434</v>
      </c>
      <c r="E338" t="s">
        <v>15</v>
      </c>
      <c r="F338">
        <v>37</v>
      </c>
      <c r="G338">
        <v>668.32</v>
      </c>
      <c r="H338">
        <v>458.33</v>
      </c>
      <c r="I338" s="4">
        <f t="shared" si="5"/>
        <v>0.45816333209696086</v>
      </c>
    </row>
    <row r="339" spans="1:9" x14ac:dyDescent="0.2">
      <c r="A339" s="6">
        <v>45946</v>
      </c>
      <c r="B339" t="s">
        <v>29</v>
      </c>
      <c r="C339" t="s">
        <v>433</v>
      </c>
      <c r="D339" t="s">
        <v>435</v>
      </c>
      <c r="E339" t="s">
        <v>74</v>
      </c>
      <c r="F339">
        <v>69</v>
      </c>
      <c r="G339">
        <v>5392.86</v>
      </c>
      <c r="H339">
        <v>3522.42</v>
      </c>
      <c r="I339" s="4">
        <f t="shared" si="5"/>
        <v>0.53100993067266244</v>
      </c>
    </row>
    <row r="340" spans="1:9" x14ac:dyDescent="0.2">
      <c r="A340" s="6">
        <v>45946</v>
      </c>
      <c r="B340" t="s">
        <v>29</v>
      </c>
      <c r="C340" t="s">
        <v>433</v>
      </c>
      <c r="D340" t="s">
        <v>436</v>
      </c>
      <c r="E340" t="s">
        <v>74</v>
      </c>
      <c r="F340">
        <v>6</v>
      </c>
      <c r="G340">
        <v>367.02</v>
      </c>
      <c r="H340">
        <v>256.49</v>
      </c>
      <c r="I340" s="4">
        <f t="shared" si="5"/>
        <v>0.43093297984326862</v>
      </c>
    </row>
    <row r="341" spans="1:9" x14ac:dyDescent="0.2">
      <c r="A341" s="6">
        <v>45946</v>
      </c>
      <c r="B341" t="s">
        <v>29</v>
      </c>
      <c r="C341" t="s">
        <v>437</v>
      </c>
      <c r="D341" t="s">
        <v>318</v>
      </c>
      <c r="E341" t="s">
        <v>15</v>
      </c>
      <c r="F341">
        <v>6</v>
      </c>
      <c r="G341">
        <v>48.61</v>
      </c>
      <c r="H341">
        <v>42.02</v>
      </c>
      <c r="I341" s="4">
        <f t="shared" si="5"/>
        <v>0.15683008091385045</v>
      </c>
    </row>
    <row r="342" spans="1:9" x14ac:dyDescent="0.2">
      <c r="A342" s="6">
        <v>45946</v>
      </c>
      <c r="B342" t="s">
        <v>29</v>
      </c>
      <c r="C342" t="s">
        <v>437</v>
      </c>
      <c r="D342" t="s">
        <v>438</v>
      </c>
      <c r="E342" t="s">
        <v>34</v>
      </c>
      <c r="F342">
        <v>15</v>
      </c>
      <c r="G342">
        <v>249.44</v>
      </c>
      <c r="H342">
        <v>165.06</v>
      </c>
      <c r="I342" s="4">
        <f t="shared" si="5"/>
        <v>0.51120804555919053</v>
      </c>
    </row>
    <row r="343" spans="1:9" x14ac:dyDescent="0.2">
      <c r="A343" s="6">
        <v>45946</v>
      </c>
      <c r="B343" t="s">
        <v>36</v>
      </c>
      <c r="C343" t="s">
        <v>439</v>
      </c>
      <c r="D343" t="s">
        <v>440</v>
      </c>
      <c r="E343" t="s">
        <v>25</v>
      </c>
      <c r="F343">
        <v>7</v>
      </c>
      <c r="G343">
        <v>138.49</v>
      </c>
      <c r="H343">
        <v>103.67</v>
      </c>
      <c r="I343" s="4">
        <f t="shared" si="5"/>
        <v>0.33587344458377549</v>
      </c>
    </row>
    <row r="344" spans="1:9" x14ac:dyDescent="0.2">
      <c r="A344" s="6">
        <v>45946</v>
      </c>
      <c r="B344" t="s">
        <v>36</v>
      </c>
      <c r="C344" t="s">
        <v>439</v>
      </c>
      <c r="D344" t="s">
        <v>441</v>
      </c>
      <c r="E344" t="s">
        <v>34</v>
      </c>
      <c r="F344">
        <v>9</v>
      </c>
      <c r="G344">
        <v>102.58</v>
      </c>
      <c r="H344">
        <v>76.099999999999994</v>
      </c>
      <c r="I344" s="4">
        <f t="shared" si="5"/>
        <v>0.34796320630749022</v>
      </c>
    </row>
    <row r="345" spans="1:9" x14ac:dyDescent="0.2">
      <c r="A345" s="6">
        <v>45946</v>
      </c>
      <c r="B345" t="s">
        <v>43</v>
      </c>
      <c r="C345" t="s">
        <v>417</v>
      </c>
      <c r="D345" t="s">
        <v>442</v>
      </c>
      <c r="E345" t="s">
        <v>34</v>
      </c>
      <c r="F345">
        <v>6</v>
      </c>
      <c r="G345">
        <v>142.30000000000001</v>
      </c>
      <c r="H345">
        <v>100.35</v>
      </c>
      <c r="I345" s="4">
        <f t="shared" si="5"/>
        <v>0.41803687095166936</v>
      </c>
    </row>
    <row r="346" spans="1:9" x14ac:dyDescent="0.2">
      <c r="A346" s="6">
        <v>45946</v>
      </c>
      <c r="B346" t="s">
        <v>43</v>
      </c>
      <c r="C346" t="s">
        <v>417</v>
      </c>
      <c r="D346" t="s">
        <v>172</v>
      </c>
      <c r="E346" t="s">
        <v>74</v>
      </c>
      <c r="F346">
        <v>24</v>
      </c>
      <c r="G346">
        <v>1852.52</v>
      </c>
      <c r="H346">
        <v>1159.47</v>
      </c>
      <c r="I346" s="4">
        <f t="shared" si="5"/>
        <v>0.59772999732636456</v>
      </c>
    </row>
    <row r="347" spans="1:9" x14ac:dyDescent="0.2">
      <c r="A347" s="6">
        <v>45946</v>
      </c>
      <c r="B347" t="s">
        <v>43</v>
      </c>
      <c r="C347" t="s">
        <v>417</v>
      </c>
      <c r="D347" t="s">
        <v>443</v>
      </c>
      <c r="E347" t="s">
        <v>23</v>
      </c>
      <c r="F347">
        <v>31</v>
      </c>
      <c r="G347">
        <v>441.16</v>
      </c>
      <c r="H347">
        <v>358.9</v>
      </c>
      <c r="I347" s="4">
        <f t="shared" si="5"/>
        <v>0.22920033435497367</v>
      </c>
    </row>
    <row r="348" spans="1:9" x14ac:dyDescent="0.2">
      <c r="A348" s="6">
        <v>45946</v>
      </c>
      <c r="B348" t="s">
        <v>43</v>
      </c>
      <c r="C348" t="s">
        <v>417</v>
      </c>
      <c r="D348" t="s">
        <v>444</v>
      </c>
      <c r="E348" t="s">
        <v>25</v>
      </c>
      <c r="F348">
        <v>7</v>
      </c>
      <c r="G348">
        <v>267.68</v>
      </c>
      <c r="H348">
        <v>201.91</v>
      </c>
      <c r="I348" s="4">
        <f t="shared" si="5"/>
        <v>0.32573919072854246</v>
      </c>
    </row>
    <row r="349" spans="1:9" x14ac:dyDescent="0.2">
      <c r="A349" s="6">
        <v>45946</v>
      </c>
      <c r="B349" t="s">
        <v>17</v>
      </c>
      <c r="C349" t="s">
        <v>445</v>
      </c>
      <c r="D349" t="s">
        <v>380</v>
      </c>
      <c r="E349" t="s">
        <v>25</v>
      </c>
      <c r="F349">
        <v>25</v>
      </c>
      <c r="G349">
        <v>516.44000000000005</v>
      </c>
      <c r="H349">
        <v>400.49</v>
      </c>
      <c r="I349" s="4">
        <f t="shared" si="5"/>
        <v>0.28952033758645668</v>
      </c>
    </row>
    <row r="350" spans="1:9" x14ac:dyDescent="0.2">
      <c r="A350" s="6">
        <v>45946</v>
      </c>
      <c r="B350" t="s">
        <v>17</v>
      </c>
      <c r="C350" t="s">
        <v>445</v>
      </c>
      <c r="D350" t="s">
        <v>446</v>
      </c>
      <c r="E350" t="s">
        <v>12</v>
      </c>
      <c r="F350">
        <v>17</v>
      </c>
      <c r="G350">
        <v>414.57</v>
      </c>
      <c r="H350">
        <v>305.75</v>
      </c>
      <c r="I350" s="4">
        <f t="shared" si="5"/>
        <v>0.35591169255928046</v>
      </c>
    </row>
    <row r="351" spans="1:9" x14ac:dyDescent="0.2">
      <c r="A351" s="6">
        <v>45946</v>
      </c>
      <c r="B351" t="s">
        <v>36</v>
      </c>
      <c r="C351" t="s">
        <v>447</v>
      </c>
      <c r="D351" t="s">
        <v>244</v>
      </c>
      <c r="E351" t="s">
        <v>15</v>
      </c>
      <c r="F351">
        <v>9</v>
      </c>
      <c r="G351">
        <v>98.33</v>
      </c>
      <c r="H351">
        <v>84.14</v>
      </c>
      <c r="I351" s="4">
        <f t="shared" si="5"/>
        <v>0.1686474922747801</v>
      </c>
    </row>
    <row r="352" spans="1:9" x14ac:dyDescent="0.2">
      <c r="A352" s="6">
        <v>45946</v>
      </c>
      <c r="B352" t="s">
        <v>36</v>
      </c>
      <c r="C352" t="s">
        <v>447</v>
      </c>
      <c r="D352" t="s">
        <v>448</v>
      </c>
      <c r="E352" t="s">
        <v>25</v>
      </c>
      <c r="F352">
        <v>85</v>
      </c>
      <c r="G352">
        <v>1843.72</v>
      </c>
      <c r="H352">
        <v>1393.95</v>
      </c>
      <c r="I352" s="4">
        <f t="shared" si="5"/>
        <v>0.32265863194519168</v>
      </c>
    </row>
    <row r="353" spans="1:9" x14ac:dyDescent="0.2">
      <c r="A353" s="6">
        <v>45946</v>
      </c>
      <c r="B353" t="s">
        <v>29</v>
      </c>
      <c r="C353" t="s">
        <v>449</v>
      </c>
      <c r="D353" t="s">
        <v>277</v>
      </c>
      <c r="E353" t="s">
        <v>25</v>
      </c>
      <c r="F353">
        <v>6</v>
      </c>
      <c r="G353">
        <v>293.14999999999998</v>
      </c>
      <c r="H353">
        <v>233.93</v>
      </c>
      <c r="I353" s="4">
        <f t="shared" si="5"/>
        <v>0.25315265250288532</v>
      </c>
    </row>
    <row r="354" spans="1:9" x14ac:dyDescent="0.2">
      <c r="A354" s="6">
        <v>45946</v>
      </c>
      <c r="B354" t="s">
        <v>29</v>
      </c>
      <c r="C354" t="s">
        <v>449</v>
      </c>
      <c r="D354" t="s">
        <v>31</v>
      </c>
      <c r="E354" t="s">
        <v>23</v>
      </c>
      <c r="F354">
        <v>20</v>
      </c>
      <c r="G354">
        <v>309.33</v>
      </c>
      <c r="H354">
        <v>209.84</v>
      </c>
      <c r="I354" s="4">
        <f t="shared" si="5"/>
        <v>0.47412314144109791</v>
      </c>
    </row>
    <row r="355" spans="1:9" x14ac:dyDescent="0.2">
      <c r="A355" s="6">
        <v>45946</v>
      </c>
      <c r="B355" t="s">
        <v>103</v>
      </c>
      <c r="C355" t="s">
        <v>450</v>
      </c>
      <c r="D355" t="s">
        <v>451</v>
      </c>
      <c r="E355" t="s">
        <v>15</v>
      </c>
      <c r="F355">
        <v>13</v>
      </c>
      <c r="G355">
        <v>197.75</v>
      </c>
      <c r="H355">
        <v>143.53</v>
      </c>
      <c r="I355" s="4">
        <f t="shared" si="5"/>
        <v>0.37776074688218492</v>
      </c>
    </row>
    <row r="356" spans="1:9" x14ac:dyDescent="0.2">
      <c r="A356" s="6">
        <v>45946</v>
      </c>
      <c r="B356" t="s">
        <v>103</v>
      </c>
      <c r="C356" t="s">
        <v>450</v>
      </c>
      <c r="D356" t="s">
        <v>452</v>
      </c>
      <c r="E356" t="s">
        <v>34</v>
      </c>
      <c r="F356">
        <v>29</v>
      </c>
      <c r="G356">
        <v>682.44</v>
      </c>
      <c r="H356">
        <v>532.63</v>
      </c>
      <c r="I356" s="4">
        <f t="shared" si="5"/>
        <v>0.2812646677806358</v>
      </c>
    </row>
    <row r="357" spans="1:9" x14ac:dyDescent="0.2">
      <c r="A357" s="6">
        <v>45946</v>
      </c>
      <c r="B357" t="s">
        <v>36</v>
      </c>
      <c r="C357" t="s">
        <v>453</v>
      </c>
      <c r="D357" t="s">
        <v>454</v>
      </c>
      <c r="E357" t="s">
        <v>12</v>
      </c>
      <c r="F357">
        <v>16</v>
      </c>
      <c r="G357">
        <v>427.43</v>
      </c>
      <c r="H357">
        <v>367.8</v>
      </c>
      <c r="I357" s="4">
        <f t="shared" si="5"/>
        <v>0.16212615551930395</v>
      </c>
    </row>
    <row r="358" spans="1:9" x14ac:dyDescent="0.2">
      <c r="A358" s="6">
        <v>45946</v>
      </c>
      <c r="B358" t="s">
        <v>36</v>
      </c>
      <c r="C358" t="s">
        <v>453</v>
      </c>
      <c r="D358" t="s">
        <v>455</v>
      </c>
      <c r="E358" t="s">
        <v>23</v>
      </c>
      <c r="F358">
        <v>23</v>
      </c>
      <c r="G358">
        <v>434.96</v>
      </c>
      <c r="H358">
        <v>356.27</v>
      </c>
      <c r="I358" s="4">
        <f t="shared" si="5"/>
        <v>0.22087181070536391</v>
      </c>
    </row>
    <row r="359" spans="1:9" x14ac:dyDescent="0.2">
      <c r="A359" s="6">
        <v>45946</v>
      </c>
      <c r="B359" t="s">
        <v>36</v>
      </c>
      <c r="C359" t="s">
        <v>453</v>
      </c>
      <c r="D359" t="s">
        <v>456</v>
      </c>
      <c r="E359" t="s">
        <v>23</v>
      </c>
      <c r="F359">
        <v>13</v>
      </c>
      <c r="G359">
        <v>203.88</v>
      </c>
      <c r="H359">
        <v>169.93</v>
      </c>
      <c r="I359" s="4">
        <f t="shared" si="5"/>
        <v>0.1997881480609662</v>
      </c>
    </row>
    <row r="360" spans="1:9" x14ac:dyDescent="0.2">
      <c r="A360" s="6">
        <v>45946</v>
      </c>
      <c r="B360" t="s">
        <v>36</v>
      </c>
      <c r="C360" t="s">
        <v>453</v>
      </c>
      <c r="D360" t="s">
        <v>457</v>
      </c>
      <c r="E360" t="s">
        <v>34</v>
      </c>
      <c r="F360">
        <v>29</v>
      </c>
      <c r="G360">
        <v>649.72</v>
      </c>
      <c r="H360">
        <v>483.58</v>
      </c>
      <c r="I360" s="4">
        <f t="shared" si="5"/>
        <v>0.34356259564084546</v>
      </c>
    </row>
    <row r="361" spans="1:9" x14ac:dyDescent="0.2">
      <c r="A361" s="6">
        <v>45947</v>
      </c>
      <c r="B361" t="s">
        <v>17</v>
      </c>
      <c r="C361" t="s">
        <v>458</v>
      </c>
      <c r="D361" t="s">
        <v>121</v>
      </c>
      <c r="E361" t="s">
        <v>23</v>
      </c>
      <c r="F361">
        <v>5</v>
      </c>
      <c r="G361">
        <v>105.97</v>
      </c>
      <c r="H361">
        <v>86.69</v>
      </c>
      <c r="I361" s="4">
        <f t="shared" si="5"/>
        <v>0.22240166109124468</v>
      </c>
    </row>
    <row r="362" spans="1:9" x14ac:dyDescent="0.2">
      <c r="A362" s="6">
        <v>45947</v>
      </c>
      <c r="B362" t="s">
        <v>9</v>
      </c>
      <c r="C362" t="s">
        <v>459</v>
      </c>
      <c r="D362" t="s">
        <v>303</v>
      </c>
      <c r="E362" t="s">
        <v>23</v>
      </c>
      <c r="F362">
        <v>7</v>
      </c>
      <c r="G362">
        <v>88.36</v>
      </c>
      <c r="H362">
        <v>73.13</v>
      </c>
      <c r="I362" s="4">
        <f t="shared" si="5"/>
        <v>0.20825926432380698</v>
      </c>
    </row>
    <row r="363" spans="1:9" x14ac:dyDescent="0.2">
      <c r="A363" s="6">
        <v>45947</v>
      </c>
      <c r="B363" t="s">
        <v>9</v>
      </c>
      <c r="C363" t="s">
        <v>459</v>
      </c>
      <c r="D363" t="s">
        <v>460</v>
      </c>
      <c r="E363" t="s">
        <v>34</v>
      </c>
      <c r="F363">
        <v>27</v>
      </c>
      <c r="G363">
        <v>783.81</v>
      </c>
      <c r="H363">
        <v>647.24</v>
      </c>
      <c r="I363" s="4">
        <f t="shared" si="5"/>
        <v>0.21100364625177667</v>
      </c>
    </row>
    <row r="364" spans="1:9" x14ac:dyDescent="0.2">
      <c r="A364" s="6">
        <v>45947</v>
      </c>
      <c r="B364" t="s">
        <v>9</v>
      </c>
      <c r="C364" t="s">
        <v>459</v>
      </c>
      <c r="D364" t="s">
        <v>461</v>
      </c>
      <c r="E364" t="s">
        <v>15</v>
      </c>
      <c r="F364">
        <v>1</v>
      </c>
      <c r="G364">
        <v>17.38</v>
      </c>
      <c r="H364">
        <v>11.45</v>
      </c>
      <c r="I364" s="4">
        <f t="shared" si="5"/>
        <v>0.51790393013100433</v>
      </c>
    </row>
    <row r="365" spans="1:9" x14ac:dyDescent="0.2">
      <c r="A365" s="6">
        <v>45947</v>
      </c>
      <c r="B365" t="s">
        <v>9</v>
      </c>
      <c r="C365" t="s">
        <v>459</v>
      </c>
      <c r="D365" t="s">
        <v>462</v>
      </c>
      <c r="E365" t="s">
        <v>12</v>
      </c>
      <c r="F365">
        <v>7</v>
      </c>
      <c r="G365">
        <v>212.13</v>
      </c>
      <c r="H365">
        <v>173.06</v>
      </c>
      <c r="I365" s="4">
        <f t="shared" si="5"/>
        <v>0.225759852074425</v>
      </c>
    </row>
    <row r="366" spans="1:9" x14ac:dyDescent="0.2">
      <c r="A366" s="6">
        <v>45947</v>
      </c>
      <c r="B366" t="s">
        <v>17</v>
      </c>
      <c r="C366" t="s">
        <v>463</v>
      </c>
      <c r="D366" t="s">
        <v>464</v>
      </c>
      <c r="E366" t="s">
        <v>12</v>
      </c>
      <c r="F366">
        <v>6</v>
      </c>
      <c r="G366">
        <v>106.75</v>
      </c>
      <c r="H366">
        <v>92.88</v>
      </c>
      <c r="I366" s="4">
        <f t="shared" si="5"/>
        <v>0.14933247200689068</v>
      </c>
    </row>
    <row r="367" spans="1:9" x14ac:dyDescent="0.2">
      <c r="A367" s="6">
        <v>45947</v>
      </c>
      <c r="B367" t="s">
        <v>17</v>
      </c>
      <c r="C367" t="s">
        <v>463</v>
      </c>
      <c r="D367" t="s">
        <v>465</v>
      </c>
      <c r="E367" t="s">
        <v>15</v>
      </c>
      <c r="F367">
        <v>22</v>
      </c>
      <c r="G367">
        <v>217.51</v>
      </c>
      <c r="H367">
        <v>179.15</v>
      </c>
      <c r="I367" s="4">
        <f t="shared" si="5"/>
        <v>0.21412224392966778</v>
      </c>
    </row>
    <row r="368" spans="1:9" x14ac:dyDescent="0.2">
      <c r="A368" s="6">
        <v>45947</v>
      </c>
      <c r="B368" t="s">
        <v>17</v>
      </c>
      <c r="C368" t="s">
        <v>463</v>
      </c>
      <c r="D368" t="s">
        <v>466</v>
      </c>
      <c r="E368" t="s">
        <v>34</v>
      </c>
      <c r="F368">
        <v>17</v>
      </c>
      <c r="G368">
        <v>444.62</v>
      </c>
      <c r="H368">
        <v>352.73</v>
      </c>
      <c r="I368" s="4">
        <f t="shared" si="5"/>
        <v>0.26051087233861586</v>
      </c>
    </row>
    <row r="369" spans="1:9" x14ac:dyDescent="0.2">
      <c r="A369" s="6">
        <v>45947</v>
      </c>
      <c r="B369" t="s">
        <v>43</v>
      </c>
      <c r="C369" t="s">
        <v>467</v>
      </c>
      <c r="D369" t="s">
        <v>468</v>
      </c>
      <c r="E369" t="s">
        <v>74</v>
      </c>
      <c r="F369">
        <v>3</v>
      </c>
      <c r="G369">
        <v>83.25</v>
      </c>
      <c r="H369">
        <v>51.89</v>
      </c>
      <c r="I369" s="4">
        <f t="shared" si="5"/>
        <v>0.60435536712275961</v>
      </c>
    </row>
    <row r="370" spans="1:9" x14ac:dyDescent="0.2">
      <c r="A370" s="6">
        <v>45947</v>
      </c>
      <c r="B370" t="s">
        <v>43</v>
      </c>
      <c r="C370" t="s">
        <v>467</v>
      </c>
      <c r="D370" t="s">
        <v>273</v>
      </c>
      <c r="E370" t="s">
        <v>23</v>
      </c>
      <c r="F370">
        <v>25</v>
      </c>
      <c r="G370">
        <v>512.79999999999995</v>
      </c>
      <c r="H370">
        <v>364.07</v>
      </c>
      <c r="I370" s="4">
        <f t="shared" si="5"/>
        <v>0.40852033949515193</v>
      </c>
    </row>
    <row r="371" spans="1:9" x14ac:dyDescent="0.2">
      <c r="A371" s="6">
        <v>45947</v>
      </c>
      <c r="B371" t="s">
        <v>9</v>
      </c>
      <c r="C371" t="s">
        <v>469</v>
      </c>
      <c r="D371" t="s">
        <v>58</v>
      </c>
      <c r="E371" t="s">
        <v>23</v>
      </c>
      <c r="F371">
        <v>14</v>
      </c>
      <c r="G371">
        <v>139.32</v>
      </c>
      <c r="H371">
        <v>88.18</v>
      </c>
      <c r="I371" s="4">
        <f t="shared" si="5"/>
        <v>0.57995010206395992</v>
      </c>
    </row>
    <row r="372" spans="1:9" x14ac:dyDescent="0.2">
      <c r="A372" s="6">
        <v>45947</v>
      </c>
      <c r="B372" t="s">
        <v>17</v>
      </c>
      <c r="C372" t="s">
        <v>470</v>
      </c>
      <c r="D372" t="s">
        <v>231</v>
      </c>
      <c r="E372" t="s">
        <v>25</v>
      </c>
      <c r="F372">
        <v>12</v>
      </c>
      <c r="G372">
        <v>379.53</v>
      </c>
      <c r="H372">
        <v>304.49</v>
      </c>
      <c r="I372" s="4">
        <f t="shared" si="5"/>
        <v>0.2464448750369469</v>
      </c>
    </row>
    <row r="373" spans="1:9" x14ac:dyDescent="0.2">
      <c r="A373" s="6">
        <v>45947</v>
      </c>
      <c r="B373" t="s">
        <v>36</v>
      </c>
      <c r="C373" t="s">
        <v>471</v>
      </c>
      <c r="D373" t="s">
        <v>472</v>
      </c>
      <c r="E373" t="s">
        <v>23</v>
      </c>
      <c r="F373">
        <v>13</v>
      </c>
      <c r="G373">
        <v>282.67</v>
      </c>
      <c r="H373">
        <v>220.19</v>
      </c>
      <c r="I373" s="4">
        <f t="shared" si="5"/>
        <v>0.28375493891639048</v>
      </c>
    </row>
    <row r="374" spans="1:9" x14ac:dyDescent="0.2">
      <c r="A374" s="6">
        <v>45948</v>
      </c>
      <c r="B374" t="s">
        <v>17</v>
      </c>
      <c r="C374" t="s">
        <v>149</v>
      </c>
      <c r="D374" t="s">
        <v>473</v>
      </c>
      <c r="E374" t="s">
        <v>25</v>
      </c>
      <c r="F374">
        <v>5</v>
      </c>
      <c r="G374">
        <v>202.47</v>
      </c>
      <c r="H374">
        <v>174.22</v>
      </c>
      <c r="I374" s="4">
        <f t="shared" si="5"/>
        <v>0.16215130295029273</v>
      </c>
    </row>
    <row r="375" spans="1:9" x14ac:dyDescent="0.2">
      <c r="A375" s="6">
        <v>45948</v>
      </c>
      <c r="B375" t="s">
        <v>17</v>
      </c>
      <c r="C375" t="s">
        <v>149</v>
      </c>
      <c r="D375" t="s">
        <v>323</v>
      </c>
      <c r="E375" t="s">
        <v>74</v>
      </c>
      <c r="F375">
        <v>10</v>
      </c>
      <c r="G375">
        <v>275.52999999999997</v>
      </c>
      <c r="H375">
        <v>177.62</v>
      </c>
      <c r="I375" s="4">
        <f t="shared" si="5"/>
        <v>0.55123296926021825</v>
      </c>
    </row>
    <row r="376" spans="1:9" x14ac:dyDescent="0.2">
      <c r="A376" s="6">
        <v>45948</v>
      </c>
      <c r="B376" t="s">
        <v>43</v>
      </c>
      <c r="C376" t="s">
        <v>65</v>
      </c>
      <c r="D376" t="s">
        <v>362</v>
      </c>
      <c r="E376" t="s">
        <v>23</v>
      </c>
      <c r="F376">
        <v>3</v>
      </c>
      <c r="G376">
        <v>26.21</v>
      </c>
      <c r="H376">
        <v>19.809999999999999</v>
      </c>
      <c r="I376" s="4">
        <f t="shared" si="5"/>
        <v>0.32306915699141858</v>
      </c>
    </row>
    <row r="377" spans="1:9" x14ac:dyDescent="0.2">
      <c r="A377" s="6">
        <v>45948</v>
      </c>
      <c r="B377" t="s">
        <v>43</v>
      </c>
      <c r="C377" t="s">
        <v>65</v>
      </c>
      <c r="D377" t="s">
        <v>55</v>
      </c>
      <c r="E377" t="s">
        <v>34</v>
      </c>
      <c r="F377">
        <v>22</v>
      </c>
      <c r="G377">
        <v>299.08999999999997</v>
      </c>
      <c r="H377">
        <v>261.45999999999998</v>
      </c>
      <c r="I377" s="4">
        <f t="shared" si="5"/>
        <v>0.14392258854126827</v>
      </c>
    </row>
    <row r="378" spans="1:9" x14ac:dyDescent="0.2">
      <c r="A378" s="6">
        <v>45948</v>
      </c>
      <c r="B378" t="s">
        <v>17</v>
      </c>
      <c r="C378" t="s">
        <v>474</v>
      </c>
      <c r="D378" t="s">
        <v>475</v>
      </c>
      <c r="E378" t="s">
        <v>25</v>
      </c>
      <c r="F378">
        <v>15</v>
      </c>
      <c r="G378">
        <v>718.06</v>
      </c>
      <c r="H378">
        <v>606.01</v>
      </c>
      <c r="I378" s="4">
        <f t="shared" si="5"/>
        <v>0.18489793897790457</v>
      </c>
    </row>
    <row r="379" spans="1:9" x14ac:dyDescent="0.2">
      <c r="A379" s="6">
        <v>45948</v>
      </c>
      <c r="B379" t="s">
        <v>17</v>
      </c>
      <c r="C379" t="s">
        <v>474</v>
      </c>
      <c r="D379" t="s">
        <v>476</v>
      </c>
      <c r="E379" t="s">
        <v>23</v>
      </c>
      <c r="F379">
        <v>9</v>
      </c>
      <c r="G379">
        <v>109.34</v>
      </c>
      <c r="H379">
        <v>71.27</v>
      </c>
      <c r="I379" s="4">
        <f t="shared" si="5"/>
        <v>0.53416584818296631</v>
      </c>
    </row>
    <row r="380" spans="1:9" x14ac:dyDescent="0.2">
      <c r="A380" s="6">
        <v>45948</v>
      </c>
      <c r="B380" t="s">
        <v>17</v>
      </c>
      <c r="C380" t="s">
        <v>474</v>
      </c>
      <c r="D380" t="s">
        <v>477</v>
      </c>
      <c r="E380" t="s">
        <v>74</v>
      </c>
      <c r="F380">
        <v>8</v>
      </c>
      <c r="G380">
        <v>235.76</v>
      </c>
      <c r="H380">
        <v>170.77</v>
      </c>
      <c r="I380" s="4">
        <f t="shared" si="5"/>
        <v>0.38057035779118098</v>
      </c>
    </row>
    <row r="381" spans="1:9" x14ac:dyDescent="0.2">
      <c r="A381" s="6">
        <v>45948</v>
      </c>
      <c r="B381" t="s">
        <v>17</v>
      </c>
      <c r="C381" t="s">
        <v>474</v>
      </c>
      <c r="D381" t="s">
        <v>478</v>
      </c>
      <c r="E381" t="s">
        <v>34</v>
      </c>
      <c r="F381">
        <v>28</v>
      </c>
      <c r="G381">
        <v>335.08</v>
      </c>
      <c r="H381">
        <v>294.16000000000003</v>
      </c>
      <c r="I381" s="4">
        <f t="shared" si="5"/>
        <v>0.1391079684525427</v>
      </c>
    </row>
    <row r="382" spans="1:9" x14ac:dyDescent="0.2">
      <c r="A382" s="6">
        <v>45948</v>
      </c>
      <c r="B382" t="s">
        <v>29</v>
      </c>
      <c r="C382" t="s">
        <v>216</v>
      </c>
      <c r="D382" t="s">
        <v>479</v>
      </c>
      <c r="E382" t="s">
        <v>23</v>
      </c>
      <c r="F382">
        <v>7</v>
      </c>
      <c r="G382">
        <v>63.45</v>
      </c>
      <c r="H382">
        <v>44.9</v>
      </c>
      <c r="I382" s="4">
        <f t="shared" si="5"/>
        <v>0.41314031180400901</v>
      </c>
    </row>
    <row r="383" spans="1:9" x14ac:dyDescent="0.2">
      <c r="A383" s="6">
        <v>45949</v>
      </c>
      <c r="B383" t="s">
        <v>36</v>
      </c>
      <c r="C383" t="s">
        <v>480</v>
      </c>
      <c r="D383" t="s">
        <v>481</v>
      </c>
      <c r="E383" t="s">
        <v>15</v>
      </c>
      <c r="F383">
        <v>10</v>
      </c>
      <c r="G383">
        <v>150.80000000000001</v>
      </c>
      <c r="H383">
        <v>114.95</v>
      </c>
      <c r="I383" s="4">
        <f t="shared" si="5"/>
        <v>0.31187472814267081</v>
      </c>
    </row>
    <row r="384" spans="1:9" x14ac:dyDescent="0.2">
      <c r="A384" s="6">
        <v>45949</v>
      </c>
      <c r="B384" t="s">
        <v>36</v>
      </c>
      <c r="C384" t="s">
        <v>482</v>
      </c>
      <c r="D384" t="s">
        <v>483</v>
      </c>
      <c r="E384" t="s">
        <v>34</v>
      </c>
      <c r="F384">
        <v>26</v>
      </c>
      <c r="G384">
        <v>756.06</v>
      </c>
      <c r="H384">
        <v>492.86</v>
      </c>
      <c r="I384" s="4">
        <f t="shared" si="5"/>
        <v>0.5340258897049871</v>
      </c>
    </row>
    <row r="385" spans="1:9" x14ac:dyDescent="0.2">
      <c r="A385" s="6">
        <v>45949</v>
      </c>
      <c r="B385" t="s">
        <v>43</v>
      </c>
      <c r="C385" t="s">
        <v>484</v>
      </c>
      <c r="D385" t="s">
        <v>485</v>
      </c>
      <c r="E385" t="s">
        <v>12</v>
      </c>
      <c r="F385">
        <v>17</v>
      </c>
      <c r="G385">
        <v>402.67</v>
      </c>
      <c r="H385">
        <v>344.61</v>
      </c>
      <c r="I385" s="4">
        <f t="shared" si="5"/>
        <v>0.16848031107628914</v>
      </c>
    </row>
    <row r="386" spans="1:9" x14ac:dyDescent="0.2">
      <c r="A386" s="6">
        <v>45949</v>
      </c>
      <c r="B386" t="s">
        <v>17</v>
      </c>
      <c r="C386" t="s">
        <v>486</v>
      </c>
      <c r="D386" t="s">
        <v>462</v>
      </c>
      <c r="E386" t="s">
        <v>12</v>
      </c>
      <c r="F386">
        <v>15</v>
      </c>
      <c r="G386">
        <v>466.52</v>
      </c>
      <c r="H386">
        <v>400.85</v>
      </c>
      <c r="I386" s="4">
        <f t="shared" ref="I386:I449" si="6">(G386-H386)/H386</f>
        <v>0.16382686790570028</v>
      </c>
    </row>
    <row r="387" spans="1:9" x14ac:dyDescent="0.2">
      <c r="A387" s="6">
        <v>45949</v>
      </c>
      <c r="B387" t="s">
        <v>17</v>
      </c>
      <c r="C387" t="s">
        <v>486</v>
      </c>
      <c r="D387" t="s">
        <v>454</v>
      </c>
      <c r="E387" t="s">
        <v>12</v>
      </c>
      <c r="F387">
        <v>10</v>
      </c>
      <c r="G387">
        <v>268.38</v>
      </c>
      <c r="H387">
        <v>195.75</v>
      </c>
      <c r="I387" s="4">
        <f t="shared" si="6"/>
        <v>0.37103448275862067</v>
      </c>
    </row>
    <row r="388" spans="1:9" x14ac:dyDescent="0.2">
      <c r="A388" s="6">
        <v>45949</v>
      </c>
      <c r="B388" t="s">
        <v>17</v>
      </c>
      <c r="C388" t="s">
        <v>486</v>
      </c>
      <c r="D388" t="s">
        <v>487</v>
      </c>
      <c r="E388" t="s">
        <v>25</v>
      </c>
      <c r="F388">
        <v>12</v>
      </c>
      <c r="G388">
        <v>343.75</v>
      </c>
      <c r="H388">
        <v>222.52</v>
      </c>
      <c r="I388" s="4">
        <f t="shared" si="6"/>
        <v>0.54480496135178857</v>
      </c>
    </row>
    <row r="389" spans="1:9" x14ac:dyDescent="0.2">
      <c r="A389" s="6">
        <v>45949</v>
      </c>
      <c r="B389" t="s">
        <v>17</v>
      </c>
      <c r="C389" t="s">
        <v>486</v>
      </c>
      <c r="D389" t="s">
        <v>488</v>
      </c>
      <c r="E389" t="s">
        <v>34</v>
      </c>
      <c r="F389">
        <v>15</v>
      </c>
      <c r="G389">
        <v>432.95</v>
      </c>
      <c r="H389">
        <v>308.86</v>
      </c>
      <c r="I389" s="4">
        <f t="shared" si="6"/>
        <v>0.40176779123227341</v>
      </c>
    </row>
    <row r="390" spans="1:9" x14ac:dyDescent="0.2">
      <c r="A390" s="6">
        <v>45949</v>
      </c>
      <c r="B390" t="s">
        <v>17</v>
      </c>
      <c r="C390" t="s">
        <v>486</v>
      </c>
      <c r="D390" t="s">
        <v>489</v>
      </c>
      <c r="E390" t="s">
        <v>25</v>
      </c>
      <c r="F390">
        <v>16</v>
      </c>
      <c r="G390">
        <v>767.86</v>
      </c>
      <c r="H390">
        <v>604.22</v>
      </c>
      <c r="I390" s="4">
        <f t="shared" si="6"/>
        <v>0.27082850617324811</v>
      </c>
    </row>
    <row r="391" spans="1:9" x14ac:dyDescent="0.2">
      <c r="A391" s="6">
        <v>45949</v>
      </c>
      <c r="B391" t="s">
        <v>17</v>
      </c>
      <c r="C391" t="s">
        <v>490</v>
      </c>
      <c r="D391" t="s">
        <v>491</v>
      </c>
      <c r="E391" t="s">
        <v>34</v>
      </c>
      <c r="F391">
        <v>41</v>
      </c>
      <c r="G391">
        <v>958.94</v>
      </c>
      <c r="H391">
        <v>822.52</v>
      </c>
      <c r="I391" s="4">
        <f t="shared" si="6"/>
        <v>0.16585614939454368</v>
      </c>
    </row>
    <row r="392" spans="1:9" x14ac:dyDescent="0.2">
      <c r="A392" s="6">
        <v>45949</v>
      </c>
      <c r="B392" t="s">
        <v>17</v>
      </c>
      <c r="C392" t="s">
        <v>490</v>
      </c>
      <c r="D392" t="s">
        <v>68</v>
      </c>
      <c r="E392" t="s">
        <v>34</v>
      </c>
      <c r="F392">
        <v>25</v>
      </c>
      <c r="G392">
        <v>410.61</v>
      </c>
      <c r="H392">
        <v>308.51</v>
      </c>
      <c r="I392" s="4">
        <f t="shared" si="6"/>
        <v>0.33094551230106001</v>
      </c>
    </row>
    <row r="393" spans="1:9" x14ac:dyDescent="0.2">
      <c r="A393" s="6">
        <v>45949</v>
      </c>
      <c r="B393" t="s">
        <v>17</v>
      </c>
      <c r="C393" t="s">
        <v>490</v>
      </c>
      <c r="D393" t="s">
        <v>492</v>
      </c>
      <c r="E393" t="s">
        <v>25</v>
      </c>
      <c r="F393">
        <v>23</v>
      </c>
      <c r="G393">
        <v>698.8</v>
      </c>
      <c r="H393">
        <v>506.66</v>
      </c>
      <c r="I393" s="4">
        <f t="shared" si="6"/>
        <v>0.37922867406150063</v>
      </c>
    </row>
    <row r="394" spans="1:9" x14ac:dyDescent="0.2">
      <c r="A394" s="6">
        <v>45949</v>
      </c>
      <c r="B394" t="s">
        <v>48</v>
      </c>
      <c r="C394" t="s">
        <v>493</v>
      </c>
      <c r="D394" t="s">
        <v>124</v>
      </c>
      <c r="E394" t="s">
        <v>25</v>
      </c>
      <c r="F394">
        <v>11</v>
      </c>
      <c r="G394">
        <v>544.59</v>
      </c>
      <c r="H394">
        <v>360.71</v>
      </c>
      <c r="I394" s="4">
        <f t="shared" si="6"/>
        <v>0.5097723933353665</v>
      </c>
    </row>
    <row r="395" spans="1:9" x14ac:dyDescent="0.2">
      <c r="A395" s="6">
        <v>45949</v>
      </c>
      <c r="B395" t="s">
        <v>48</v>
      </c>
      <c r="C395" t="s">
        <v>493</v>
      </c>
      <c r="D395" t="s">
        <v>329</v>
      </c>
      <c r="E395" t="s">
        <v>74</v>
      </c>
      <c r="F395">
        <v>11</v>
      </c>
      <c r="G395">
        <v>740.74</v>
      </c>
      <c r="H395">
        <v>523.86</v>
      </c>
      <c r="I395" s="4">
        <f t="shared" si="6"/>
        <v>0.41400374145764135</v>
      </c>
    </row>
    <row r="396" spans="1:9" x14ac:dyDescent="0.2">
      <c r="A396" s="6">
        <v>45949</v>
      </c>
      <c r="B396" t="s">
        <v>48</v>
      </c>
      <c r="C396" t="s">
        <v>493</v>
      </c>
      <c r="D396" t="s">
        <v>305</v>
      </c>
      <c r="E396" t="s">
        <v>23</v>
      </c>
      <c r="F396">
        <v>8</v>
      </c>
      <c r="G396">
        <v>167.91</v>
      </c>
      <c r="H396">
        <v>118.55</v>
      </c>
      <c r="I396" s="4">
        <f t="shared" si="6"/>
        <v>0.41636440320539858</v>
      </c>
    </row>
    <row r="397" spans="1:9" x14ac:dyDescent="0.2">
      <c r="A397" s="6">
        <v>45949</v>
      </c>
      <c r="B397" t="s">
        <v>48</v>
      </c>
      <c r="C397" t="s">
        <v>493</v>
      </c>
      <c r="D397" t="s">
        <v>494</v>
      </c>
      <c r="E397" t="s">
        <v>74</v>
      </c>
      <c r="F397">
        <v>7</v>
      </c>
      <c r="G397">
        <v>457.87</v>
      </c>
      <c r="H397">
        <v>381.96</v>
      </c>
      <c r="I397" s="4">
        <f t="shared" si="6"/>
        <v>0.19873808775788049</v>
      </c>
    </row>
    <row r="398" spans="1:9" x14ac:dyDescent="0.2">
      <c r="A398" s="6">
        <v>45949</v>
      </c>
      <c r="B398" t="s">
        <v>48</v>
      </c>
      <c r="C398" t="s">
        <v>493</v>
      </c>
      <c r="D398" t="s">
        <v>214</v>
      </c>
      <c r="E398" t="s">
        <v>23</v>
      </c>
      <c r="F398">
        <v>11</v>
      </c>
      <c r="G398">
        <v>107.86</v>
      </c>
      <c r="H398">
        <v>79.349999999999994</v>
      </c>
      <c r="I398" s="4">
        <f t="shared" si="6"/>
        <v>0.3592942659105231</v>
      </c>
    </row>
    <row r="399" spans="1:9" x14ac:dyDescent="0.2">
      <c r="A399" s="6">
        <v>45949</v>
      </c>
      <c r="B399" t="s">
        <v>9</v>
      </c>
      <c r="C399" t="s">
        <v>495</v>
      </c>
      <c r="D399" t="s">
        <v>496</v>
      </c>
      <c r="E399" t="s">
        <v>74</v>
      </c>
      <c r="F399">
        <v>4</v>
      </c>
      <c r="G399">
        <v>176.87</v>
      </c>
      <c r="H399">
        <v>145.27000000000001</v>
      </c>
      <c r="I399" s="4">
        <f t="shared" si="6"/>
        <v>0.21752598609485779</v>
      </c>
    </row>
    <row r="400" spans="1:9" x14ac:dyDescent="0.2">
      <c r="A400" s="6">
        <v>45949</v>
      </c>
      <c r="B400" t="s">
        <v>9</v>
      </c>
      <c r="C400" t="s">
        <v>495</v>
      </c>
      <c r="D400" t="s">
        <v>497</v>
      </c>
      <c r="E400" t="s">
        <v>15</v>
      </c>
      <c r="F400">
        <v>14</v>
      </c>
      <c r="G400">
        <v>148.81</v>
      </c>
      <c r="H400">
        <v>99.02</v>
      </c>
      <c r="I400" s="4">
        <f t="shared" si="6"/>
        <v>0.50282771157341954</v>
      </c>
    </row>
    <row r="401" spans="1:9" x14ac:dyDescent="0.2">
      <c r="A401" s="6">
        <v>45949</v>
      </c>
      <c r="B401" t="s">
        <v>9</v>
      </c>
      <c r="C401" t="s">
        <v>120</v>
      </c>
      <c r="D401" t="s">
        <v>498</v>
      </c>
      <c r="E401" t="s">
        <v>15</v>
      </c>
      <c r="F401">
        <v>20</v>
      </c>
      <c r="G401">
        <v>376.45</v>
      </c>
      <c r="H401">
        <v>240.12</v>
      </c>
      <c r="I401" s="4">
        <f t="shared" si="6"/>
        <v>0.56775778777278019</v>
      </c>
    </row>
    <row r="402" spans="1:9" x14ac:dyDescent="0.2">
      <c r="A402" s="6">
        <v>45949</v>
      </c>
      <c r="B402" t="s">
        <v>9</v>
      </c>
      <c r="C402" t="s">
        <v>120</v>
      </c>
      <c r="D402" t="s">
        <v>406</v>
      </c>
      <c r="E402" t="s">
        <v>15</v>
      </c>
      <c r="F402">
        <v>25</v>
      </c>
      <c r="G402">
        <v>289.61</v>
      </c>
      <c r="H402">
        <v>191.9</v>
      </c>
      <c r="I402" s="4">
        <f t="shared" si="6"/>
        <v>0.50917144346013554</v>
      </c>
    </row>
    <row r="403" spans="1:9" x14ac:dyDescent="0.2">
      <c r="A403" s="6">
        <v>45949</v>
      </c>
      <c r="B403" t="s">
        <v>17</v>
      </c>
      <c r="C403" t="s">
        <v>216</v>
      </c>
      <c r="D403" t="s">
        <v>499</v>
      </c>
      <c r="E403" t="s">
        <v>25</v>
      </c>
      <c r="F403">
        <v>25</v>
      </c>
      <c r="G403">
        <v>566.64</v>
      </c>
      <c r="H403">
        <v>374.13</v>
      </c>
      <c r="I403" s="4">
        <f t="shared" si="6"/>
        <v>0.51455376473418324</v>
      </c>
    </row>
    <row r="404" spans="1:9" x14ac:dyDescent="0.2">
      <c r="A404" s="6">
        <v>45949</v>
      </c>
      <c r="B404" t="s">
        <v>17</v>
      </c>
      <c r="C404" t="s">
        <v>216</v>
      </c>
      <c r="D404" t="s">
        <v>500</v>
      </c>
      <c r="E404" t="s">
        <v>12</v>
      </c>
      <c r="F404">
        <v>6</v>
      </c>
      <c r="G404">
        <v>105.27</v>
      </c>
      <c r="H404">
        <v>91.02</v>
      </c>
      <c r="I404" s="4">
        <f t="shared" si="6"/>
        <v>0.15655899802241266</v>
      </c>
    </row>
    <row r="405" spans="1:9" x14ac:dyDescent="0.2">
      <c r="A405" s="6">
        <v>45949</v>
      </c>
      <c r="B405" t="s">
        <v>36</v>
      </c>
      <c r="C405" t="s">
        <v>46</v>
      </c>
      <c r="D405" t="s">
        <v>501</v>
      </c>
      <c r="E405" t="s">
        <v>12</v>
      </c>
      <c r="F405">
        <v>11</v>
      </c>
      <c r="G405">
        <v>251.63</v>
      </c>
      <c r="H405">
        <v>186.79</v>
      </c>
      <c r="I405" s="4">
        <f t="shared" si="6"/>
        <v>0.34712779056694687</v>
      </c>
    </row>
    <row r="406" spans="1:9" x14ac:dyDescent="0.2">
      <c r="A406" s="6">
        <v>45949</v>
      </c>
      <c r="B406" t="s">
        <v>36</v>
      </c>
      <c r="C406" t="s">
        <v>46</v>
      </c>
      <c r="D406" t="s">
        <v>502</v>
      </c>
      <c r="E406" t="s">
        <v>25</v>
      </c>
      <c r="F406">
        <v>10</v>
      </c>
      <c r="G406">
        <v>357.58</v>
      </c>
      <c r="H406">
        <v>251.51</v>
      </c>
      <c r="I406" s="4">
        <f t="shared" si="6"/>
        <v>0.42173273428491909</v>
      </c>
    </row>
    <row r="407" spans="1:9" x14ac:dyDescent="0.2">
      <c r="A407" s="6">
        <v>45949</v>
      </c>
      <c r="B407" t="s">
        <v>36</v>
      </c>
      <c r="C407" t="s">
        <v>503</v>
      </c>
      <c r="D407" t="s">
        <v>504</v>
      </c>
      <c r="E407" t="s">
        <v>23</v>
      </c>
      <c r="F407">
        <v>37</v>
      </c>
      <c r="G407">
        <v>652.82000000000005</v>
      </c>
      <c r="H407">
        <v>416.17</v>
      </c>
      <c r="I407" s="4">
        <f t="shared" si="6"/>
        <v>0.56863781627700227</v>
      </c>
    </row>
    <row r="408" spans="1:9" x14ac:dyDescent="0.2">
      <c r="A408" s="6">
        <v>45949</v>
      </c>
      <c r="B408" t="s">
        <v>36</v>
      </c>
      <c r="C408" t="s">
        <v>503</v>
      </c>
      <c r="D408" t="s">
        <v>505</v>
      </c>
      <c r="E408" t="s">
        <v>23</v>
      </c>
      <c r="F408">
        <v>16</v>
      </c>
      <c r="G408">
        <v>198.23</v>
      </c>
      <c r="H408">
        <v>135.33000000000001</v>
      </c>
      <c r="I408" s="4">
        <f t="shared" si="6"/>
        <v>0.46478977314712167</v>
      </c>
    </row>
    <row r="409" spans="1:9" x14ac:dyDescent="0.2">
      <c r="A409" s="6">
        <v>45949</v>
      </c>
      <c r="B409" t="s">
        <v>36</v>
      </c>
      <c r="C409" t="s">
        <v>503</v>
      </c>
      <c r="D409" t="s">
        <v>130</v>
      </c>
      <c r="E409" t="s">
        <v>15</v>
      </c>
      <c r="F409">
        <v>13</v>
      </c>
      <c r="G409">
        <v>133.59</v>
      </c>
      <c r="H409">
        <v>107.18</v>
      </c>
      <c r="I409" s="4">
        <f t="shared" si="6"/>
        <v>0.24640791192386635</v>
      </c>
    </row>
    <row r="410" spans="1:9" x14ac:dyDescent="0.2">
      <c r="A410" s="6">
        <v>45949</v>
      </c>
      <c r="B410" t="s">
        <v>103</v>
      </c>
      <c r="C410" t="s">
        <v>506</v>
      </c>
      <c r="D410" t="s">
        <v>165</v>
      </c>
      <c r="E410" t="s">
        <v>25</v>
      </c>
      <c r="F410">
        <v>4</v>
      </c>
      <c r="G410">
        <v>156.34</v>
      </c>
      <c r="H410">
        <v>125.07</v>
      </c>
      <c r="I410" s="4">
        <f t="shared" si="6"/>
        <v>0.25001998880626858</v>
      </c>
    </row>
    <row r="411" spans="1:9" x14ac:dyDescent="0.2">
      <c r="A411" s="6">
        <v>45949</v>
      </c>
      <c r="B411" t="s">
        <v>103</v>
      </c>
      <c r="C411" t="s">
        <v>506</v>
      </c>
      <c r="D411" t="s">
        <v>507</v>
      </c>
      <c r="E411" t="s">
        <v>12</v>
      </c>
      <c r="F411">
        <v>2</v>
      </c>
      <c r="G411">
        <v>75.73</v>
      </c>
      <c r="H411">
        <v>57.95</v>
      </c>
      <c r="I411" s="4">
        <f t="shared" si="6"/>
        <v>0.30681622088006905</v>
      </c>
    </row>
    <row r="412" spans="1:9" x14ac:dyDescent="0.2">
      <c r="A412" s="6">
        <v>45950</v>
      </c>
      <c r="B412" t="s">
        <v>9</v>
      </c>
      <c r="C412" t="s">
        <v>52</v>
      </c>
      <c r="D412" t="s">
        <v>508</v>
      </c>
      <c r="E412" t="s">
        <v>25</v>
      </c>
      <c r="F412">
        <v>11</v>
      </c>
      <c r="G412">
        <v>253.46</v>
      </c>
      <c r="H412">
        <v>177.68</v>
      </c>
      <c r="I412" s="4">
        <f t="shared" si="6"/>
        <v>0.42649707339036469</v>
      </c>
    </row>
    <row r="413" spans="1:9" x14ac:dyDescent="0.2">
      <c r="A413" s="6">
        <v>45950</v>
      </c>
      <c r="B413" t="s">
        <v>9</v>
      </c>
      <c r="C413" t="s">
        <v>52</v>
      </c>
      <c r="D413" t="s">
        <v>92</v>
      </c>
      <c r="E413" t="s">
        <v>23</v>
      </c>
      <c r="F413">
        <v>11</v>
      </c>
      <c r="G413">
        <v>275.49</v>
      </c>
      <c r="H413">
        <v>229.92</v>
      </c>
      <c r="I413" s="4">
        <f t="shared" si="6"/>
        <v>0.19819937369519844</v>
      </c>
    </row>
    <row r="414" spans="1:9" x14ac:dyDescent="0.2">
      <c r="A414" s="6">
        <v>45950</v>
      </c>
      <c r="B414" t="s">
        <v>9</v>
      </c>
      <c r="C414" t="s">
        <v>52</v>
      </c>
      <c r="D414" t="s">
        <v>509</v>
      </c>
      <c r="E414" t="s">
        <v>74</v>
      </c>
      <c r="F414">
        <v>15</v>
      </c>
      <c r="G414">
        <v>589.92999999999995</v>
      </c>
      <c r="H414">
        <v>419.25</v>
      </c>
      <c r="I414" s="4">
        <f t="shared" si="6"/>
        <v>0.40710793082886093</v>
      </c>
    </row>
    <row r="415" spans="1:9" x14ac:dyDescent="0.2">
      <c r="A415" s="6">
        <v>45950</v>
      </c>
      <c r="B415" t="s">
        <v>9</v>
      </c>
      <c r="C415" t="s">
        <v>52</v>
      </c>
      <c r="D415" t="s">
        <v>510</v>
      </c>
      <c r="E415" t="s">
        <v>12</v>
      </c>
      <c r="F415">
        <v>18</v>
      </c>
      <c r="G415">
        <v>589.87</v>
      </c>
      <c r="H415">
        <v>490.01</v>
      </c>
      <c r="I415" s="4">
        <f t="shared" si="6"/>
        <v>0.20379175935184998</v>
      </c>
    </row>
    <row r="416" spans="1:9" x14ac:dyDescent="0.2">
      <c r="A416" s="6">
        <v>45950</v>
      </c>
      <c r="B416" t="s">
        <v>9</v>
      </c>
      <c r="C416" t="s">
        <v>511</v>
      </c>
      <c r="D416" t="s">
        <v>512</v>
      </c>
      <c r="E416" t="s">
        <v>12</v>
      </c>
      <c r="F416">
        <v>19</v>
      </c>
      <c r="G416">
        <v>623.9</v>
      </c>
      <c r="H416">
        <v>388.42</v>
      </c>
      <c r="I416" s="4">
        <f t="shared" si="6"/>
        <v>0.60625096544977075</v>
      </c>
    </row>
    <row r="417" spans="1:9" x14ac:dyDescent="0.2">
      <c r="A417" s="6">
        <v>45950</v>
      </c>
      <c r="B417" t="s">
        <v>9</v>
      </c>
      <c r="C417" t="s">
        <v>511</v>
      </c>
      <c r="D417" t="s">
        <v>513</v>
      </c>
      <c r="E417" t="s">
        <v>74</v>
      </c>
      <c r="F417">
        <v>12</v>
      </c>
      <c r="G417">
        <v>807.23</v>
      </c>
      <c r="H417">
        <v>697.34</v>
      </c>
      <c r="I417" s="4">
        <f t="shared" si="6"/>
        <v>0.1575845355206929</v>
      </c>
    </row>
    <row r="418" spans="1:9" x14ac:dyDescent="0.2">
      <c r="A418" s="6">
        <v>45950</v>
      </c>
      <c r="B418" t="s">
        <v>9</v>
      </c>
      <c r="C418" t="s">
        <v>511</v>
      </c>
      <c r="D418" t="s">
        <v>514</v>
      </c>
      <c r="E418" t="s">
        <v>12</v>
      </c>
      <c r="F418">
        <v>8</v>
      </c>
      <c r="G418">
        <v>273.04000000000002</v>
      </c>
      <c r="H418">
        <v>206.32</v>
      </c>
      <c r="I418" s="4">
        <f t="shared" si="6"/>
        <v>0.32338115548662288</v>
      </c>
    </row>
    <row r="419" spans="1:9" x14ac:dyDescent="0.2">
      <c r="A419" s="6">
        <v>45950</v>
      </c>
      <c r="B419" t="s">
        <v>29</v>
      </c>
      <c r="C419" t="s">
        <v>193</v>
      </c>
      <c r="D419" t="s">
        <v>515</v>
      </c>
      <c r="E419" t="s">
        <v>74</v>
      </c>
      <c r="F419">
        <v>25</v>
      </c>
      <c r="G419">
        <v>1125</v>
      </c>
      <c r="H419">
        <v>949.21</v>
      </c>
      <c r="I419" s="4">
        <f t="shared" si="6"/>
        <v>0.18519611044974238</v>
      </c>
    </row>
    <row r="420" spans="1:9" x14ac:dyDescent="0.2">
      <c r="A420" s="6">
        <v>45950</v>
      </c>
      <c r="B420" t="s">
        <v>17</v>
      </c>
      <c r="C420" t="s">
        <v>516</v>
      </c>
      <c r="D420" t="s">
        <v>517</v>
      </c>
      <c r="E420" t="s">
        <v>74</v>
      </c>
      <c r="F420">
        <v>43</v>
      </c>
      <c r="G420">
        <v>1672.3</v>
      </c>
      <c r="H420">
        <v>1456.88</v>
      </c>
      <c r="I420" s="4">
        <f t="shared" si="6"/>
        <v>0.14786392839492601</v>
      </c>
    </row>
    <row r="421" spans="1:9" x14ac:dyDescent="0.2">
      <c r="A421" s="6">
        <v>45950</v>
      </c>
      <c r="B421" t="s">
        <v>17</v>
      </c>
      <c r="C421" t="s">
        <v>516</v>
      </c>
      <c r="D421" t="s">
        <v>518</v>
      </c>
      <c r="E421" t="s">
        <v>15</v>
      </c>
      <c r="F421">
        <v>6</v>
      </c>
      <c r="G421">
        <v>78.86</v>
      </c>
      <c r="H421">
        <v>51.32</v>
      </c>
      <c r="I421" s="4">
        <f t="shared" si="6"/>
        <v>0.53663289166017147</v>
      </c>
    </row>
  </sheetData>
  <autoFilter ref="A1:I4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h="8.83203125" defaultRowHeight="15" x14ac:dyDescent="0.2"/>
  <cols>
    <col min="1" max="1" width="52" customWidth="1"/>
    <col min="2" max="2" width="18" customWidth="1"/>
    <col min="3" max="3" width="62" customWidth="1"/>
  </cols>
  <sheetData>
    <row r="1" spans="1:3" ht="19" x14ac:dyDescent="0.25">
      <c r="A1" s="7" t="s">
        <v>519</v>
      </c>
    </row>
    <row r="3" spans="1:3" ht="22" customHeight="1" x14ac:dyDescent="0.2">
      <c r="A3" s="5" t="s">
        <v>520</v>
      </c>
      <c r="B3" s="5" t="s">
        <v>521</v>
      </c>
      <c r="C3" s="5" t="s">
        <v>522</v>
      </c>
    </row>
    <row r="4" spans="1:3" x14ac:dyDescent="0.2">
      <c r="A4" s="8" t="s">
        <v>523</v>
      </c>
      <c r="B4" s="9">
        <f>SUM(Suivi!$G$2:$G$421)</f>
        <v>199773.05999999991</v>
      </c>
      <c r="C4" s="10" t="s">
        <v>524</v>
      </c>
    </row>
    <row r="5" spans="1:3" x14ac:dyDescent="0.2">
      <c r="A5" s="8" t="s">
        <v>525</v>
      </c>
      <c r="B5" s="9">
        <f>SUBTOTAL(9,Suivi!$G$2:$G$421)</f>
        <v>199773.05999999991</v>
      </c>
      <c r="C5" s="10" t="s">
        <v>526</v>
      </c>
    </row>
    <row r="6" spans="1:3" x14ac:dyDescent="0.2">
      <c r="A6" s="8" t="s">
        <v>527</v>
      </c>
      <c r="B6" s="9">
        <f>SUBTOTAL(109,Suivi!$G$2:$G$421)</f>
        <v>198319.06999999989</v>
      </c>
      <c r="C6" s="10" t="s">
        <v>528</v>
      </c>
    </row>
    <row r="7" spans="1:3" x14ac:dyDescent="0.2">
      <c r="A7" s="8" t="s">
        <v>529</v>
      </c>
      <c r="B7" s="9">
        <f>_xlfn.AGGREGATE(9,5,Suivi!$G$2:$G$421)</f>
        <v>198319.06999999989</v>
      </c>
      <c r="C7" s="10" t="s">
        <v>530</v>
      </c>
    </row>
    <row r="8" spans="1:3" x14ac:dyDescent="0.2">
      <c r="A8" s="8" t="s">
        <v>531</v>
      </c>
      <c r="B8" s="11" t="e">
        <f>SUM(Suivi!$I$2:$I$421)</f>
        <v>#DIV/0!</v>
      </c>
      <c r="C8" s="10" t="s">
        <v>532</v>
      </c>
    </row>
    <row r="9" spans="1:3" x14ac:dyDescent="0.2">
      <c r="A9" s="8" t="s">
        <v>533</v>
      </c>
      <c r="B9" s="11" t="e">
        <f>AVERAGE(Suivi!$I$2:$I$421)</f>
        <v>#DIV/0!</v>
      </c>
      <c r="C9" s="10" t="s">
        <v>534</v>
      </c>
    </row>
    <row r="10" spans="1:3" x14ac:dyDescent="0.2">
      <c r="A10" s="8" t="s">
        <v>535</v>
      </c>
      <c r="B10" s="11">
        <f>_xlfn.AGGREGATE(1,6,Suivi!$I$2:$I$421)</f>
        <v>0.34866325355453914</v>
      </c>
      <c r="C10" s="10" t="s">
        <v>536</v>
      </c>
    </row>
    <row r="11" spans="1:3" x14ac:dyDescent="0.2">
      <c r="A11" s="8" t="s">
        <v>537</v>
      </c>
      <c r="B11" s="11">
        <f>_xlfn.AGGREGATE(1,7,Suivi!$I$2:$I$421)</f>
        <v>0.34911951131810603</v>
      </c>
      <c r="C11" s="10" t="s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</vt:lpstr>
      <vt:lpstr>Comparaison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2026-09-17T15:16:44Z</dcterms:created>
  <dcterms:modified xsi:type="dcterms:W3CDTF">2026-09-17T15:17:18Z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2026-09-17T15:17:18Z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60665e54-1e92-41a6-a446-801dd345ff13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